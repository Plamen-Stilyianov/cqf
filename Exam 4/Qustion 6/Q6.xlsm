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120" yWindow="135" windowWidth="23895" windowHeight="9945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F7" i="1"/>
  <c r="F5"/>
  <c r="F4"/>
  <c r="B12"/>
  <c r="B9"/>
</calcChain>
</file>

<file path=xl/sharedStrings.xml><?xml version="1.0" encoding="utf-8"?>
<sst xmlns="http://schemas.openxmlformats.org/spreadsheetml/2006/main" count="14" uniqueCount="14">
  <si>
    <t xml:space="preserve">RN model </t>
  </si>
  <si>
    <t>γ</t>
  </si>
  <si>
    <t>ř</t>
  </si>
  <si>
    <t>r</t>
  </si>
  <si>
    <t>t (nowyr)</t>
  </si>
  <si>
    <t>T (zeroyr)</t>
  </si>
  <si>
    <t>zero life</t>
  </si>
  <si>
    <t>σ</t>
  </si>
  <si>
    <t>B(t;T)</t>
  </si>
  <si>
    <t>A(t;T)</t>
  </si>
  <si>
    <t>Z(r,t;T)</t>
  </si>
  <si>
    <t>Cox, Ingersoll and Ross Model</t>
  </si>
  <si>
    <t>φ</t>
  </si>
  <si>
    <r>
      <t xml:space="preserve">dr =  </t>
    </r>
    <r>
      <rPr>
        <sz val="11"/>
        <color theme="3" tint="0.39997558519241921"/>
        <rFont val="Calibri"/>
        <family val="2"/>
      </rPr>
      <t>γ (ř</t>
    </r>
    <r>
      <rPr>
        <sz val="11"/>
        <color theme="3" tint="0.39997558519241921"/>
        <rFont val="Calibri"/>
        <family val="2"/>
        <scheme val="minor"/>
      </rPr>
      <t xml:space="preserve"> - r) dt - </t>
    </r>
    <r>
      <rPr>
        <sz val="11"/>
        <color theme="3" tint="0.39997558519241921"/>
        <rFont val="Calibri"/>
        <family val="2"/>
      </rPr>
      <t>σ sqrt(r) dX</t>
    </r>
  </si>
</sst>
</file>

<file path=xl/styles.xml><?xml version="1.0" encoding="utf-8"?>
<styleSheet xmlns="http://schemas.openxmlformats.org/spreadsheetml/2006/main">
  <numFmts count="1">
    <numFmt numFmtId="164" formatCode="0.0000"/>
  </numFmts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11"/>
      <color theme="3" tint="0.3999755851924192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164" fontId="0" fillId="0" borderId="0" xfId="0" applyNumberFormat="1"/>
    <xf numFmtId="164" fontId="3" fillId="0" borderId="0" xfId="0" applyNumberFormat="1" applyFont="1"/>
    <xf numFmtId="0" fontId="0" fillId="2" borderId="0" xfId="0" applyFill="1"/>
    <xf numFmtId="9" fontId="0" fillId="2" borderId="0" xfId="0" applyNumberFormat="1" applyFill="1"/>
    <xf numFmtId="0" fontId="4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F12"/>
  <sheetViews>
    <sheetView tabSelected="1" workbookViewId="0">
      <selection sqref="A1:F16"/>
    </sheetView>
  </sheetViews>
  <sheetFormatPr defaultRowHeight="15"/>
  <cols>
    <col min="1" max="1" width="11" customWidth="1"/>
  </cols>
  <sheetData>
    <row r="1" spans="1:6">
      <c r="A1" s="2" t="s">
        <v>11</v>
      </c>
    </row>
    <row r="2" spans="1:6">
      <c r="A2" t="s">
        <v>0</v>
      </c>
      <c r="B2" s="7" t="s">
        <v>13</v>
      </c>
      <c r="C2" s="7"/>
      <c r="D2" s="7"/>
    </row>
    <row r="4" spans="1:6">
      <c r="A4" s="1" t="s">
        <v>1</v>
      </c>
      <c r="B4" s="5">
        <v>0.1</v>
      </c>
      <c r="E4" t="s">
        <v>8</v>
      </c>
      <c r="F4" s="3">
        <f>2*(EXP(B12*B9)-1)/((B12+B4)*(EXP(B12*B9)-1)+2*B12)</f>
        <v>6.295561917040958</v>
      </c>
    </row>
    <row r="5" spans="1:6">
      <c r="A5" s="1" t="s">
        <v>2</v>
      </c>
      <c r="B5" s="5">
        <v>0.1</v>
      </c>
      <c r="E5" t="s">
        <v>9</v>
      </c>
      <c r="F5" s="3">
        <f>POWER((2*B12*EXP((B4+B12)*(B9/2)))/((B12+B4)*(EXP(B12*B9)-1)+2*B12),(2*B4*B5)/B10^2)</f>
        <v>0.69274138173550481</v>
      </c>
    </row>
    <row r="6" spans="1:6">
      <c r="A6" s="1" t="s">
        <v>3</v>
      </c>
      <c r="B6" s="6">
        <v>0.1</v>
      </c>
      <c r="F6" s="3"/>
    </row>
    <row r="7" spans="1:6">
      <c r="A7" s="1" t="s">
        <v>4</v>
      </c>
      <c r="B7" s="5">
        <v>0</v>
      </c>
      <c r="E7" s="2" t="s">
        <v>10</v>
      </c>
      <c r="F7" s="4">
        <f>F5*EXP(-F4*B6)</f>
        <v>0.36911215882286424</v>
      </c>
    </row>
    <row r="8" spans="1:6">
      <c r="A8" s="1" t="s">
        <v>5</v>
      </c>
      <c r="B8" s="5">
        <v>10</v>
      </c>
    </row>
    <row r="9" spans="1:6">
      <c r="A9" s="1" t="s">
        <v>6</v>
      </c>
      <c r="B9" s="5">
        <f>B8-B7</f>
        <v>10</v>
      </c>
    </row>
    <row r="10" spans="1:6">
      <c r="A10" s="1" t="s">
        <v>7</v>
      </c>
      <c r="B10" s="5">
        <v>0.02</v>
      </c>
    </row>
    <row r="12" spans="1:6">
      <c r="A12" s="1" t="s">
        <v>12</v>
      </c>
      <c r="B12" s="3">
        <f>SQRT(B4^2 + 2*B10^2)</f>
        <v>0.10392304845413265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plamen</dc:creator>
  <cp:lastModifiedBy>plamen</cp:lastModifiedBy>
  <cp:lastPrinted>2009-04-23T03:54:35Z</cp:lastPrinted>
  <dcterms:created xsi:type="dcterms:W3CDTF">2009-04-23T02:22:35Z</dcterms:created>
  <dcterms:modified xsi:type="dcterms:W3CDTF">2009-04-23T03:59:47Z</dcterms:modified>
</cp:coreProperties>
</file>