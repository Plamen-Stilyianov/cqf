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84" yWindow="96" windowWidth="18960" windowHeight="8784" activeTab="1"/>
  </bookViews>
  <sheets>
    <sheet name="Explicit" sheetId="1" r:id="rId1"/>
    <sheet name="Implicit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I28" i="2" a="1"/>
  <c r="I28" s="1"/>
  <c r="I26" a="1"/>
  <c r="I26" s="1"/>
  <c r="N8" a="1"/>
  <c r="N9" s="1"/>
  <c r="O8" a="1"/>
  <c r="O8" s="1"/>
  <c r="H27" i="1"/>
  <c r="H28"/>
  <c r="H8" i="2" a="1"/>
  <c r="H10" s="1"/>
  <c r="G8" a="1"/>
  <c r="G11" s="1"/>
  <c r="H4" a="1"/>
  <c r="J4" s="1"/>
  <c r="H4" i="1" a="1"/>
  <c r="H4" s="1"/>
  <c r="H8" a="1"/>
  <c r="H8" s="1"/>
  <c r="G8" a="1"/>
  <c r="G8" s="1"/>
  <c r="D15" s="1"/>
  <c r="O11" i="2" l="1"/>
  <c r="N11"/>
  <c r="P11" s="1"/>
  <c r="N10"/>
  <c r="O9"/>
  <c r="P9" s="1"/>
  <c r="N8"/>
  <c r="P8" s="1"/>
  <c r="O10"/>
  <c r="E18"/>
  <c r="C18"/>
  <c r="D18"/>
  <c r="B18"/>
  <c r="I4"/>
  <c r="K4"/>
  <c r="G8"/>
  <c r="G10"/>
  <c r="H9"/>
  <c r="H11"/>
  <c r="H4"/>
  <c r="G9"/>
  <c r="H8"/>
  <c r="C15" i="1"/>
  <c r="E15"/>
  <c r="B15"/>
  <c r="K4"/>
  <c r="I4"/>
  <c r="J4"/>
  <c r="H11"/>
  <c r="H9"/>
  <c r="H10"/>
  <c r="G11"/>
  <c r="G9"/>
  <c r="G10"/>
  <c r="P10" i="2" l="1"/>
  <c r="B15"/>
  <c r="D15"/>
  <c r="E15"/>
  <c r="C15"/>
  <c r="E16"/>
  <c r="C16"/>
  <c r="D16"/>
  <c r="B16"/>
  <c r="E17"/>
  <c r="C17"/>
  <c r="D17"/>
  <c r="B17"/>
  <c r="D17" i="1"/>
  <c r="B17"/>
  <c r="E17"/>
  <c r="C17"/>
  <c r="D18"/>
  <c r="B18"/>
  <c r="E18"/>
  <c r="C18"/>
  <c r="D16"/>
  <c r="B16"/>
  <c r="E16"/>
  <c r="C16"/>
  <c r="G15" i="2" l="1" a="1"/>
  <c r="G15" i="1" a="1"/>
  <c r="G15" s="1"/>
  <c r="J18" i="2" l="1"/>
  <c r="H18"/>
  <c r="J17"/>
  <c r="H17"/>
  <c r="J16"/>
  <c r="H16"/>
  <c r="J15"/>
  <c r="H15"/>
  <c r="I18"/>
  <c r="G18"/>
  <c r="I17"/>
  <c r="G17"/>
  <c r="I16"/>
  <c r="G16"/>
  <c r="I15"/>
  <c r="G15"/>
  <c r="G16" i="1"/>
  <c r="I16"/>
  <c r="H16"/>
  <c r="J16"/>
  <c r="G18"/>
  <c r="H18"/>
  <c r="I18"/>
  <c r="J18"/>
  <c r="G17"/>
  <c r="H15"/>
  <c r="H17"/>
  <c r="I15"/>
  <c r="I17"/>
  <c r="J15"/>
  <c r="J17"/>
  <c r="B22" a="1"/>
  <c r="B21" a="1"/>
  <c r="B22" i="2" l="1" a="1"/>
  <c r="B21" a="1"/>
  <c r="B21" i="1"/>
  <c r="C21"/>
  <c r="E21"/>
  <c r="D21"/>
  <c r="B22"/>
  <c r="E22"/>
  <c r="D22"/>
  <c r="C22"/>
  <c r="E22" i="2" l="1"/>
  <c r="C22"/>
  <c r="D22"/>
  <c r="B22"/>
  <c r="D21"/>
  <c r="B21"/>
  <c r="E21"/>
  <c r="C21"/>
  <c r="B28" i="1" a="1"/>
  <c r="B28" s="1"/>
  <c r="B26"/>
  <c r="B27" a="1"/>
  <c r="B27" s="1"/>
  <c r="H26" s="1"/>
  <c r="B28" i="2" l="1" a="1"/>
  <c r="B28" s="1"/>
  <c r="B27" a="1"/>
  <c r="B27" s="1"/>
  <c r="N15" s="1" a="1"/>
  <c r="B26"/>
  <c r="H28" s="1"/>
  <c r="E27" i="1"/>
  <c r="E26"/>
  <c r="M15" a="1"/>
  <c r="H29" i="2" l="1"/>
  <c r="H30" s="1"/>
  <c r="N15"/>
  <c r="N18"/>
  <c r="N17"/>
  <c r="N16"/>
  <c r="E26"/>
  <c r="H27"/>
  <c r="M15" a="1"/>
  <c r="E27"/>
  <c r="H26"/>
  <c r="K10" i="1"/>
  <c r="K8"/>
  <c r="K9"/>
  <c r="K11"/>
  <c r="M15"/>
  <c r="M16"/>
  <c r="M18"/>
  <c r="M17"/>
  <c r="K11" i="2" l="1"/>
  <c r="K8"/>
  <c r="K9"/>
  <c r="K10"/>
  <c r="H3" a="1"/>
  <c r="K26" a="1"/>
  <c r="K26" s="1"/>
  <c r="M8" a="1"/>
  <c r="N19"/>
  <c r="K27"/>
  <c r="M18"/>
  <c r="M16"/>
  <c r="M17"/>
  <c r="M15"/>
  <c r="L31" a="1"/>
  <c r="L31" s="1"/>
  <c r="L15" i="1" a="1"/>
  <c r="P15" i="2" l="1" a="1"/>
  <c r="F28" a="1"/>
  <c r="F28" s="1"/>
  <c r="M9"/>
  <c r="M10"/>
  <c r="M8"/>
  <c r="M11"/>
  <c r="H3"/>
  <c r="I3"/>
  <c r="K3"/>
  <c r="J3"/>
  <c r="M19"/>
  <c r="H2" a="1"/>
  <c r="B23" a="1"/>
  <c r="L8" a="1"/>
  <c r="L15" a="1"/>
  <c r="L18" i="1"/>
  <c r="L16"/>
  <c r="L15"/>
  <c r="L17"/>
  <c r="P15" i="2" l="1"/>
  <c r="P18"/>
  <c r="P16"/>
  <c r="P17"/>
  <c r="B23"/>
  <c r="C23"/>
  <c r="E23"/>
  <c r="D23"/>
  <c r="K28"/>
  <c r="L8"/>
  <c r="O15" s="1"/>
  <c r="L9"/>
  <c r="O16" s="1"/>
  <c r="L11"/>
  <c r="L10"/>
  <c r="H2"/>
  <c r="K2"/>
  <c r="J2"/>
  <c r="I2"/>
  <c r="O18"/>
  <c r="O17"/>
  <c r="L17"/>
  <c r="L15"/>
  <c r="L18"/>
  <c r="L16"/>
  <c r="P19" l="1"/>
  <c r="H31"/>
  <c r="H34" a="1"/>
  <c r="H34" s="1"/>
  <c r="K29"/>
  <c r="H5" a="1"/>
  <c r="O19"/>
  <c r="H1" a="1"/>
  <c r="L19"/>
  <c r="B24" a="1"/>
  <c r="H5" l="1"/>
  <c r="G22" s="1" a="1"/>
  <c r="I5"/>
  <c r="K5"/>
  <c r="J5"/>
  <c r="B24"/>
  <c r="E24"/>
  <c r="D24"/>
  <c r="C24"/>
  <c r="H1"/>
  <c r="I1"/>
  <c r="K1"/>
  <c r="J1"/>
  <c r="I29" l="1"/>
  <c r="I27" s="1"/>
  <c r="G22"/>
  <c r="J22"/>
  <c r="H22"/>
  <c r="I22"/>
  <c r="K32" a="1"/>
  <c r="K32" s="1"/>
  <c r="G21" a="1"/>
  <c r="K31" a="1"/>
  <c r="K31" s="1"/>
  <c r="K30" a="1"/>
  <c r="K30" s="1"/>
  <c r="H35" l="1" a="1"/>
  <c r="H35" s="1"/>
  <c r="H36" s="1"/>
  <c r="G21"/>
  <c r="H21"/>
  <c r="J21"/>
  <c r="I21"/>
  <c r="H32" l="1"/>
  <c r="H33" s="1"/>
</calcChain>
</file>

<file path=xl/sharedStrings.xml><?xml version="1.0" encoding="utf-8"?>
<sst xmlns="http://schemas.openxmlformats.org/spreadsheetml/2006/main" count="138" uniqueCount="60">
  <si>
    <t>Assets</t>
  </si>
  <si>
    <t>µ</t>
  </si>
  <si>
    <t>σ</t>
  </si>
  <si>
    <t>Correlation Matrix</t>
  </si>
  <si>
    <t>1 Vec</t>
  </si>
  <si>
    <r>
      <t>σ</t>
    </r>
    <r>
      <rPr>
        <vertAlign val="superscript"/>
        <sz val="11"/>
        <color rgb="FFFF0000"/>
        <rFont val="Calibri"/>
        <family val="2"/>
      </rPr>
      <t>T</t>
    </r>
  </si>
  <si>
    <r>
      <t>µ</t>
    </r>
    <r>
      <rPr>
        <vertAlign val="superscript"/>
        <sz val="11"/>
        <color rgb="FFFF0000"/>
        <rFont val="Calibri"/>
        <family val="2"/>
      </rPr>
      <t>T</t>
    </r>
  </si>
  <si>
    <r>
      <t xml:space="preserve">Covariance Matrix </t>
    </r>
    <r>
      <rPr>
        <sz val="11"/>
        <color rgb="FFFF0000"/>
        <rFont val="Calibri"/>
        <family val="2"/>
      </rPr>
      <t>∑</t>
    </r>
  </si>
  <si>
    <r>
      <t>Inverse Cov Matrix ∑</t>
    </r>
    <r>
      <rPr>
        <vertAlign val="superscript"/>
        <sz val="11"/>
        <color rgb="FFFF0000"/>
        <rFont val="Calibri"/>
        <family val="2"/>
        <scheme val="minor"/>
      </rPr>
      <t>-1</t>
    </r>
  </si>
  <si>
    <r>
      <t>1</t>
    </r>
    <r>
      <rPr>
        <vertAlign val="superscript"/>
        <sz val="11"/>
        <color rgb="FFFF0000"/>
        <rFont val="Calibri"/>
        <family val="2"/>
        <scheme val="minor"/>
      </rPr>
      <t>T</t>
    </r>
  </si>
  <si>
    <r>
      <t>1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>-1</t>
    </r>
  </si>
  <si>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>-1</t>
    </r>
  </si>
  <si>
    <r>
      <t>A=1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1</t>
    </r>
  </si>
  <si>
    <r>
      <t>B=</t>
    </r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1</t>
    </r>
  </si>
  <si>
    <r>
      <t>C=</t>
    </r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µ</t>
    </r>
  </si>
  <si>
    <t>λ</t>
  </si>
  <si>
    <t>γ</t>
  </si>
  <si>
    <t>m</t>
  </si>
  <si>
    <t>λµ + λ1</t>
  </si>
  <si>
    <t>w*</t>
  </si>
  <si>
    <r>
      <t>m</t>
    </r>
    <r>
      <rPr>
        <vertAlign val="subscript"/>
        <sz val="11"/>
        <color rgb="FFFF0000"/>
        <rFont val="Calibri"/>
        <family val="2"/>
        <scheme val="minor"/>
      </rPr>
      <t>g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</si>
  <si>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g</t>
    </r>
  </si>
  <si>
    <r>
      <t>σ</t>
    </r>
    <r>
      <rPr>
        <vertAlign val="subscript"/>
        <sz val="11"/>
        <color rgb="FFFF0000"/>
        <rFont val="Calibri"/>
        <family val="2"/>
      </rPr>
      <t>g</t>
    </r>
    <r>
      <rPr>
        <vertAlign val="superscript"/>
        <sz val="11"/>
        <color rgb="FFFF0000"/>
        <rFont val="Calibri"/>
        <family val="2"/>
      </rPr>
      <t>2</t>
    </r>
  </si>
  <si>
    <t>A</t>
  </si>
  <si>
    <t>B</t>
  </si>
  <si>
    <t>C</t>
  </si>
  <si>
    <t>D</t>
  </si>
  <si>
    <r>
      <t>σ</t>
    </r>
    <r>
      <rPr>
        <vertAlign val="subscript"/>
        <sz val="11"/>
        <color rgb="FFFF0000"/>
        <rFont val="Calibri"/>
        <family val="2"/>
      </rPr>
      <t>g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</si>
  <si>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d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</si>
  <si>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ex</t>
    </r>
    <r>
      <rPr>
        <sz val="11"/>
        <color rgb="FFFF0000"/>
        <rFont val="Calibri"/>
        <family val="2"/>
        <scheme val="minor"/>
      </rPr>
      <t>*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</si>
  <si>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im</t>
    </r>
    <r>
      <rPr>
        <sz val="11"/>
        <color rgb="FFFF0000"/>
        <rFont val="Calibri"/>
        <family val="2"/>
        <scheme val="minor"/>
      </rPr>
      <t>*</t>
    </r>
  </si>
  <si>
    <r>
      <t>λBw</t>
    </r>
    <r>
      <rPr>
        <vertAlign val="subscript"/>
        <sz val="11"/>
        <color rgb="FFFF0000"/>
        <rFont val="Calibri"/>
        <family val="2"/>
      </rPr>
      <t>d</t>
    </r>
  </si>
  <si>
    <t>γA+λB</t>
  </si>
  <si>
    <r>
      <t>σ</t>
    </r>
    <r>
      <rPr>
        <vertAlign val="subscript"/>
        <sz val="11"/>
        <color rgb="FFFF0000"/>
        <rFont val="Calibri"/>
        <family val="2"/>
      </rPr>
      <t>g,p</t>
    </r>
    <r>
      <rPr>
        <vertAlign val="superscript"/>
        <sz val="11"/>
        <color rgb="FFFF0000"/>
        <rFont val="Calibri"/>
        <family val="2"/>
      </rPr>
      <t>2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</si>
  <si>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g</t>
    </r>
    <r>
      <rPr>
        <vertAlign val="superscript"/>
        <sz val="11"/>
        <color rgb="FFFF0000"/>
        <rFont val="Calibri"/>
        <family val="2"/>
        <scheme val="minor"/>
      </rPr>
      <t>T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</si>
  <si>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g</t>
    </r>
    <r>
      <rPr>
        <vertAlign val="superscript"/>
        <sz val="11"/>
        <color rgb="FFFF0000"/>
        <rFont val="Calibri"/>
        <family val="2"/>
        <scheme val="minor"/>
      </rPr>
      <t>T</t>
    </r>
    <r>
      <rPr>
        <sz val="11"/>
        <color rgb="FFFF0000"/>
        <rFont val="Calibri"/>
        <family val="2"/>
      </rPr>
      <t>∑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</si>
  <si>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d</t>
    </r>
    <r>
      <rPr>
        <b/>
        <vertAlign val="superscript"/>
        <sz val="11"/>
        <color rgb="FFFF0000"/>
        <rFont val="Calibri"/>
        <family val="2"/>
        <scheme val="minor"/>
      </rPr>
      <t>T</t>
    </r>
  </si>
  <si>
    <r>
      <t>1</t>
    </r>
    <r>
      <rPr>
        <vertAlign val="superscript"/>
        <sz val="11"/>
        <color rgb="FFFF0000"/>
        <rFont val="Calibri"/>
        <family val="2"/>
        <scheme val="minor"/>
      </rPr>
      <t>T</t>
    </r>
    <r>
      <rPr>
        <sz val="11"/>
        <color rgb="FFFF0000"/>
        <rFont val="Calibri"/>
        <family val="2"/>
        <scheme val="minor"/>
      </rPr>
      <t>w</t>
    </r>
    <r>
      <rPr>
        <vertAlign val="subscript"/>
        <sz val="11"/>
        <color rgb="FFFF0000"/>
        <rFont val="Calibri"/>
        <family val="2"/>
        <scheme val="minor"/>
      </rPr>
      <t xml:space="preserve">d </t>
    </r>
    <r>
      <rPr>
        <sz val="11"/>
        <color rgb="FFFF0000"/>
        <rFont val="Calibri"/>
        <family val="2"/>
        <scheme val="minor"/>
      </rPr>
      <t>= 1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</si>
  <si>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d</t>
    </r>
    <r>
      <rPr>
        <b/>
        <vertAlign val="superscript"/>
        <sz val="11"/>
        <color rgb="FFFF0000"/>
        <rFont val="Calibri"/>
        <family val="2"/>
        <scheme val="minor"/>
      </rPr>
      <t>T</t>
    </r>
    <r>
      <rPr>
        <b/>
        <sz val="11"/>
        <color rgb="FFFF0000"/>
        <rFont val="Calibri"/>
        <family val="2"/>
        <scheme val="minor"/>
      </rPr>
      <t>1=1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</si>
  <si>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g</t>
    </r>
    <r>
      <rPr>
        <b/>
        <vertAlign val="superscript"/>
        <sz val="11"/>
        <color rgb="FFFF0000"/>
        <rFont val="Calibri"/>
        <family val="2"/>
        <scheme val="minor"/>
      </rPr>
      <t>T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</si>
  <si>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ex</t>
    </r>
    <r>
      <rPr>
        <b/>
        <sz val="11"/>
        <color rgb="FFFF0000"/>
        <rFont val="Calibri"/>
        <family val="2"/>
        <scheme val="minor"/>
      </rPr>
      <t>*</t>
    </r>
    <r>
      <rPr>
        <b/>
        <vertAlign val="superscript"/>
        <sz val="11"/>
        <color rgb="FFFF0000"/>
        <rFont val="Calibri"/>
        <family val="2"/>
        <scheme val="minor"/>
      </rPr>
      <t>T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</si>
  <si>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g</t>
    </r>
    <r>
      <rPr>
        <b/>
        <vertAlign val="superscript"/>
        <sz val="11"/>
        <color rgb="FFFF0000"/>
        <rFont val="Calibri"/>
        <family val="2"/>
        <scheme val="minor"/>
      </rPr>
      <t>T</t>
    </r>
    <r>
      <rPr>
        <b/>
        <sz val="11"/>
        <color rgb="FFFF0000"/>
        <rFont val="Calibri"/>
        <family val="2"/>
      </rPr>
      <t>µ</t>
    </r>
    <r>
      <rPr>
        <b/>
        <sz val="11"/>
        <color rgb="FFFF0000"/>
        <rFont val="Calibri"/>
        <family val="2"/>
        <scheme val="minor"/>
      </rPr>
      <t>=0.1</t>
    </r>
  </si>
  <si>
    <r>
      <t>σ</t>
    </r>
    <r>
      <rPr>
        <vertAlign val="subscript"/>
        <sz val="11"/>
        <color rgb="FFFF0000"/>
        <rFont val="Calibri"/>
        <family val="2"/>
      </rPr>
      <t>π</t>
    </r>
    <r>
      <rPr>
        <vertAlign val="superscript"/>
        <sz val="11"/>
        <color rgb="FFFF0000"/>
        <rFont val="Calibri"/>
        <family val="2"/>
      </rPr>
      <t>2</t>
    </r>
    <r>
      <rPr>
        <sz val="11"/>
        <color rgb="FFFF0000"/>
        <rFont val="Calibri"/>
        <family val="2"/>
      </rPr>
      <t>(m)</t>
    </r>
  </si>
  <si>
    <r>
      <t>σ</t>
    </r>
    <r>
      <rPr>
        <vertAlign val="subscript"/>
        <sz val="11"/>
        <color rgb="FFFF0000"/>
        <rFont val="Calibri"/>
        <family val="2"/>
      </rPr>
      <t>π</t>
    </r>
    <r>
      <rPr>
        <sz val="11"/>
        <color rgb="FFFF0000"/>
        <rFont val="Calibri"/>
        <family val="2"/>
      </rPr>
      <t>(m)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</si>
  <si>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ex</t>
    </r>
    <r>
      <rPr>
        <b/>
        <sz val="11"/>
        <color rgb="FFFF0000"/>
        <rFont val="Calibri"/>
        <family val="2"/>
        <scheme val="minor"/>
      </rPr>
      <t>*</t>
    </r>
    <r>
      <rPr>
        <b/>
        <vertAlign val="superscript"/>
        <sz val="11"/>
        <color rgb="FFFF0000"/>
        <rFont val="Calibri"/>
        <family val="2"/>
        <scheme val="minor"/>
      </rPr>
      <t>T</t>
    </r>
    <r>
      <rPr>
        <b/>
        <sz val="11"/>
        <color rgb="FFFF0000"/>
        <rFont val="Calibri"/>
        <family val="2"/>
      </rPr>
      <t>∑</t>
    </r>
  </si>
  <si>
    <r>
      <t>µ</t>
    </r>
    <r>
      <rPr>
        <b/>
        <vertAlign val="subscript"/>
        <sz val="11"/>
        <color rgb="FFFA7D00"/>
        <rFont val="Calibri"/>
        <family val="2"/>
        <scheme val="minor"/>
      </rPr>
      <t>π</t>
    </r>
  </si>
  <si>
    <r>
      <t>σ</t>
    </r>
    <r>
      <rPr>
        <b/>
        <vertAlign val="subscript"/>
        <sz val="11"/>
        <color rgb="FFFA7D00"/>
        <rFont val="Calibri"/>
        <family val="2"/>
        <scheme val="minor"/>
      </rPr>
      <t>π</t>
    </r>
  </si>
  <si>
    <r>
      <t>σ</t>
    </r>
    <r>
      <rPr>
        <b/>
        <vertAlign val="subscript"/>
        <sz val="11"/>
        <color rgb="FFFA7D00"/>
        <rFont val="Calibri"/>
        <family val="2"/>
        <scheme val="minor"/>
      </rPr>
      <t>π</t>
    </r>
    <r>
      <rPr>
        <b/>
        <vertAlign val="superscript"/>
        <sz val="11"/>
        <color rgb="FFFA7D00"/>
        <rFont val="Calibri"/>
        <family val="2"/>
        <scheme val="minor"/>
      </rPr>
      <t>2</t>
    </r>
  </si>
  <si>
    <r>
      <t>w</t>
    </r>
    <r>
      <rPr>
        <b/>
        <vertAlign val="subscript"/>
        <sz val="11"/>
        <color theme="0"/>
        <rFont val="Calibri"/>
        <family val="2"/>
        <scheme val="minor"/>
      </rPr>
      <t>ex</t>
    </r>
    <r>
      <rPr>
        <b/>
        <sz val="11"/>
        <color theme="0"/>
        <rFont val="Calibri"/>
        <family val="2"/>
        <scheme val="minor"/>
      </rPr>
      <t>*</t>
    </r>
    <r>
      <rPr>
        <b/>
        <vertAlign val="super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µ=0.1</t>
    </r>
  </si>
  <si>
    <r>
      <t>w</t>
    </r>
    <r>
      <rPr>
        <b/>
        <vertAlign val="subscript"/>
        <sz val="11"/>
        <color theme="0"/>
        <rFont val="Calibri"/>
        <family val="2"/>
        <scheme val="minor"/>
      </rPr>
      <t>ex</t>
    </r>
    <r>
      <rPr>
        <b/>
        <sz val="11"/>
        <color theme="0"/>
        <rFont val="Calibri"/>
        <family val="2"/>
        <scheme val="minor"/>
      </rPr>
      <t>*</t>
    </r>
    <r>
      <rPr>
        <b/>
        <vertAlign val="super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1=1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</si>
  <si>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im</t>
    </r>
    <r>
      <rPr>
        <b/>
        <sz val="11"/>
        <color rgb="FFFF0000"/>
        <rFont val="Calibri"/>
        <family val="2"/>
        <scheme val="minor"/>
      </rPr>
      <t>*</t>
    </r>
    <r>
      <rPr>
        <b/>
        <vertAlign val="superscript"/>
        <sz val="11"/>
        <color rgb="FFFF0000"/>
        <rFont val="Calibri"/>
        <family val="2"/>
        <scheme val="minor"/>
      </rPr>
      <t>T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</si>
  <si>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im</t>
    </r>
    <r>
      <rPr>
        <b/>
        <sz val="11"/>
        <color rgb="FFFF0000"/>
        <rFont val="Calibri"/>
        <family val="2"/>
        <scheme val="minor"/>
      </rPr>
      <t>*</t>
    </r>
    <r>
      <rPr>
        <b/>
        <vertAlign val="superscript"/>
        <sz val="11"/>
        <color rgb="FFFF0000"/>
        <rFont val="Calibri"/>
        <family val="2"/>
        <scheme val="minor"/>
      </rPr>
      <t>T</t>
    </r>
    <r>
      <rPr>
        <b/>
        <sz val="11"/>
        <color rgb="FFFF0000"/>
        <rFont val="Calibri"/>
        <family val="2"/>
        <scheme val="minor"/>
      </rPr>
      <t>1=1</t>
    </r>
  </si>
  <si>
    <t>λµ + γ1</t>
  </si>
  <si>
    <r>
      <t>µ</t>
    </r>
    <r>
      <rPr>
        <b/>
        <vertAlign val="subscript"/>
        <sz val="11"/>
        <color rgb="FFFF0000"/>
        <rFont val="Calibri"/>
        <family val="2"/>
        <scheme val="minor"/>
      </rPr>
      <t>im</t>
    </r>
  </si>
  <si>
    <r>
      <t>σ</t>
    </r>
    <r>
      <rPr>
        <b/>
        <vertAlign val="subscript"/>
        <sz val="11"/>
        <color rgb="FFFF0000"/>
        <rFont val="Calibri"/>
        <family val="2"/>
        <scheme val="minor"/>
      </rPr>
      <t>im</t>
    </r>
    <r>
      <rPr>
        <b/>
        <vertAlign val="superscript"/>
        <sz val="11"/>
        <color rgb="FFFF0000"/>
        <rFont val="Calibri"/>
        <family val="2"/>
        <scheme val="minor"/>
      </rPr>
      <t>2</t>
    </r>
  </si>
  <si>
    <r>
      <t>σ</t>
    </r>
    <r>
      <rPr>
        <b/>
        <vertAlign val="subscript"/>
        <sz val="11"/>
        <color rgb="FFFF0000"/>
        <rFont val="Calibri"/>
        <family val="2"/>
        <scheme val="minor"/>
      </rPr>
      <t>im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</si>
  <si>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im</t>
    </r>
    <r>
      <rPr>
        <b/>
        <sz val="11"/>
        <color rgb="FFFF0000"/>
        <rFont val="Calibri"/>
        <family val="2"/>
        <scheme val="minor"/>
      </rPr>
      <t>*</t>
    </r>
    <r>
      <rPr>
        <b/>
        <vertAlign val="superscript"/>
        <sz val="11"/>
        <color rgb="FFFF0000"/>
        <rFont val="Calibri"/>
        <family val="2"/>
        <scheme val="minor"/>
      </rPr>
      <t>T</t>
    </r>
    <r>
      <rPr>
        <b/>
        <sz val="11"/>
        <color rgb="FFFF0000"/>
        <rFont val="Calibri"/>
        <family val="2"/>
      </rPr>
      <t>∑</t>
    </r>
  </si>
  <si>
    <r>
      <t>γAw</t>
    </r>
    <r>
      <rPr>
        <vertAlign val="subscript"/>
        <sz val="11"/>
        <color rgb="FFFF0000"/>
        <rFont val="Calibri"/>
        <family val="2"/>
      </rPr>
      <t>g</t>
    </r>
  </si>
  <si>
    <t>γ1</t>
  </si>
  <si>
    <t>λµ</t>
  </si>
</sst>
</file>

<file path=xl/styles.xml><?xml version="1.0" encoding="utf-8"?>
<styleSheet xmlns="http://schemas.openxmlformats.org/spreadsheetml/2006/main">
  <numFmts count="6">
    <numFmt numFmtId="164" formatCode="0.0000"/>
    <numFmt numFmtId="165" formatCode="0.000000"/>
    <numFmt numFmtId="166" formatCode="0.000"/>
    <numFmt numFmtId="167" formatCode="0.00000"/>
    <numFmt numFmtId="168" formatCode="0.0"/>
    <numFmt numFmtId="174" formatCode="#,##0.0000"/>
  </numFmts>
  <fonts count="22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vertAlign val="superscript"/>
      <sz val="11"/>
      <color rgb="FFFF0000"/>
      <name val="Calibri"/>
      <family val="2"/>
    </font>
    <font>
      <vertAlign val="superscript"/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perscript"/>
      <sz val="11"/>
      <color rgb="FFFF0000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vertAlign val="subscript"/>
      <sz val="11"/>
      <color rgb="FFFA7D00"/>
      <name val="Calibri"/>
      <family val="2"/>
      <scheme val="minor"/>
    </font>
    <font>
      <b/>
      <vertAlign val="superscript"/>
      <sz val="11"/>
      <color rgb="FFFA7D0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8" fillId="3" borderId="1" applyNumberFormat="0" applyAlignment="0" applyProtection="0"/>
    <xf numFmtId="0" fontId="10" fillId="4" borderId="0" applyNumberFormat="0" applyBorder="0" applyAlignment="0" applyProtection="0"/>
    <xf numFmtId="0" fontId="13" fillId="2" borderId="0" applyFont="0" applyFill="0"/>
  </cellStyleXfs>
  <cellXfs count="32">
    <xf numFmtId="0" fontId="0" fillId="0" borderId="0" xfId="0"/>
    <xf numFmtId="2" fontId="0" fillId="0" borderId="0" xfId="0" applyNumberFormat="1"/>
    <xf numFmtId="164" fontId="0" fillId="0" borderId="0" xfId="0" applyNumberFormat="1"/>
    <xf numFmtId="0" fontId="1" fillId="0" borderId="0" xfId="0" applyFont="1"/>
    <xf numFmtId="0" fontId="1" fillId="2" borderId="0" xfId="0" applyFont="1" applyFill="1"/>
    <xf numFmtId="0" fontId="3" fillId="2" borderId="0" xfId="0" applyFont="1" applyFill="1"/>
    <xf numFmtId="49" fontId="1" fillId="2" borderId="0" xfId="0" applyNumberFormat="1" applyFont="1" applyFill="1"/>
    <xf numFmtId="0" fontId="3" fillId="0" borderId="0" xfId="0" applyFont="1" applyFill="1"/>
    <xf numFmtId="0" fontId="1" fillId="0" borderId="0" xfId="0" applyFont="1" applyFill="1"/>
    <xf numFmtId="165" fontId="0" fillId="0" borderId="0" xfId="0" applyNumberFormat="1"/>
    <xf numFmtId="10" fontId="2" fillId="0" borderId="0" xfId="0" applyNumberFormat="1" applyFont="1"/>
    <xf numFmtId="9" fontId="2" fillId="0" borderId="0" xfId="0" applyNumberFormat="1" applyFont="1"/>
    <xf numFmtId="166" fontId="0" fillId="0" borderId="0" xfId="0" applyNumberFormat="1"/>
    <xf numFmtId="167" fontId="0" fillId="0" borderId="0" xfId="0" applyNumberFormat="1"/>
    <xf numFmtId="10" fontId="11" fillId="0" borderId="0" xfId="0" applyNumberFormat="1" applyFont="1"/>
    <xf numFmtId="9" fontId="11" fillId="0" borderId="0" xfId="0" applyNumberFormat="1" applyFont="1"/>
    <xf numFmtId="10" fontId="0" fillId="0" borderId="0" xfId="0" applyNumberFormat="1"/>
    <xf numFmtId="164" fontId="12" fillId="5" borderId="0" xfId="0" applyNumberFormat="1" applyFont="1" applyFill="1"/>
    <xf numFmtId="10" fontId="12" fillId="5" borderId="0" xfId="0" applyNumberFormat="1" applyFont="1" applyFill="1"/>
    <xf numFmtId="164" fontId="11" fillId="0" borderId="0" xfId="0" applyNumberFormat="1" applyFont="1" applyFill="1"/>
    <xf numFmtId="0" fontId="13" fillId="2" borderId="0" xfId="0" applyFont="1" applyFill="1"/>
    <xf numFmtId="0" fontId="0" fillId="0" borderId="0" xfId="0" applyNumberFormat="1" applyFill="1"/>
    <xf numFmtId="164" fontId="2" fillId="0" borderId="0" xfId="0" applyNumberFormat="1" applyFont="1"/>
    <xf numFmtId="0" fontId="8" fillId="3" borderId="1" xfId="1"/>
    <xf numFmtId="164" fontId="8" fillId="3" borderId="1" xfId="1" applyNumberFormat="1"/>
    <xf numFmtId="0" fontId="9" fillId="4" borderId="0" xfId="2" applyFont="1"/>
    <xf numFmtId="168" fontId="9" fillId="4" borderId="0" xfId="2" applyNumberFormat="1" applyFont="1"/>
    <xf numFmtId="0" fontId="21" fillId="0" borderId="0" xfId="0" applyFont="1"/>
    <xf numFmtId="0" fontId="13" fillId="2" borderId="1" xfId="1" applyFont="1" applyFill="1"/>
    <xf numFmtId="174" fontId="0" fillId="0" borderId="0" xfId="0" applyNumberFormat="1"/>
    <xf numFmtId="0" fontId="0" fillId="0" borderId="0" xfId="0" applyFill="1"/>
    <xf numFmtId="164" fontId="0" fillId="0" borderId="0" xfId="0" applyNumberFormat="1" applyFill="1"/>
  </cellXfs>
  <cellStyles count="4">
    <cellStyle name="Accent1" xfId="2" builtinId="29"/>
    <cellStyle name="Calculation" xfId="1" builtinId="22"/>
    <cellStyle name="Normal" xfId="0" builtinId="0"/>
    <cellStyle name="Style 1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style val="8"/>
  <c:chart>
    <c:title>
      <c:tx>
        <c:rich>
          <a:bodyPr/>
          <a:lstStyle/>
          <a:p>
            <a:pPr>
              <a:defRPr/>
            </a:pPr>
            <a:r>
              <a:rPr lang="en-GB" baseline="0"/>
              <a:t>Optimal Portfolio for Four Risky Assets</a:t>
            </a:r>
            <a:endParaRPr lang="en-GB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A - Asset</c:v>
          </c:tx>
          <c:spPr>
            <a:ln w="28575">
              <a:noFill/>
            </a:ln>
          </c:spP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Wa=5.87%</a:t>
                    </a:r>
                  </a:p>
                </c:rich>
              </c:tx>
              <c:dLblPos val="r"/>
              <c:showVal val="1"/>
              <c:showCatName val="1"/>
              <c:showSerName val="1"/>
            </c:dLbl>
            <c:dLblPos val="r"/>
            <c:showVal val="1"/>
            <c:showCatName val="1"/>
          </c:dLbls>
          <c:xVal>
            <c:numRef>
              <c:f>Implicit!$G$8</c:f>
              <c:numCache>
                <c:formatCode>0.00</c:formatCode>
                <c:ptCount val="1"/>
                <c:pt idx="0">
                  <c:v>7.0000000000000007E-2</c:v>
                </c:pt>
              </c:numCache>
            </c:numRef>
          </c:xVal>
          <c:yVal>
            <c:numRef>
              <c:f>Implicit!$H$8</c:f>
              <c:numCache>
                <c:formatCode>0.00</c:formatCode>
                <c:ptCount val="1"/>
                <c:pt idx="0">
                  <c:v>0.04</c:v>
                </c:pt>
              </c:numCache>
            </c:numRef>
          </c:yVal>
        </c:ser>
        <c:ser>
          <c:idx val="1"/>
          <c:order val="1"/>
          <c:tx>
            <c:v>B- Asset</c:v>
          </c:tx>
          <c:spPr>
            <a:ln w="28575">
              <a:noFill/>
            </a:ln>
          </c:spPr>
          <c:dPt>
            <c:idx val="0"/>
            <c:marker>
              <c:spPr>
                <a:ln>
                  <a:gradFill>
                    <a:gsLst>
                      <a:gs pos="0">
                        <a:schemeClr val="accent1">
                          <a:tint val="66000"/>
                          <a:satMod val="160000"/>
                        </a:schemeClr>
                      </a:gs>
                      <a:gs pos="50000">
                        <a:schemeClr val="accent1">
                          <a:tint val="44500"/>
                          <a:satMod val="160000"/>
                        </a:schemeClr>
                      </a:gs>
                      <a:gs pos="100000">
                        <a:schemeClr val="accent1">
                          <a:tint val="23500"/>
                          <a:satMod val="160000"/>
                        </a:schemeClr>
                      </a:gs>
                    </a:gsLst>
                    <a:lin ang="5400000" scaled="0"/>
                  </a:gradFill>
                  <a:tailEnd type="none"/>
                </a:ln>
              </c:spPr>
            </c:marke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Wb=75.90%</a:t>
                    </a:r>
                  </a:p>
                </c:rich>
              </c:tx>
              <c:dLblPos val="r"/>
              <c:showVal val="1"/>
              <c:showCatName val="1"/>
            </c:dLbl>
            <c:dLblPos val="r"/>
            <c:showVal val="1"/>
            <c:showCatName val="1"/>
          </c:dLbls>
          <c:xVal>
            <c:numRef>
              <c:f>Implicit!$G$9</c:f>
              <c:numCache>
                <c:formatCode>0.00</c:formatCode>
                <c:ptCount val="1"/>
                <c:pt idx="0">
                  <c:v>0.12</c:v>
                </c:pt>
              </c:numCache>
            </c:numRef>
          </c:xVal>
          <c:yVal>
            <c:numRef>
              <c:f>Implicit!$H$9</c:f>
              <c:numCache>
                <c:formatCode>0.00</c:formatCode>
                <c:ptCount val="1"/>
                <c:pt idx="0">
                  <c:v>0.08</c:v>
                </c:pt>
              </c:numCache>
            </c:numRef>
          </c:yVal>
        </c:ser>
        <c:ser>
          <c:idx val="2"/>
          <c:order val="2"/>
          <c:tx>
            <c:v>C - Asset</c:v>
          </c:tx>
          <c:spPr>
            <a:ln w="28575">
              <a:noFill/>
            </a:ln>
          </c:spP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Wc=-31.95%</a:t>
                    </a:r>
                  </a:p>
                </c:rich>
              </c:tx>
              <c:dLblPos val="r"/>
              <c:showVal val="1"/>
              <c:showCatName val="1"/>
            </c:dLbl>
            <c:dLblPos val="r"/>
            <c:showVal val="1"/>
            <c:showCatName val="1"/>
          </c:dLbls>
          <c:xVal>
            <c:numRef>
              <c:f>Implicit!$G$10</c:f>
              <c:numCache>
                <c:formatCode>0.00</c:formatCode>
                <c:ptCount val="1"/>
                <c:pt idx="0">
                  <c:v>0.18</c:v>
                </c:pt>
              </c:numCache>
            </c:numRef>
          </c:xVal>
          <c:yVal>
            <c:numRef>
              <c:f>Implicit!$H$10</c:f>
              <c:numCache>
                <c:formatCode>0.00</c:formatCode>
                <c:ptCount val="1"/>
                <c:pt idx="0">
                  <c:v>0.12</c:v>
                </c:pt>
              </c:numCache>
            </c:numRef>
          </c:yVal>
        </c:ser>
        <c:ser>
          <c:idx val="3"/>
          <c:order val="3"/>
          <c:tx>
            <c:v>D - Asset</c:v>
          </c:tx>
          <c:spPr>
            <a:ln w="28575">
              <a:noFill/>
            </a:ln>
          </c:spP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Wd=50.18%</a:t>
                    </a:r>
                  </a:p>
                </c:rich>
              </c:tx>
              <c:dLblPos val="r"/>
              <c:showVal val="1"/>
              <c:showCatName val="1"/>
            </c:dLbl>
            <c:dLblPos val="r"/>
            <c:showVal val="1"/>
            <c:showCatName val="1"/>
          </c:dLbls>
          <c:xVal>
            <c:numRef>
              <c:f>Implicit!$G$11</c:f>
              <c:numCache>
                <c:formatCode>0.00</c:formatCode>
                <c:ptCount val="1"/>
                <c:pt idx="0">
                  <c:v>0.26</c:v>
                </c:pt>
              </c:numCache>
            </c:numRef>
          </c:xVal>
          <c:yVal>
            <c:numRef>
              <c:f>Implicit!$H$11</c:f>
              <c:numCache>
                <c:formatCode>0.00</c:formatCode>
                <c:ptCount val="1"/>
                <c:pt idx="0">
                  <c:v>0.15</c:v>
                </c:pt>
              </c:numCache>
            </c:numRef>
          </c:yVal>
        </c:ser>
        <c:ser>
          <c:idx val="5"/>
          <c:order val="4"/>
          <c:tx>
            <c:v>Optimal Portfolio</c:v>
          </c:tx>
          <c:spPr>
            <a:ln w="28575">
              <a:noFill/>
            </a:ln>
          </c:spPr>
          <c:marker>
            <c:symbol val="circle"/>
            <c:size val="7"/>
          </c:marker>
          <c:dLbls>
            <c:dLbl>
              <c:idx val="0"/>
              <c:layout>
                <c:manualLayout>
                  <c:x val="1.4208581983518565E-3"/>
                  <c:y val="4.9529470034670627E-3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FF0000"/>
                        </a:solidFill>
                      </a:rPr>
                      <a:t>The</a:t>
                    </a:r>
                    <a:r>
                      <a:rPr lang="en-US" baseline="0">
                        <a:solidFill>
                          <a:srgbClr val="FF0000"/>
                        </a:solidFill>
                      </a:rPr>
                      <a:t> optimal portfolio</a:t>
                    </a:r>
                    <a:endParaRPr lang="en-US">
                      <a:solidFill>
                        <a:srgbClr val="FF0000"/>
                      </a:solidFill>
                    </a:endParaRPr>
                  </a:p>
                </c:rich>
              </c:tx>
              <c:dLblPos val="r"/>
              <c:showVal val="1"/>
              <c:showCatName val="1"/>
            </c:dLbl>
            <c:dLblPos val="r"/>
            <c:showVal val="1"/>
            <c:showCatName val="1"/>
          </c:dLbls>
          <c:xVal>
            <c:numRef>
              <c:f>Implicit!$H$33</c:f>
              <c:numCache>
                <c:formatCode>0.0000</c:formatCode>
                <c:ptCount val="1"/>
                <c:pt idx="0">
                  <c:v>0.26815504623519831</c:v>
                </c:pt>
              </c:numCache>
            </c:numRef>
          </c:xVal>
          <c:yVal>
            <c:numRef>
              <c:f>Implicit!$H$31</c:f>
              <c:numCache>
                <c:formatCode>General</c:formatCode>
                <c:ptCount val="1"/>
                <c:pt idx="0">
                  <c:v>0.16999999999999907</c:v>
                </c:pt>
              </c:numCache>
            </c:numRef>
          </c:yVal>
        </c:ser>
        <c:axId val="65043072"/>
        <c:axId val="72112000"/>
      </c:scatterChart>
      <c:valAx>
        <c:axId val="650430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Risk</a:t>
                </a:r>
              </a:p>
            </c:rich>
          </c:tx>
          <c:layout>
            <c:manualLayout>
              <c:xMode val="edge"/>
              <c:yMode val="edge"/>
              <c:x val="0.80561294927648108"/>
              <c:y val="0.93758038788984954"/>
            </c:manualLayout>
          </c:layout>
        </c:title>
        <c:numFmt formatCode="0.00" sourceLinked="1"/>
        <c:tickLblPos val="low"/>
        <c:crossAx val="72112000"/>
        <c:crossesAt val="1"/>
        <c:crossBetween val="midCat"/>
      </c:valAx>
      <c:valAx>
        <c:axId val="72112000"/>
        <c:scaling>
          <c:logBase val="2"/>
          <c:orientation val="minMax"/>
        </c:scaling>
        <c:axPos val="l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layout>
            <c:manualLayout>
              <c:xMode val="edge"/>
              <c:yMode val="edge"/>
              <c:x val="1.8471156578573459E-2"/>
              <c:y val="1.3939425848143408E-2"/>
            </c:manualLayout>
          </c:layout>
        </c:title>
        <c:numFmt formatCode="0.00" sourceLinked="1"/>
        <c:tickLblPos val="nextTo"/>
        <c:crossAx val="65043072"/>
        <c:crosses val="autoZero"/>
        <c:crossBetween val="midCat"/>
      </c:valAx>
      <c:spPr>
        <a:ln w="3175" cap="rnd" cmpd="sng">
          <a:solidFill>
            <a:schemeClr val="tx1"/>
          </a:solidFill>
          <a:beve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"/>
          <a:bevelB w="6350"/>
        </a:sp3d>
      </c:spPr>
    </c:plotArea>
    <c:legend>
      <c:legendPos val="r"/>
      <c:legendEntry>
        <c:idx val="-1"/>
        <c:delete val="1"/>
      </c:legendEntry>
      <c:legendEntry>
        <c:idx val="-1"/>
        <c:delete val="1"/>
      </c:legendEntry>
      <c:legendEntry>
        <c:idx val="-1"/>
        <c:delete val="1"/>
      </c:legendEntry>
      <c:legendEntry>
        <c:idx val="-1"/>
        <c:delete val="1"/>
      </c:legendEntry>
      <c:legendEntry>
        <c:idx val="-1"/>
        <c:delete val="1"/>
      </c:legendEntry>
      <c:legendEntry>
        <c:idx val="-1"/>
        <c:delete val="1"/>
      </c:legendEntry>
      <c:layout>
        <c:manualLayout>
          <c:xMode val="edge"/>
          <c:yMode val="edge"/>
          <c:x val="0.85743175964896956"/>
          <c:y val="0.39657934660099142"/>
          <c:w val="0.13404309116091948"/>
          <c:h val="0.31822060503952609"/>
        </c:manualLayout>
      </c:layout>
    </c:legend>
    <c:dispBlanksAs val="span"/>
  </c:chart>
  <c:spPr>
    <a:ln>
      <a:solidFill>
        <a:schemeClr val="accent1">
          <a:shade val="95000"/>
          <a:satMod val="105000"/>
        </a:schemeClr>
      </a:solidFill>
    </a:ln>
  </c:spPr>
  <c:printSettings>
    <c:headerFooter/>
    <c:pageMargins b="0.75" l="0.7" r="0.7" t="0.75" header="0.3" footer="0.3"/>
    <c:pageSetup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style val="8"/>
  <c:chart>
    <c:title>
      <c:tx>
        <c:rich>
          <a:bodyPr/>
          <a:lstStyle/>
          <a:p>
            <a:pPr>
              <a:defRPr/>
            </a:pPr>
            <a:r>
              <a:rPr lang="en-US" baseline="0"/>
              <a:t>Minimum Varience Portfolio for Four Risky Assets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A - Asset</c:v>
          </c:tx>
          <c:spPr>
            <a:ln w="28575">
              <a:noFill/>
            </a:ln>
          </c:spP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Wa=90.54%</a:t>
                    </a:r>
                  </a:p>
                </c:rich>
              </c:tx>
              <c:dLblPos val="r"/>
              <c:showVal val="1"/>
              <c:showCatName val="1"/>
              <c:showSerName val="1"/>
            </c:dLbl>
            <c:dLblPos val="r"/>
            <c:showVal val="1"/>
            <c:showCatName val="1"/>
          </c:dLbls>
          <c:xVal>
            <c:numRef>
              <c:f>Implicit!$G$8</c:f>
              <c:numCache>
                <c:formatCode>0.00</c:formatCode>
                <c:ptCount val="1"/>
                <c:pt idx="0">
                  <c:v>7.0000000000000007E-2</c:v>
                </c:pt>
              </c:numCache>
            </c:numRef>
          </c:xVal>
          <c:yVal>
            <c:numRef>
              <c:f>Implicit!$H$8</c:f>
              <c:numCache>
                <c:formatCode>0.00</c:formatCode>
                <c:ptCount val="1"/>
                <c:pt idx="0">
                  <c:v>0.04</c:v>
                </c:pt>
              </c:numCache>
            </c:numRef>
          </c:yVal>
        </c:ser>
        <c:ser>
          <c:idx val="1"/>
          <c:order val="1"/>
          <c:tx>
            <c:v>B- Asset</c:v>
          </c:tx>
          <c:spPr>
            <a:ln w="28575">
              <a:noFill/>
            </a:ln>
          </c:spPr>
          <c:dPt>
            <c:idx val="0"/>
            <c:marker>
              <c:spPr>
                <a:ln>
                  <a:gradFill>
                    <a:gsLst>
                      <a:gs pos="0">
                        <a:schemeClr val="accent1">
                          <a:tint val="66000"/>
                          <a:satMod val="160000"/>
                        </a:schemeClr>
                      </a:gs>
                      <a:gs pos="50000">
                        <a:schemeClr val="accent1">
                          <a:tint val="44500"/>
                          <a:satMod val="160000"/>
                        </a:schemeClr>
                      </a:gs>
                      <a:gs pos="100000">
                        <a:schemeClr val="accent1">
                          <a:tint val="23500"/>
                          <a:satMod val="160000"/>
                        </a:schemeClr>
                      </a:gs>
                    </a:gsLst>
                    <a:lin ang="5400000" scaled="0"/>
                  </a:gradFill>
                  <a:tailEnd type="none"/>
                </a:ln>
              </c:spPr>
            </c:marke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Wb=82.91%</a:t>
                    </a:r>
                  </a:p>
                </c:rich>
              </c:tx>
              <c:dLblPos val="r"/>
              <c:showVal val="1"/>
              <c:showCatName val="1"/>
            </c:dLbl>
            <c:dLblPos val="r"/>
            <c:showVal val="1"/>
            <c:showCatName val="1"/>
          </c:dLbls>
          <c:xVal>
            <c:numRef>
              <c:f>Implicit!$G$9</c:f>
              <c:numCache>
                <c:formatCode>0.00</c:formatCode>
                <c:ptCount val="1"/>
                <c:pt idx="0">
                  <c:v>0.12</c:v>
                </c:pt>
              </c:numCache>
            </c:numRef>
          </c:xVal>
          <c:yVal>
            <c:numRef>
              <c:f>Implicit!$H$9</c:f>
              <c:numCache>
                <c:formatCode>0.00</c:formatCode>
                <c:ptCount val="1"/>
                <c:pt idx="0">
                  <c:v>0.08</c:v>
                </c:pt>
              </c:numCache>
            </c:numRef>
          </c:yVal>
        </c:ser>
        <c:ser>
          <c:idx val="2"/>
          <c:order val="2"/>
          <c:tx>
            <c:v>C - Asset</c:v>
          </c:tx>
          <c:spPr>
            <a:ln w="28575">
              <a:noFill/>
            </a:ln>
          </c:spP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Wc=-137.46%</a:t>
                    </a:r>
                  </a:p>
                </c:rich>
              </c:tx>
              <c:dLblPos val="r"/>
              <c:showVal val="1"/>
              <c:showCatName val="1"/>
            </c:dLbl>
            <c:dLblPos val="r"/>
            <c:showVal val="1"/>
            <c:showCatName val="1"/>
          </c:dLbls>
          <c:xVal>
            <c:numRef>
              <c:f>Implicit!$G$10</c:f>
              <c:numCache>
                <c:formatCode>0.00</c:formatCode>
                <c:ptCount val="1"/>
                <c:pt idx="0">
                  <c:v>0.18</c:v>
                </c:pt>
              </c:numCache>
            </c:numRef>
          </c:xVal>
          <c:yVal>
            <c:numRef>
              <c:f>Implicit!$H$10</c:f>
              <c:numCache>
                <c:formatCode>0.00</c:formatCode>
                <c:ptCount val="1"/>
                <c:pt idx="0">
                  <c:v>0.12</c:v>
                </c:pt>
              </c:numCache>
            </c:numRef>
          </c:yVal>
        </c:ser>
        <c:ser>
          <c:idx val="3"/>
          <c:order val="3"/>
          <c:tx>
            <c:v>D - Asset</c:v>
          </c:tx>
          <c:spPr>
            <a:ln w="28575">
              <a:noFill/>
            </a:ln>
          </c:spP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Wd=64.01%</a:t>
                    </a:r>
                  </a:p>
                </c:rich>
              </c:tx>
              <c:dLblPos val="r"/>
              <c:showVal val="1"/>
              <c:showCatName val="1"/>
            </c:dLbl>
            <c:dLblPos val="r"/>
            <c:showVal val="1"/>
            <c:showCatName val="1"/>
          </c:dLbls>
          <c:xVal>
            <c:numRef>
              <c:f>Implicit!$G$11</c:f>
              <c:numCache>
                <c:formatCode>0.00</c:formatCode>
                <c:ptCount val="1"/>
                <c:pt idx="0">
                  <c:v>0.26</c:v>
                </c:pt>
              </c:numCache>
            </c:numRef>
          </c:xVal>
          <c:yVal>
            <c:numRef>
              <c:f>Implicit!$H$11</c:f>
              <c:numCache>
                <c:formatCode>0.00</c:formatCode>
                <c:ptCount val="1"/>
                <c:pt idx="0">
                  <c:v>0.15</c:v>
                </c:pt>
              </c:numCache>
            </c:numRef>
          </c:yVal>
        </c:ser>
        <c:ser>
          <c:idx val="4"/>
          <c:order val="4"/>
          <c:tx>
            <c:v>Minimum Portfolio</c:v>
          </c:tx>
          <c:spPr>
            <a:ln w="28575">
              <a:noFill/>
            </a:ln>
          </c:spPr>
          <c:dLbls>
            <c:dLbl>
              <c:idx val="0"/>
              <c:layout>
                <c:manualLayout>
                  <c:x val="-2.6048766052214871E-17"/>
                  <c:y val="2.2288261515601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B050"/>
                        </a:solidFill>
                      </a:rPr>
                      <a:t>The global minimum</a:t>
                    </a:r>
                    <a:r>
                      <a:rPr lang="en-US" baseline="0">
                        <a:solidFill>
                          <a:srgbClr val="00B050"/>
                        </a:solidFill>
                      </a:rPr>
                      <a:t> varience portfolio</a:t>
                    </a:r>
                    <a:endParaRPr lang="en-US">
                      <a:solidFill>
                        <a:srgbClr val="00B050"/>
                      </a:solidFill>
                    </a:endParaRPr>
                  </a:p>
                </c:rich>
              </c:tx>
              <c:dLblPos val="r"/>
              <c:showVal val="1"/>
              <c:showCatName val="1"/>
            </c:dLbl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en-US"/>
              </a:p>
            </c:txPr>
            <c:dLblPos val="r"/>
            <c:showVal val="1"/>
            <c:showCatName val="1"/>
          </c:dLbls>
          <c:xVal>
            <c:numRef>
              <c:f>Implicit!$H$26</c:f>
              <c:numCache>
                <c:formatCode>0.0000</c:formatCode>
                <c:ptCount val="1"/>
                <c:pt idx="0">
                  <c:v>3.360787708715357E-2</c:v>
                </c:pt>
              </c:numCache>
            </c:numRef>
          </c:xVal>
          <c:yVal>
            <c:numRef>
              <c:f>Implicit!$H$27</c:f>
              <c:numCache>
                <c:formatCode>0.0000</c:formatCode>
                <c:ptCount val="1"/>
                <c:pt idx="0">
                  <c:v>2.5774729325875163E-2</c:v>
                </c:pt>
              </c:numCache>
            </c:numRef>
          </c:yVal>
        </c:ser>
        <c:axId val="87952768"/>
        <c:axId val="87967616"/>
      </c:scatterChart>
      <c:valAx>
        <c:axId val="879527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Risk</a:t>
                </a:r>
              </a:p>
            </c:rich>
          </c:tx>
          <c:layout>
            <c:manualLayout>
              <c:xMode val="edge"/>
              <c:yMode val="edge"/>
              <c:x val="0.80561294927648108"/>
              <c:y val="0.93758038788984932"/>
            </c:manualLayout>
          </c:layout>
        </c:title>
        <c:numFmt formatCode="0.00" sourceLinked="1"/>
        <c:tickLblPos val="low"/>
        <c:crossAx val="87967616"/>
        <c:crossesAt val="1"/>
        <c:crossBetween val="midCat"/>
      </c:valAx>
      <c:valAx>
        <c:axId val="87967616"/>
        <c:scaling>
          <c:logBase val="2"/>
          <c:orientation val="minMax"/>
        </c:scaling>
        <c:axPos val="l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layout>
            <c:manualLayout>
              <c:xMode val="edge"/>
              <c:yMode val="edge"/>
              <c:x val="1.8471156578573459E-2"/>
              <c:y val="1.3939425848143413E-2"/>
            </c:manualLayout>
          </c:layout>
        </c:title>
        <c:numFmt formatCode="0.00" sourceLinked="1"/>
        <c:tickLblPos val="nextTo"/>
        <c:crossAx val="87952768"/>
        <c:crosses val="autoZero"/>
        <c:crossBetween val="midCat"/>
      </c:valAx>
      <c:spPr>
        <a:ln w="3175" cap="rnd" cmpd="sng">
          <a:solidFill>
            <a:schemeClr val="tx1"/>
          </a:solidFill>
          <a:beve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"/>
          <a:bevelB w="6350"/>
        </a:sp3d>
      </c:spPr>
    </c:plotArea>
    <c:legend>
      <c:legendPos val="r"/>
      <c:legendEntry>
        <c:idx val="-1"/>
        <c:delete val="1"/>
      </c:legendEntry>
      <c:layout>
        <c:manualLayout>
          <c:xMode val="edge"/>
          <c:yMode val="edge"/>
          <c:x val="0.85743175964896967"/>
          <c:y val="0.39657934660099142"/>
          <c:w val="0.13404309116091953"/>
          <c:h val="0.31822060503952632"/>
        </c:manualLayout>
      </c:layout>
    </c:legend>
    <c:dispBlanksAs val="span"/>
  </c:chart>
  <c:spPr>
    <a:ln>
      <a:solidFill>
        <a:schemeClr val="accent1">
          <a:shade val="95000"/>
          <a:satMod val="105000"/>
        </a:schemeClr>
      </a:solidFill>
    </a:ln>
  </c:spPr>
  <c:printSettings>
    <c:headerFooter/>
    <c:pageMargins b="0.75000000000000022" l="0.70000000000000018" r="0.70000000000000018" t="0.75000000000000022" header="0.3000000000000001" footer="0.3000000000000001"/>
    <c:pageSetup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43</xdr:row>
      <xdr:rowOff>91440</xdr:rowOff>
    </xdr:from>
    <xdr:to>
      <xdr:col>14</xdr:col>
      <xdr:colOff>68580</xdr:colOff>
      <xdr:row>71</xdr:row>
      <xdr:rowOff>99060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14</xdr:col>
      <xdr:colOff>68580</xdr:colOff>
      <xdr:row>103</xdr:row>
      <xdr:rowOff>7620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0.11509</cdr:x>
      <cdr:y>0.65825</cdr:y>
    </cdr:from>
    <cdr:to>
      <cdr:x>0.40068</cdr:x>
      <cdr:y>0.65973</cdr:y>
    </cdr:to>
    <cdr:sp macro="" textlink="">
      <cdr:nvSpPr>
        <cdr:cNvPr id="5" name="Straight Connector 4"/>
        <cdr:cNvSpPr/>
      </cdr:nvSpPr>
      <cdr:spPr>
        <a:xfrm xmlns:a="http://schemas.openxmlformats.org/drawingml/2006/main" rot="10800000" flipV="1">
          <a:off x="1028700" y="3375660"/>
          <a:ext cx="2552701" cy="762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0.11338</cdr:x>
      <cdr:y>0.81426</cdr:y>
    </cdr:from>
    <cdr:to>
      <cdr:x>0.28133</cdr:x>
      <cdr:y>0.81457</cdr:y>
    </cdr:to>
    <cdr:sp macro="" textlink="">
      <cdr:nvSpPr>
        <cdr:cNvPr id="31" name="Straight Connector 30"/>
        <cdr:cNvSpPr/>
      </cdr:nvSpPr>
      <cdr:spPr>
        <a:xfrm xmlns:a="http://schemas.openxmlformats.org/drawingml/2006/main">
          <a:off x="1013460" y="4175760"/>
          <a:ext cx="1501140" cy="1588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0.42711</cdr:x>
      <cdr:y>0.95259</cdr:y>
    </cdr:from>
    <cdr:to>
      <cdr:x>0.52941</cdr:x>
      <cdr:y>1</cdr:y>
    </cdr:to>
    <cdr:sp macro="" textlink="">
      <cdr:nvSpPr>
        <cdr:cNvPr id="36" name="TextBox 35"/>
        <cdr:cNvSpPr txBox="1"/>
      </cdr:nvSpPr>
      <cdr:spPr>
        <a:xfrm xmlns:a="http://schemas.openxmlformats.org/drawingml/2006/main">
          <a:off x="3817620" y="4899660"/>
          <a:ext cx="914400" cy="243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0.11509</cdr:x>
      <cdr:y>0.57355</cdr:y>
    </cdr:from>
    <cdr:to>
      <cdr:x>0.54902</cdr:x>
      <cdr:y>0.57504</cdr:y>
    </cdr:to>
    <cdr:sp macro="" textlink="">
      <cdr:nvSpPr>
        <cdr:cNvPr id="38" name="Straight Connector 37"/>
        <cdr:cNvSpPr/>
      </cdr:nvSpPr>
      <cdr:spPr>
        <a:xfrm xmlns:a="http://schemas.openxmlformats.org/drawingml/2006/main" rot="10800000" flipV="1">
          <a:off x="1028700" y="2941320"/>
          <a:ext cx="3878580" cy="762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0.54731</cdr:x>
      <cdr:y>0.57355</cdr:y>
    </cdr:from>
    <cdr:to>
      <cdr:x>0.54817</cdr:x>
      <cdr:y>0.86478</cdr:y>
    </cdr:to>
    <cdr:sp macro="" textlink="">
      <cdr:nvSpPr>
        <cdr:cNvPr id="40" name="Straight Connector 39"/>
        <cdr:cNvSpPr/>
      </cdr:nvSpPr>
      <cdr:spPr>
        <a:xfrm xmlns:a="http://schemas.openxmlformats.org/drawingml/2006/main" rot="5400000">
          <a:off x="4892040" y="2941320"/>
          <a:ext cx="7620" cy="149352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0.74245</cdr:x>
      <cdr:y>0.5217</cdr:y>
    </cdr:from>
    <cdr:to>
      <cdr:x>0.74263</cdr:x>
      <cdr:y>0.86345</cdr:y>
    </cdr:to>
    <cdr:sp macro="" textlink="">
      <cdr:nvSpPr>
        <cdr:cNvPr id="42" name="Straight Connector 41"/>
        <cdr:cNvSpPr/>
      </cdr:nvSpPr>
      <cdr:spPr>
        <a:xfrm xmlns:a="http://schemas.openxmlformats.org/drawingml/2006/main" rot="5400000">
          <a:off x="6636226" y="2675414"/>
          <a:ext cx="1589" cy="175260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0.76291</cdr:x>
      <cdr:y>0.49495</cdr:y>
    </cdr:from>
    <cdr:to>
      <cdr:x>0.76309</cdr:x>
      <cdr:y>0.86643</cdr:y>
    </cdr:to>
    <cdr:sp macro="" textlink="">
      <cdr:nvSpPr>
        <cdr:cNvPr id="44" name="Straight Connector 43"/>
        <cdr:cNvSpPr/>
      </cdr:nvSpPr>
      <cdr:spPr>
        <a:xfrm xmlns:a="http://schemas.openxmlformats.org/drawingml/2006/main" rot="5400000">
          <a:off x="6819106" y="2538254"/>
          <a:ext cx="1589" cy="190500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0.40486</cdr:x>
      <cdr:y>0.6584</cdr:y>
    </cdr:from>
    <cdr:to>
      <cdr:x>0.40503</cdr:x>
      <cdr:y>0.8694</cdr:y>
    </cdr:to>
    <cdr:sp macro="" textlink="">
      <cdr:nvSpPr>
        <cdr:cNvPr id="46" name="Straight Connector 45"/>
        <cdr:cNvSpPr/>
      </cdr:nvSpPr>
      <cdr:spPr>
        <a:xfrm xmlns:a="http://schemas.openxmlformats.org/drawingml/2006/main" rot="5400000">
          <a:off x="3618706" y="3376454"/>
          <a:ext cx="1588" cy="108204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0.28465</cdr:x>
      <cdr:y>0.81442</cdr:y>
    </cdr:from>
    <cdr:to>
      <cdr:x>0.28483</cdr:x>
      <cdr:y>0.86345</cdr:y>
    </cdr:to>
    <cdr:sp macro="" textlink="">
      <cdr:nvSpPr>
        <cdr:cNvPr id="50" name="Straight Connector 49"/>
        <cdr:cNvSpPr/>
      </cdr:nvSpPr>
      <cdr:spPr>
        <a:xfrm xmlns:a="http://schemas.openxmlformats.org/drawingml/2006/main" rot="5400000">
          <a:off x="2544286" y="4176554"/>
          <a:ext cx="1588" cy="25146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0.11594</cdr:x>
      <cdr:y>0.52155</cdr:y>
    </cdr:from>
    <cdr:to>
      <cdr:x>0.74254</cdr:x>
      <cdr:y>0.52185</cdr:y>
    </cdr:to>
    <cdr:sp macro="" textlink="">
      <cdr:nvSpPr>
        <cdr:cNvPr id="52" name="Straight Connector 51"/>
        <cdr:cNvSpPr/>
      </cdr:nvSpPr>
      <cdr:spPr>
        <a:xfrm xmlns:a="http://schemas.openxmlformats.org/drawingml/2006/main" rot="10800000">
          <a:off x="1036319" y="2674620"/>
          <a:ext cx="5600701" cy="1588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0.11424</cdr:x>
      <cdr:y>0.48737</cdr:y>
    </cdr:from>
    <cdr:to>
      <cdr:x>0.76385</cdr:x>
      <cdr:y>0.49034</cdr:y>
    </cdr:to>
    <cdr:sp macro="" textlink="">
      <cdr:nvSpPr>
        <cdr:cNvPr id="56" name="Straight Connector 55"/>
        <cdr:cNvSpPr/>
      </cdr:nvSpPr>
      <cdr:spPr>
        <a:xfrm xmlns:a="http://schemas.openxmlformats.org/drawingml/2006/main">
          <a:off x="1021080" y="2499360"/>
          <a:ext cx="5806440" cy="1524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0.39983</cdr:x>
      <cdr:y>0.56761</cdr:y>
    </cdr:from>
    <cdr:to>
      <cdr:x>0.40068</cdr:x>
      <cdr:y>0.8633</cdr:y>
    </cdr:to>
    <cdr:sp macro="" textlink="">
      <cdr:nvSpPr>
        <cdr:cNvPr id="3" name="Straight Connector 2"/>
        <cdr:cNvSpPr/>
      </cdr:nvSpPr>
      <cdr:spPr>
        <a:xfrm xmlns:a="http://schemas.openxmlformats.org/drawingml/2006/main" rot="5400000">
          <a:off x="3573780" y="2910840"/>
          <a:ext cx="7621" cy="151638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0.11424</cdr:x>
      <cdr:y>0.56909</cdr:y>
    </cdr:from>
    <cdr:to>
      <cdr:x>0.39983</cdr:x>
      <cdr:y>0.57058</cdr:y>
    </cdr:to>
    <cdr:sp macro="" textlink="">
      <cdr:nvSpPr>
        <cdr:cNvPr id="5" name="Straight Connector 4"/>
        <cdr:cNvSpPr/>
      </cdr:nvSpPr>
      <cdr:spPr>
        <a:xfrm xmlns:a="http://schemas.openxmlformats.org/drawingml/2006/main" rot="10800000" flipV="1">
          <a:off x="1021080" y="2918460"/>
          <a:ext cx="2552701" cy="762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0.5422</cdr:x>
      <cdr:y>0.49629</cdr:y>
    </cdr:from>
    <cdr:to>
      <cdr:x>0.54305</cdr:x>
      <cdr:y>0.86478</cdr:y>
    </cdr:to>
    <cdr:sp macro="" textlink="">
      <cdr:nvSpPr>
        <cdr:cNvPr id="7" name="Straight Connector 6"/>
        <cdr:cNvSpPr/>
      </cdr:nvSpPr>
      <cdr:spPr>
        <a:xfrm xmlns:a="http://schemas.openxmlformats.org/drawingml/2006/main" rot="5400000">
          <a:off x="3905250" y="3486150"/>
          <a:ext cx="1889760" cy="762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0.11594</cdr:x>
      <cdr:y>0.49331</cdr:y>
    </cdr:from>
    <cdr:to>
      <cdr:x>0.5439</cdr:x>
      <cdr:y>0.49629</cdr:y>
    </cdr:to>
    <cdr:sp macro="" textlink="">
      <cdr:nvSpPr>
        <cdr:cNvPr id="9" name="Straight Connector 8"/>
        <cdr:cNvSpPr/>
      </cdr:nvSpPr>
      <cdr:spPr>
        <a:xfrm xmlns:a="http://schemas.openxmlformats.org/drawingml/2006/main" rot="10800000" flipV="1">
          <a:off x="1036320" y="2529840"/>
          <a:ext cx="3825241" cy="1524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0.73316</cdr:x>
      <cdr:y>0.45171</cdr:y>
    </cdr:from>
    <cdr:to>
      <cdr:x>0.73402</cdr:x>
      <cdr:y>0.86924</cdr:y>
    </cdr:to>
    <cdr:sp macro="" textlink="">
      <cdr:nvSpPr>
        <cdr:cNvPr id="11" name="Straight Connector 10"/>
        <cdr:cNvSpPr/>
      </cdr:nvSpPr>
      <cdr:spPr>
        <a:xfrm xmlns:a="http://schemas.openxmlformats.org/drawingml/2006/main" rot="5400000">
          <a:off x="5486401" y="3383279"/>
          <a:ext cx="2141220" cy="7621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0.11509</cdr:x>
      <cdr:y>0.45171</cdr:y>
    </cdr:from>
    <cdr:to>
      <cdr:x>0.73402</cdr:x>
      <cdr:y>0.45468</cdr:y>
    </cdr:to>
    <cdr:sp macro="" textlink="">
      <cdr:nvSpPr>
        <cdr:cNvPr id="17" name="Straight Connector 16"/>
        <cdr:cNvSpPr/>
      </cdr:nvSpPr>
      <cdr:spPr>
        <a:xfrm xmlns:a="http://schemas.openxmlformats.org/drawingml/2006/main">
          <a:off x="1028700" y="2316480"/>
          <a:ext cx="5532120" cy="1524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0.28209</cdr:x>
      <cdr:y>0.69406</cdr:y>
    </cdr:from>
    <cdr:to>
      <cdr:x>0.28227</cdr:x>
      <cdr:y>0.86643</cdr:y>
    </cdr:to>
    <cdr:sp macro="" textlink="">
      <cdr:nvSpPr>
        <cdr:cNvPr id="23" name="Straight Connector 22"/>
        <cdr:cNvSpPr/>
      </cdr:nvSpPr>
      <cdr:spPr>
        <a:xfrm xmlns:a="http://schemas.openxmlformats.org/drawingml/2006/main" rot="5400000">
          <a:off x="2080260" y="4000500"/>
          <a:ext cx="883920" cy="1588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0.11594</cdr:x>
      <cdr:y>0.69094</cdr:y>
    </cdr:from>
    <cdr:to>
      <cdr:x>0.28389</cdr:x>
      <cdr:y>0.69125</cdr:y>
    </cdr:to>
    <cdr:sp macro="" textlink="">
      <cdr:nvSpPr>
        <cdr:cNvPr id="31" name="Straight Connector 30"/>
        <cdr:cNvSpPr/>
      </cdr:nvSpPr>
      <cdr:spPr>
        <a:xfrm xmlns:a="http://schemas.openxmlformats.org/drawingml/2006/main">
          <a:off x="1036320" y="3543300"/>
          <a:ext cx="1501140" cy="1588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0.19514</cdr:x>
      <cdr:y>0.7743</cdr:y>
    </cdr:from>
    <cdr:to>
      <cdr:x>0.19531</cdr:x>
      <cdr:y>0.86345</cdr:y>
    </cdr:to>
    <cdr:sp macro="" textlink="">
      <cdr:nvSpPr>
        <cdr:cNvPr id="33" name="Straight Connector 32"/>
        <cdr:cNvSpPr/>
      </cdr:nvSpPr>
      <cdr:spPr>
        <a:xfrm xmlns:a="http://schemas.openxmlformats.org/drawingml/2006/main" rot="5400000">
          <a:off x="1744186" y="3970814"/>
          <a:ext cx="1588" cy="45720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0.11509</cdr:x>
      <cdr:y>0.77415</cdr:y>
    </cdr:from>
    <cdr:to>
      <cdr:x>0.19608</cdr:x>
      <cdr:y>0.77563</cdr:y>
    </cdr:to>
    <cdr:sp macro="" textlink="">
      <cdr:nvSpPr>
        <cdr:cNvPr id="35" name="Straight Connector 34"/>
        <cdr:cNvSpPr/>
      </cdr:nvSpPr>
      <cdr:spPr>
        <a:xfrm xmlns:a="http://schemas.openxmlformats.org/drawingml/2006/main" rot="10800000" flipV="1">
          <a:off x="1028700" y="3970020"/>
          <a:ext cx="723901" cy="7620"/>
        </a:xfrm>
        <a:prstGeom xmlns:a="http://schemas.openxmlformats.org/drawingml/2006/main" prst="line">
          <a:avLst/>
        </a:prstGeom>
        <a:ln xmlns:a="http://schemas.openxmlformats.org/drawingml/2006/main"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0.42711</cdr:x>
      <cdr:y>0.95259</cdr:y>
    </cdr:from>
    <cdr:to>
      <cdr:x>0.52941</cdr:x>
      <cdr:y>1</cdr:y>
    </cdr:to>
    <cdr:sp macro="" textlink="">
      <cdr:nvSpPr>
        <cdr:cNvPr id="36" name="TextBox 35"/>
        <cdr:cNvSpPr txBox="1"/>
      </cdr:nvSpPr>
      <cdr:spPr>
        <a:xfrm xmlns:a="http://schemas.openxmlformats.org/drawingml/2006/main">
          <a:off x="3817620" y="4899660"/>
          <a:ext cx="914400" cy="243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M29"/>
  <sheetViews>
    <sheetView topLeftCell="A4" workbookViewId="0">
      <selection activeCell="I27" sqref="I27"/>
    </sheetView>
  </sheetViews>
  <sheetFormatPr defaultRowHeight="14.4"/>
  <cols>
    <col min="1" max="1" width="12.21875" customWidth="1"/>
    <col min="5" max="5" width="9.21875" bestFit="1" customWidth="1"/>
    <col min="7" max="8" width="9.33203125" bestFit="1" customWidth="1"/>
    <col min="9" max="10" width="9.21875" bestFit="1" customWidth="1"/>
    <col min="13" max="13" width="9.21875" bestFit="1" customWidth="1"/>
  </cols>
  <sheetData>
    <row r="2" spans="1:13">
      <c r="A2" s="4" t="s">
        <v>0</v>
      </c>
      <c r="B2" s="4" t="s">
        <v>23</v>
      </c>
      <c r="C2" s="4" t="s">
        <v>24</v>
      </c>
      <c r="D2" s="4" t="s">
        <v>25</v>
      </c>
      <c r="E2" s="4" t="s">
        <v>26</v>
      </c>
    </row>
    <row r="3" spans="1:13" ht="16.2">
      <c r="A3" s="5" t="s">
        <v>6</v>
      </c>
      <c r="B3" s="1">
        <v>0.04</v>
      </c>
      <c r="C3" s="1">
        <v>0.08</v>
      </c>
      <c r="D3" s="1">
        <v>0.12</v>
      </c>
      <c r="E3" s="1">
        <v>0.15</v>
      </c>
    </row>
    <row r="4" spans="1:13" ht="16.2">
      <c r="A4" s="5" t="s">
        <v>5</v>
      </c>
      <c r="B4" s="1">
        <v>7.0000000000000007E-2</v>
      </c>
      <c r="C4" s="1">
        <v>0.12</v>
      </c>
      <c r="D4" s="1">
        <v>0.18</v>
      </c>
      <c r="E4" s="1">
        <v>0.26</v>
      </c>
      <c r="G4" s="4" t="s">
        <v>9</v>
      </c>
      <c r="H4">
        <f t="array" ref="H4:K4">TRANSPOSE(I8:I11)</f>
        <v>1</v>
      </c>
      <c r="I4">
        <v>1</v>
      </c>
      <c r="J4">
        <v>1</v>
      </c>
      <c r="K4">
        <v>1</v>
      </c>
    </row>
    <row r="6" spans="1:13">
      <c r="A6" s="4" t="s">
        <v>3</v>
      </c>
      <c r="B6" s="4"/>
    </row>
    <row r="7" spans="1:13">
      <c r="B7" s="4" t="s">
        <v>23</v>
      </c>
      <c r="C7" s="4" t="s">
        <v>24</v>
      </c>
      <c r="D7" s="4" t="s">
        <v>25</v>
      </c>
      <c r="E7" s="4" t="s">
        <v>26</v>
      </c>
      <c r="F7" s="3"/>
      <c r="G7" s="5" t="s">
        <v>2</v>
      </c>
      <c r="H7" s="5" t="s">
        <v>1</v>
      </c>
      <c r="I7" s="6" t="s">
        <v>4</v>
      </c>
      <c r="J7" s="7"/>
      <c r="K7" s="5" t="s">
        <v>18</v>
      </c>
      <c r="M7" s="8"/>
    </row>
    <row r="8" spans="1:13">
      <c r="A8" s="4" t="s">
        <v>23</v>
      </c>
      <c r="B8">
        <v>1</v>
      </c>
      <c r="C8">
        <v>0.2</v>
      </c>
      <c r="D8">
        <v>0.5</v>
      </c>
      <c r="E8">
        <v>0.3</v>
      </c>
      <c r="G8" s="1">
        <f t="array" ref="G8:G11">TRANSPOSE(B4:E4)</f>
        <v>7.0000000000000007E-2</v>
      </c>
      <c r="H8" s="1">
        <f t="array" ref="H8:H11">TRANSPOSE(B3:E3)</f>
        <v>0.04</v>
      </c>
      <c r="I8">
        <v>1</v>
      </c>
      <c r="K8">
        <f>($E$26*H8+($E$27*I8))</f>
        <v>2.2896010870516372E-3</v>
      </c>
    </row>
    <row r="9" spans="1:13">
      <c r="A9" s="4" t="s">
        <v>24</v>
      </c>
      <c r="B9">
        <v>0.2</v>
      </c>
      <c r="C9">
        <v>1</v>
      </c>
      <c r="D9">
        <v>0.7</v>
      </c>
      <c r="E9">
        <v>0.4</v>
      </c>
      <c r="G9" s="1">
        <v>0.12</v>
      </c>
      <c r="H9" s="1">
        <v>0.08</v>
      </c>
      <c r="I9">
        <v>1</v>
      </c>
      <c r="K9">
        <f>($E$26*H9+($E$27*I9))</f>
        <v>1.2460021383339549E-2</v>
      </c>
    </row>
    <row r="10" spans="1:13">
      <c r="A10" s="4" t="s">
        <v>25</v>
      </c>
      <c r="B10">
        <v>0.5</v>
      </c>
      <c r="C10">
        <v>0.7</v>
      </c>
      <c r="D10">
        <v>1</v>
      </c>
      <c r="E10">
        <v>0.9</v>
      </c>
      <c r="G10" s="1">
        <v>0.18</v>
      </c>
      <c r="H10" s="1">
        <v>0.12</v>
      </c>
      <c r="I10">
        <v>1</v>
      </c>
      <c r="K10">
        <f>($E$26*H10+($E$27*I10))</f>
        <v>2.263044167962746E-2</v>
      </c>
    </row>
    <row r="11" spans="1:13">
      <c r="A11" s="4" t="s">
        <v>26</v>
      </c>
      <c r="B11">
        <v>0.3</v>
      </c>
      <c r="C11">
        <v>0.4</v>
      </c>
      <c r="D11">
        <v>0.9</v>
      </c>
      <c r="E11">
        <v>1</v>
      </c>
      <c r="G11" s="1">
        <v>0.26</v>
      </c>
      <c r="H11" s="1">
        <v>0.15</v>
      </c>
      <c r="I11">
        <v>1</v>
      </c>
      <c r="K11">
        <f t="shared" ref="K11" si="0">($E$26*H11+($E$27*I11))</f>
        <v>3.0258256901843392E-2</v>
      </c>
    </row>
    <row r="13" spans="1:13" ht="16.2">
      <c r="A13" s="4" t="s">
        <v>7</v>
      </c>
      <c r="B13" s="4"/>
      <c r="C13" s="3"/>
      <c r="D13" s="3"/>
      <c r="E13" s="3"/>
      <c r="F13" s="3"/>
      <c r="G13" s="4" t="s">
        <v>8</v>
      </c>
      <c r="H13" s="4"/>
    </row>
    <row r="14" spans="1:13" ht="15.6">
      <c r="B14" s="4" t="s">
        <v>23</v>
      </c>
      <c r="C14" s="4" t="s">
        <v>24</v>
      </c>
      <c r="D14" s="4" t="s">
        <v>25</v>
      </c>
      <c r="E14" s="4" t="s">
        <v>26</v>
      </c>
      <c r="F14" s="3"/>
      <c r="G14" s="4" t="s">
        <v>23</v>
      </c>
      <c r="H14" s="4" t="s">
        <v>24</v>
      </c>
      <c r="I14" s="4" t="s">
        <v>25</v>
      </c>
      <c r="J14" s="4" t="s">
        <v>26</v>
      </c>
      <c r="L14" s="4" t="s">
        <v>19</v>
      </c>
      <c r="M14" s="4" t="s">
        <v>21</v>
      </c>
    </row>
    <row r="15" spans="1:13">
      <c r="A15" s="4" t="s">
        <v>23</v>
      </c>
      <c r="B15" s="2">
        <f>B8*$G$8*B$4</f>
        <v>4.9000000000000007E-3</v>
      </c>
      <c r="C15" s="2">
        <f>C8*$G$8*C$4</f>
        <v>1.6800000000000003E-3</v>
      </c>
      <c r="D15" s="2">
        <f>D8*$G$8*D$4</f>
        <v>6.3E-3</v>
      </c>
      <c r="E15" s="2">
        <f>E8*$G$8*E$4</f>
        <v>5.4600000000000004E-3</v>
      </c>
      <c r="G15" s="12">
        <f t="array" ref="G15:J18">MINVERSE(B15:E18)</f>
        <v>1301.3901212658916</v>
      </c>
      <c r="H15" s="12">
        <v>1086.9565217391239</v>
      </c>
      <c r="I15" s="12">
        <v>-1909.3627789279869</v>
      </c>
      <c r="J15" s="12">
        <v>883.89870998566289</v>
      </c>
      <c r="L15" s="10">
        <f t="array" ref="L15:L18">MMULT(G15:J18,K8:K11)</f>
        <v>5.8676968131436524E-2</v>
      </c>
      <c r="M15" s="18">
        <f t="array" ref="M15:M18">MMULT(G15:J18,I8:I11)/B26</f>
        <v>0.90541287333718501</v>
      </c>
    </row>
    <row r="16" spans="1:13">
      <c r="A16" s="4" t="s">
        <v>24</v>
      </c>
      <c r="B16" s="2">
        <f>B9*$G$9*B$4</f>
        <v>1.6800000000000003E-3</v>
      </c>
      <c r="C16" s="2">
        <f>C9*$G$9*C$4</f>
        <v>1.44E-2</v>
      </c>
      <c r="D16" s="2">
        <f>D9*$G$9*D$4</f>
        <v>1.5119999999999998E-2</v>
      </c>
      <c r="E16" s="2">
        <f>E9*$G$9*E$4</f>
        <v>1.2480000000000002E-2</v>
      </c>
      <c r="G16" s="12">
        <v>1086.956521739125</v>
      </c>
      <c r="H16" s="12">
        <v>1207.7294685990285</v>
      </c>
      <c r="I16" s="12">
        <v>-1952.4959742350954</v>
      </c>
      <c r="J16" s="12">
        <v>905.79710144927105</v>
      </c>
      <c r="L16" s="10">
        <v>0.75902695974739132</v>
      </c>
      <c r="M16" s="18">
        <v>0.82908360815160675</v>
      </c>
    </row>
    <row r="17" spans="1:13">
      <c r="A17" s="4" t="s">
        <v>25</v>
      </c>
      <c r="B17" s="2">
        <f>B10*$G$10*B$4</f>
        <v>6.3E-3</v>
      </c>
      <c r="C17" s="2">
        <f>C10*$G$10*C$4</f>
        <v>1.512E-2</v>
      </c>
      <c r="D17" s="2">
        <f>D10*$G$10*D$4</f>
        <v>3.2399999999999998E-2</v>
      </c>
      <c r="E17" s="2">
        <f>E10*$G$10*E$4</f>
        <v>4.2120000000000005E-2</v>
      </c>
      <c r="G17" s="12">
        <v>-1909.3627789279872</v>
      </c>
      <c r="H17" s="12">
        <v>-1952.4959742350957</v>
      </c>
      <c r="I17" s="12">
        <v>3390.5886562891242</v>
      </c>
      <c r="J17" s="12">
        <v>-1597.9189892233301</v>
      </c>
      <c r="L17" s="10">
        <v>-0.31954512255911993</v>
      </c>
      <c r="M17" s="18">
        <v>-1.3746381908285459</v>
      </c>
    </row>
    <row r="18" spans="1:13">
      <c r="A18" s="4" t="s">
        <v>26</v>
      </c>
      <c r="B18" s="2">
        <f>B11*$G$11*B$4</f>
        <v>5.4600000000000004E-3</v>
      </c>
      <c r="C18" s="2">
        <f>C11*$G$11*C$4</f>
        <v>1.248E-2</v>
      </c>
      <c r="D18" s="2">
        <f>D11*$G$11*D$4</f>
        <v>4.2119999999999998E-2</v>
      </c>
      <c r="E18" s="2">
        <f>E11*$G$11*E$4</f>
        <v>6.7600000000000007E-2</v>
      </c>
      <c r="G18" s="12">
        <v>883.89870998566221</v>
      </c>
      <c r="H18" s="12">
        <v>905.79710144927117</v>
      </c>
      <c r="I18" s="12">
        <v>-1597.9189892233298</v>
      </c>
      <c r="J18" s="12">
        <v>771.80344738872839</v>
      </c>
      <c r="L18" s="10">
        <v>0.5018411946803063</v>
      </c>
      <c r="M18" s="18">
        <v>0.64014170933975445</v>
      </c>
    </row>
    <row r="20" spans="1:13">
      <c r="B20" s="4" t="s">
        <v>23</v>
      </c>
      <c r="C20" s="4" t="s">
        <v>24</v>
      </c>
      <c r="D20" s="4" t="s">
        <v>25</v>
      </c>
      <c r="E20" s="4" t="s">
        <v>26</v>
      </c>
    </row>
    <row r="21" spans="1:13" ht="16.2">
      <c r="A21" s="4" t="s">
        <v>10</v>
      </c>
      <c r="B21">
        <f t="array" ref="B21:E21">MMULT(H4:K4,G15:J18)</f>
        <v>1362.8825740626917</v>
      </c>
      <c r="C21">
        <v>1247.9871175523278</v>
      </c>
      <c r="D21">
        <v>-2069.1890860972881</v>
      </c>
      <c r="E21">
        <v>963.58026960033237</v>
      </c>
    </row>
    <row r="22" spans="1:13" ht="16.2">
      <c r="A22" s="4" t="s">
        <v>11</v>
      </c>
      <c r="B22">
        <f t="array" ref="B22:E22">MMULT(B3:E3,G15:J18)</f>
        <v>42.473399616256529</v>
      </c>
      <c r="C22">
        <v>41.66666666666643</v>
      </c>
      <c r="D22">
        <v>-65.391398724731715</v>
      </c>
      <c r="E22">
        <v>31.839954916877858</v>
      </c>
    </row>
    <row r="26" spans="1:13" ht="16.8">
      <c r="A26" s="4" t="s">
        <v>12</v>
      </c>
      <c r="B26" s="1">
        <f>MMULT(B21:E21,I8:I11)</f>
        <v>1505.2608751180637</v>
      </c>
      <c r="D26" s="5" t="s">
        <v>15</v>
      </c>
      <c r="E26" s="9">
        <f>((B26*E28)-B27)/((B26*B28)-(B27*B27))</f>
        <v>0.2542605074071978</v>
      </c>
      <c r="G26" s="4" t="s">
        <v>20</v>
      </c>
      <c r="H26" s="17">
        <f>B27/B26</f>
        <v>3.360787708715357E-2</v>
      </c>
    </row>
    <row r="27" spans="1:13" ht="16.8">
      <c r="A27" s="4" t="s">
        <v>13</v>
      </c>
      <c r="B27" s="1">
        <f t="array" ref="B27">MMULT(B22:E22,I8:I11)</f>
        <v>50.588622475069101</v>
      </c>
      <c r="D27" s="5" t="s">
        <v>16</v>
      </c>
      <c r="E27" s="9">
        <f>(B28-(B27*E28))/((B26*B28)-(B27*B27))</f>
        <v>-7.8808192092362749E-3</v>
      </c>
      <c r="G27" s="5" t="s">
        <v>22</v>
      </c>
      <c r="H27" s="17">
        <f>1/B26</f>
        <v>6.6433667182212914E-4</v>
      </c>
    </row>
    <row r="28" spans="1:13" ht="16.8">
      <c r="A28" s="4" t="s">
        <v>14</v>
      </c>
      <c r="B28" s="1">
        <f t="array" ref="B28">MMULT(B22:E22,H8:H11)</f>
        <v>1.9612947085474488</v>
      </c>
      <c r="D28" s="4" t="s">
        <v>17</v>
      </c>
      <c r="E28" s="11">
        <v>0.1</v>
      </c>
      <c r="G28" s="5" t="s">
        <v>27</v>
      </c>
      <c r="H28" s="17">
        <f>SQRT(1/B26)</f>
        <v>2.5774729325875163E-2</v>
      </c>
    </row>
    <row r="29" spans="1:13">
      <c r="A29" s="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R55"/>
  <sheetViews>
    <sheetView tabSelected="1" topLeftCell="A73" workbookViewId="0">
      <selection activeCell="P62" sqref="P62"/>
    </sheetView>
  </sheetViews>
  <sheetFormatPr defaultRowHeight="14.4"/>
  <cols>
    <col min="1" max="1" width="8.88671875" customWidth="1"/>
    <col min="7" max="10" width="11.21875" bestFit="1" customWidth="1"/>
    <col min="12" max="12" width="9.21875" bestFit="1" customWidth="1"/>
    <col min="13" max="13" width="10.21875" bestFit="1" customWidth="1"/>
    <col min="14" max="14" width="11.6640625" bestFit="1" customWidth="1"/>
    <col min="15" max="15" width="12.33203125" customWidth="1"/>
    <col min="16" max="16" width="10.6640625" bestFit="1" customWidth="1"/>
  </cols>
  <sheetData>
    <row r="1" spans="1:18" ht="16.8">
      <c r="G1" s="20" t="s">
        <v>40</v>
      </c>
      <c r="H1">
        <f t="array" ref="H1:K1">TRANSPOSE(L15:L18)</f>
        <v>-0.83407221300571166</v>
      </c>
      <c r="I1">
        <v>0.68516329681358457</v>
      </c>
      <c r="J1">
        <v>0.79288375512278719</v>
      </c>
      <c r="K1">
        <v>0.35602516106937543</v>
      </c>
    </row>
    <row r="2" spans="1:18" ht="16.8">
      <c r="A2" s="4" t="s">
        <v>0</v>
      </c>
      <c r="B2" s="4" t="s">
        <v>23</v>
      </c>
      <c r="C2" s="4" t="s">
        <v>24</v>
      </c>
      <c r="D2" s="4" t="s">
        <v>25</v>
      </c>
      <c r="E2" s="4" t="s">
        <v>26</v>
      </c>
      <c r="G2" s="20" t="s">
        <v>39</v>
      </c>
      <c r="H2">
        <f t="array" ref="H2:K2">TRANSPOSE(M15:M18)</f>
        <v>0.90541287333718501</v>
      </c>
      <c r="I2">
        <v>0.82908360815160675</v>
      </c>
      <c r="J2">
        <v>-1.3746381908285459</v>
      </c>
      <c r="K2">
        <v>0.64014170933975445</v>
      </c>
    </row>
    <row r="3" spans="1:18" ht="16.8">
      <c r="A3" s="5" t="s">
        <v>6</v>
      </c>
      <c r="B3" s="1">
        <v>0.04</v>
      </c>
      <c r="C3" s="1">
        <v>0.08</v>
      </c>
      <c r="D3" s="1">
        <v>0.12</v>
      </c>
      <c r="E3" s="1">
        <v>0.15</v>
      </c>
      <c r="G3" s="20" t="s">
        <v>36</v>
      </c>
      <c r="H3">
        <f t="array" ref="H3:K3">TRANSPOSE(N15:N18)</f>
        <v>0.839584031709663</v>
      </c>
      <c r="I3">
        <v>0.82363710708273385</v>
      </c>
      <c r="J3">
        <v>-1.2926107793695651</v>
      </c>
      <c r="K3">
        <v>0.6293896405771694</v>
      </c>
    </row>
    <row r="4" spans="1:18" ht="16.2">
      <c r="A4" s="5" t="s">
        <v>5</v>
      </c>
      <c r="B4" s="1">
        <v>7.0000000000000007E-2</v>
      </c>
      <c r="C4" s="1">
        <v>0.12</v>
      </c>
      <c r="D4" s="1">
        <v>0.18</v>
      </c>
      <c r="E4" s="1">
        <v>0.26</v>
      </c>
      <c r="G4" s="4" t="s">
        <v>9</v>
      </c>
      <c r="H4">
        <f t="array" ref="H4:K4">TRANSPOSE(I8:I11)</f>
        <v>1</v>
      </c>
      <c r="I4">
        <v>1</v>
      </c>
      <c r="J4">
        <v>1</v>
      </c>
      <c r="K4">
        <v>1</v>
      </c>
    </row>
    <row r="5" spans="1:18" ht="16.8">
      <c r="G5" s="20" t="s">
        <v>50</v>
      </c>
      <c r="H5">
        <f t="array" ref="H5:K5">TRANSPOSE(O15:O18)</f>
        <v>-0.83407221300572942</v>
      </c>
      <c r="I5">
        <v>0.68516329681357391</v>
      </c>
      <c r="J5">
        <v>0.79288375512282272</v>
      </c>
      <c r="K5">
        <v>0.35602516106935767</v>
      </c>
    </row>
    <row r="6" spans="1:18">
      <c r="A6" s="4" t="s">
        <v>3</v>
      </c>
      <c r="B6" s="4"/>
    </row>
    <row r="7" spans="1:18" ht="15.6">
      <c r="B7" s="4" t="s">
        <v>23</v>
      </c>
      <c r="C7" s="4" t="s">
        <v>24</v>
      </c>
      <c r="D7" s="4" t="s">
        <v>25</v>
      </c>
      <c r="E7" s="4" t="s">
        <v>26</v>
      </c>
      <c r="F7" s="3"/>
      <c r="G7" s="5" t="s">
        <v>2</v>
      </c>
      <c r="H7" s="5" t="s">
        <v>1</v>
      </c>
      <c r="I7" s="6" t="s">
        <v>4</v>
      </c>
      <c r="J7" s="7"/>
      <c r="K7" s="5" t="s">
        <v>52</v>
      </c>
      <c r="L7" s="5" t="s">
        <v>57</v>
      </c>
      <c r="M7" s="5" t="s">
        <v>31</v>
      </c>
      <c r="N7" s="5" t="s">
        <v>58</v>
      </c>
      <c r="O7" s="5" t="s">
        <v>59</v>
      </c>
      <c r="P7" s="7"/>
      <c r="Q7" s="7"/>
      <c r="R7" s="7"/>
    </row>
    <row r="8" spans="1:18">
      <c r="A8" s="4" t="s">
        <v>23</v>
      </c>
      <c r="B8">
        <v>1</v>
      </c>
      <c r="C8">
        <v>0.2</v>
      </c>
      <c r="D8">
        <v>0.5</v>
      </c>
      <c r="E8">
        <v>0.3</v>
      </c>
      <c r="G8" s="1">
        <f t="array" ref="G8:G11">TRANSPOSE(B4:E4)</f>
        <v>7.0000000000000007E-2</v>
      </c>
      <c r="H8" s="1">
        <f t="array" ref="H8:H11">TRANSPOSE(B3:E3)</f>
        <v>0.04</v>
      </c>
      <c r="I8">
        <v>1</v>
      </c>
      <c r="K8">
        <f>($E$26*H8+($E$27*I8))</f>
        <v>4.003185531631169E-3</v>
      </c>
      <c r="L8" s="13">
        <f t="array" ref="L8:L11">MMULT(M15:M18,$E$27*$B$26)</f>
        <v>-23.019543896591117</v>
      </c>
      <c r="M8" s="13">
        <f t="array" ref="M8:M11">MMULT(N15:N18,$E$26*$B$27)</f>
        <v>22.185471683585387</v>
      </c>
      <c r="N8" s="2">
        <f t="array" ref="N8:N11">MMULT(I8:I11,E27)</f>
        <v>-1.6890335480606294E-2</v>
      </c>
      <c r="O8" s="30">
        <f t="array" ref="O8:O11">MMULT(H8:H11,E26)</f>
        <v>2.0893521012237463E-2</v>
      </c>
      <c r="P8" s="31">
        <f>SUM(N8:O8)</f>
        <v>4.003185531631169E-3</v>
      </c>
      <c r="Q8" s="30"/>
      <c r="R8" s="30"/>
    </row>
    <row r="9" spans="1:18">
      <c r="A9" s="4" t="s">
        <v>24</v>
      </c>
      <c r="B9">
        <v>0.2</v>
      </c>
      <c r="C9">
        <v>1</v>
      </c>
      <c r="D9">
        <v>0.7</v>
      </c>
      <c r="E9">
        <v>0.4</v>
      </c>
      <c r="G9" s="1">
        <v>0.12</v>
      </c>
      <c r="H9" s="1">
        <v>0.08</v>
      </c>
      <c r="I9">
        <v>1</v>
      </c>
      <c r="K9">
        <f>($E$26*H9+($E$27*I9))</f>
        <v>2.4896706543868632E-2</v>
      </c>
      <c r="L9" s="13">
        <v>-21.078921090933687</v>
      </c>
      <c r="M9" s="13">
        <v>21.764084387747261</v>
      </c>
      <c r="N9" s="2">
        <v>-1.6890335480606294E-2</v>
      </c>
      <c r="O9" s="30">
        <v>4.1787042024474925E-2</v>
      </c>
      <c r="P9" s="31">
        <f>SUM(N9:O9)</f>
        <v>2.4896706543868632E-2</v>
      </c>
      <c r="Q9" s="30"/>
      <c r="R9" s="30"/>
    </row>
    <row r="10" spans="1:18">
      <c r="A10" s="4" t="s">
        <v>25</v>
      </c>
      <c r="B10">
        <v>0.5</v>
      </c>
      <c r="C10">
        <v>0.7</v>
      </c>
      <c r="D10">
        <v>1</v>
      </c>
      <c r="E10">
        <v>0.9</v>
      </c>
      <c r="G10" s="1">
        <v>0.18</v>
      </c>
      <c r="H10" s="1">
        <v>0.12</v>
      </c>
      <c r="I10">
        <v>1</v>
      </c>
      <c r="K10">
        <f>($E$26*H10+($E$27*I10))</f>
        <v>4.5790227556106081E-2</v>
      </c>
      <c r="L10" s="13">
        <v>34.949297836992351</v>
      </c>
      <c r="M10" s="13">
        <v>-34.156414081869528</v>
      </c>
      <c r="N10" s="2">
        <v>-1.6890335480606294E-2</v>
      </c>
      <c r="O10" s="30">
        <v>6.2680563036712378E-2</v>
      </c>
      <c r="P10" s="31">
        <f>SUM(N10:O10)</f>
        <v>4.5790227556106081E-2</v>
      </c>
      <c r="Q10" s="30"/>
      <c r="R10" s="30"/>
    </row>
    <row r="11" spans="1:18">
      <c r="A11" s="4" t="s">
        <v>26</v>
      </c>
      <c r="B11">
        <v>0.3</v>
      </c>
      <c r="C11">
        <v>0.4</v>
      </c>
      <c r="D11">
        <v>0.9</v>
      </c>
      <c r="E11">
        <v>1</v>
      </c>
      <c r="G11" s="1">
        <v>0.26</v>
      </c>
      <c r="H11" s="1">
        <v>0.15</v>
      </c>
      <c r="I11">
        <v>1</v>
      </c>
      <c r="K11">
        <f>($E$26*H11+($E$27*I11))</f>
        <v>6.1460368315284175E-2</v>
      </c>
      <c r="L11" s="13">
        <v>-16.275194016042665</v>
      </c>
      <c r="M11" s="13">
        <v>16.631219177112023</v>
      </c>
      <c r="N11" s="2">
        <v>-1.6890335480606294E-2</v>
      </c>
      <c r="O11" s="30">
        <v>7.8350703795890472E-2</v>
      </c>
      <c r="P11" s="31">
        <f>SUM(N11:O11)</f>
        <v>6.1460368315284175E-2</v>
      </c>
      <c r="Q11" s="30"/>
      <c r="R11" s="30"/>
    </row>
    <row r="13" spans="1:18" ht="16.2">
      <c r="A13" s="4" t="s">
        <v>7</v>
      </c>
      <c r="B13" s="4"/>
      <c r="C13" s="3"/>
      <c r="D13" s="3"/>
      <c r="E13" s="3"/>
      <c r="F13" s="3"/>
      <c r="G13" s="4" t="s">
        <v>8</v>
      </c>
      <c r="H13" s="4"/>
    </row>
    <row r="14" spans="1:18" ht="15.6">
      <c r="B14" s="4" t="s">
        <v>23</v>
      </c>
      <c r="C14" s="4" t="s">
        <v>24</v>
      </c>
      <c r="D14" s="4" t="s">
        <v>25</v>
      </c>
      <c r="E14" s="4" t="s">
        <v>26</v>
      </c>
      <c r="F14" s="3"/>
      <c r="G14" s="4" t="s">
        <v>23</v>
      </c>
      <c r="H14" s="4" t="s">
        <v>24</v>
      </c>
      <c r="I14" s="4" t="s">
        <v>25</v>
      </c>
      <c r="J14" s="4" t="s">
        <v>26</v>
      </c>
      <c r="L14" s="4" t="s">
        <v>29</v>
      </c>
      <c r="M14" s="4" t="s">
        <v>21</v>
      </c>
      <c r="N14" s="4" t="s">
        <v>28</v>
      </c>
      <c r="O14" s="4" t="s">
        <v>30</v>
      </c>
      <c r="P14" s="4" t="s">
        <v>30</v>
      </c>
    </row>
    <row r="15" spans="1:18">
      <c r="A15" s="4" t="s">
        <v>23</v>
      </c>
      <c r="B15" s="2">
        <f>B8*$G$8*B$4</f>
        <v>4.9000000000000007E-3</v>
      </c>
      <c r="C15" s="2">
        <f>C8*$G$8*C$4</f>
        <v>1.6800000000000003E-3</v>
      </c>
      <c r="D15" s="2">
        <f>D8*$G$8*D$4</f>
        <v>6.3E-3</v>
      </c>
      <c r="E15" s="2">
        <f>E8*$G$8*E$4</f>
        <v>5.4600000000000004E-3</v>
      </c>
      <c r="G15" s="13">
        <f t="array" ref="G15:J18">MINVERSE(B15:E18)</f>
        <v>1301.3901212658916</v>
      </c>
      <c r="H15" s="13">
        <v>1086.9565217391239</v>
      </c>
      <c r="I15" s="13">
        <v>-1909.3627789279869</v>
      </c>
      <c r="J15" s="13">
        <v>883.89870998566289</v>
      </c>
      <c r="L15" s="14">
        <f t="array" ref="L15:L18">MMULT(G15:J18,K8:K11)</f>
        <v>-0.83407221300571166</v>
      </c>
      <c r="M15" s="10">
        <f t="array" ref="M15:M18">MMULT(G15:J18,I8:I11)/B26</f>
        <v>0.90541287333718501</v>
      </c>
      <c r="N15" s="10">
        <f t="array" ref="N15:N18">MMULT(G15:J18,H8:H11)/B27</f>
        <v>0.839584031709663</v>
      </c>
      <c r="O15" s="14">
        <f>L8+M8</f>
        <v>-0.83407221300572942</v>
      </c>
      <c r="P15" s="16">
        <f t="array" ref="P15:P18">MMULT(G15:J18,N8:N11)</f>
        <v>-23.019543896591117</v>
      </c>
    </row>
    <row r="16" spans="1:18">
      <c r="A16" s="4" t="s">
        <v>24</v>
      </c>
      <c r="B16" s="2">
        <f>B9*$G$9*B$4</f>
        <v>1.6800000000000003E-3</v>
      </c>
      <c r="C16" s="2">
        <f>C9*$G$9*C$4</f>
        <v>1.44E-2</v>
      </c>
      <c r="D16" s="2">
        <f>D9*$G$9*D$4</f>
        <v>1.5119999999999998E-2</v>
      </c>
      <c r="E16" s="2">
        <f>E9*$G$9*E$4</f>
        <v>1.2480000000000002E-2</v>
      </c>
      <c r="G16" s="13">
        <v>1086.956521739125</v>
      </c>
      <c r="H16" s="13">
        <v>1207.7294685990285</v>
      </c>
      <c r="I16" s="13">
        <v>-1952.4959742350954</v>
      </c>
      <c r="J16" s="13">
        <v>905.79710144927105</v>
      </c>
      <c r="L16" s="14">
        <v>0.68516329681358457</v>
      </c>
      <c r="M16" s="10">
        <v>0.82908360815160675</v>
      </c>
      <c r="N16" s="10">
        <v>0.82363710708273385</v>
      </c>
      <c r="O16" s="14">
        <f t="shared" ref="O16:O18" si="0">L9+M9</f>
        <v>0.68516329681357391</v>
      </c>
      <c r="P16" s="16">
        <v>-21.078921090933687</v>
      </c>
    </row>
    <row r="17" spans="1:16">
      <c r="A17" s="4" t="s">
        <v>25</v>
      </c>
      <c r="B17" s="2">
        <f>B10*$G$10*B$4</f>
        <v>6.3E-3</v>
      </c>
      <c r="C17" s="2">
        <f>C10*$G$10*C$4</f>
        <v>1.512E-2</v>
      </c>
      <c r="D17" s="2">
        <f>D10*$G$10*D$4</f>
        <v>3.2399999999999998E-2</v>
      </c>
      <c r="E17" s="2">
        <f>E10*$G$10*E$4</f>
        <v>4.2120000000000005E-2</v>
      </c>
      <c r="G17" s="13">
        <v>-1909.3627789279872</v>
      </c>
      <c r="H17" s="13">
        <v>-1952.4959742350957</v>
      </c>
      <c r="I17" s="13">
        <v>3390.5886562891242</v>
      </c>
      <c r="J17" s="13">
        <v>-1597.9189892233301</v>
      </c>
      <c r="L17" s="14">
        <v>0.79288375512278719</v>
      </c>
      <c r="M17" s="10">
        <v>-1.3746381908285459</v>
      </c>
      <c r="N17" s="10">
        <v>-1.2926107793695651</v>
      </c>
      <c r="O17" s="14">
        <f t="shared" si="0"/>
        <v>0.79288375512282272</v>
      </c>
      <c r="P17" s="16">
        <v>34.949297836992358</v>
      </c>
    </row>
    <row r="18" spans="1:16">
      <c r="A18" s="4" t="s">
        <v>26</v>
      </c>
      <c r="B18" s="2">
        <f>B11*$G$11*B$4</f>
        <v>5.4600000000000004E-3</v>
      </c>
      <c r="C18" s="2">
        <f>C11*$G$11*C$4</f>
        <v>1.248E-2</v>
      </c>
      <c r="D18" s="2">
        <f>D11*$G$11*D$4</f>
        <v>4.2119999999999998E-2</v>
      </c>
      <c r="E18" s="2">
        <f>E11*$G$11*E$4</f>
        <v>6.7600000000000007E-2</v>
      </c>
      <c r="G18" s="13">
        <v>883.89870998566221</v>
      </c>
      <c r="H18" s="13">
        <v>905.79710144927117</v>
      </c>
      <c r="I18" s="13">
        <v>-1597.9189892233298</v>
      </c>
      <c r="J18" s="13">
        <v>771.80344738872839</v>
      </c>
      <c r="L18" s="14">
        <v>0.35602516106937543</v>
      </c>
      <c r="M18" s="10">
        <v>0.64014170933975445</v>
      </c>
      <c r="N18" s="10">
        <v>0.6293896405771694</v>
      </c>
      <c r="O18" s="14">
        <f t="shared" si="0"/>
        <v>0.35602516106935767</v>
      </c>
      <c r="P18" s="16">
        <v>-16.275194016042661</v>
      </c>
    </row>
    <row r="19" spans="1:16">
      <c r="L19" s="16">
        <f>SUM(L15:L18)</f>
        <v>1.0000000000000355</v>
      </c>
      <c r="M19" s="16">
        <f>SUM(M15:M18)</f>
        <v>1.0000000000000004</v>
      </c>
      <c r="N19" s="16">
        <f>SUM(N15:N18)</f>
        <v>1.0000000000000009</v>
      </c>
      <c r="O19" s="16">
        <f>SUM(O15:O18)</f>
        <v>1.0000000000000249</v>
      </c>
      <c r="P19" s="16">
        <f>SUM(P15:P18)</f>
        <v>-25.42436116657511</v>
      </c>
    </row>
    <row r="20" spans="1:16">
      <c r="B20" s="4" t="s">
        <v>23</v>
      </c>
      <c r="C20" s="4" t="s">
        <v>24</v>
      </c>
      <c r="D20" s="4" t="s">
        <v>25</v>
      </c>
      <c r="E20" s="4" t="s">
        <v>26</v>
      </c>
      <c r="G20" s="4" t="s">
        <v>23</v>
      </c>
      <c r="H20" s="4" t="s">
        <v>24</v>
      </c>
      <c r="I20" s="4" t="s">
        <v>25</v>
      </c>
      <c r="J20" s="4" t="s">
        <v>26</v>
      </c>
    </row>
    <row r="21" spans="1:16" ht="16.8">
      <c r="A21" s="4" t="s">
        <v>10</v>
      </c>
      <c r="B21">
        <f t="array" ref="B21:E21">MMULT(H4:K4,G15:J18)</f>
        <v>1362.8825740626917</v>
      </c>
      <c r="C21">
        <v>1247.9871175523278</v>
      </c>
      <c r="D21">
        <v>-2069.1890860972881</v>
      </c>
      <c r="E21">
        <v>963.58026960033237</v>
      </c>
      <c r="F21" s="20" t="s">
        <v>44</v>
      </c>
      <c r="G21">
        <f t="array" ref="G21:J21">MMULT(H1:K1,B15:E18)</f>
        <v>4.0031855316311846E-3</v>
      </c>
      <c r="H21">
        <v>2.4896706543868372E-2</v>
      </c>
      <c r="I21">
        <v>4.5790227556105817E-2</v>
      </c>
      <c r="J21">
        <v>6.1460368315283932E-2</v>
      </c>
    </row>
    <row r="22" spans="1:16" ht="16.8">
      <c r="A22" s="4" t="s">
        <v>11</v>
      </c>
      <c r="B22">
        <f t="array" ref="B22:E22">MMULT(B3:E3,G15:J18)</f>
        <v>42.473399616256529</v>
      </c>
      <c r="C22">
        <v>41.66666666666643</v>
      </c>
      <c r="D22">
        <v>-65.391398724731715</v>
      </c>
      <c r="E22">
        <v>31.839954916877858</v>
      </c>
      <c r="F22" s="20" t="s">
        <v>56</v>
      </c>
      <c r="G22">
        <f t="array" ref="G22:J22">MMULT(H5:K5,B15:E18)</f>
        <v>4.0031855316312055E-3</v>
      </c>
      <c r="H22">
        <v>2.4896706543868503E-2</v>
      </c>
      <c r="I22">
        <v>4.5790227556105942E-2</v>
      </c>
      <c r="J22">
        <v>6.1460368315283995E-2</v>
      </c>
    </row>
    <row r="23" spans="1:16" ht="16.8">
      <c r="A23" s="4" t="s">
        <v>34</v>
      </c>
      <c r="B23">
        <f t="array" ref="B23:E23">TRANSPOSE(M15:M18)</f>
        <v>0.90541287333718501</v>
      </c>
      <c r="C23">
        <v>0.82908360815160675</v>
      </c>
      <c r="D23">
        <v>-1.3746381908285459</v>
      </c>
      <c r="E23">
        <v>0.64014170933975445</v>
      </c>
    </row>
    <row r="24" spans="1:16" ht="16.8">
      <c r="A24" s="4" t="s">
        <v>35</v>
      </c>
      <c r="B24">
        <f t="array" ref="B24:E24">MMULT(B23:E23,B15:E18)</f>
        <v>6.6433667182212719E-4</v>
      </c>
      <c r="C24">
        <v>6.6433667182212892E-4</v>
      </c>
      <c r="D24">
        <v>6.6433667182213413E-4</v>
      </c>
      <c r="E24">
        <v>6.6433667182212719E-4</v>
      </c>
    </row>
    <row r="26" spans="1:16" ht="16.8">
      <c r="A26" s="4" t="s">
        <v>12</v>
      </c>
      <c r="B26" s="1">
        <f>MMULT(B21:E21,I8:I11)</f>
        <v>1505.2608751180637</v>
      </c>
      <c r="D26" s="5" t="s">
        <v>15</v>
      </c>
      <c r="E26" s="13">
        <f>((B26*E28)-B27)/((B26*B28)-(B27*B27))</f>
        <v>0.52233802530593654</v>
      </c>
      <c r="G26" s="4" t="s">
        <v>20</v>
      </c>
      <c r="H26" s="22">
        <f>B27/B26</f>
        <v>3.360787708715357E-2</v>
      </c>
      <c r="I26">
        <f t="array" ref="I26">MMULT(M15:M18,B3:E3)</f>
        <v>3.6216514933487404E-2</v>
      </c>
      <c r="J26" s="4" t="s">
        <v>37</v>
      </c>
      <c r="K26">
        <f t="array" ref="K26">MMULT(H4:K4,N15:N18)</f>
        <v>1.0000000000000009</v>
      </c>
    </row>
    <row r="27" spans="1:16" ht="16.8">
      <c r="A27" s="4" t="s">
        <v>13</v>
      </c>
      <c r="B27" s="1">
        <f t="array" ref="B27">MMULT(B22:E22,I8:I11)</f>
        <v>50.588622475069101</v>
      </c>
      <c r="D27" s="5" t="s">
        <v>16</v>
      </c>
      <c r="E27" s="13">
        <f>(B28-(B27*E28))/((B26*B28)-(B27*B27))</f>
        <v>-1.6890335480606294E-2</v>
      </c>
      <c r="G27" s="5" t="s">
        <v>27</v>
      </c>
      <c r="H27" s="22">
        <f>SQRT(1/B26)</f>
        <v>2.5774729325875163E-2</v>
      </c>
      <c r="I27" s="2">
        <f>SQRT(I29)</f>
        <v>2.5774729325874973E-2</v>
      </c>
      <c r="J27" s="5" t="s">
        <v>32</v>
      </c>
      <c r="K27" s="21">
        <f>E27*B26+E26*B27</f>
        <v>1.0000000000000036</v>
      </c>
    </row>
    <row r="28" spans="1:16" ht="16.8">
      <c r="A28" s="4" t="s">
        <v>14</v>
      </c>
      <c r="B28" s="1">
        <f t="array" ref="B28">MMULT(B22:E22,H8:H11)</f>
        <v>1.9612947085474488</v>
      </c>
      <c r="D28" s="4" t="s">
        <v>17</v>
      </c>
      <c r="E28" s="15">
        <v>0.17</v>
      </c>
      <c r="F28">
        <f t="array" ref="F28">MMULT(B22:E22,K8:K11)</f>
        <v>0.17000000000000015</v>
      </c>
      <c r="G28" s="5" t="s">
        <v>33</v>
      </c>
      <c r="H28" s="19">
        <f>1/B26</f>
        <v>6.6433667182212914E-4</v>
      </c>
      <c r="I28" s="2">
        <f t="array" ref="I28">MMULT(B24:E24,M15:M18)</f>
        <v>6.6433667182211927E-4</v>
      </c>
      <c r="J28" s="20" t="s">
        <v>38</v>
      </c>
      <c r="K28">
        <f>MMULT(H3:K3,I8:I11)</f>
        <v>1.0000000000000009</v>
      </c>
    </row>
    <row r="29" spans="1:16" ht="16.8">
      <c r="G29" s="5" t="s">
        <v>42</v>
      </c>
      <c r="H29" s="2">
        <f>((B26*(E28^2))-(2*B27*E28)+B28)/((B26*B28)-(B27^2))</f>
        <v>7.1907128821402932E-2</v>
      </c>
      <c r="I29" s="29">
        <f>MMULT(B24:E24,M15:M18)</f>
        <v>6.6433667182211927E-4</v>
      </c>
      <c r="J29" s="20" t="s">
        <v>41</v>
      </c>
      <c r="K29" s="1">
        <f>MMULT(H2:K2,H8:H11)</f>
        <v>3.3607877087153612E-2</v>
      </c>
    </row>
    <row r="30" spans="1:16" ht="16.8">
      <c r="G30" s="5" t="s">
        <v>43</v>
      </c>
      <c r="H30" s="2">
        <f>SQRT(H29)</f>
        <v>0.26815504623520126</v>
      </c>
      <c r="J30" s="25" t="s">
        <v>48</v>
      </c>
      <c r="K30" s="26">
        <f t="array" ref="K30">MMULT(H1:K1,H8:H11)</f>
        <v>0.16999999999999907</v>
      </c>
    </row>
    <row r="31" spans="1:16" ht="16.8">
      <c r="G31" s="23" t="s">
        <v>45</v>
      </c>
      <c r="H31" s="23">
        <f>MMULT(B3:E3,L15:L18)</f>
        <v>0.16999999999999907</v>
      </c>
      <c r="J31" s="25" t="s">
        <v>49</v>
      </c>
      <c r="K31" s="25">
        <f t="array" ref="K31">MMULT(H1:K1,I8:I11)</f>
        <v>1.0000000000000355</v>
      </c>
      <c r="L31">
        <f t="array" ref="L31">MMULT(B21:E21,K8:K11)</f>
        <v>1.0000000000000639</v>
      </c>
    </row>
    <row r="32" spans="1:16" ht="16.8">
      <c r="G32" s="23" t="s">
        <v>47</v>
      </c>
      <c r="H32" s="24">
        <f>MMULT(G21:J21,L15:L18)</f>
        <v>7.190712882140135E-2</v>
      </c>
      <c r="J32" s="20" t="s">
        <v>51</v>
      </c>
      <c r="K32">
        <f t="array" ref="K32">MMULT(H5:K5,I8:I11)</f>
        <v>1.0000000000000249</v>
      </c>
    </row>
    <row r="33" spans="7:8" ht="15.6">
      <c r="G33" s="23" t="s">
        <v>46</v>
      </c>
      <c r="H33" s="24">
        <f>SQRT(H32)</f>
        <v>0.26815504623519831</v>
      </c>
    </row>
    <row r="34" spans="7:8" ht="15.6">
      <c r="G34" s="28" t="s">
        <v>53</v>
      </c>
      <c r="H34">
        <f t="array" ref="H34">MMULT(B3:E3,O15:O18)</f>
        <v>0.1699999999999991</v>
      </c>
    </row>
    <row r="35" spans="7:8" ht="16.8">
      <c r="G35" s="28" t="s">
        <v>54</v>
      </c>
      <c r="H35" s="2">
        <f t="array" ref="H35">MMULT(G22:J22,O15:O18)</f>
        <v>7.1907128821401725E-2</v>
      </c>
    </row>
    <row r="36" spans="7:8" ht="15.6">
      <c r="G36" s="28" t="s">
        <v>55</v>
      </c>
      <c r="H36" s="2">
        <f>SQRT(H35)</f>
        <v>0.26815504623519903</v>
      </c>
    </row>
    <row r="55" spans="16:16">
      <c r="P55" s="2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Explicit</vt:lpstr>
      <vt:lpstr>Implicit</vt:lpstr>
      <vt:lpstr>Sheet3</vt:lpstr>
    </vt:vector>
  </TitlesOfParts>
  <Company>Orajava Consultancy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Plamen Stilyianov</dc:creator>
  <cp:lastModifiedBy>Plamen Stilyianov</cp:lastModifiedBy>
  <cp:lastPrinted>2009-03-02T16:45:31Z</cp:lastPrinted>
  <dcterms:created xsi:type="dcterms:W3CDTF">2009-03-01T15:20:19Z</dcterms:created>
  <dcterms:modified xsi:type="dcterms:W3CDTF">2009-03-03T13:22:06Z</dcterms:modified>
</cp:coreProperties>
</file>