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720" yWindow="300" windowWidth="11112" windowHeight="8196"/>
  </bookViews>
  <sheets>
    <sheet name="Sheet1" sheetId="1" r:id="rId1"/>
    <sheet name="Sheet2" sheetId="2" r:id="rId2"/>
    <sheet name="Sheet3" sheetId="3" r:id="rId3"/>
  </sheets>
  <definedNames>
    <definedName name="coupon">Sheet1!$B$2</definedName>
    <definedName name="period">Sheet1!$B$3</definedName>
    <definedName name="principal">Sheet1!$B$1</definedName>
    <definedName name="value">Sheet1!$B$4</definedName>
    <definedName name="yield">Sheet1!$E$1</definedName>
  </definedNames>
  <calcPr calcId="124519"/>
</workbook>
</file>

<file path=xl/calcChain.xml><?xml version="1.0" encoding="utf-8"?>
<calcChain xmlns="http://schemas.openxmlformats.org/spreadsheetml/2006/main">
  <c r="B11" i="1"/>
  <c r="D11" s="1"/>
  <c r="E11" s="1"/>
  <c r="B11" i="2"/>
  <c r="D11" s="1"/>
  <c r="E11" s="1"/>
  <c r="B10"/>
  <c r="D10" s="1"/>
  <c r="E10" s="1"/>
  <c r="B9"/>
  <c r="D9" s="1"/>
  <c r="E9" s="1"/>
  <c r="B8"/>
  <c r="D8" s="1"/>
  <c r="B8" i="1"/>
  <c r="D8" s="1"/>
  <c r="E8" s="1"/>
  <c r="B9"/>
  <c r="D9" s="1"/>
  <c r="E9" s="1"/>
  <c r="B10"/>
  <c r="D10" s="1"/>
  <c r="E10" s="1"/>
  <c r="D14" i="2" l="1"/>
  <c r="D15" s="1"/>
  <c r="E8"/>
  <c r="E14" s="1"/>
  <c r="E2" s="1"/>
  <c r="D14" i="1"/>
  <c r="D15" s="1"/>
  <c r="E14"/>
  <c r="E2" s="1"/>
</calcChain>
</file>

<file path=xl/comments1.xml><?xml version="1.0" encoding="utf-8"?>
<comments xmlns="http://schemas.openxmlformats.org/spreadsheetml/2006/main">
  <authors>
    <author>7city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=E14/value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=(B8+C8)*EXP(-yield*A8)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=D8*A8</t>
        </r>
      </text>
    </comment>
    <comment ref="D14" authorId="0">
      <text>
        <r>
          <rPr>
            <b/>
            <sz val="8"/>
            <color indexed="81"/>
            <rFont val="Tahoma"/>
            <family val="2"/>
          </rPr>
          <t>=SUM(D8:D17)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=SUM(D8:D11)</t>
        </r>
      </text>
    </comment>
    <comment ref="D15" authorId="0">
      <text>
        <r>
          <rPr>
            <b/>
            <sz val="8"/>
            <color indexed="81"/>
            <rFont val="Tahoma"/>
            <family val="2"/>
          </rPr>
          <t>=D14-value</t>
        </r>
      </text>
    </comment>
  </commentList>
</comments>
</file>

<file path=xl/comments2.xml><?xml version="1.0" encoding="utf-8"?>
<comments xmlns="http://schemas.openxmlformats.org/spreadsheetml/2006/main">
  <authors>
    <author>7city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=E14/value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=(B8+C8)*EXP(-yield*A8)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=D8*A8</t>
        </r>
      </text>
    </comment>
    <comment ref="D14" authorId="0">
      <text>
        <r>
          <rPr>
            <b/>
            <sz val="8"/>
            <color indexed="81"/>
            <rFont val="Tahoma"/>
            <family val="2"/>
          </rPr>
          <t>=SUM(D8:D17)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=SUM(D8:D11)</t>
        </r>
      </text>
    </comment>
    <comment ref="D15" authorId="0">
      <text>
        <r>
          <rPr>
            <b/>
            <sz val="8"/>
            <color indexed="81"/>
            <rFont val="Tahoma"/>
            <family val="2"/>
          </rPr>
          <t>=D14-value</t>
        </r>
      </text>
    </comment>
  </commentList>
</comments>
</file>

<file path=xl/sharedStrings.xml><?xml version="1.0" encoding="utf-8"?>
<sst xmlns="http://schemas.openxmlformats.org/spreadsheetml/2006/main" count="26" uniqueCount="12">
  <si>
    <t>Principal</t>
  </si>
  <si>
    <t>Coupon</t>
  </si>
  <si>
    <t>Period</t>
  </si>
  <si>
    <t>Value</t>
  </si>
  <si>
    <t>YTM</t>
  </si>
  <si>
    <t>Durn</t>
  </si>
  <si>
    <t>Time</t>
  </si>
  <si>
    <t>Coupons</t>
  </si>
  <si>
    <t>PV</t>
  </si>
  <si>
    <t>Total</t>
  </si>
  <si>
    <t>Error</t>
  </si>
  <si>
    <t>Wtd Times</t>
  </si>
</sst>
</file>

<file path=xl/styles.xml><?xml version="1.0" encoding="utf-8"?>
<styleSheet xmlns="http://schemas.openxmlformats.org/spreadsheetml/2006/main">
  <numFmts count="1">
    <numFmt numFmtId="164" formatCode="0.00000"/>
  </numFmts>
  <fonts count="4">
    <font>
      <sz val="10"/>
      <name val="Arial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10" fontId="0" fillId="3" borderId="0" xfId="0" applyNumberFormat="1" applyFill="1"/>
    <xf numFmtId="164" fontId="0" fillId="3" borderId="0" xfId="0" applyNumberForma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5"/>
  <sheetViews>
    <sheetView tabSelected="1" zoomScale="145" workbookViewId="0">
      <selection activeCell="D5" sqref="D5"/>
    </sheetView>
  </sheetViews>
  <sheetFormatPr defaultRowHeight="13.2"/>
  <cols>
    <col min="4" max="4" width="12" bestFit="1" customWidth="1"/>
    <col min="5" max="5" width="9.5546875" bestFit="1" customWidth="1"/>
  </cols>
  <sheetData>
    <row r="1" spans="1:5">
      <c r="A1" t="s">
        <v>0</v>
      </c>
      <c r="B1" s="1">
        <v>100</v>
      </c>
      <c r="D1" t="s">
        <v>4</v>
      </c>
      <c r="E1" s="3">
        <v>5.9509829278937533E-2</v>
      </c>
    </row>
    <row r="2" spans="1:5">
      <c r="A2" t="s">
        <v>1</v>
      </c>
      <c r="B2" s="1">
        <v>7</v>
      </c>
      <c r="D2" t="s">
        <v>5</v>
      </c>
      <c r="E2" s="2">
        <f>E14/value</f>
        <v>3.6303749937394088</v>
      </c>
    </row>
    <row r="3" spans="1:5">
      <c r="A3" t="s">
        <v>2</v>
      </c>
      <c r="B3" s="1">
        <v>1</v>
      </c>
    </row>
    <row r="4" spans="1:5">
      <c r="A4" t="s">
        <v>3</v>
      </c>
      <c r="B4" s="1">
        <v>103</v>
      </c>
    </row>
    <row r="6" spans="1:5">
      <c r="A6" t="s">
        <v>6</v>
      </c>
      <c r="B6" t="s">
        <v>7</v>
      </c>
      <c r="C6" t="s">
        <v>0</v>
      </c>
      <c r="D6" t="s">
        <v>8</v>
      </c>
      <c r="E6" t="s">
        <v>11</v>
      </c>
    </row>
    <row r="7" spans="1:5">
      <c r="A7">
        <v>0</v>
      </c>
    </row>
    <row r="8" spans="1:5">
      <c r="A8">
        <v>1</v>
      </c>
      <c r="B8">
        <f>coupon</f>
        <v>7</v>
      </c>
      <c r="D8">
        <f>(B8+C8)*EXP(-yield*A8)</f>
        <v>6.5955839049860359</v>
      </c>
      <c r="E8">
        <f>D8*A8</f>
        <v>6.5955839049860359</v>
      </c>
    </row>
    <row r="9" spans="1:5">
      <c r="A9">
        <v>2</v>
      </c>
      <c r="B9">
        <f>coupon</f>
        <v>7</v>
      </c>
      <c r="D9">
        <f>(B9+C9)*EXP(-yield*A9)</f>
        <v>6.2145324353872642</v>
      </c>
      <c r="E9">
        <f t="shared" ref="E9:E11" si="0">D9*A9</f>
        <v>12.429064870774528</v>
      </c>
    </row>
    <row r="10" spans="1:5">
      <c r="A10">
        <v>3</v>
      </c>
      <c r="B10">
        <f>coupon</f>
        <v>7</v>
      </c>
      <c r="D10">
        <f>(B10+C10)*EXP(-yield*A10)</f>
        <v>5.8554957296934163</v>
      </c>
      <c r="E10">
        <f t="shared" si="0"/>
        <v>17.566487189080249</v>
      </c>
    </row>
    <row r="11" spans="1:5">
      <c r="A11">
        <v>4</v>
      </c>
      <c r="B11">
        <f>coupon</f>
        <v>7</v>
      </c>
      <c r="C11">
        <v>100</v>
      </c>
      <c r="D11">
        <f>(B11+C11)*EXP(-yield*A11)</f>
        <v>84.334372097579575</v>
      </c>
      <c r="E11">
        <f t="shared" si="0"/>
        <v>337.3374883903183</v>
      </c>
    </row>
    <row r="14" spans="1:5">
      <c r="C14" t="s">
        <v>9</v>
      </c>
      <c r="D14" s="4">
        <f>SUM(D8:D11)</f>
        <v>102.99998416764629</v>
      </c>
      <c r="E14" s="4">
        <f>SUM(E8:E11)</f>
        <v>373.92862435515912</v>
      </c>
    </row>
    <row r="15" spans="1:5">
      <c r="C15" t="s">
        <v>10</v>
      </c>
      <c r="D15" s="4">
        <f>D14-value</f>
        <v>-1.5832353710720781E-5</v>
      </c>
      <c r="E15" s="5"/>
    </row>
  </sheetData>
  <phoneticPr fontId="1" type="noConversion"/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15"/>
  <sheetViews>
    <sheetView zoomScale="145" zoomScaleNormal="145" workbookViewId="0">
      <selection activeCell="G6" sqref="G6"/>
    </sheetView>
  </sheetViews>
  <sheetFormatPr defaultRowHeight="13.2"/>
  <sheetData>
    <row r="1" spans="1:5">
      <c r="A1" t="s">
        <v>0</v>
      </c>
      <c r="B1" s="1">
        <v>100</v>
      </c>
      <c r="D1" t="s">
        <v>4</v>
      </c>
      <c r="E1" s="3">
        <v>-6.696660777556351E-3</v>
      </c>
    </row>
    <row r="2" spans="1:5">
      <c r="A2" t="s">
        <v>1</v>
      </c>
      <c r="B2" s="1">
        <v>7.0000000000000007E-2</v>
      </c>
      <c r="D2" t="s">
        <v>5</v>
      </c>
      <c r="E2" s="2">
        <f>E14/value</f>
        <v>3.6303749937394088</v>
      </c>
    </row>
    <row r="3" spans="1:5">
      <c r="A3" t="s">
        <v>2</v>
      </c>
      <c r="B3" s="1">
        <v>1</v>
      </c>
    </row>
    <row r="4" spans="1:5">
      <c r="A4" t="s">
        <v>3</v>
      </c>
      <c r="B4" s="1">
        <v>103</v>
      </c>
    </row>
    <row r="6" spans="1:5">
      <c r="A6" t="s">
        <v>6</v>
      </c>
      <c r="B6" t="s">
        <v>7</v>
      </c>
      <c r="C6" t="s">
        <v>0</v>
      </c>
      <c r="D6" t="s">
        <v>8</v>
      </c>
      <c r="E6" t="s">
        <v>11</v>
      </c>
    </row>
    <row r="7" spans="1:5">
      <c r="A7">
        <v>0</v>
      </c>
    </row>
    <row r="8" spans="1:5">
      <c r="A8">
        <v>1</v>
      </c>
      <c r="B8">
        <f>coupon</f>
        <v>7</v>
      </c>
      <c r="D8">
        <f>(B8+C8)*EXP(-yield*A8)</f>
        <v>6.5955839049860359</v>
      </c>
      <c r="E8">
        <f>D8*A8</f>
        <v>6.5955839049860359</v>
      </c>
    </row>
    <row r="9" spans="1:5">
      <c r="A9">
        <v>2</v>
      </c>
      <c r="B9">
        <f>coupon</f>
        <v>7</v>
      </c>
      <c r="D9">
        <f>(B9+C9)*EXP(-yield*A9)</f>
        <v>6.2145324353872642</v>
      </c>
      <c r="E9">
        <f>D9*A9</f>
        <v>12.429064870774528</v>
      </c>
    </row>
    <row r="10" spans="1:5">
      <c r="A10">
        <v>3</v>
      </c>
      <c r="B10">
        <f>coupon</f>
        <v>7</v>
      </c>
      <c r="D10">
        <f>(B10+C10)*EXP(-yield*A10)</f>
        <v>5.8554957296934163</v>
      </c>
      <c r="E10">
        <f>D10*A10</f>
        <v>17.566487189080249</v>
      </c>
    </row>
    <row r="11" spans="1:5">
      <c r="A11">
        <v>4</v>
      </c>
      <c r="B11">
        <f>coupon</f>
        <v>7</v>
      </c>
      <c r="C11">
        <v>100</v>
      </c>
      <c r="D11">
        <f>(B11+C11)*EXP(-yield*A11)</f>
        <v>84.334372097579575</v>
      </c>
      <c r="E11">
        <f>D11*A11</f>
        <v>337.3374883903183</v>
      </c>
    </row>
    <row r="14" spans="1:5">
      <c r="C14" t="s">
        <v>9</v>
      </c>
      <c r="D14" s="2">
        <f>SUM(D8:D11)</f>
        <v>102.99998416764629</v>
      </c>
      <c r="E14" s="2">
        <f>SUM(E8:E11)</f>
        <v>373.92862435515912</v>
      </c>
    </row>
    <row r="15" spans="1:5">
      <c r="C15" t="s">
        <v>10</v>
      </c>
      <c r="D15" s="2">
        <f>D14-value</f>
        <v>-1.5832353710720781E-5</v>
      </c>
    </row>
  </sheetData>
  <phoneticPr fontId="1" type="noConversion"/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coupon</vt:lpstr>
      <vt:lpstr>period</vt:lpstr>
      <vt:lpstr>principal</vt:lpstr>
      <vt:lpstr>value</vt:lpstr>
      <vt:lpstr>yield</vt:lpstr>
    </vt:vector>
  </TitlesOfParts>
  <Company>7city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BULGARIA</cp:lastModifiedBy>
  <cp:lastPrinted>2009-04-21T17:57:58Z</cp:lastPrinted>
  <dcterms:created xsi:type="dcterms:W3CDTF">2009-03-26T16:57:18Z</dcterms:created>
  <dcterms:modified xsi:type="dcterms:W3CDTF">2009-04-21T18:42:24Z</dcterms:modified>
</cp:coreProperties>
</file>