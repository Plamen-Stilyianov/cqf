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45" windowWidth="11355" windowHeight="8445"/>
  </bookViews>
  <sheets>
    <sheet name="Sheet1" sheetId="1" r:id="rId1"/>
    <sheet name="Sheet2" sheetId="2" r:id="rId2"/>
    <sheet name="Sheet3" sheetId="3" r:id="rId3"/>
  </sheets>
  <definedNames>
    <definedName name="DF">Sheet1!$B$13</definedName>
    <definedName name="pdash">Sheet1!$B$12</definedName>
    <definedName name="pflag">Sheet1!$C$5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</definedNames>
  <calcPr calcId="125725"/>
</workbook>
</file>

<file path=xl/calcChain.xml><?xml version="1.0" encoding="utf-8"?>
<calcChain xmlns="http://schemas.openxmlformats.org/spreadsheetml/2006/main">
  <c r="B9" i="1"/>
  <c r="K4"/>
  <c r="K5" s="1"/>
  <c r="K6" s="1"/>
  <c r="K7" s="1"/>
  <c r="K8" s="1"/>
  <c r="K9" s="1"/>
  <c r="K10" s="1"/>
  <c r="K11" s="1"/>
  <c r="K12" s="1"/>
  <c r="K3"/>
  <c r="L4"/>
  <c r="L5"/>
  <c r="L6" s="1"/>
  <c r="L7" s="1"/>
  <c r="L8" s="1"/>
  <c r="L9" s="1"/>
  <c r="L10" s="1"/>
  <c r="L11" s="1"/>
  <c r="L12" s="1"/>
  <c r="L13" s="1"/>
  <c r="L3"/>
  <c r="B13"/>
  <c r="C5"/>
  <c r="C7"/>
  <c r="B17"/>
  <c r="B12" l="1"/>
  <c r="B10"/>
  <c r="C13" s="1"/>
  <c r="C14" s="1"/>
  <c r="B18"/>
  <c r="B11"/>
  <c r="D9" l="1"/>
  <c r="C21"/>
  <c r="D25" s="1"/>
  <c r="E29" s="1"/>
  <c r="F33" s="1"/>
  <c r="F34" s="1"/>
  <c r="F36" s="1"/>
  <c r="F25" l="1"/>
  <c r="F26" s="1"/>
  <c r="F28" s="1"/>
  <c r="E30"/>
  <c r="E21"/>
  <c r="D26"/>
  <c r="C22"/>
  <c r="D17"/>
  <c r="D10"/>
  <c r="E5"/>
  <c r="E6" l="1"/>
  <c r="F1"/>
  <c r="F2" s="1"/>
  <c r="F4" s="1"/>
  <c r="F17"/>
  <c r="F18" s="1"/>
  <c r="F20" s="1"/>
  <c r="E22"/>
  <c r="E31"/>
  <c r="E32"/>
  <c r="D18"/>
  <c r="E13"/>
  <c r="F9" l="1"/>
  <c r="F10" s="1"/>
  <c r="F12" s="1"/>
  <c r="E8" s="1"/>
  <c r="E14"/>
  <c r="E23"/>
  <c r="E24"/>
  <c r="E7" l="1"/>
  <c r="D27"/>
  <c r="D28"/>
  <c r="E15"/>
  <c r="E16"/>
  <c r="D12" s="1"/>
  <c r="D19" l="1"/>
  <c r="D20"/>
  <c r="C16" s="1"/>
  <c r="D11"/>
  <c r="C15" l="1"/>
  <c r="C23"/>
  <c r="C24"/>
  <c r="B19" s="1"/>
  <c r="B20" l="1"/>
</calcChain>
</file>

<file path=xl/comments1.xml><?xml version="1.0" encoding="utf-8"?>
<comments xmlns="http://schemas.openxmlformats.org/spreadsheetml/2006/main">
  <authors>
    <author>7city</author>
  </authors>
  <commentList>
    <comment ref="F2" authorId="0">
      <text>
        <r>
          <rPr>
            <sz val="8"/>
            <color indexed="81"/>
            <rFont val="Tahoma"/>
            <family val="2"/>
          </rPr>
          <t>=MAX(pflag*(F1-strike),0)</t>
        </r>
      </text>
    </comment>
    <comment ref="F4" authorId="0">
      <text>
        <r>
          <rPr>
            <sz val="8"/>
            <color indexed="81"/>
            <rFont val="Tahoma"/>
            <family val="2"/>
          </rPr>
          <t>=F2</t>
        </r>
      </text>
    </comment>
    <comment ref="C5" authorId="0">
      <text>
        <r>
          <rPr>
            <sz val="8"/>
            <color indexed="81"/>
            <rFont val="Tahoma"/>
            <family val="2"/>
          </rPr>
          <t>=IF(B5="C",1,-1)</t>
        </r>
      </text>
    </comment>
    <comment ref="C7" authorId="0">
      <text>
        <r>
          <rPr>
            <sz val="8"/>
            <color indexed="81"/>
            <rFont val="Tahoma"/>
            <family val="2"/>
          </rPr>
          <t>=IF(B7="Y",1,0)</t>
        </r>
      </text>
    </comment>
    <comment ref="E7" authorId="0">
      <text>
        <r>
          <rPr>
            <sz val="8"/>
            <color indexed="81"/>
            <rFont val="Tahoma"/>
            <family val="2"/>
          </rPr>
          <t>=(F4-F12)/(F1-F9)</t>
        </r>
      </text>
    </comment>
    <comment ref="E8" authorId="0">
      <text>
        <r>
          <rPr>
            <sz val="8"/>
            <color indexed="81"/>
            <rFont val="Tahoma"/>
            <family val="2"/>
          </rPr>
          <t>=MAX(DF*(pdash*F4+(1-pdash)*F12),usflag*E6)</t>
        </r>
      </text>
    </comment>
    <comment ref="B9" authorId="0">
      <text>
        <r>
          <rPr>
            <sz val="8"/>
            <color indexed="81"/>
            <rFont val="Tahoma"/>
            <family val="2"/>
          </rPr>
          <t>=B6/4</t>
        </r>
      </text>
    </comment>
    <comment ref="B10" authorId="0">
      <text>
        <r>
          <rPr>
            <sz val="8"/>
            <color indexed="81"/>
            <rFont val="Tahoma"/>
            <family val="2"/>
          </rPr>
          <t>=1+B2*SQRT(tstep)</t>
        </r>
      </text>
    </comment>
    <comment ref="B11" authorId="0">
      <text>
        <r>
          <rPr>
            <sz val="8"/>
            <color indexed="81"/>
            <rFont val="Tahoma"/>
            <family val="2"/>
          </rPr>
          <t>=1-B2*SQRT(tstep)</t>
        </r>
      </text>
    </comment>
    <comment ref="B12" authorId="0">
      <text>
        <r>
          <rPr>
            <sz val="8"/>
            <color indexed="81"/>
            <rFont val="Tahoma"/>
            <family val="2"/>
          </rPr>
          <t>=0.5+B3*SQRT(tstep)/2/B2</t>
        </r>
      </text>
    </comment>
    <comment ref="B13" authorId="0">
      <text>
        <r>
          <rPr>
            <sz val="8"/>
            <color indexed="81"/>
            <rFont val="Tahoma"/>
            <family val="2"/>
          </rPr>
          <t>=1/(1+B3*tstep)</t>
        </r>
      </text>
    </comment>
    <comment ref="C13" authorId="0">
      <text>
        <r>
          <rPr>
            <sz val="8"/>
            <color indexed="81"/>
            <rFont val="Tahoma"/>
            <family val="2"/>
          </rPr>
          <t>=u*B17</t>
        </r>
      </text>
    </comment>
    <comment ref="B17" authorId="0">
      <text>
        <r>
          <rPr>
            <sz val="8"/>
            <color indexed="81"/>
            <rFont val="Tahoma"/>
            <family val="2"/>
          </rPr>
          <t>=B1</t>
        </r>
      </text>
    </comment>
    <comment ref="C21" authorId="0">
      <text>
        <r>
          <rPr>
            <sz val="8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<sst xmlns="http://schemas.openxmlformats.org/spreadsheetml/2006/main" count="23" uniqueCount="21">
  <si>
    <t>Stock</t>
  </si>
  <si>
    <t>Vol</t>
  </si>
  <si>
    <t>Int rate</t>
  </si>
  <si>
    <t>Strike</t>
  </si>
  <si>
    <t>Type</t>
  </si>
  <si>
    <t>Expiration</t>
  </si>
  <si>
    <t>US?</t>
  </si>
  <si>
    <t>Payoff</t>
  </si>
  <si>
    <t>Delta</t>
  </si>
  <si>
    <t>Option</t>
  </si>
  <si>
    <t>u</t>
  </si>
  <si>
    <t>v</t>
  </si>
  <si>
    <t>p'</t>
  </si>
  <si>
    <t>Disc fac</t>
  </si>
  <si>
    <t>C</t>
  </si>
  <si>
    <t>δt</t>
  </si>
  <si>
    <t>time step</t>
  </si>
  <si>
    <t>N</t>
  </si>
  <si>
    <t>Volatility</t>
  </si>
  <si>
    <t>Option Price</t>
  </si>
  <si>
    <t>Time Step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</si>
</sst>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Call Option Price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Call Option</c:v>
          </c:tx>
          <c:xVal>
            <c:numRef>
              <c:f>Sheet1!$L$2:$L$13</c:f>
              <c:numCache>
                <c:formatCode>General</c:formatCode>
                <c:ptCount val="1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</c:numCache>
            </c:numRef>
          </c:xVal>
          <c:yVal>
            <c:numRef>
              <c:f>Sheet1!$M$2:$M$13</c:f>
              <c:numCache>
                <c:formatCode>General</c:formatCode>
                <c:ptCount val="12"/>
                <c:pt idx="0">
                  <c:v>5.1297376310967477</c:v>
                </c:pt>
                <c:pt idx="1">
                  <c:v>6.6025686942735442</c:v>
                </c:pt>
                <c:pt idx="2">
                  <c:v>8.3877380617735682</c:v>
                </c:pt>
                <c:pt idx="3">
                  <c:v>10.282867441719445</c:v>
                </c:pt>
                <c:pt idx="4">
                  <c:v>12.241835728187596</c:v>
                </c:pt>
                <c:pt idx="5">
                  <c:v>14.246915401166909</c:v>
                </c:pt>
                <c:pt idx="6">
                  <c:v>16.288568534186304</c:v>
                </c:pt>
                <c:pt idx="7">
                  <c:v>18.360256426352151</c:v>
                </c:pt>
                <c:pt idx="8">
                  <c:v>20.456688321139826</c:v>
                </c:pt>
                <c:pt idx="9">
                  <c:v>22.573116213250213</c:v>
                </c:pt>
                <c:pt idx="10">
                  <c:v>24.70501299158742</c:v>
                </c:pt>
                <c:pt idx="11">
                  <c:v>26.847911073771911</c:v>
                </c:pt>
              </c:numCache>
            </c:numRef>
          </c:yVal>
        </c:ser>
        <c:dLbls/>
        <c:axId val="62411136"/>
        <c:axId val="62401152"/>
      </c:scatterChart>
      <c:valAx>
        <c:axId val="62411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62401152"/>
        <c:crosses val="autoZero"/>
        <c:crossBetween val="midCat"/>
      </c:valAx>
      <c:valAx>
        <c:axId val="62401152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624111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Option Call Price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Call Option</c:v>
          </c:tx>
          <c:marker>
            <c:symbol val="none"/>
          </c:marker>
          <c:xVal>
            <c:numRef>
              <c:f>Sheet1!$L$20:$L$42</c:f>
              <c:numCache>
                <c:formatCode>General</c:formatCode>
                <c:ptCount val="2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40</c:v>
                </c:pt>
                <c:pt idx="22">
                  <c:v>50</c:v>
                </c:pt>
              </c:numCache>
            </c:numRef>
          </c:xVal>
          <c:yVal>
            <c:numRef>
              <c:f>Sheet1!$M$20:$M$42</c:f>
              <c:numCache>
                <c:formatCode>General</c:formatCode>
                <c:ptCount val="23"/>
                <c:pt idx="0">
                  <c:v>15.962762267981185</c:v>
                </c:pt>
                <c:pt idx="1">
                  <c:v>12.324451729598353</c:v>
                </c:pt>
                <c:pt idx="2">
                  <c:v>10.282867441719445</c:v>
                </c:pt>
                <c:pt idx="3">
                  <c:v>8.9509712027525286</c:v>
                </c:pt>
                <c:pt idx="4">
                  <c:v>8.001741274113332</c:v>
                </c:pt>
                <c:pt idx="5">
                  <c:v>7.2846696998258711</c:v>
                </c:pt>
                <c:pt idx="6">
                  <c:v>6.7201557598025561</c:v>
                </c:pt>
                <c:pt idx="7">
                  <c:v>6.2618567681491095</c:v>
                </c:pt>
                <c:pt idx="8">
                  <c:v>5.8808195813002015</c:v>
                </c:pt>
                <c:pt idx="9">
                  <c:v>5.557948684822251</c:v>
                </c:pt>
                <c:pt idx="10">
                  <c:v>5.2800976654305725</c:v>
                </c:pt>
                <c:pt idx="11">
                  <c:v>5.0378945989348134</c:v>
                </c:pt>
                <c:pt idx="12">
                  <c:v>4.8244623967120699</c:v>
                </c:pt>
                <c:pt idx="13">
                  <c:v>4.6346302455121995</c:v>
                </c:pt>
                <c:pt idx="14">
                  <c:v>4.4644285211523549</c:v>
                </c:pt>
                <c:pt idx="15">
                  <c:v>4.3107544559699296</c:v>
                </c:pt>
                <c:pt idx="16">
                  <c:v>4.1711444741854287</c:v>
                </c:pt>
                <c:pt idx="17">
                  <c:v>4.0436152912180514</c:v>
                </c:pt>
                <c:pt idx="18">
                  <c:v>3.926550576986751</c:v>
                </c:pt>
                <c:pt idx="19">
                  <c:v>3.4585196936027729</c:v>
                </c:pt>
                <c:pt idx="20">
                  <c:v>3.1210135077791854</c:v>
                </c:pt>
                <c:pt idx="21">
                  <c:v>2.6587784735618798</c:v>
                </c:pt>
                <c:pt idx="22">
                  <c:v>2.3510985287549686</c:v>
                </c:pt>
              </c:numCache>
            </c:numRef>
          </c:yVal>
        </c:ser>
        <c:dLbls/>
        <c:axId val="104700544"/>
        <c:axId val="104689664"/>
      </c:scatterChart>
      <c:valAx>
        <c:axId val="104700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step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4689664"/>
        <c:crosses val="autoZero"/>
        <c:crossBetween val="midCat"/>
      </c:valAx>
      <c:valAx>
        <c:axId val="10468966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Option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layout/>
        </c:title>
        <c:numFmt formatCode="General" sourceLinked="1"/>
        <c:majorTickMark val="none"/>
        <c:tickLblPos val="nextTo"/>
        <c:crossAx val="104700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164225</xdr:colOff>
      <xdr:row>0</xdr:row>
      <xdr:rowOff>144516</xdr:rowOff>
    </xdr:from>
    <xdr:to>
      <xdr:col>20</xdr:col>
      <xdr:colOff>459828</xdr:colOff>
      <xdr:row>17</xdr:row>
      <xdr:rowOff>111671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472966</xdr:colOff>
      <xdr:row>8</xdr:row>
      <xdr:rowOff>59120</xdr:rowOff>
    </xdr:from>
    <xdr:to>
      <xdr:col>11</xdr:col>
      <xdr:colOff>157655</xdr:colOff>
      <xdr:row>24</xdr:row>
      <xdr:rowOff>157655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2"/>
  <sheetViews>
    <sheetView tabSelected="1" zoomScale="145" zoomScaleNormal="145" workbookViewId="0">
      <selection activeCell="B9" sqref="B9"/>
    </sheetView>
  </sheetViews>
  <sheetFormatPr defaultRowHeight="12.75"/>
  <sheetData>
    <row r="1" spans="1:13">
      <c r="A1" t="s">
        <v>0</v>
      </c>
      <c r="B1" s="1">
        <v>100</v>
      </c>
      <c r="F1" s="2">
        <f>u*E5</f>
        <v>146.41000000000008</v>
      </c>
      <c r="L1" s="7" t="s">
        <v>18</v>
      </c>
      <c r="M1" s="7" t="s">
        <v>19</v>
      </c>
    </row>
    <row r="2" spans="1:13">
      <c r="A2" t="s">
        <v>1</v>
      </c>
      <c r="B2" s="1">
        <v>0.2</v>
      </c>
      <c r="F2" s="3">
        <f>MAX(pflag*(F1-strike),0)</f>
        <v>46.410000000000082</v>
      </c>
      <c r="K2">
        <v>1</v>
      </c>
      <c r="L2">
        <v>0.05</v>
      </c>
      <c r="M2">
        <v>5.1297376310967477</v>
      </c>
    </row>
    <row r="3" spans="1:13">
      <c r="A3" t="s">
        <v>2</v>
      </c>
      <c r="B3" s="1">
        <v>0.05</v>
      </c>
      <c r="F3" s="4"/>
      <c r="K3">
        <f>K2+1</f>
        <v>2</v>
      </c>
      <c r="L3">
        <f>L2+0.05</f>
        <v>0.1</v>
      </c>
      <c r="M3">
        <v>6.6025686942735442</v>
      </c>
    </row>
    <row r="4" spans="1:13">
      <c r="A4" t="s">
        <v>3</v>
      </c>
      <c r="B4" s="1">
        <v>100</v>
      </c>
      <c r="F4" s="5">
        <f>F2</f>
        <v>46.410000000000082</v>
      </c>
      <c r="K4">
        <f t="shared" ref="K4:K13" si="0">K3+1</f>
        <v>3</v>
      </c>
      <c r="L4">
        <f t="shared" ref="L4:L13" si="1">L3+0.05</f>
        <v>0.15000000000000002</v>
      </c>
      <c r="M4">
        <v>8.3877380617735682</v>
      </c>
    </row>
    <row r="5" spans="1:13">
      <c r="A5" t="s">
        <v>4</v>
      </c>
      <c r="B5" s="6" t="s">
        <v>14</v>
      </c>
      <c r="C5">
        <f>IF(B5="C",1,-1)</f>
        <v>1</v>
      </c>
      <c r="E5" s="2">
        <f>u*D9</f>
        <v>133.10000000000005</v>
      </c>
      <c r="K5">
        <f t="shared" si="0"/>
        <v>4</v>
      </c>
      <c r="L5">
        <f t="shared" si="1"/>
        <v>0.2</v>
      </c>
      <c r="M5">
        <v>10.282867441719445</v>
      </c>
    </row>
    <row r="6" spans="1:13">
      <c r="A6" t="s">
        <v>5</v>
      </c>
      <c r="B6" s="1">
        <v>1</v>
      </c>
      <c r="E6" s="3">
        <f>MAX(pflag*(E5-strike),0)</f>
        <v>33.100000000000051</v>
      </c>
      <c r="K6">
        <f t="shared" si="0"/>
        <v>5</v>
      </c>
      <c r="L6">
        <f t="shared" si="1"/>
        <v>0.25</v>
      </c>
      <c r="M6">
        <v>12.241835728187596</v>
      </c>
    </row>
    <row r="7" spans="1:13">
      <c r="A7" t="s">
        <v>6</v>
      </c>
      <c r="B7" s="6" t="s">
        <v>17</v>
      </c>
      <c r="C7">
        <f>IF(B7="Y",1,0)</f>
        <v>0</v>
      </c>
      <c r="E7" s="4">
        <f>(F4-F12)/(F1-F9)</f>
        <v>1</v>
      </c>
      <c r="K7">
        <f t="shared" si="0"/>
        <v>6</v>
      </c>
      <c r="L7">
        <f t="shared" si="1"/>
        <v>0.3</v>
      </c>
      <c r="M7" s="9">
        <v>14.246915401166909</v>
      </c>
    </row>
    <row r="8" spans="1:13" ht="10.5" customHeight="1">
      <c r="A8" s="7" t="s">
        <v>16</v>
      </c>
      <c r="B8" s="1">
        <v>4</v>
      </c>
      <c r="E8" s="5">
        <f>MAX(DF*(pdash*F4+(1-pdash)*F12),usflag*E6)</f>
        <v>34.331907761919226</v>
      </c>
      <c r="K8">
        <f t="shared" si="0"/>
        <v>7</v>
      </c>
      <c r="L8">
        <f t="shared" si="1"/>
        <v>0.35</v>
      </c>
      <c r="M8">
        <v>16.288568534186304</v>
      </c>
    </row>
    <row r="9" spans="1:13" ht="14.25" customHeight="1">
      <c r="A9" s="8" t="s">
        <v>15</v>
      </c>
      <c r="B9">
        <f>B6/B8</f>
        <v>0.25</v>
      </c>
      <c r="D9" s="2">
        <f>u*C13</f>
        <v>121.00000000000003</v>
      </c>
      <c r="F9" s="2">
        <f>u*E13</f>
        <v>119.79000000000003</v>
      </c>
      <c r="K9">
        <f t="shared" si="0"/>
        <v>8</v>
      </c>
      <c r="L9">
        <f t="shared" si="1"/>
        <v>0.39999999999999997</v>
      </c>
      <c r="M9">
        <v>18.360256426352151</v>
      </c>
    </row>
    <row r="10" spans="1:13">
      <c r="A10" t="s">
        <v>10</v>
      </c>
      <c r="B10">
        <f>1+B2*SQRT(tstep)</f>
        <v>1.1000000000000001</v>
      </c>
      <c r="D10" s="3">
        <f>MAX(pflag*(D9-strike),0)</f>
        <v>21.000000000000028</v>
      </c>
      <c r="F10" s="3">
        <f>MAX(pflag*(F9-strike),0)</f>
        <v>19.790000000000035</v>
      </c>
      <c r="K10">
        <f t="shared" si="0"/>
        <v>9</v>
      </c>
      <c r="L10">
        <f t="shared" si="1"/>
        <v>0.44999999999999996</v>
      </c>
      <c r="M10">
        <v>20.456688321139826</v>
      </c>
    </row>
    <row r="11" spans="1:13">
      <c r="A11" t="s">
        <v>11</v>
      </c>
      <c r="B11">
        <f>1-B2*SQRT(tstep)</f>
        <v>0.9</v>
      </c>
      <c r="D11" s="4">
        <f>(E8-E16)/(E5-E13)</f>
        <v>0.9643931873572873</v>
      </c>
      <c r="F11" s="4"/>
      <c r="K11">
        <f t="shared" si="0"/>
        <v>10</v>
      </c>
      <c r="L11">
        <f t="shared" si="1"/>
        <v>0.49999999999999994</v>
      </c>
      <c r="M11">
        <v>22.573116213250213</v>
      </c>
    </row>
    <row r="12" spans="1:13">
      <c r="A12" t="s">
        <v>12</v>
      </c>
      <c r="B12">
        <f>0.5+B3*SQRT(tstep)/(2*B2)</f>
        <v>0.5625</v>
      </c>
      <c r="D12" s="5">
        <f>MAX(DF*(pdash*E8+(1-pdash)*E16),usflag*D10)</f>
        <v>23.821754111074874</v>
      </c>
      <c r="F12" s="5">
        <f>F10</f>
        <v>19.790000000000035</v>
      </c>
      <c r="K12">
        <f t="shared" si="0"/>
        <v>11</v>
      </c>
      <c r="L12">
        <f t="shared" si="1"/>
        <v>0.54999999999999993</v>
      </c>
      <c r="M12">
        <v>24.70501299158742</v>
      </c>
    </row>
    <row r="13" spans="1:13">
      <c r="A13" t="s">
        <v>13</v>
      </c>
      <c r="B13">
        <f>EXP(-B3*tstep)</f>
        <v>0.98757780049388144</v>
      </c>
      <c r="C13" s="2">
        <f>u*B17</f>
        <v>110.00000000000001</v>
      </c>
      <c r="E13" s="2">
        <f>u*D17</f>
        <v>108.90000000000002</v>
      </c>
      <c r="K13">
        <v>12</v>
      </c>
      <c r="L13">
        <f t="shared" si="1"/>
        <v>0.6</v>
      </c>
      <c r="M13">
        <v>26.847911073771911</v>
      </c>
    </row>
    <row r="14" spans="1:13">
      <c r="C14" s="3">
        <f>MAX(pflag*(C13-strike),0)</f>
        <v>10.000000000000014</v>
      </c>
      <c r="E14" s="3">
        <f>MAX(pflag*(E13-strike),0)</f>
        <v>8.9000000000000199</v>
      </c>
    </row>
    <row r="15" spans="1:13">
      <c r="C15" s="4">
        <f>(D12-D20)/(D9-D17)</f>
        <v>0.80521253845043772</v>
      </c>
      <c r="E15" s="4">
        <f>(F12-F20)/(F9-F17)</f>
        <v>0.90863177226813685</v>
      </c>
    </row>
    <row r="16" spans="1:13">
      <c r="C16" s="5">
        <f>MAX(DF*(pdash*D12+(1-pdash)*D20),usflag*C14)</f>
        <v>15.87193901276148</v>
      </c>
      <c r="E16" s="5">
        <f>MAX(DF*(pdash*F12+(1-pdash)*F20),usflag*E14)</f>
        <v>10.993592627872845</v>
      </c>
    </row>
    <row r="17" spans="1:13">
      <c r="A17" s="2" t="s">
        <v>0</v>
      </c>
      <c r="B17" s="2">
        <f>B1</f>
        <v>100</v>
      </c>
      <c r="D17" s="2">
        <f>u*C21</f>
        <v>99.000000000000014</v>
      </c>
      <c r="F17" s="2">
        <f>u*E21</f>
        <v>98.010000000000019</v>
      </c>
    </row>
    <row r="18" spans="1:13">
      <c r="A18" s="3" t="s">
        <v>7</v>
      </c>
      <c r="B18" s="3">
        <f>MAX(pflag*(B17-strike),0)</f>
        <v>0</v>
      </c>
      <c r="D18" s="3">
        <f>MAX(pflag*(D17-strike),0)</f>
        <v>0</v>
      </c>
      <c r="F18" s="3">
        <f>MAX(pflag*(F17-strike),0)</f>
        <v>0</v>
      </c>
    </row>
    <row r="19" spans="1:13">
      <c r="A19" s="4" t="s">
        <v>8</v>
      </c>
      <c r="B19" s="4">
        <f>(C16-C24)/(C13-C21)</f>
        <v>0.62396903099743972</v>
      </c>
      <c r="D19" s="4">
        <f>(E16-E24)/(E13-E21)</f>
        <v>0.55523195090266864</v>
      </c>
      <c r="F19" s="4"/>
      <c r="L19" s="7" t="s">
        <v>20</v>
      </c>
      <c r="M19" s="7" t="s">
        <v>19</v>
      </c>
    </row>
    <row r="20" spans="1:13">
      <c r="A20" s="5" t="s">
        <v>9</v>
      </c>
      <c r="B20" s="5">
        <f>MAX(DF*(pdash*C16+(1-pdash)*C24),usflag*B18)</f>
        <v>10.282867441719445</v>
      </c>
      <c r="D20" s="5">
        <f>MAX(DF*(pdash*E16+(1-pdash)*E24),usflag*D18)</f>
        <v>6.1070782651652324</v>
      </c>
      <c r="F20" s="5">
        <f>F18</f>
        <v>0</v>
      </c>
      <c r="L20">
        <v>2</v>
      </c>
      <c r="M20">
        <v>15.962762267981185</v>
      </c>
    </row>
    <row r="21" spans="1:13">
      <c r="C21" s="2">
        <f>v*B17</f>
        <v>90</v>
      </c>
      <c r="E21" s="2">
        <f>u*D25</f>
        <v>89.100000000000009</v>
      </c>
      <c r="L21">
        <v>3</v>
      </c>
      <c r="M21">
        <v>12.324451729598353</v>
      </c>
    </row>
    <row r="22" spans="1:13">
      <c r="C22" s="3">
        <f>MAX(pflag*(C21-strike),0)</f>
        <v>0</v>
      </c>
      <c r="E22" s="3">
        <f>MAX(pflag*(E21-strike),0)</f>
        <v>0</v>
      </c>
      <c r="L22">
        <v>4</v>
      </c>
      <c r="M22">
        <v>10.282867441719445</v>
      </c>
    </row>
    <row r="23" spans="1:13">
      <c r="C23" s="4">
        <f>(D20-D28)/(D17-D25)</f>
        <v>0.33928212584251266</v>
      </c>
      <c r="E23" s="4">
        <f>(F20-F28)/(F17-F25)</f>
        <v>0</v>
      </c>
      <c r="L23">
        <v>5</v>
      </c>
      <c r="M23">
        <v>8.9509712027525286</v>
      </c>
    </row>
    <row r="24" spans="1:13">
      <c r="C24" s="5">
        <f>MAX(DF*(pdash*D20+(1-pdash)*D28),usflag*C22)</f>
        <v>3.3925583928126768</v>
      </c>
      <c r="E24" s="5">
        <f>MAX(DF*(pdash*F20+(1-pdash)*F28),usflag*E22)</f>
        <v>0</v>
      </c>
      <c r="L24">
        <v>6</v>
      </c>
      <c r="M24">
        <v>8.001741274113332</v>
      </c>
    </row>
    <row r="25" spans="1:13">
      <c r="D25" s="2">
        <f>v*C21</f>
        <v>81</v>
      </c>
      <c r="F25" s="2">
        <f>u*E29</f>
        <v>80.190000000000012</v>
      </c>
      <c r="L25">
        <v>7</v>
      </c>
      <c r="M25">
        <v>7.2846696998258711</v>
      </c>
    </row>
    <row r="26" spans="1:13">
      <c r="D26" s="3">
        <f>MAX(pflag*(D25-strike),0)</f>
        <v>0</v>
      </c>
      <c r="F26" s="3">
        <f>MAX(pflag*(F25-strike),0)</f>
        <v>0</v>
      </c>
      <c r="L26">
        <v>8</v>
      </c>
      <c r="M26">
        <v>6.7201557598025561</v>
      </c>
    </row>
    <row r="27" spans="1:13">
      <c r="D27" s="4">
        <f>(E24-E32)/(E21-E29)</f>
        <v>0</v>
      </c>
      <c r="F27" s="4"/>
      <c r="L27">
        <v>9</v>
      </c>
      <c r="M27">
        <v>6.2618567681491095</v>
      </c>
    </row>
    <row r="28" spans="1:13">
      <c r="D28" s="5">
        <f>MAX(DF*(pdash*E24+(1-pdash)*E32),usflag*D26)</f>
        <v>0</v>
      </c>
      <c r="F28" s="5">
        <f>F26</f>
        <v>0</v>
      </c>
      <c r="L28">
        <v>10</v>
      </c>
      <c r="M28">
        <v>5.8808195813002015</v>
      </c>
    </row>
    <row r="29" spans="1:13">
      <c r="E29" s="2">
        <f>v*D25</f>
        <v>72.900000000000006</v>
      </c>
      <c r="L29">
        <v>11</v>
      </c>
      <c r="M29">
        <v>5.557948684822251</v>
      </c>
    </row>
    <row r="30" spans="1:13">
      <c r="E30" s="3">
        <f>MAX(pflag*(E29-strike),0)</f>
        <v>0</v>
      </c>
      <c r="L30">
        <v>12</v>
      </c>
      <c r="M30">
        <v>5.2800976654305725</v>
      </c>
    </row>
    <row r="31" spans="1:13">
      <c r="E31" s="4">
        <f>(F28-F36)/(F25-F33)</f>
        <v>0</v>
      </c>
      <c r="L31">
        <v>13</v>
      </c>
      <c r="M31">
        <v>5.0378945989348134</v>
      </c>
    </row>
    <row r="32" spans="1:13">
      <c r="E32" s="5">
        <f>MAX(DF*(pdash*F28+(1-pdash)*F36),usflag*E30)</f>
        <v>0</v>
      </c>
      <c r="L32">
        <v>14</v>
      </c>
      <c r="M32">
        <v>4.8244623967120699</v>
      </c>
    </row>
    <row r="33" spans="6:13">
      <c r="F33" s="2">
        <f>v*E29</f>
        <v>65.610000000000014</v>
      </c>
      <c r="L33">
        <v>15</v>
      </c>
      <c r="M33">
        <v>4.6346302455121995</v>
      </c>
    </row>
    <row r="34" spans="6:13">
      <c r="F34" s="3">
        <f>MAX(pflag*(F33-strike),0)</f>
        <v>0</v>
      </c>
      <c r="L34">
        <v>16</v>
      </c>
      <c r="M34">
        <v>4.4644285211523549</v>
      </c>
    </row>
    <row r="35" spans="6:13">
      <c r="F35" s="4"/>
      <c r="L35">
        <v>17</v>
      </c>
      <c r="M35">
        <v>4.3107544559699296</v>
      </c>
    </row>
    <row r="36" spans="6:13">
      <c r="F36" s="5">
        <f>F34</f>
        <v>0</v>
      </c>
      <c r="L36">
        <v>18</v>
      </c>
      <c r="M36">
        <v>4.1711444741854287</v>
      </c>
    </row>
    <row r="37" spans="6:13">
      <c r="L37">
        <v>19</v>
      </c>
      <c r="M37">
        <v>4.0436152912180514</v>
      </c>
    </row>
    <row r="38" spans="6:13">
      <c r="L38">
        <v>20</v>
      </c>
      <c r="M38">
        <v>3.926550576986751</v>
      </c>
    </row>
    <row r="39" spans="6:13">
      <c r="L39">
        <v>25</v>
      </c>
      <c r="M39">
        <v>3.4585196936027729</v>
      </c>
    </row>
    <row r="40" spans="6:13">
      <c r="L40">
        <v>30</v>
      </c>
      <c r="M40">
        <v>3.1210135077791854</v>
      </c>
    </row>
    <row r="41" spans="6:13">
      <c r="L41">
        <v>40</v>
      </c>
      <c r="M41">
        <v>2.6587784735618798</v>
      </c>
    </row>
    <row r="42" spans="6:13">
      <c r="L42">
        <v>50</v>
      </c>
      <c r="M42">
        <v>2.3510985287549686</v>
      </c>
    </row>
  </sheetData>
  <phoneticPr fontId="1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Sheet1</vt:lpstr>
      <vt:lpstr>Sheet2</vt:lpstr>
      <vt:lpstr>Sheet3</vt:lpstr>
      <vt:lpstr>DF</vt:lpstr>
      <vt:lpstr>pdash</vt:lpstr>
      <vt:lpstr>pflag</vt:lpstr>
      <vt:lpstr>strike</vt:lpstr>
      <vt:lpstr>tstep</vt:lpstr>
      <vt:lpstr>u</vt:lpstr>
      <vt:lpstr>usflag</vt:lpstr>
      <vt:lpstr>v</vt:lpstr>
    </vt:vector>
  </TitlesOfParts>
  <Company>7city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plamen</cp:lastModifiedBy>
  <dcterms:created xsi:type="dcterms:W3CDTF">2008-08-13T12:47:29Z</dcterms:created>
  <dcterms:modified xsi:type="dcterms:W3CDTF">2009-03-05T02:33:47Z</dcterms:modified>
</cp:coreProperties>
</file>