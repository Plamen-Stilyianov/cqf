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0" yWindow="45" windowWidth="15480" windowHeight="11640"/>
  </bookViews>
  <sheets>
    <sheet name="SPX" sheetId="1" r:id="rId1"/>
  </sheets>
  <definedNames>
    <definedName name="avg">SPX!$G$1</definedName>
    <definedName name="bucketwidth">SPX!$G$6</definedName>
    <definedName name="num">SPX!$G$7</definedName>
    <definedName name="sd">SPX!$G$2</definedName>
  </definedNames>
  <calcPr calcId="125725"/>
</workbook>
</file>

<file path=xl/calcChain.xml><?xml version="1.0" encoding="utf-8"?>
<calcChain xmlns="http://schemas.openxmlformats.org/spreadsheetml/2006/main">
  <c r="C4" i="1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C2486"/>
  <c r="C2487"/>
  <c r="C2488"/>
  <c r="C2489"/>
  <c r="C2490"/>
  <c r="C2491"/>
  <c r="C2492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C2774"/>
  <c r="C2775"/>
  <c r="C2776"/>
  <c r="C2777"/>
  <c r="C2778"/>
  <c r="C2779"/>
  <c r="C2780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C3515"/>
  <c r="C3516"/>
  <c r="C3517"/>
  <c r="C3518"/>
  <c r="C3519"/>
  <c r="C3520"/>
  <c r="C3521"/>
  <c r="C3522"/>
  <c r="C3523"/>
  <c r="C3524"/>
  <c r="C3525"/>
  <c r="C3526"/>
  <c r="C3527"/>
  <c r="C3528"/>
  <c r="C3529"/>
  <c r="C3530"/>
  <c r="C3531"/>
  <c r="C3532"/>
  <c r="C3533"/>
  <c r="C3534"/>
  <c r="C3535"/>
  <c r="C3536"/>
  <c r="C3537"/>
  <c r="C3538"/>
  <c r="C3539"/>
  <c r="C3540"/>
  <c r="C3541"/>
  <c r="C3542"/>
  <c r="C3543"/>
  <c r="C3544"/>
  <c r="C3545"/>
  <c r="C3546"/>
  <c r="C3547"/>
  <c r="C3548"/>
  <c r="C3549"/>
  <c r="C3550"/>
  <c r="C3551"/>
  <c r="C3552"/>
  <c r="C3553"/>
  <c r="C3554"/>
  <c r="C3555"/>
  <c r="C3556"/>
  <c r="C3557"/>
  <c r="C3558"/>
  <c r="C3559"/>
  <c r="C3560"/>
  <c r="C3561"/>
  <c r="C3562"/>
  <c r="C3563"/>
  <c r="C3564"/>
  <c r="C3565"/>
  <c r="C3566"/>
  <c r="C3567"/>
  <c r="C3568"/>
  <c r="C3569"/>
  <c r="C3570"/>
  <c r="C3571"/>
  <c r="C3572"/>
  <c r="C3573"/>
  <c r="C3574"/>
  <c r="C3575"/>
  <c r="C3576"/>
  <c r="C3577"/>
  <c r="C3578"/>
  <c r="C3579"/>
  <c r="C3580"/>
  <c r="C3581"/>
  <c r="C3582"/>
  <c r="C3583"/>
  <c r="C3584"/>
  <c r="C3585"/>
  <c r="C3586"/>
  <c r="C3587"/>
  <c r="C3588"/>
  <c r="C3589"/>
  <c r="C3590"/>
  <c r="C3591"/>
  <c r="C3592"/>
  <c r="C3593"/>
  <c r="C3594"/>
  <c r="C3595"/>
  <c r="C3596"/>
  <c r="C3597"/>
  <c r="C3598"/>
  <c r="C3599"/>
  <c r="C3600"/>
  <c r="C3601"/>
  <c r="C3602"/>
  <c r="C3603"/>
  <c r="C3604"/>
  <c r="C3605"/>
  <c r="C3606"/>
  <c r="C3607"/>
  <c r="C3608"/>
  <c r="C3609"/>
  <c r="C3610"/>
  <c r="C3611"/>
  <c r="C3612"/>
  <c r="C3613"/>
  <c r="C3614"/>
  <c r="C3615"/>
  <c r="C3616"/>
  <c r="C3617"/>
  <c r="C3618"/>
  <c r="C3619"/>
  <c r="C3620"/>
  <c r="C3621"/>
  <c r="C3622"/>
  <c r="C3623"/>
  <c r="C3624"/>
  <c r="C3625"/>
  <c r="C3626"/>
  <c r="C3627"/>
  <c r="C3628"/>
  <c r="C3629"/>
  <c r="C3630"/>
  <c r="C3631"/>
  <c r="C3632"/>
  <c r="C3633"/>
  <c r="C3634"/>
  <c r="C3635"/>
  <c r="C3636"/>
  <c r="C3637"/>
  <c r="C3638"/>
  <c r="C3639"/>
  <c r="C3640"/>
  <c r="C3641"/>
  <c r="C3642"/>
  <c r="C3643"/>
  <c r="C3644"/>
  <c r="C3645"/>
  <c r="C3646"/>
  <c r="C3647"/>
  <c r="C3648"/>
  <c r="C3649"/>
  <c r="C3650"/>
  <c r="C3651"/>
  <c r="C3652"/>
  <c r="C3653"/>
  <c r="C3654"/>
  <c r="C3655"/>
  <c r="C3656"/>
  <c r="C3657"/>
  <c r="C3658"/>
  <c r="C3659"/>
  <c r="C3660"/>
  <c r="C3661"/>
  <c r="C3662"/>
  <c r="C3663"/>
  <c r="C3664"/>
  <c r="C3665"/>
  <c r="C3666"/>
  <c r="C3667"/>
  <c r="C3668"/>
  <c r="C3669"/>
  <c r="C3670"/>
  <c r="C3671"/>
  <c r="C3672"/>
  <c r="C3673"/>
  <c r="C3674"/>
  <c r="C3675"/>
  <c r="C3676"/>
  <c r="C3677"/>
  <c r="C3678"/>
  <c r="C3679"/>
  <c r="C3680"/>
  <c r="C3681"/>
  <c r="C3682"/>
  <c r="C3683"/>
  <c r="C3684"/>
  <c r="C3685"/>
  <c r="C3686"/>
  <c r="C3687"/>
  <c r="C3688"/>
  <c r="C3689"/>
  <c r="C3690"/>
  <c r="C3691"/>
  <c r="C3692"/>
  <c r="C3693"/>
  <c r="C3694"/>
  <c r="C3695"/>
  <c r="C3696"/>
  <c r="C3697"/>
  <c r="C3698"/>
  <c r="C3699"/>
  <c r="C3700"/>
  <c r="C3701"/>
  <c r="C3702"/>
  <c r="C3703"/>
  <c r="C3704"/>
  <c r="C3705"/>
  <c r="C3706"/>
  <c r="C3707"/>
  <c r="C3708"/>
  <c r="C3709"/>
  <c r="C3710"/>
  <c r="C3711"/>
  <c r="C3712"/>
  <c r="C3713"/>
  <c r="C3714"/>
  <c r="C3715"/>
  <c r="C3716"/>
  <c r="C3717"/>
  <c r="C3718"/>
  <c r="C3719"/>
  <c r="C3720"/>
  <c r="C3721"/>
  <c r="C3722"/>
  <c r="C3723"/>
  <c r="C3724"/>
  <c r="C3725"/>
  <c r="C3726"/>
  <c r="C3727"/>
  <c r="C3728"/>
  <c r="C3729"/>
  <c r="C3730"/>
  <c r="C3731"/>
  <c r="C3732"/>
  <c r="C3733"/>
  <c r="C3734"/>
  <c r="C3735"/>
  <c r="C3736"/>
  <c r="C3737"/>
  <c r="C3738"/>
  <c r="C3739"/>
  <c r="C3740"/>
  <c r="C3741"/>
  <c r="C3742"/>
  <c r="C3743"/>
  <c r="C3744"/>
  <c r="C3745"/>
  <c r="C3746"/>
  <c r="C3747"/>
  <c r="C3748"/>
  <c r="C3749"/>
  <c r="C3750"/>
  <c r="C3751"/>
  <c r="C3752"/>
  <c r="C3753"/>
  <c r="C3754"/>
  <c r="C3755"/>
  <c r="C3756"/>
  <c r="C3757"/>
  <c r="C3758"/>
  <c r="C3759"/>
  <c r="C3760"/>
  <c r="C3761"/>
  <c r="C3762"/>
  <c r="C3763"/>
  <c r="C3764"/>
  <c r="C3765"/>
  <c r="C3766"/>
  <c r="C3767"/>
  <c r="C3768"/>
  <c r="C3769"/>
  <c r="C3770"/>
  <c r="C3771"/>
  <c r="C3772"/>
  <c r="C3773"/>
  <c r="C3774"/>
  <c r="C3775"/>
  <c r="C3776"/>
  <c r="C3777"/>
  <c r="C3778"/>
  <c r="C3779"/>
  <c r="C3780"/>
  <c r="C3781"/>
  <c r="C3782"/>
  <c r="C3783"/>
  <c r="C3784"/>
  <c r="C3785"/>
  <c r="C3786"/>
  <c r="C3787"/>
  <c r="C3788"/>
  <c r="C3789"/>
  <c r="C3790"/>
  <c r="C3791"/>
  <c r="C3792"/>
  <c r="C3793"/>
  <c r="C3794"/>
  <c r="C3795"/>
  <c r="C3796"/>
  <c r="C3797"/>
  <c r="C3798"/>
  <c r="C3799"/>
  <c r="C3800"/>
  <c r="C3801"/>
  <c r="C3802"/>
  <c r="C3803"/>
  <c r="C3804"/>
  <c r="C3805"/>
  <c r="C3806"/>
  <c r="C3807"/>
  <c r="C3808"/>
  <c r="C3809"/>
  <c r="C3810"/>
  <c r="C3811"/>
  <c r="C3812"/>
  <c r="C3813"/>
  <c r="C3814"/>
  <c r="C3815"/>
  <c r="C3816"/>
  <c r="C3817"/>
  <c r="C3818"/>
  <c r="C3819"/>
  <c r="C3820"/>
  <c r="C3821"/>
  <c r="C3822"/>
  <c r="C3823"/>
  <c r="C3824"/>
  <c r="C3825"/>
  <c r="C3826"/>
  <c r="C3827"/>
  <c r="C3828"/>
  <c r="C3829"/>
  <c r="C3830"/>
  <c r="C3831"/>
  <c r="C3832"/>
  <c r="C3833"/>
  <c r="C3834"/>
  <c r="C3835"/>
  <c r="C3836"/>
  <c r="C3837"/>
  <c r="C3838"/>
  <c r="C3839"/>
  <c r="C3840"/>
  <c r="C3841"/>
  <c r="C3842"/>
  <c r="C3843"/>
  <c r="C3844"/>
  <c r="C3845"/>
  <c r="C3846"/>
  <c r="C3847"/>
  <c r="C3848"/>
  <c r="C3849"/>
  <c r="C3850"/>
  <c r="C3851"/>
  <c r="C3852"/>
  <c r="C3853"/>
  <c r="C3854"/>
  <c r="C3855"/>
  <c r="C3856"/>
  <c r="C3857"/>
  <c r="C3858"/>
  <c r="C3859"/>
  <c r="C3860"/>
  <c r="C3861"/>
  <c r="C3862"/>
  <c r="C3863"/>
  <c r="C3864"/>
  <c r="C3865"/>
  <c r="C3866"/>
  <c r="C3867"/>
  <c r="C3868"/>
  <c r="C3869"/>
  <c r="C3870"/>
  <c r="C3871"/>
  <c r="C3872"/>
  <c r="C3873"/>
  <c r="C3874"/>
  <c r="C3875"/>
  <c r="C3876"/>
  <c r="C3877"/>
  <c r="C3878"/>
  <c r="C3879"/>
  <c r="C3880"/>
  <c r="C3881"/>
  <c r="C3882"/>
  <c r="C3883"/>
  <c r="C3884"/>
  <c r="C3885"/>
  <c r="C3886"/>
  <c r="C3887"/>
  <c r="C3888"/>
  <c r="C3889"/>
  <c r="C3890"/>
  <c r="C3891"/>
  <c r="C3892"/>
  <c r="C3893"/>
  <c r="C3894"/>
  <c r="C3895"/>
  <c r="C3896"/>
  <c r="C3897"/>
  <c r="C3898"/>
  <c r="C3899"/>
  <c r="C3900"/>
  <c r="C3901"/>
  <c r="C3902"/>
  <c r="C3903"/>
  <c r="C3904"/>
  <c r="C3905"/>
  <c r="C3906"/>
  <c r="C3907"/>
  <c r="C3908"/>
  <c r="C3909"/>
  <c r="C3910"/>
  <c r="C3911"/>
  <c r="C3912"/>
  <c r="C3913"/>
  <c r="C3914"/>
  <c r="C3915"/>
  <c r="C3916"/>
  <c r="C3917"/>
  <c r="C3918"/>
  <c r="C3919"/>
  <c r="C3920"/>
  <c r="C3921"/>
  <c r="C3922"/>
  <c r="C3923"/>
  <c r="C3924"/>
  <c r="C3925"/>
  <c r="C3926"/>
  <c r="C3927"/>
  <c r="C3928"/>
  <c r="C3929"/>
  <c r="C3930"/>
  <c r="C3931"/>
  <c r="C3932"/>
  <c r="C3933"/>
  <c r="C3934"/>
  <c r="C3935"/>
  <c r="C3936"/>
  <c r="C3937"/>
  <c r="C3938"/>
  <c r="C3939"/>
  <c r="C3940"/>
  <c r="C3941"/>
  <c r="C3942"/>
  <c r="C3943"/>
  <c r="C3944"/>
  <c r="C3945"/>
  <c r="C3946"/>
  <c r="C3947"/>
  <c r="C3948"/>
  <c r="C3949"/>
  <c r="C3950"/>
  <c r="C3951"/>
  <c r="C3952"/>
  <c r="C3953"/>
  <c r="C3954"/>
  <c r="C3955"/>
  <c r="C3956"/>
  <c r="C3957"/>
  <c r="C3958"/>
  <c r="C3959"/>
  <c r="C3960"/>
  <c r="C3961"/>
  <c r="C3962"/>
  <c r="C3963"/>
  <c r="C3964"/>
  <c r="C3965"/>
  <c r="C3966"/>
  <c r="C3967"/>
  <c r="C3968"/>
  <c r="C3969"/>
  <c r="C3970"/>
  <c r="C3971"/>
  <c r="C3972"/>
  <c r="C3973"/>
  <c r="C3974"/>
  <c r="C3975"/>
  <c r="C3976"/>
  <c r="C3977"/>
  <c r="C3978"/>
  <c r="C3979"/>
  <c r="C3980"/>
  <c r="C3981"/>
  <c r="C3982"/>
  <c r="C3983"/>
  <c r="C3984"/>
  <c r="C3985"/>
  <c r="C3986"/>
  <c r="C3987"/>
  <c r="C3988"/>
  <c r="C3989"/>
  <c r="C3990"/>
  <c r="C3991"/>
  <c r="C3992"/>
  <c r="C3993"/>
  <c r="C3994"/>
  <c r="C3995"/>
  <c r="C3996"/>
  <c r="C3997"/>
  <c r="C3998"/>
  <c r="C3999"/>
  <c r="C4000"/>
  <c r="C4001"/>
  <c r="C4002"/>
  <c r="C4003"/>
  <c r="C4004"/>
  <c r="C4005"/>
  <c r="C4006"/>
  <c r="C4007"/>
  <c r="C4008"/>
  <c r="C4009"/>
  <c r="C4010"/>
  <c r="C4011"/>
  <c r="C4012"/>
  <c r="C4013"/>
  <c r="C4014"/>
  <c r="C4015"/>
  <c r="C4016"/>
  <c r="C4017"/>
  <c r="C4018"/>
  <c r="C4019"/>
  <c r="C4020"/>
  <c r="C4021"/>
  <c r="C4022"/>
  <c r="C4023"/>
  <c r="C4024"/>
  <c r="C4025"/>
  <c r="C4026"/>
  <c r="C4027"/>
  <c r="C4028"/>
  <c r="C4029"/>
  <c r="C4030"/>
  <c r="C4031"/>
  <c r="C4032"/>
  <c r="C4033"/>
  <c r="C4034"/>
  <c r="C4035"/>
  <c r="C4036"/>
  <c r="C4037"/>
  <c r="C4038"/>
  <c r="C4039"/>
  <c r="C4040"/>
  <c r="C4041"/>
  <c r="C4042"/>
  <c r="C4043"/>
  <c r="C4044"/>
  <c r="C4045"/>
  <c r="C4046"/>
  <c r="C4047"/>
  <c r="C4048"/>
  <c r="C4049"/>
  <c r="C4050"/>
  <c r="C4051"/>
  <c r="C4052"/>
  <c r="C4053"/>
  <c r="C4054"/>
  <c r="C4055"/>
  <c r="C4056"/>
  <c r="C4057"/>
  <c r="C4058"/>
  <c r="C4059"/>
  <c r="C4060"/>
  <c r="C4061"/>
  <c r="C4062"/>
  <c r="C4063"/>
  <c r="C4064"/>
  <c r="C4065"/>
  <c r="C4066"/>
  <c r="C4067"/>
  <c r="C4068"/>
  <c r="C4069"/>
  <c r="C4070"/>
  <c r="C4071"/>
  <c r="C4072"/>
  <c r="C4073"/>
  <c r="C4074"/>
  <c r="C4075"/>
  <c r="C4076"/>
  <c r="C4077"/>
  <c r="C4078"/>
  <c r="C4079"/>
  <c r="C4080"/>
  <c r="C4081"/>
  <c r="C4082"/>
  <c r="C4083"/>
  <c r="C4084"/>
  <c r="C4085"/>
  <c r="C4086"/>
  <c r="C4087"/>
  <c r="C4088"/>
  <c r="C4089"/>
  <c r="C4090"/>
  <c r="C4091"/>
  <c r="C4092"/>
  <c r="C4093"/>
  <c r="C4094"/>
  <c r="C4095"/>
  <c r="C4096"/>
  <c r="C4097"/>
  <c r="C4098"/>
  <c r="C4099"/>
  <c r="C4100"/>
  <c r="C4101"/>
  <c r="C4102"/>
  <c r="C4103"/>
  <c r="C4104"/>
  <c r="C4105"/>
  <c r="C4106"/>
  <c r="C4107"/>
  <c r="C4108"/>
  <c r="C4109"/>
  <c r="C4110"/>
  <c r="C4111"/>
  <c r="C4112"/>
  <c r="C4113"/>
  <c r="C4114"/>
  <c r="C4115"/>
  <c r="C4116"/>
  <c r="C4117"/>
  <c r="C4118"/>
  <c r="C4119"/>
  <c r="C4120"/>
  <c r="C4121"/>
  <c r="C4122"/>
  <c r="C4123"/>
  <c r="C4124"/>
  <c r="C4125"/>
  <c r="C4126"/>
  <c r="C4127"/>
  <c r="C4128"/>
  <c r="C4129"/>
  <c r="C4130"/>
  <c r="C4131"/>
  <c r="C4132"/>
  <c r="C4133"/>
  <c r="C4134"/>
  <c r="C4135"/>
  <c r="C4136"/>
  <c r="C4137"/>
  <c r="C4138"/>
  <c r="C4139"/>
  <c r="C4140"/>
  <c r="C4141"/>
  <c r="C4142"/>
  <c r="C4143"/>
  <c r="C4144"/>
  <c r="C4145"/>
  <c r="C4146"/>
  <c r="C4147"/>
  <c r="C4148"/>
  <c r="C4149"/>
  <c r="C4150"/>
  <c r="C4151"/>
  <c r="C4152"/>
  <c r="C4153"/>
  <c r="C4154"/>
  <c r="C4155"/>
  <c r="C4156"/>
  <c r="C4157"/>
  <c r="C4158"/>
  <c r="C4159"/>
  <c r="C4160"/>
  <c r="C4161"/>
  <c r="C4162"/>
  <c r="C4163"/>
  <c r="C4164"/>
  <c r="C4165"/>
  <c r="C4166"/>
  <c r="C4167"/>
  <c r="C4168"/>
  <c r="C4169"/>
  <c r="C4170"/>
  <c r="C4171"/>
  <c r="C4172"/>
  <c r="C4173"/>
  <c r="C4174"/>
  <c r="C4175"/>
  <c r="C4176"/>
  <c r="C4177"/>
  <c r="C4178"/>
  <c r="C4179"/>
  <c r="C4180"/>
  <c r="C4181"/>
  <c r="C4182"/>
  <c r="C4183"/>
  <c r="C4184"/>
  <c r="C4185"/>
  <c r="C4186"/>
  <c r="C4187"/>
  <c r="C4188"/>
  <c r="C4189"/>
  <c r="C4190"/>
  <c r="C4191"/>
  <c r="C4192"/>
  <c r="C4193"/>
  <c r="C4194"/>
  <c r="C4195"/>
  <c r="C4196"/>
  <c r="C4197"/>
  <c r="C4198"/>
  <c r="C4199"/>
  <c r="C4200"/>
  <c r="C4201"/>
  <c r="C4202"/>
  <c r="C4203"/>
  <c r="C4204"/>
  <c r="C4205"/>
  <c r="C4206"/>
  <c r="C4207"/>
  <c r="C4208"/>
  <c r="C4209"/>
  <c r="C4210"/>
  <c r="C4211"/>
  <c r="C4212"/>
  <c r="C4213"/>
  <c r="C4214"/>
  <c r="C4215"/>
  <c r="C4216"/>
  <c r="C4217"/>
  <c r="C4218"/>
  <c r="C4219"/>
  <c r="C4220"/>
  <c r="C4221"/>
  <c r="C4222"/>
  <c r="C4223"/>
  <c r="C4224"/>
  <c r="C4225"/>
  <c r="C4226"/>
  <c r="C4227"/>
  <c r="C4228"/>
  <c r="C4229"/>
  <c r="C4230"/>
  <c r="C4231"/>
  <c r="C4232"/>
  <c r="C4233"/>
  <c r="C4234"/>
  <c r="C4235"/>
  <c r="C4236"/>
  <c r="C4237"/>
  <c r="C4238"/>
  <c r="C4239"/>
  <c r="C4240"/>
  <c r="C4241"/>
  <c r="C4242"/>
  <c r="C4243"/>
  <c r="C4244"/>
  <c r="C4245"/>
  <c r="C4246"/>
  <c r="C4247"/>
  <c r="C4248"/>
  <c r="C4249"/>
  <c r="C4250"/>
  <c r="C4251"/>
  <c r="C4252"/>
  <c r="C4253"/>
  <c r="C4254"/>
  <c r="C4255"/>
  <c r="C4256"/>
  <c r="C4257"/>
  <c r="C4258"/>
  <c r="C4259"/>
  <c r="C4260"/>
  <c r="C4261"/>
  <c r="C4262"/>
  <c r="C4263"/>
  <c r="C4264"/>
  <c r="C4265"/>
  <c r="C4266"/>
  <c r="C4267"/>
  <c r="C4268"/>
  <c r="C4269"/>
  <c r="C4270"/>
  <c r="C4271"/>
  <c r="C4272"/>
  <c r="C4273"/>
  <c r="C4274"/>
  <c r="C4275"/>
  <c r="C4276"/>
  <c r="C4277"/>
  <c r="C4278"/>
  <c r="C4279"/>
  <c r="C4280"/>
  <c r="C4281"/>
  <c r="C4282"/>
  <c r="C4283"/>
  <c r="C4284"/>
  <c r="C4285"/>
  <c r="C4286"/>
  <c r="C4287"/>
  <c r="C4288"/>
  <c r="C4289"/>
  <c r="C4290"/>
  <c r="C4291"/>
  <c r="C4292"/>
  <c r="C4293"/>
  <c r="C4294"/>
  <c r="C4295"/>
  <c r="C4296"/>
  <c r="C4297"/>
  <c r="C4298"/>
  <c r="C4299"/>
  <c r="C4300"/>
  <c r="C4301"/>
  <c r="C4302"/>
  <c r="C4303"/>
  <c r="C4304"/>
  <c r="C4305"/>
  <c r="C4306"/>
  <c r="C4307"/>
  <c r="C4308"/>
  <c r="C4309"/>
  <c r="C4310"/>
  <c r="C4311"/>
  <c r="C4312"/>
  <c r="C4313"/>
  <c r="C4314"/>
  <c r="C4315"/>
  <c r="C4316"/>
  <c r="C4317"/>
  <c r="C4318"/>
  <c r="C4319"/>
  <c r="C4320"/>
  <c r="C4321"/>
  <c r="C4322"/>
  <c r="C4323"/>
  <c r="C4324"/>
  <c r="C4325"/>
  <c r="C4326"/>
  <c r="C4327"/>
  <c r="C4328"/>
  <c r="C4329"/>
  <c r="C4330"/>
  <c r="C4331"/>
  <c r="C4332"/>
  <c r="C4333"/>
  <c r="C4334"/>
  <c r="C4335"/>
  <c r="C4336"/>
  <c r="C4337"/>
  <c r="C4338"/>
  <c r="C4339"/>
  <c r="C4340"/>
  <c r="C4341"/>
  <c r="C4342"/>
  <c r="C4343"/>
  <c r="C4344"/>
  <c r="C4345"/>
  <c r="C4346"/>
  <c r="C4347"/>
  <c r="C4348"/>
  <c r="C4349"/>
  <c r="C4350"/>
  <c r="C4351"/>
  <c r="C4352"/>
  <c r="C4353"/>
  <c r="C4354"/>
  <c r="C4355"/>
  <c r="C4356"/>
  <c r="C4357"/>
  <c r="C4358"/>
  <c r="C4359"/>
  <c r="C4360"/>
  <c r="C4361"/>
  <c r="C4362"/>
  <c r="C4363"/>
  <c r="C4364"/>
  <c r="C4365"/>
  <c r="C4366"/>
  <c r="C4367"/>
  <c r="C4368"/>
  <c r="C4369"/>
  <c r="C4370"/>
  <c r="C4371"/>
  <c r="C4372"/>
  <c r="C4373"/>
  <c r="C4374"/>
  <c r="C4375"/>
  <c r="C4376"/>
  <c r="C4377"/>
  <c r="C4378"/>
  <c r="C4379"/>
  <c r="C4380"/>
  <c r="C4381"/>
  <c r="C4382"/>
  <c r="C4383"/>
  <c r="C4384"/>
  <c r="C4385"/>
  <c r="C4386"/>
  <c r="C4387"/>
  <c r="C4388"/>
  <c r="C4389"/>
  <c r="C4390"/>
  <c r="C4391"/>
  <c r="C4392"/>
  <c r="C4393"/>
  <c r="C4394"/>
  <c r="C4395"/>
  <c r="C4396"/>
  <c r="C4397"/>
  <c r="C4398"/>
  <c r="C4399"/>
  <c r="C4400"/>
  <c r="C4401"/>
  <c r="C4402"/>
  <c r="C4403"/>
  <c r="C4404"/>
  <c r="C4405"/>
  <c r="C4406"/>
  <c r="C4407"/>
  <c r="C4408"/>
  <c r="C4409"/>
  <c r="C4410"/>
  <c r="C4411"/>
  <c r="C4412"/>
  <c r="C4413"/>
  <c r="C4414"/>
  <c r="C4415"/>
  <c r="C4416"/>
  <c r="C4417"/>
  <c r="C4418"/>
  <c r="C4419"/>
  <c r="C4420"/>
  <c r="C4421"/>
  <c r="C4422"/>
  <c r="C4423"/>
  <c r="C4424"/>
  <c r="C4425"/>
  <c r="C4426"/>
  <c r="C4427"/>
  <c r="C4428"/>
  <c r="C4429"/>
  <c r="C4430"/>
  <c r="C4431"/>
  <c r="C4432"/>
  <c r="C4433"/>
  <c r="C4434"/>
  <c r="C4435"/>
  <c r="C4436"/>
  <c r="C4437"/>
  <c r="C4438"/>
  <c r="C4439"/>
  <c r="C4440"/>
  <c r="C4441"/>
  <c r="C4442"/>
  <c r="C4443"/>
  <c r="C4444"/>
  <c r="C4445"/>
  <c r="C4446"/>
  <c r="C4447"/>
  <c r="C4448"/>
  <c r="C4449"/>
  <c r="C4450"/>
  <c r="C4451"/>
  <c r="C4452"/>
  <c r="C4453"/>
  <c r="C4454"/>
  <c r="C4455"/>
  <c r="C4456"/>
  <c r="C4457"/>
  <c r="C4458"/>
  <c r="C4459"/>
  <c r="C4460"/>
  <c r="C4461"/>
  <c r="C4462"/>
  <c r="C4463"/>
  <c r="C4464"/>
  <c r="C4465"/>
  <c r="C4466"/>
  <c r="C4467"/>
  <c r="C4468"/>
  <c r="C4469"/>
  <c r="C4470"/>
  <c r="C4471"/>
  <c r="C4472"/>
  <c r="C4473"/>
  <c r="C4474"/>
  <c r="C4475"/>
  <c r="C4476"/>
  <c r="C4477"/>
  <c r="C4478"/>
  <c r="C4479"/>
  <c r="C4480"/>
  <c r="C4481"/>
  <c r="C4482"/>
  <c r="C4483"/>
  <c r="C4484"/>
  <c r="C4485"/>
  <c r="C4486"/>
  <c r="C4487"/>
  <c r="C4488"/>
  <c r="C4489"/>
  <c r="C4490"/>
  <c r="C4491"/>
  <c r="C4492"/>
  <c r="C4493"/>
  <c r="C4494"/>
  <c r="C4495"/>
  <c r="C4496"/>
  <c r="C4497"/>
  <c r="C4498"/>
  <c r="C4499"/>
  <c r="C4500"/>
  <c r="C4501"/>
  <c r="C4502"/>
  <c r="C4503"/>
  <c r="C4504"/>
  <c r="C4505"/>
  <c r="C4506"/>
  <c r="C4507"/>
  <c r="C4508"/>
  <c r="C4509"/>
  <c r="C4510"/>
  <c r="C4511"/>
  <c r="C4512"/>
  <c r="C4513"/>
  <c r="C4514"/>
  <c r="C4515"/>
  <c r="C4516"/>
  <c r="C4517"/>
  <c r="C4518"/>
  <c r="C4519"/>
  <c r="C4520"/>
  <c r="C4521"/>
  <c r="C4522"/>
  <c r="C4523"/>
  <c r="C4524"/>
  <c r="C4525"/>
  <c r="C4526"/>
  <c r="C4527"/>
  <c r="C4528"/>
  <c r="C4529"/>
  <c r="C4530"/>
  <c r="C4531"/>
  <c r="C4532"/>
  <c r="C4533"/>
  <c r="C4534"/>
  <c r="C4535"/>
  <c r="C4536"/>
  <c r="C4537"/>
  <c r="C4538"/>
  <c r="C4539"/>
  <c r="C4540"/>
  <c r="C4541"/>
  <c r="C4542"/>
  <c r="C4543"/>
  <c r="C4544"/>
  <c r="C4545"/>
  <c r="C4546"/>
  <c r="C4547"/>
  <c r="C4548"/>
  <c r="C4549"/>
  <c r="C4550"/>
  <c r="C4551"/>
  <c r="C4552"/>
  <c r="C4553"/>
  <c r="C4554"/>
  <c r="C4555"/>
  <c r="C4556"/>
  <c r="C4557"/>
  <c r="C4558"/>
  <c r="C4559"/>
  <c r="C4560"/>
  <c r="C4561"/>
  <c r="C4562"/>
  <c r="C4563"/>
  <c r="C4564"/>
  <c r="C4565"/>
  <c r="C4566"/>
  <c r="C4567"/>
  <c r="C4568"/>
  <c r="C4569"/>
  <c r="C4570"/>
  <c r="C4571"/>
  <c r="C4572"/>
  <c r="C4573"/>
  <c r="C4574"/>
  <c r="C4575"/>
  <c r="C4576"/>
  <c r="C4577"/>
  <c r="C4578"/>
  <c r="C4579"/>
  <c r="C4580"/>
  <c r="C4581"/>
  <c r="C4582"/>
  <c r="C4583"/>
  <c r="C4584"/>
  <c r="C4585"/>
  <c r="C4586"/>
  <c r="C4587"/>
  <c r="C4588"/>
  <c r="C4589"/>
  <c r="C4590"/>
  <c r="C4591"/>
  <c r="C4592"/>
  <c r="C4593"/>
  <c r="C4594"/>
  <c r="C4595"/>
  <c r="C4596"/>
  <c r="C4597"/>
  <c r="C4598"/>
  <c r="C4599"/>
  <c r="C4600"/>
  <c r="C4601"/>
  <c r="C4602"/>
  <c r="C4603"/>
  <c r="C4604"/>
  <c r="C4605"/>
  <c r="C4606"/>
  <c r="C4607"/>
  <c r="C4608"/>
  <c r="C4609"/>
  <c r="C4610"/>
  <c r="C4611"/>
  <c r="C4612"/>
  <c r="C4613"/>
  <c r="C4614"/>
  <c r="C4615"/>
  <c r="C4616"/>
  <c r="C4617"/>
  <c r="C4618"/>
  <c r="C4619"/>
  <c r="C4620"/>
  <c r="C4621"/>
  <c r="C4622"/>
  <c r="C4623"/>
  <c r="C4624"/>
  <c r="C4625"/>
  <c r="C4626"/>
  <c r="C4627"/>
  <c r="C4628"/>
  <c r="C4629"/>
  <c r="C4630"/>
  <c r="C4631"/>
  <c r="C4632"/>
  <c r="C4633"/>
  <c r="C4634"/>
  <c r="C4635"/>
  <c r="C4636"/>
  <c r="C4637"/>
  <c r="C4638"/>
  <c r="C4639"/>
  <c r="C4640"/>
  <c r="C4641"/>
  <c r="C4642"/>
  <c r="C4643"/>
  <c r="C4644"/>
  <c r="C4645"/>
  <c r="C4646"/>
  <c r="C4647"/>
  <c r="C4648"/>
  <c r="C4649"/>
  <c r="C4650"/>
  <c r="C4651"/>
  <c r="C4652"/>
  <c r="C4653"/>
  <c r="C4654"/>
  <c r="C4655"/>
  <c r="C4656"/>
  <c r="C4657"/>
  <c r="C4658"/>
  <c r="C4659"/>
  <c r="C4660"/>
  <c r="C4661"/>
  <c r="C4662"/>
  <c r="C4663"/>
  <c r="C4664"/>
  <c r="C4665"/>
  <c r="C4666"/>
  <c r="C4667"/>
  <c r="C4668"/>
  <c r="C4669"/>
  <c r="C4670"/>
  <c r="C4671"/>
  <c r="C4672"/>
  <c r="C4673"/>
  <c r="C4674"/>
  <c r="C4675"/>
  <c r="C4676"/>
  <c r="C4677"/>
  <c r="C4678"/>
  <c r="C4679"/>
  <c r="C4680"/>
  <c r="C4681"/>
  <c r="C4682"/>
  <c r="C4683"/>
  <c r="C4684"/>
  <c r="C4685"/>
  <c r="C4686"/>
  <c r="C4687"/>
  <c r="C4688"/>
  <c r="C4689"/>
  <c r="C4690"/>
  <c r="C4691"/>
  <c r="C4692"/>
  <c r="C4693"/>
  <c r="C4694"/>
  <c r="C4695"/>
  <c r="C4696"/>
  <c r="C4697"/>
  <c r="C4698"/>
  <c r="C4699"/>
  <c r="C4700"/>
  <c r="C4701"/>
  <c r="C4702"/>
  <c r="C4703"/>
  <c r="C4704"/>
  <c r="C4705"/>
  <c r="C4706"/>
  <c r="C4707"/>
  <c r="C4708"/>
  <c r="C4709"/>
  <c r="C4710"/>
  <c r="C4711"/>
  <c r="C4712"/>
  <c r="C4713"/>
  <c r="C4714"/>
  <c r="C4715"/>
  <c r="C4716"/>
  <c r="C4717"/>
  <c r="C4718"/>
  <c r="C4719"/>
  <c r="C4720"/>
  <c r="C4721"/>
  <c r="C4722"/>
  <c r="C4723"/>
  <c r="C4724"/>
  <c r="C4725"/>
  <c r="C4726"/>
  <c r="C4727"/>
  <c r="C4728"/>
  <c r="C4729"/>
  <c r="C4730"/>
  <c r="C4731"/>
  <c r="C4732"/>
  <c r="C4733"/>
  <c r="C4734"/>
  <c r="C4735"/>
  <c r="C4736"/>
  <c r="C4737"/>
  <c r="C4738"/>
  <c r="C4739"/>
  <c r="C4740"/>
  <c r="C4741"/>
  <c r="C4742"/>
  <c r="C4743"/>
  <c r="C4744"/>
  <c r="C4745"/>
  <c r="C4746"/>
  <c r="C4747"/>
  <c r="C4748"/>
  <c r="C4749"/>
  <c r="C4750"/>
  <c r="C4751"/>
  <c r="C4752"/>
  <c r="C4753"/>
  <c r="C4754"/>
  <c r="C4755"/>
  <c r="C4756"/>
  <c r="C4757"/>
  <c r="C4758"/>
  <c r="C4759"/>
  <c r="C4760"/>
  <c r="C4761"/>
  <c r="C4762"/>
  <c r="C4763"/>
  <c r="C4764"/>
  <c r="C4765"/>
  <c r="C4766"/>
  <c r="C4767"/>
  <c r="C4768"/>
  <c r="C4769"/>
  <c r="C4770"/>
  <c r="C4771"/>
  <c r="C4772"/>
  <c r="C4773"/>
  <c r="C4774"/>
  <c r="C4775"/>
  <c r="C4776"/>
  <c r="C4777"/>
  <c r="C4778"/>
  <c r="C4779"/>
  <c r="C4780"/>
  <c r="C4781"/>
  <c r="C4782"/>
  <c r="C4783"/>
  <c r="C4784"/>
  <c r="C4785"/>
  <c r="C4786"/>
  <c r="C4787"/>
  <c r="C4788"/>
  <c r="C4789"/>
  <c r="C4790"/>
  <c r="C4791"/>
  <c r="C4792"/>
  <c r="C4793"/>
  <c r="C4794"/>
  <c r="C4795"/>
  <c r="C4796"/>
  <c r="C4797"/>
  <c r="C4798"/>
  <c r="C4799"/>
  <c r="C4800"/>
  <c r="C4801"/>
  <c r="C4802"/>
  <c r="C4803"/>
  <c r="C4804"/>
  <c r="C4805"/>
  <c r="C4806"/>
  <c r="C4807"/>
  <c r="C4808"/>
  <c r="C4809"/>
  <c r="C4810"/>
  <c r="C4811"/>
  <c r="C4812"/>
  <c r="C4813"/>
  <c r="C4814"/>
  <c r="C4815"/>
  <c r="C4816"/>
  <c r="C4817"/>
  <c r="C4818"/>
  <c r="C4819"/>
  <c r="C4820"/>
  <c r="C4821"/>
  <c r="C4822"/>
  <c r="C4823"/>
  <c r="C4824"/>
  <c r="C4825"/>
  <c r="C4826"/>
  <c r="C4827"/>
  <c r="C4828"/>
  <c r="C4829"/>
  <c r="C4830"/>
  <c r="C4831"/>
  <c r="C4832"/>
  <c r="C4833"/>
  <c r="C4834"/>
  <c r="C4835"/>
  <c r="C4836"/>
  <c r="C4837"/>
  <c r="C4838"/>
  <c r="C4839"/>
  <c r="C4840"/>
  <c r="C4841"/>
  <c r="C4842"/>
  <c r="C4843"/>
  <c r="C4844"/>
  <c r="C4845"/>
  <c r="C4846"/>
  <c r="C4847"/>
  <c r="C4848"/>
  <c r="C4849"/>
  <c r="C4850"/>
  <c r="C4851"/>
  <c r="C4852"/>
  <c r="C4853"/>
  <c r="C4854"/>
  <c r="C4855"/>
  <c r="C4856"/>
  <c r="C4857"/>
  <c r="C4858"/>
  <c r="C4859"/>
  <c r="C4860"/>
  <c r="C4861"/>
  <c r="C4862"/>
  <c r="C4863"/>
  <c r="C4864"/>
  <c r="C4865"/>
  <c r="C4866"/>
  <c r="C4867"/>
  <c r="C4868"/>
  <c r="C4869"/>
  <c r="C4870"/>
  <c r="C4871"/>
  <c r="C4872"/>
  <c r="C4873"/>
  <c r="C4874"/>
  <c r="C4875"/>
  <c r="C4876"/>
  <c r="C4877"/>
  <c r="C4878"/>
  <c r="C4879"/>
  <c r="C4880"/>
  <c r="C4881"/>
  <c r="C4882"/>
  <c r="C4883"/>
  <c r="C4884"/>
  <c r="C4885"/>
  <c r="C4886"/>
  <c r="C4887"/>
  <c r="C4888"/>
  <c r="C4889"/>
  <c r="C4890"/>
  <c r="C4891"/>
  <c r="C4892"/>
  <c r="C4893"/>
  <c r="C4894"/>
  <c r="C4895"/>
  <c r="C4896"/>
  <c r="C4897"/>
  <c r="C4898"/>
  <c r="C4899"/>
  <c r="C4900"/>
  <c r="C4901"/>
  <c r="C4902"/>
  <c r="C4903"/>
  <c r="C4904"/>
  <c r="C4905"/>
  <c r="C4906"/>
  <c r="C4907"/>
  <c r="C4908"/>
  <c r="C4909"/>
  <c r="C4910"/>
  <c r="C4911"/>
  <c r="C4912"/>
  <c r="C4913"/>
  <c r="C4914"/>
  <c r="C4915"/>
  <c r="C4916"/>
  <c r="C4917"/>
  <c r="C4918"/>
  <c r="C4919"/>
  <c r="C4920"/>
  <c r="C4921"/>
  <c r="C4922"/>
  <c r="C4923"/>
  <c r="C4924"/>
  <c r="C4925"/>
  <c r="C4926"/>
  <c r="C4927"/>
  <c r="C4928"/>
  <c r="C4929"/>
  <c r="C4930"/>
  <c r="C4931"/>
  <c r="C4932"/>
  <c r="C4933"/>
  <c r="C4934"/>
  <c r="C4935"/>
  <c r="C4936"/>
  <c r="C4937"/>
  <c r="C4938"/>
  <c r="C4939"/>
  <c r="C4940"/>
  <c r="C4941"/>
  <c r="C4942"/>
  <c r="C4943"/>
  <c r="C4944"/>
  <c r="C4945"/>
  <c r="C4946"/>
  <c r="C4947"/>
  <c r="C4948"/>
  <c r="C4949"/>
  <c r="C4950"/>
  <c r="C4951"/>
  <c r="C4952"/>
  <c r="C4953"/>
  <c r="C4954"/>
  <c r="C4955"/>
  <c r="C4956"/>
  <c r="C4957"/>
  <c r="C4958"/>
  <c r="C4959"/>
  <c r="C4960"/>
  <c r="C4961"/>
  <c r="C4962"/>
  <c r="C4963"/>
  <c r="C4964"/>
  <c r="C4965"/>
  <c r="C4966"/>
  <c r="C4967"/>
  <c r="C4968"/>
  <c r="C4969"/>
  <c r="C4970"/>
  <c r="C4971"/>
  <c r="C4972"/>
  <c r="C4973"/>
  <c r="C4974"/>
  <c r="C4975"/>
  <c r="C4976"/>
  <c r="C4977"/>
  <c r="C4978"/>
  <c r="C4979"/>
  <c r="C4980"/>
  <c r="C4981"/>
  <c r="C4982"/>
  <c r="C4983"/>
  <c r="C4984"/>
  <c r="C4985"/>
  <c r="C4986"/>
  <c r="C4987"/>
  <c r="C4988"/>
  <c r="C4989"/>
  <c r="C4990"/>
  <c r="C4991"/>
  <c r="C4992"/>
  <c r="C4993"/>
  <c r="C4994"/>
  <c r="C4995"/>
  <c r="C4996"/>
  <c r="C4997"/>
  <c r="C4998"/>
  <c r="C4999"/>
  <c r="C5000"/>
  <c r="C5001"/>
  <c r="C5002"/>
  <c r="C5003"/>
  <c r="C5004"/>
  <c r="C5005"/>
  <c r="C5006"/>
  <c r="C5007"/>
  <c r="C5008"/>
  <c r="C5009"/>
  <c r="C5010"/>
  <c r="C5011"/>
  <c r="C5012"/>
  <c r="C5013"/>
  <c r="C5014"/>
  <c r="C5015"/>
  <c r="C5016"/>
  <c r="C5017"/>
  <c r="C5018"/>
  <c r="C5019"/>
  <c r="C5020"/>
  <c r="C5021"/>
  <c r="C5022"/>
  <c r="C5023"/>
  <c r="C5024"/>
  <c r="C5025"/>
  <c r="C5026"/>
  <c r="C5027"/>
  <c r="C5028"/>
  <c r="C5029"/>
  <c r="C5030"/>
  <c r="C5031"/>
  <c r="C5032"/>
  <c r="C5033"/>
  <c r="C5034"/>
  <c r="C5035"/>
  <c r="C5036"/>
  <c r="C5037"/>
  <c r="C5038"/>
  <c r="C5039"/>
  <c r="C5040"/>
  <c r="C5041"/>
  <c r="C5042"/>
  <c r="C5043"/>
  <c r="C5044"/>
  <c r="C5045"/>
  <c r="C5046"/>
  <c r="C5047"/>
  <c r="C5048"/>
  <c r="C5049"/>
  <c r="C5050"/>
  <c r="C5051"/>
  <c r="C5052"/>
  <c r="C5053"/>
  <c r="C5054"/>
  <c r="C5055"/>
  <c r="C5056"/>
  <c r="C5057"/>
  <c r="C5058"/>
  <c r="C5059"/>
  <c r="C5060"/>
  <c r="C5061"/>
  <c r="C5062"/>
  <c r="C5063"/>
  <c r="C5064"/>
  <c r="C5065"/>
  <c r="C5066"/>
  <c r="C5067"/>
  <c r="C5068"/>
  <c r="C5069"/>
  <c r="C5070"/>
  <c r="C5071"/>
  <c r="C5072"/>
  <c r="C5073"/>
  <c r="C5074"/>
  <c r="C5075"/>
  <c r="C5076"/>
  <c r="C5077"/>
  <c r="C5078"/>
  <c r="C5079"/>
  <c r="C5080"/>
  <c r="C5081"/>
  <c r="C5082"/>
  <c r="C5083"/>
  <c r="C5084"/>
  <c r="C5085"/>
  <c r="C5086"/>
  <c r="C5087"/>
  <c r="C5088"/>
  <c r="C5089"/>
  <c r="C5090"/>
  <c r="C5091"/>
  <c r="C5092"/>
  <c r="C5093"/>
  <c r="C5094"/>
  <c r="C5095"/>
  <c r="C5096"/>
  <c r="C5097"/>
  <c r="C5098"/>
  <c r="C5099"/>
  <c r="C5100"/>
  <c r="C5101"/>
  <c r="C5102"/>
  <c r="C5103"/>
  <c r="C5104"/>
  <c r="C5105"/>
  <c r="C5106"/>
  <c r="C5107"/>
  <c r="C5108"/>
  <c r="C5109"/>
  <c r="C5110"/>
  <c r="C5111"/>
  <c r="C5112"/>
  <c r="C5113"/>
  <c r="C5114"/>
  <c r="C5115"/>
  <c r="C5116"/>
  <c r="C5117"/>
  <c r="C5118"/>
  <c r="C5119"/>
  <c r="C5120"/>
  <c r="C5121"/>
  <c r="C5122"/>
  <c r="C5123"/>
  <c r="C5124"/>
  <c r="C5125"/>
  <c r="C5126"/>
  <c r="C5127"/>
  <c r="C5128"/>
  <c r="C5129"/>
  <c r="C5130"/>
  <c r="C5131"/>
  <c r="C5132"/>
  <c r="C5133"/>
  <c r="C5134"/>
  <c r="C5135"/>
  <c r="C5136"/>
  <c r="C5137"/>
  <c r="C5138"/>
  <c r="C5139"/>
  <c r="C5140"/>
  <c r="C5141"/>
  <c r="C5142"/>
  <c r="C5143"/>
  <c r="C5144"/>
  <c r="C5145"/>
  <c r="C5146"/>
  <c r="C5147"/>
  <c r="C5148"/>
  <c r="C5149"/>
  <c r="C5150"/>
  <c r="C5151"/>
  <c r="C5152"/>
  <c r="C5153"/>
  <c r="C5154"/>
  <c r="C5155"/>
  <c r="C5156"/>
  <c r="C5157"/>
  <c r="C5158"/>
  <c r="C5159"/>
  <c r="C5160"/>
  <c r="C5161"/>
  <c r="C5162"/>
  <c r="C5163"/>
  <c r="C5164"/>
  <c r="C5165"/>
  <c r="C5166"/>
  <c r="C5167"/>
  <c r="C5168"/>
  <c r="C5169"/>
  <c r="C5170"/>
  <c r="C5171"/>
  <c r="C5172"/>
  <c r="C5173"/>
  <c r="C5174"/>
  <c r="C5175"/>
  <c r="C5176"/>
  <c r="C5177"/>
  <c r="C5178"/>
  <c r="C5179"/>
  <c r="C5180"/>
  <c r="C5181"/>
  <c r="C5182"/>
  <c r="C5183"/>
  <c r="C5184"/>
  <c r="C5185"/>
  <c r="C5186"/>
  <c r="C5187"/>
  <c r="C5188"/>
  <c r="C5189"/>
  <c r="C5190"/>
  <c r="C5191"/>
  <c r="C5192"/>
  <c r="C5193"/>
  <c r="C5194"/>
  <c r="C5195"/>
  <c r="C5196"/>
  <c r="C5197"/>
  <c r="C5198"/>
  <c r="C5199"/>
  <c r="C5200"/>
  <c r="C5201"/>
  <c r="C5202"/>
  <c r="C5203"/>
  <c r="C5204"/>
  <c r="C5205"/>
  <c r="C5206"/>
  <c r="C5207"/>
  <c r="C5208"/>
  <c r="C5209"/>
  <c r="C5210"/>
  <c r="C5211"/>
  <c r="C5212"/>
  <c r="C5213"/>
  <c r="C5214"/>
  <c r="C5215"/>
  <c r="C5216"/>
  <c r="C5217"/>
  <c r="C5218"/>
  <c r="C5219"/>
  <c r="C5220"/>
  <c r="C5221"/>
  <c r="C5222"/>
  <c r="C5223"/>
  <c r="C5224"/>
  <c r="C5225"/>
  <c r="C5226"/>
  <c r="C5227"/>
  <c r="C5228"/>
  <c r="C5229"/>
  <c r="C5230"/>
  <c r="C5231"/>
  <c r="C5232"/>
  <c r="C5233"/>
  <c r="C5234"/>
  <c r="C5235"/>
  <c r="C5236"/>
  <c r="C5237"/>
  <c r="C5238"/>
  <c r="C5239"/>
  <c r="C5240"/>
  <c r="C5241"/>
  <c r="C5242"/>
  <c r="C5243"/>
  <c r="C5244"/>
  <c r="C5245"/>
  <c r="C5246"/>
  <c r="C5247"/>
  <c r="C5248"/>
  <c r="C5249"/>
  <c r="C5250"/>
  <c r="C5251"/>
  <c r="C5252"/>
  <c r="C5253"/>
  <c r="C5254"/>
  <c r="C5255"/>
  <c r="C5256"/>
  <c r="C5257"/>
  <c r="C5258"/>
  <c r="C5259"/>
  <c r="C5260"/>
  <c r="C5261"/>
  <c r="C5262"/>
  <c r="C5263"/>
  <c r="C5264"/>
  <c r="C5265"/>
  <c r="C5266"/>
  <c r="C5267"/>
  <c r="C5268"/>
  <c r="C5269"/>
  <c r="C5270"/>
  <c r="C5271"/>
  <c r="C5272"/>
  <c r="C5273"/>
  <c r="C5274"/>
  <c r="C5275"/>
  <c r="C5276"/>
  <c r="C5277"/>
  <c r="C5278"/>
  <c r="C5279"/>
  <c r="C5280"/>
  <c r="C5281"/>
  <c r="C5282"/>
  <c r="C5283"/>
  <c r="C5284"/>
  <c r="C5285"/>
  <c r="C5286"/>
  <c r="C5287"/>
  <c r="C5288"/>
  <c r="C5289"/>
  <c r="C5290"/>
  <c r="C5291"/>
  <c r="C5292"/>
  <c r="C5293"/>
  <c r="C5294"/>
  <c r="C5295"/>
  <c r="C5296"/>
  <c r="C5297"/>
  <c r="C5298"/>
  <c r="C5299"/>
  <c r="C5300"/>
  <c r="C5301"/>
  <c r="C5302"/>
  <c r="C5303"/>
  <c r="C5304"/>
  <c r="C5305"/>
  <c r="C5306"/>
  <c r="C5307"/>
  <c r="C5308"/>
  <c r="C5309"/>
  <c r="C5310"/>
  <c r="C5311"/>
  <c r="C5312"/>
  <c r="C5313"/>
  <c r="C5314"/>
  <c r="C5315"/>
  <c r="C5316"/>
  <c r="C5317"/>
  <c r="C5318"/>
  <c r="C5319"/>
  <c r="C5320"/>
  <c r="C5321"/>
  <c r="C5322"/>
  <c r="C5323"/>
  <c r="C5324"/>
  <c r="C5325"/>
  <c r="C5326"/>
  <c r="C5327"/>
  <c r="C5328"/>
  <c r="C5329"/>
  <c r="C5330"/>
  <c r="C5331"/>
  <c r="C5332"/>
  <c r="C5333"/>
  <c r="C5334"/>
  <c r="C5335"/>
  <c r="C5336"/>
  <c r="C5337"/>
  <c r="C5338"/>
  <c r="C5339"/>
  <c r="C5340"/>
  <c r="C5341"/>
  <c r="C5342"/>
  <c r="C5343"/>
  <c r="C5344"/>
  <c r="C5345"/>
  <c r="C5346"/>
  <c r="C5347"/>
  <c r="C5348"/>
  <c r="C5349"/>
  <c r="C5350"/>
  <c r="C5351"/>
  <c r="C5352"/>
  <c r="C5353"/>
  <c r="C5354"/>
  <c r="C5355"/>
  <c r="C5356"/>
  <c r="C5357"/>
  <c r="C5358"/>
  <c r="C5359"/>
  <c r="C5360"/>
  <c r="C5361"/>
  <c r="C5362"/>
  <c r="C5363"/>
  <c r="C5364"/>
  <c r="C5365"/>
  <c r="C5366"/>
  <c r="C5367"/>
  <c r="C5368"/>
  <c r="C5369"/>
  <c r="C5370"/>
  <c r="C5371"/>
  <c r="C5372"/>
  <c r="C5373"/>
  <c r="C5374"/>
  <c r="C5375"/>
  <c r="C5376"/>
  <c r="C5377"/>
  <c r="C5378"/>
  <c r="C5379"/>
  <c r="C5380"/>
  <c r="C5381"/>
  <c r="C5382"/>
  <c r="C5383"/>
  <c r="C5384"/>
  <c r="C5385"/>
  <c r="C5386"/>
  <c r="C5387"/>
  <c r="C5388"/>
  <c r="C5389"/>
  <c r="C5390"/>
  <c r="C5391"/>
  <c r="C5392"/>
  <c r="C5393"/>
  <c r="C5394"/>
  <c r="C5395"/>
  <c r="C5396"/>
  <c r="C5397"/>
  <c r="C5398"/>
  <c r="C5399"/>
  <c r="C5400"/>
  <c r="C5401"/>
  <c r="C5402"/>
  <c r="C5403"/>
  <c r="C5404"/>
  <c r="C5405"/>
  <c r="C5406"/>
  <c r="C5407"/>
  <c r="C5408"/>
  <c r="C5409"/>
  <c r="C5410"/>
  <c r="C5411"/>
  <c r="C5412"/>
  <c r="C5413"/>
  <c r="C5414"/>
  <c r="C5415"/>
  <c r="C5416"/>
  <c r="C5417"/>
  <c r="C5418"/>
  <c r="C5419"/>
  <c r="C5420"/>
  <c r="C5421"/>
  <c r="C5422"/>
  <c r="C5423"/>
  <c r="C5424"/>
  <c r="C5425"/>
  <c r="C5426"/>
  <c r="C5427"/>
  <c r="C5428"/>
  <c r="C5429"/>
  <c r="C5430"/>
  <c r="C5431"/>
  <c r="C5432"/>
  <c r="C5433"/>
  <c r="C5434"/>
  <c r="C5435"/>
  <c r="C5436"/>
  <c r="C5437"/>
  <c r="C5438"/>
  <c r="C5439"/>
  <c r="C5440"/>
  <c r="C5441"/>
  <c r="C5442"/>
  <c r="C5443"/>
  <c r="C5444"/>
  <c r="C5445"/>
  <c r="C5446"/>
  <c r="C5447"/>
  <c r="C5448"/>
  <c r="C5449"/>
  <c r="C5450"/>
  <c r="C5451"/>
  <c r="C5452"/>
  <c r="C5453"/>
  <c r="C5454"/>
  <c r="C5455"/>
  <c r="C5456"/>
  <c r="C5457"/>
  <c r="C5458"/>
  <c r="C5459"/>
  <c r="C5460"/>
  <c r="C5461"/>
  <c r="C5462"/>
  <c r="C5463"/>
  <c r="C5464"/>
  <c r="C5465"/>
  <c r="C5466"/>
  <c r="C5467"/>
  <c r="C5468"/>
  <c r="C5469"/>
  <c r="C5470"/>
  <c r="C5471"/>
  <c r="C5472"/>
  <c r="C5473"/>
  <c r="C5474"/>
  <c r="C5475"/>
  <c r="C5476"/>
  <c r="C5477"/>
  <c r="C5478"/>
  <c r="C5479"/>
  <c r="C5480"/>
  <c r="C5481"/>
  <c r="C5482"/>
  <c r="C5483"/>
  <c r="C5484"/>
  <c r="C5485"/>
  <c r="C5486"/>
  <c r="C5487"/>
  <c r="C5488"/>
  <c r="C5489"/>
  <c r="C5490"/>
  <c r="C5491"/>
  <c r="C5492"/>
  <c r="C5493"/>
  <c r="C5494"/>
  <c r="C5495"/>
  <c r="C5496"/>
  <c r="C5497"/>
  <c r="C5498"/>
  <c r="C5499"/>
  <c r="C5500"/>
  <c r="C5501"/>
  <c r="C5502"/>
  <c r="C5503"/>
  <c r="C5504"/>
  <c r="C5505"/>
  <c r="C5506"/>
  <c r="C5507"/>
  <c r="C5508"/>
  <c r="C5509"/>
  <c r="C5510"/>
  <c r="C5511"/>
  <c r="C5512"/>
  <c r="C5513"/>
  <c r="C5514"/>
  <c r="C5515"/>
  <c r="C5516"/>
  <c r="C5517"/>
  <c r="C5518"/>
  <c r="C5519"/>
  <c r="C5520"/>
  <c r="C5521"/>
  <c r="C5522"/>
  <c r="C5523"/>
  <c r="C5524"/>
  <c r="C5525"/>
  <c r="C5526"/>
  <c r="C5527"/>
  <c r="C5528"/>
  <c r="C5529"/>
  <c r="C5530"/>
  <c r="C5531"/>
  <c r="C5532"/>
  <c r="C5533"/>
  <c r="C5534"/>
  <c r="C5535"/>
  <c r="C5536"/>
  <c r="C5537"/>
  <c r="C5538"/>
  <c r="C5539"/>
  <c r="C5540"/>
  <c r="C5541"/>
  <c r="C5542"/>
  <c r="C5543"/>
  <c r="C5544"/>
  <c r="C5545"/>
  <c r="C5546"/>
  <c r="C5547"/>
  <c r="C5548"/>
  <c r="C5549"/>
  <c r="C5550"/>
  <c r="C5551"/>
  <c r="C5552"/>
  <c r="C5553"/>
  <c r="C5554"/>
  <c r="C5555"/>
  <c r="C5556"/>
  <c r="C5557"/>
  <c r="C5558"/>
  <c r="C5559"/>
  <c r="C5560"/>
  <c r="C5561"/>
  <c r="C5562"/>
  <c r="C5563"/>
  <c r="C5564"/>
  <c r="C5565"/>
  <c r="C5566"/>
  <c r="C5567"/>
  <c r="C5568"/>
  <c r="C5569"/>
  <c r="C5570"/>
  <c r="C5571"/>
  <c r="C5572"/>
  <c r="C5573"/>
  <c r="C5574"/>
  <c r="C5575"/>
  <c r="C5576"/>
  <c r="C5577"/>
  <c r="C5578"/>
  <c r="C5579"/>
  <c r="C5580"/>
  <c r="C5581"/>
  <c r="C5582"/>
  <c r="C5583"/>
  <c r="C5584"/>
  <c r="C5585"/>
  <c r="C5586"/>
  <c r="C5587"/>
  <c r="C5588"/>
  <c r="C5589"/>
  <c r="C5590"/>
  <c r="C5591"/>
  <c r="C5592"/>
  <c r="C5593"/>
  <c r="C5594"/>
  <c r="C5595"/>
  <c r="C5596"/>
  <c r="C5597"/>
  <c r="C5598"/>
  <c r="C5599"/>
  <c r="C5600"/>
  <c r="C5601"/>
  <c r="C5602"/>
  <c r="C5603"/>
  <c r="C5604"/>
  <c r="C5605"/>
  <c r="C5606"/>
  <c r="C5607"/>
  <c r="C5608"/>
  <c r="C5609"/>
  <c r="C5610"/>
  <c r="C5611"/>
  <c r="C5612"/>
  <c r="C5613"/>
  <c r="C5614"/>
  <c r="C5615"/>
  <c r="C5616"/>
  <c r="C5617"/>
  <c r="C5618"/>
  <c r="C5619"/>
  <c r="C5620"/>
  <c r="C5621"/>
  <c r="C5622"/>
  <c r="C5623"/>
  <c r="C5624"/>
  <c r="C5625"/>
  <c r="C5626"/>
  <c r="C5627"/>
  <c r="C5628"/>
  <c r="C5629"/>
  <c r="C5630"/>
  <c r="C5631"/>
  <c r="C5632"/>
  <c r="C5633"/>
  <c r="C5634"/>
  <c r="C5635"/>
  <c r="C5636"/>
  <c r="C5637"/>
  <c r="C5638"/>
  <c r="C5639"/>
  <c r="C5640"/>
  <c r="C5641"/>
  <c r="C5642"/>
  <c r="C5643"/>
  <c r="C5644"/>
  <c r="C5645"/>
  <c r="C5646"/>
  <c r="C5647"/>
  <c r="C5648"/>
  <c r="C5649"/>
  <c r="C5650"/>
  <c r="C5651"/>
  <c r="C5652"/>
  <c r="C5653"/>
  <c r="C5654"/>
  <c r="C5655"/>
  <c r="C5656"/>
  <c r="C5657"/>
  <c r="C5658"/>
  <c r="C5659"/>
  <c r="C5660"/>
  <c r="C5661"/>
  <c r="C5662"/>
  <c r="C5663"/>
  <c r="C5664"/>
  <c r="C5665"/>
  <c r="C5666"/>
  <c r="C5667"/>
  <c r="C5668"/>
  <c r="C5669"/>
  <c r="C5670"/>
  <c r="C5671"/>
  <c r="C5672"/>
  <c r="C5673"/>
  <c r="C5674"/>
  <c r="C5675"/>
  <c r="C5676"/>
  <c r="C5677"/>
  <c r="C5678"/>
  <c r="C5679"/>
  <c r="C5680"/>
  <c r="C5681"/>
  <c r="C5682"/>
  <c r="C5683"/>
  <c r="C5684"/>
  <c r="C5685"/>
  <c r="C5686"/>
  <c r="C5687"/>
  <c r="C5688"/>
  <c r="C5689"/>
  <c r="C5690"/>
  <c r="C5691"/>
  <c r="C5692"/>
  <c r="C5693"/>
  <c r="C5694"/>
  <c r="C5695"/>
  <c r="C5696"/>
  <c r="C5697"/>
  <c r="C5698"/>
  <c r="C5699"/>
  <c r="C5700"/>
  <c r="C5701"/>
  <c r="C5702"/>
  <c r="C5703"/>
  <c r="C5704"/>
  <c r="C5705"/>
  <c r="C5706"/>
  <c r="C5707"/>
  <c r="C5708"/>
  <c r="C5709"/>
  <c r="C5710"/>
  <c r="C5711"/>
  <c r="C5712"/>
  <c r="C5713"/>
  <c r="C5714"/>
  <c r="C5715"/>
  <c r="C5716"/>
  <c r="C5717"/>
  <c r="C5718"/>
  <c r="C5719"/>
  <c r="C5720"/>
  <c r="C5721"/>
  <c r="C5722"/>
  <c r="C5723"/>
  <c r="C5724"/>
  <c r="C5725"/>
  <c r="C5726"/>
  <c r="C5727"/>
  <c r="C5728"/>
  <c r="C5729"/>
  <c r="C5730"/>
  <c r="C5731"/>
  <c r="C5732"/>
  <c r="C5733"/>
  <c r="C5734"/>
  <c r="C5735"/>
  <c r="C5736"/>
  <c r="C5737"/>
  <c r="C5738"/>
  <c r="C5739"/>
  <c r="C5740"/>
  <c r="C5741"/>
  <c r="C5742"/>
  <c r="C5743"/>
  <c r="C5744"/>
  <c r="C5745"/>
  <c r="C5746"/>
  <c r="C5747"/>
  <c r="C5748"/>
  <c r="C5749"/>
  <c r="C5750"/>
  <c r="C5751"/>
  <c r="C5752"/>
  <c r="C5753"/>
  <c r="C5754"/>
  <c r="C5755"/>
  <c r="C5756"/>
  <c r="C5757"/>
  <c r="C5758"/>
  <c r="C5759"/>
  <c r="C5760"/>
  <c r="C5761"/>
  <c r="C5762"/>
  <c r="C5763"/>
  <c r="C5764"/>
  <c r="C5765"/>
  <c r="C5766"/>
  <c r="C5767"/>
  <c r="C5768"/>
  <c r="C5769"/>
  <c r="C5770"/>
  <c r="C5771"/>
  <c r="C5772"/>
  <c r="C5773"/>
  <c r="C5774"/>
  <c r="C5775"/>
  <c r="C5776"/>
  <c r="C5777"/>
  <c r="C5778"/>
  <c r="C5779"/>
  <c r="C5780"/>
  <c r="C5781"/>
  <c r="C5782"/>
  <c r="C5783"/>
  <c r="C5784"/>
  <c r="C5785"/>
  <c r="C5786"/>
  <c r="C5787"/>
  <c r="C5788"/>
  <c r="C5789"/>
  <c r="C5790"/>
  <c r="C5791"/>
  <c r="C5792"/>
  <c r="C5793"/>
  <c r="C5794"/>
  <c r="C5795"/>
  <c r="C5796"/>
  <c r="C5797"/>
  <c r="C5798"/>
  <c r="C5799"/>
  <c r="C5800"/>
  <c r="C5801"/>
  <c r="C5802"/>
  <c r="C5803"/>
  <c r="C5804"/>
  <c r="C5805"/>
  <c r="C5806"/>
  <c r="C5807"/>
  <c r="C5808"/>
  <c r="C5809"/>
  <c r="C5810"/>
  <c r="C5811"/>
  <c r="C5812"/>
  <c r="C5813"/>
  <c r="C5814"/>
  <c r="C5815"/>
  <c r="C5816"/>
  <c r="C5817"/>
  <c r="C5818"/>
  <c r="C5819"/>
  <c r="C5820"/>
  <c r="C5821"/>
  <c r="C5822"/>
  <c r="C5823"/>
  <c r="C5824"/>
  <c r="C5825"/>
  <c r="C5826"/>
  <c r="C5827"/>
  <c r="C5828"/>
  <c r="C5829"/>
  <c r="C5830"/>
  <c r="C5831"/>
  <c r="C5832"/>
  <c r="C5833"/>
  <c r="C5834"/>
  <c r="C5835"/>
  <c r="C5836"/>
  <c r="C5837"/>
  <c r="C5838"/>
  <c r="C5839"/>
  <c r="C5840"/>
  <c r="C5841"/>
  <c r="C5842"/>
  <c r="C5843"/>
  <c r="C5844"/>
  <c r="C5845"/>
  <c r="C5846"/>
  <c r="C5847"/>
  <c r="C5848"/>
  <c r="C5849"/>
  <c r="C5850"/>
  <c r="C5851"/>
  <c r="C5852"/>
  <c r="C5853"/>
  <c r="C5854"/>
  <c r="C5855"/>
  <c r="C5856"/>
  <c r="C5857"/>
  <c r="C5858"/>
  <c r="C5859"/>
  <c r="C5860"/>
  <c r="C5861"/>
  <c r="C5862"/>
  <c r="C5863"/>
  <c r="C5864"/>
  <c r="C5865"/>
  <c r="C5866"/>
  <c r="C5867"/>
  <c r="C5868"/>
  <c r="C5869"/>
  <c r="C5870"/>
  <c r="C5871"/>
  <c r="C5872"/>
  <c r="C5873"/>
  <c r="C5874"/>
  <c r="C5875"/>
  <c r="C5876"/>
  <c r="C5877"/>
  <c r="C5878"/>
  <c r="C5879"/>
  <c r="C5880"/>
  <c r="C5881"/>
  <c r="C5882"/>
  <c r="C5883"/>
  <c r="C5884"/>
  <c r="C5885"/>
  <c r="C5886"/>
  <c r="C5887"/>
  <c r="C5888"/>
  <c r="C5889"/>
  <c r="C5890"/>
  <c r="C5891"/>
  <c r="C5892"/>
  <c r="C5893"/>
  <c r="C5894"/>
  <c r="C5895"/>
  <c r="C5896"/>
  <c r="C5897"/>
  <c r="C5898"/>
  <c r="C5899"/>
  <c r="C5900"/>
  <c r="C5901"/>
  <c r="C5902"/>
  <c r="C5903"/>
  <c r="C5904"/>
  <c r="C5905"/>
  <c r="C5906"/>
  <c r="C5907"/>
  <c r="C5908"/>
  <c r="C5909"/>
  <c r="C5910"/>
  <c r="C5911"/>
  <c r="C5912"/>
  <c r="C5913"/>
  <c r="C5914"/>
  <c r="C5915"/>
  <c r="C5916"/>
  <c r="C5917"/>
  <c r="C5918"/>
  <c r="C5919"/>
  <c r="C5920"/>
  <c r="C5921"/>
  <c r="C5922"/>
  <c r="C5923"/>
  <c r="C5924"/>
  <c r="C5925"/>
  <c r="C5926"/>
  <c r="C5927"/>
  <c r="C5928"/>
  <c r="C5929"/>
  <c r="C5930"/>
  <c r="C5931"/>
  <c r="C5932"/>
  <c r="C5933"/>
  <c r="C5934"/>
  <c r="C5935"/>
  <c r="C5936"/>
  <c r="C5937"/>
  <c r="C5938"/>
  <c r="C5939"/>
  <c r="C5940"/>
  <c r="C5941"/>
  <c r="C5942"/>
  <c r="C5943"/>
  <c r="C5944"/>
  <c r="C5945"/>
  <c r="C5946"/>
  <c r="C5947"/>
  <c r="C5948"/>
  <c r="C5949"/>
  <c r="C5950"/>
  <c r="C5951"/>
  <c r="C5952"/>
  <c r="C5953"/>
  <c r="C5954"/>
  <c r="C5955"/>
  <c r="C5956"/>
  <c r="C5957"/>
  <c r="C5958"/>
  <c r="C5959"/>
  <c r="C5960"/>
  <c r="C5961"/>
  <c r="C5962"/>
  <c r="C5963"/>
  <c r="C5964"/>
  <c r="C5965"/>
  <c r="C5966"/>
  <c r="C5967"/>
  <c r="C5968"/>
  <c r="C5969"/>
  <c r="C5970"/>
  <c r="C5971"/>
  <c r="C5972"/>
  <c r="C5973"/>
  <c r="C5974"/>
  <c r="C5975"/>
  <c r="C5976"/>
  <c r="C5977"/>
  <c r="C5978"/>
  <c r="C5979"/>
  <c r="C5980"/>
  <c r="C5981"/>
  <c r="C5982"/>
  <c r="C5983"/>
  <c r="C5984"/>
  <c r="C5985"/>
  <c r="C5986"/>
  <c r="C5987"/>
  <c r="C5988"/>
  <c r="C5989"/>
  <c r="C5990"/>
  <c r="C5991"/>
  <c r="C5992"/>
  <c r="C5993"/>
  <c r="C5994"/>
  <c r="C5995"/>
  <c r="C5996"/>
  <c r="C5997"/>
  <c r="C5998"/>
  <c r="C5999"/>
  <c r="C6000"/>
  <c r="C6001"/>
  <c r="C6002"/>
  <c r="C6003"/>
  <c r="C6004"/>
  <c r="C6005"/>
  <c r="C6006"/>
  <c r="C6007"/>
  <c r="C6008"/>
  <c r="C6009"/>
  <c r="C6010"/>
  <c r="C6011"/>
  <c r="C6012"/>
  <c r="C6013"/>
  <c r="C6014"/>
  <c r="C6015"/>
  <c r="C6016"/>
  <c r="C6017"/>
  <c r="C6018"/>
  <c r="C6019"/>
  <c r="C6020"/>
  <c r="C6021"/>
  <c r="C6022"/>
  <c r="C6023"/>
  <c r="C6024"/>
  <c r="C6025"/>
  <c r="C6026"/>
  <c r="C6027"/>
  <c r="C6028"/>
  <c r="C6029"/>
  <c r="C6030"/>
  <c r="C6031"/>
  <c r="C6032"/>
  <c r="C6033"/>
  <c r="C6034"/>
  <c r="C6035"/>
  <c r="C6036"/>
  <c r="C6037"/>
  <c r="C6038"/>
  <c r="C6039"/>
  <c r="C6040"/>
  <c r="C6041"/>
  <c r="C6042"/>
  <c r="C6043"/>
  <c r="C6044"/>
  <c r="C6045"/>
  <c r="C6046"/>
  <c r="C6047"/>
  <c r="C6048"/>
  <c r="C6049"/>
  <c r="C6050"/>
  <c r="C6051"/>
  <c r="C6052"/>
  <c r="C6053"/>
  <c r="C6054"/>
  <c r="C6055"/>
  <c r="C6056"/>
  <c r="C6057"/>
  <c r="C6058"/>
  <c r="C6059"/>
  <c r="C6060"/>
  <c r="C6061"/>
  <c r="C6062"/>
  <c r="C6063"/>
  <c r="C6064"/>
  <c r="C6065"/>
  <c r="C6066"/>
  <c r="C6067"/>
  <c r="C6068"/>
  <c r="C6069"/>
  <c r="C6070"/>
  <c r="C6071"/>
  <c r="C6072"/>
  <c r="C6073"/>
  <c r="C6074"/>
  <c r="C6075"/>
  <c r="C6076"/>
  <c r="C6077"/>
  <c r="C6078"/>
  <c r="C6079"/>
  <c r="C6080"/>
  <c r="C6081"/>
  <c r="C6082"/>
  <c r="C6083"/>
  <c r="C6084"/>
  <c r="C6085"/>
  <c r="C6086"/>
  <c r="C6087"/>
  <c r="C6088"/>
  <c r="C6089"/>
  <c r="C6090"/>
  <c r="C6091"/>
  <c r="C6092"/>
  <c r="C6093"/>
  <c r="C6094"/>
  <c r="C6095"/>
  <c r="C6096"/>
  <c r="C6097"/>
  <c r="C6098"/>
  <c r="C6099"/>
  <c r="C6100"/>
  <c r="C6101"/>
  <c r="C6102"/>
  <c r="C6103"/>
  <c r="C6104"/>
  <c r="C6105"/>
  <c r="C6106"/>
  <c r="C6107"/>
  <c r="C6108"/>
  <c r="C6109"/>
  <c r="C6110"/>
  <c r="C6111"/>
  <c r="C6112"/>
  <c r="C6113"/>
  <c r="C6114"/>
  <c r="C6115"/>
  <c r="C6116"/>
  <c r="C6117"/>
  <c r="C6118"/>
  <c r="C6119"/>
  <c r="C6120"/>
  <c r="C6121"/>
  <c r="C6122"/>
  <c r="C6123"/>
  <c r="C6124"/>
  <c r="C6125"/>
  <c r="C6126"/>
  <c r="C6127"/>
  <c r="C6128"/>
  <c r="C6129"/>
  <c r="C6130"/>
  <c r="C6131"/>
  <c r="C6132"/>
  <c r="C6133"/>
  <c r="C6134"/>
  <c r="C6135"/>
  <c r="C6136"/>
  <c r="C6137"/>
  <c r="C6138"/>
  <c r="C6139"/>
  <c r="C6140"/>
  <c r="C6141"/>
  <c r="C6142"/>
  <c r="C6143"/>
  <c r="C6144"/>
  <c r="C6145"/>
  <c r="C6146"/>
  <c r="C6147"/>
  <c r="C6148"/>
  <c r="C6149"/>
  <c r="C6150"/>
  <c r="C6151"/>
  <c r="C6152"/>
  <c r="C6153"/>
  <c r="C6154"/>
  <c r="C6155"/>
  <c r="C6156"/>
  <c r="C6157"/>
  <c r="C6158"/>
  <c r="C6159"/>
  <c r="C6160"/>
  <c r="C6161"/>
  <c r="C6162"/>
  <c r="C6163"/>
  <c r="C6164"/>
  <c r="C6165"/>
  <c r="C6166"/>
  <c r="C6167"/>
  <c r="C6168"/>
  <c r="C6169"/>
  <c r="C6170"/>
  <c r="C6171"/>
  <c r="C6172"/>
  <c r="C6173"/>
  <c r="C6174"/>
  <c r="C6175"/>
  <c r="C6176"/>
  <c r="C6177"/>
  <c r="C6178"/>
  <c r="C6179"/>
  <c r="C6180"/>
  <c r="C6181"/>
  <c r="C6182"/>
  <c r="C6183"/>
  <c r="C6184"/>
  <c r="C6185"/>
  <c r="C6186"/>
  <c r="C6187"/>
  <c r="C6188"/>
  <c r="C6189"/>
  <c r="C6190"/>
  <c r="C6191"/>
  <c r="C6192"/>
  <c r="C6193"/>
  <c r="C6194"/>
  <c r="C6195"/>
  <c r="C6196"/>
  <c r="C6197"/>
  <c r="C6198"/>
  <c r="C6199"/>
  <c r="C6200"/>
  <c r="C6201"/>
  <c r="C6202"/>
  <c r="C6203"/>
  <c r="C6204"/>
  <c r="C6205"/>
  <c r="C6206"/>
  <c r="C6207"/>
  <c r="C6208"/>
  <c r="C6209"/>
  <c r="C6210"/>
  <c r="C6211"/>
  <c r="C6212"/>
  <c r="C6213"/>
  <c r="C6214"/>
  <c r="C6215"/>
  <c r="C6216"/>
  <c r="C6217"/>
  <c r="C6218"/>
  <c r="C6219"/>
  <c r="C6220"/>
  <c r="C6221"/>
  <c r="C6222"/>
  <c r="C6223"/>
  <c r="C6224"/>
  <c r="C6225"/>
  <c r="C6226"/>
  <c r="C6227"/>
  <c r="C6228"/>
  <c r="C6229"/>
  <c r="C6230"/>
  <c r="C6231"/>
  <c r="C6232"/>
  <c r="C6233"/>
  <c r="C6234"/>
  <c r="C6235"/>
  <c r="C6236"/>
  <c r="C6237"/>
  <c r="C6238"/>
  <c r="C6239"/>
  <c r="C6240"/>
  <c r="C6241"/>
  <c r="C6242"/>
  <c r="C6243"/>
  <c r="C6244"/>
  <c r="C6245"/>
  <c r="C6246"/>
  <c r="C6247"/>
  <c r="C6248"/>
  <c r="C6249"/>
  <c r="C6250"/>
  <c r="C6251"/>
  <c r="C6252"/>
  <c r="C6253"/>
  <c r="C6254"/>
  <c r="C6255"/>
  <c r="C6256"/>
  <c r="C6257"/>
  <c r="C6258"/>
  <c r="C6259"/>
  <c r="C6260"/>
  <c r="C6261"/>
  <c r="C6262"/>
  <c r="C6263"/>
  <c r="C6264"/>
  <c r="C6265"/>
  <c r="C6266"/>
  <c r="C6267"/>
  <c r="C6268"/>
  <c r="C6269"/>
  <c r="C6270"/>
  <c r="C6271"/>
  <c r="C6272"/>
  <c r="C6273"/>
  <c r="C6274"/>
  <c r="C6275"/>
  <c r="C6276"/>
  <c r="C6277"/>
  <c r="C6278"/>
  <c r="C6279"/>
  <c r="C6280"/>
  <c r="C6281"/>
  <c r="C6282"/>
  <c r="C6283"/>
  <c r="C6284"/>
  <c r="C6285"/>
  <c r="C6286"/>
  <c r="C6287"/>
  <c r="C6288"/>
  <c r="C6289"/>
  <c r="C6290"/>
  <c r="C6291"/>
  <c r="C6292"/>
  <c r="C6293"/>
  <c r="C6294"/>
  <c r="C6295"/>
  <c r="C6296"/>
  <c r="C6297"/>
  <c r="C6298"/>
  <c r="C6299"/>
  <c r="C6300"/>
  <c r="C6301"/>
  <c r="C6302"/>
  <c r="C6303"/>
  <c r="C6304"/>
  <c r="C6305"/>
  <c r="C6306"/>
  <c r="C6307"/>
  <c r="C6308"/>
  <c r="C6309"/>
  <c r="C6310"/>
  <c r="C6311"/>
  <c r="C6312"/>
  <c r="C6313"/>
  <c r="C6314"/>
  <c r="C6315"/>
  <c r="C6316"/>
  <c r="C6317"/>
  <c r="C6318"/>
  <c r="C6319"/>
  <c r="C6320"/>
  <c r="C6321"/>
  <c r="C6322"/>
  <c r="C6323"/>
  <c r="C6324"/>
  <c r="C6325"/>
  <c r="C6326"/>
  <c r="C6327"/>
  <c r="C6328"/>
  <c r="C6329"/>
  <c r="C6330"/>
  <c r="C6331"/>
  <c r="C6332"/>
  <c r="C6333"/>
  <c r="C6334"/>
  <c r="C6335"/>
  <c r="C6336"/>
  <c r="C6337"/>
  <c r="C6338"/>
  <c r="C6339"/>
  <c r="C6340"/>
  <c r="C6341"/>
  <c r="C6342"/>
  <c r="C6343"/>
  <c r="C6344"/>
  <c r="C6345"/>
  <c r="C6346"/>
  <c r="C6347"/>
  <c r="C6348"/>
  <c r="C6349"/>
  <c r="C6350"/>
  <c r="C6351"/>
  <c r="C6352"/>
  <c r="C6353"/>
  <c r="C6354"/>
  <c r="C6355"/>
  <c r="C6356"/>
  <c r="C6357"/>
  <c r="C6358"/>
  <c r="C6359"/>
  <c r="C6360"/>
  <c r="C6361"/>
  <c r="C6362"/>
  <c r="C6363"/>
  <c r="C6364"/>
  <c r="C6365"/>
  <c r="C6366"/>
  <c r="C6367"/>
  <c r="C6368"/>
  <c r="C6369"/>
  <c r="C6370"/>
  <c r="C6371"/>
  <c r="C6372"/>
  <c r="C6373"/>
  <c r="C6374"/>
  <c r="C6375"/>
  <c r="C6376"/>
  <c r="C6377"/>
  <c r="C6378"/>
  <c r="C6379"/>
  <c r="C6380"/>
  <c r="C6381"/>
  <c r="C6382"/>
  <c r="C6383"/>
  <c r="C6384"/>
  <c r="C6385"/>
  <c r="C6386"/>
  <c r="C6387"/>
  <c r="C6388"/>
  <c r="C6389"/>
  <c r="C6390"/>
  <c r="C6391"/>
  <c r="C6392"/>
  <c r="C6393"/>
  <c r="C6394"/>
  <c r="C6395"/>
  <c r="C6396"/>
  <c r="C6397"/>
  <c r="C6398"/>
  <c r="C6399"/>
  <c r="C6400"/>
  <c r="C6401"/>
  <c r="C6402"/>
  <c r="C6403"/>
  <c r="C6404"/>
  <c r="C6405"/>
  <c r="C6406"/>
  <c r="C6407"/>
  <c r="C6408"/>
  <c r="C6409"/>
  <c r="C6410"/>
  <c r="C6411"/>
  <c r="C6412"/>
  <c r="C6413"/>
  <c r="C6414"/>
  <c r="C6415"/>
  <c r="C6416"/>
  <c r="C6417"/>
  <c r="C6418"/>
  <c r="C6419"/>
  <c r="C6420"/>
  <c r="C6421"/>
  <c r="C6422"/>
  <c r="C6423"/>
  <c r="C6424"/>
  <c r="C6425"/>
  <c r="C6426"/>
  <c r="C6427"/>
  <c r="C6428"/>
  <c r="C6429"/>
  <c r="C6430"/>
  <c r="C6431"/>
  <c r="C6432"/>
  <c r="C6433"/>
  <c r="C6434"/>
  <c r="C6435"/>
  <c r="C6436"/>
  <c r="C6437"/>
  <c r="C6438"/>
  <c r="C6439"/>
  <c r="C6440"/>
  <c r="C6441"/>
  <c r="C6442"/>
  <c r="C6443"/>
  <c r="C6444"/>
  <c r="C6445"/>
  <c r="C6446"/>
  <c r="C6447"/>
  <c r="C6448"/>
  <c r="C6449"/>
  <c r="C6450"/>
  <c r="C6451"/>
  <c r="C6452"/>
  <c r="C6453"/>
  <c r="C6454"/>
  <c r="C6455"/>
  <c r="C6456"/>
  <c r="C6457"/>
  <c r="C6458"/>
  <c r="C6459"/>
  <c r="C6460"/>
  <c r="C6461"/>
  <c r="C6462"/>
  <c r="C6463"/>
  <c r="C6464"/>
  <c r="C6465"/>
  <c r="C6466"/>
  <c r="C6467"/>
  <c r="C6468"/>
  <c r="C6469"/>
  <c r="C6470"/>
  <c r="C6471"/>
  <c r="C6472"/>
  <c r="C6473"/>
  <c r="C6474"/>
  <c r="C6475"/>
  <c r="C6476"/>
  <c r="C6477"/>
  <c r="C6478"/>
  <c r="C6479"/>
  <c r="C6480"/>
  <c r="C6481"/>
  <c r="C6482"/>
  <c r="C6483"/>
  <c r="C6484"/>
  <c r="C6485"/>
  <c r="C6486"/>
  <c r="C6487"/>
  <c r="C6488"/>
  <c r="C6489"/>
  <c r="C6490"/>
  <c r="C6491"/>
  <c r="C6492"/>
  <c r="C6493"/>
  <c r="C6494"/>
  <c r="C6495"/>
  <c r="C6496"/>
  <c r="C6497"/>
  <c r="C6498"/>
  <c r="C6499"/>
  <c r="C6500"/>
  <c r="C6501"/>
  <c r="C6502"/>
  <c r="C6503"/>
  <c r="C6504"/>
  <c r="C6505"/>
  <c r="C6506"/>
  <c r="C6507"/>
  <c r="C6508"/>
  <c r="C6509"/>
  <c r="C6510"/>
  <c r="C6511"/>
  <c r="C6512"/>
  <c r="C6513"/>
  <c r="C6514"/>
  <c r="C6515"/>
  <c r="C6516"/>
  <c r="C6517"/>
  <c r="C6518"/>
  <c r="C6519"/>
  <c r="C6520"/>
  <c r="C6521"/>
  <c r="C6522"/>
  <c r="C6523"/>
  <c r="C6524"/>
  <c r="C6525"/>
  <c r="C6526"/>
  <c r="C6527"/>
  <c r="C6528"/>
  <c r="C6529"/>
  <c r="C6530"/>
  <c r="C6531"/>
  <c r="C6532"/>
  <c r="C6533"/>
  <c r="C6534"/>
  <c r="C6535"/>
  <c r="C6536"/>
  <c r="C6537"/>
  <c r="C6538"/>
  <c r="C6539"/>
  <c r="C6540"/>
  <c r="C6541"/>
  <c r="C6542"/>
  <c r="C6543"/>
  <c r="C6544"/>
  <c r="C6545"/>
  <c r="C6546"/>
  <c r="C6547"/>
  <c r="C6548"/>
  <c r="C6549"/>
  <c r="C6550"/>
  <c r="C6551"/>
  <c r="C6552"/>
  <c r="C6553"/>
  <c r="C6554"/>
  <c r="C6555"/>
  <c r="C6556"/>
  <c r="C6557"/>
  <c r="C6558"/>
  <c r="C6559"/>
  <c r="C6560"/>
  <c r="C6561"/>
  <c r="C6562"/>
  <c r="C6563"/>
  <c r="C6564"/>
  <c r="C6565"/>
  <c r="C6566"/>
  <c r="C6567"/>
  <c r="C6568"/>
  <c r="C6569"/>
  <c r="C6570"/>
  <c r="C6571"/>
  <c r="C6572"/>
  <c r="C6573"/>
  <c r="C6574"/>
  <c r="C6575"/>
  <c r="C6576"/>
  <c r="C6577"/>
  <c r="C6578"/>
  <c r="C6579"/>
  <c r="C6580"/>
  <c r="C6581"/>
  <c r="C6582"/>
  <c r="C6583"/>
  <c r="C6584"/>
  <c r="C6585"/>
  <c r="C6586"/>
  <c r="C6587"/>
  <c r="C6588"/>
  <c r="C6589"/>
  <c r="C6590"/>
  <c r="C6591"/>
  <c r="C6592"/>
  <c r="C6593"/>
  <c r="C6594"/>
  <c r="C6595"/>
  <c r="C6596"/>
  <c r="C6597"/>
  <c r="C6598"/>
  <c r="C6599"/>
  <c r="C6600"/>
  <c r="C6601"/>
  <c r="C6602"/>
  <c r="C6603"/>
  <c r="C6604"/>
  <c r="C6605"/>
  <c r="C6606"/>
  <c r="C6607"/>
  <c r="C6608"/>
  <c r="C6609"/>
  <c r="C6610"/>
  <c r="C6611"/>
  <c r="C6612"/>
  <c r="C6613"/>
  <c r="C6614"/>
  <c r="C6615"/>
  <c r="C6616"/>
  <c r="C6617"/>
  <c r="C6618"/>
  <c r="C6619"/>
  <c r="C6620"/>
  <c r="C6621"/>
  <c r="C6622"/>
  <c r="C6623"/>
  <c r="C6624"/>
  <c r="C6625"/>
  <c r="C6626"/>
  <c r="C6627"/>
  <c r="C6628"/>
  <c r="C6629"/>
  <c r="C6630"/>
  <c r="C6631"/>
  <c r="C6632"/>
  <c r="C6633"/>
  <c r="C6634"/>
  <c r="C6635"/>
  <c r="C6636"/>
  <c r="C6637"/>
  <c r="C6638"/>
  <c r="C6639"/>
  <c r="C6640"/>
  <c r="C6641"/>
  <c r="C6642"/>
  <c r="C6643"/>
  <c r="C6644"/>
  <c r="C6645"/>
  <c r="C6646"/>
  <c r="C6647"/>
  <c r="C6648"/>
  <c r="C6649"/>
  <c r="C6650"/>
  <c r="C6651"/>
  <c r="C6652"/>
  <c r="C6653"/>
  <c r="C6654"/>
  <c r="C6655"/>
  <c r="C6656"/>
  <c r="C6657"/>
  <c r="C6658"/>
  <c r="C6659"/>
  <c r="C6660"/>
  <c r="C6661"/>
  <c r="C6662"/>
  <c r="C6663"/>
  <c r="C6664"/>
  <c r="C6665"/>
  <c r="C6666"/>
  <c r="C6667"/>
  <c r="C6668"/>
  <c r="C6669"/>
  <c r="C6670"/>
  <c r="C6671"/>
  <c r="C6672"/>
  <c r="C6673"/>
  <c r="C6674"/>
  <c r="C6675"/>
  <c r="C6676"/>
  <c r="C6677"/>
  <c r="C6678"/>
  <c r="C6679"/>
  <c r="C6680"/>
  <c r="C6681"/>
  <c r="C6682"/>
  <c r="C6683"/>
  <c r="C6684"/>
  <c r="C6685"/>
  <c r="C6686"/>
  <c r="C6687"/>
  <c r="C6688"/>
  <c r="C6689"/>
  <c r="C6690"/>
  <c r="C6691"/>
  <c r="C6692"/>
  <c r="C6693"/>
  <c r="C6694"/>
  <c r="C6695"/>
  <c r="C6696"/>
  <c r="C6697"/>
  <c r="C6698"/>
  <c r="C6699"/>
  <c r="C6700"/>
  <c r="C6701"/>
  <c r="C6702"/>
  <c r="C6703"/>
  <c r="C6704"/>
  <c r="C6705"/>
  <c r="C6706"/>
  <c r="C6707"/>
  <c r="C6708"/>
  <c r="C6709"/>
  <c r="C6710"/>
  <c r="C6711"/>
  <c r="C6712"/>
  <c r="C6713"/>
  <c r="C6714"/>
  <c r="C6715"/>
  <c r="C6716"/>
  <c r="C6717"/>
  <c r="C6718"/>
  <c r="C6719"/>
  <c r="C6720"/>
  <c r="C6721"/>
  <c r="C6722"/>
  <c r="C6723"/>
  <c r="C6724"/>
  <c r="C6725"/>
  <c r="C6726"/>
  <c r="C6727"/>
  <c r="C6728"/>
  <c r="C6729"/>
  <c r="C6730"/>
  <c r="C6731"/>
  <c r="C6732"/>
  <c r="C6733"/>
  <c r="C6734"/>
  <c r="C6735"/>
  <c r="C6736"/>
  <c r="C6737"/>
  <c r="C6738"/>
  <c r="C6739"/>
  <c r="C6740"/>
  <c r="C6741"/>
  <c r="C6742"/>
  <c r="C6743"/>
  <c r="C6744"/>
  <c r="C6745"/>
  <c r="C6746"/>
  <c r="C6747"/>
  <c r="C6748"/>
  <c r="C6749"/>
  <c r="C6750"/>
  <c r="C6751"/>
  <c r="C6752"/>
  <c r="C6753"/>
  <c r="C6754"/>
  <c r="C6755"/>
  <c r="C6756"/>
  <c r="C6757"/>
  <c r="C6758"/>
  <c r="C6759"/>
  <c r="C6760"/>
  <c r="C6761"/>
  <c r="C6762"/>
  <c r="C6763"/>
  <c r="C6764"/>
  <c r="C6765"/>
  <c r="C6766"/>
  <c r="C6767"/>
  <c r="C6768"/>
  <c r="C6769"/>
  <c r="C6770"/>
  <c r="C6771"/>
  <c r="C6772"/>
  <c r="C6773"/>
  <c r="C6774"/>
  <c r="C6775"/>
  <c r="C6776"/>
  <c r="C6777"/>
  <c r="C6778"/>
  <c r="C6779"/>
  <c r="C6780"/>
  <c r="C6781"/>
  <c r="C6782"/>
  <c r="C6783"/>
  <c r="C6784"/>
  <c r="C6785"/>
  <c r="C6786"/>
  <c r="C6787"/>
  <c r="C6788"/>
  <c r="C6789"/>
  <c r="C6790"/>
  <c r="C6791"/>
  <c r="C6792"/>
  <c r="C6793"/>
  <c r="C6794"/>
  <c r="C6795"/>
  <c r="C6796"/>
  <c r="C6797"/>
  <c r="C6798"/>
  <c r="C6799"/>
  <c r="C6800"/>
  <c r="C6801"/>
  <c r="C6802"/>
  <c r="C6803"/>
  <c r="C6804"/>
  <c r="C6805"/>
  <c r="C6806"/>
  <c r="C6807"/>
  <c r="C6808"/>
  <c r="C6809"/>
  <c r="C6810"/>
  <c r="C6811"/>
  <c r="C6812"/>
  <c r="C6813"/>
  <c r="C6814"/>
  <c r="C6815"/>
  <c r="C6816"/>
  <c r="C6817"/>
  <c r="C6818"/>
  <c r="C6819"/>
  <c r="C6820"/>
  <c r="C6821"/>
  <c r="C6822"/>
  <c r="C6823"/>
  <c r="C6824"/>
  <c r="C6825"/>
  <c r="C6826"/>
  <c r="C6827"/>
  <c r="C6828"/>
  <c r="C6829"/>
  <c r="C6830"/>
  <c r="C6831"/>
  <c r="C6832"/>
  <c r="C6833"/>
  <c r="C6834"/>
  <c r="C6835"/>
  <c r="C6836"/>
  <c r="C6837"/>
  <c r="C6838"/>
  <c r="C6839"/>
  <c r="C6840"/>
  <c r="C6841"/>
  <c r="C6842"/>
  <c r="C6843"/>
  <c r="C6844"/>
  <c r="C6845"/>
  <c r="C6846"/>
  <c r="C6847"/>
  <c r="C6848"/>
  <c r="C6849"/>
  <c r="C6850"/>
  <c r="C6851"/>
  <c r="C6852"/>
  <c r="C6853"/>
  <c r="C6854"/>
  <c r="C6855"/>
  <c r="C6856"/>
  <c r="C6857"/>
  <c r="C6858"/>
  <c r="C6859"/>
  <c r="C6860"/>
  <c r="C6861"/>
  <c r="C6862"/>
  <c r="C6863"/>
  <c r="C6864"/>
  <c r="C6865"/>
  <c r="C6866"/>
  <c r="C6867"/>
  <c r="C6868"/>
  <c r="C6869"/>
  <c r="C6870"/>
  <c r="C6871"/>
  <c r="C6872"/>
  <c r="C6873"/>
  <c r="C6874"/>
  <c r="C6875"/>
  <c r="C6876"/>
  <c r="C6877"/>
  <c r="C6878"/>
  <c r="C6879"/>
  <c r="C6880"/>
  <c r="C6881"/>
  <c r="C6882"/>
  <c r="C6883"/>
  <c r="C6884"/>
  <c r="C6885"/>
  <c r="C6886"/>
  <c r="C6887"/>
  <c r="C6888"/>
  <c r="C6889"/>
  <c r="C6890"/>
  <c r="C6891"/>
  <c r="C6892"/>
  <c r="C6893"/>
  <c r="C6894"/>
  <c r="C6895"/>
  <c r="C6896"/>
  <c r="C6897"/>
  <c r="C6898"/>
  <c r="C6899"/>
  <c r="C6900"/>
  <c r="C6901"/>
  <c r="C6902"/>
  <c r="C6903"/>
  <c r="C6904"/>
  <c r="C6905"/>
  <c r="C6906"/>
  <c r="C6907"/>
  <c r="C6908"/>
  <c r="C6909"/>
  <c r="C6910"/>
  <c r="C6911"/>
  <c r="C6912"/>
  <c r="C6913"/>
  <c r="C6914"/>
  <c r="C6915"/>
  <c r="C6916"/>
  <c r="C6917"/>
  <c r="C6918"/>
  <c r="C6919"/>
  <c r="C6920"/>
  <c r="C6921"/>
  <c r="C6922"/>
  <c r="C6923"/>
  <c r="C6924"/>
  <c r="C6925"/>
  <c r="C6926"/>
  <c r="C6927"/>
  <c r="C6928"/>
  <c r="C6929"/>
  <c r="C6930"/>
  <c r="C6931"/>
  <c r="C6932"/>
  <c r="C6933"/>
  <c r="C6934"/>
  <c r="C6935"/>
  <c r="C6936"/>
  <c r="C6937"/>
  <c r="C6938"/>
  <c r="C6939"/>
  <c r="C6940"/>
  <c r="C6941"/>
  <c r="C6942"/>
  <c r="C6943"/>
  <c r="C6944"/>
  <c r="C6945"/>
  <c r="C6946"/>
  <c r="C6947"/>
  <c r="C6948"/>
  <c r="C6949"/>
  <c r="C6950"/>
  <c r="C6951"/>
  <c r="C6952"/>
  <c r="C6953"/>
  <c r="C6954"/>
  <c r="C6955"/>
  <c r="C6956"/>
  <c r="C6957"/>
  <c r="C6958"/>
  <c r="C6959"/>
  <c r="C6960"/>
  <c r="C6961"/>
  <c r="C6962"/>
  <c r="C6963"/>
  <c r="C6964"/>
  <c r="C6965"/>
  <c r="C6966"/>
  <c r="C6967"/>
  <c r="C6968"/>
  <c r="C6969"/>
  <c r="C6970"/>
  <c r="C6971"/>
  <c r="C6972"/>
  <c r="C6973"/>
  <c r="C6974"/>
  <c r="C6975"/>
  <c r="C6976"/>
  <c r="C6977"/>
  <c r="C6978"/>
  <c r="C6979"/>
  <c r="C6980"/>
  <c r="C6981"/>
  <c r="C6982"/>
  <c r="C6983"/>
  <c r="C6984"/>
  <c r="C6985"/>
  <c r="C6986"/>
  <c r="C6987"/>
  <c r="C6988"/>
  <c r="C6989"/>
  <c r="C6990"/>
  <c r="C6991"/>
  <c r="C6992"/>
  <c r="C6993"/>
  <c r="C6994"/>
  <c r="C6995"/>
  <c r="C6996"/>
  <c r="C6997"/>
  <c r="C6998"/>
  <c r="C6999"/>
  <c r="C7000"/>
  <c r="C7001"/>
  <c r="C7002"/>
  <c r="C7003"/>
  <c r="C7004"/>
  <c r="C7005"/>
  <c r="C7006"/>
  <c r="C7007"/>
  <c r="C7008"/>
  <c r="C7009"/>
  <c r="C7010"/>
  <c r="C7011"/>
  <c r="C7012"/>
  <c r="C7013"/>
  <c r="C7014"/>
  <c r="C7015"/>
  <c r="C7016"/>
  <c r="C7017"/>
  <c r="C7018"/>
  <c r="C7019"/>
  <c r="C7020"/>
  <c r="C7021"/>
  <c r="C7022"/>
  <c r="C7023"/>
  <c r="C7024"/>
  <c r="C7025"/>
  <c r="C7026"/>
  <c r="C7027"/>
  <c r="C7028"/>
  <c r="C7029"/>
  <c r="C7030"/>
  <c r="C7031"/>
  <c r="C7032"/>
  <c r="C7033"/>
  <c r="C7034"/>
  <c r="C7035"/>
  <c r="C7036"/>
  <c r="C7037"/>
  <c r="C7038"/>
  <c r="C7039"/>
  <c r="C7040"/>
  <c r="C7041"/>
  <c r="C7042"/>
  <c r="C7043"/>
  <c r="C7044"/>
  <c r="C7045"/>
  <c r="C7046"/>
  <c r="C7047"/>
  <c r="C7048"/>
  <c r="C7049"/>
  <c r="C7050"/>
  <c r="C7051"/>
  <c r="C7052"/>
  <c r="C7053"/>
  <c r="C7054"/>
  <c r="C7055"/>
  <c r="C7056"/>
  <c r="C7057"/>
  <c r="C7058"/>
  <c r="C7059"/>
  <c r="C7060"/>
  <c r="C7061"/>
  <c r="C7062"/>
  <c r="C7063"/>
  <c r="C7064"/>
  <c r="C7065"/>
  <c r="C7066"/>
  <c r="C7067"/>
  <c r="C7068"/>
  <c r="C7069"/>
  <c r="C7070"/>
  <c r="C7071"/>
  <c r="C7072"/>
  <c r="C7073"/>
  <c r="C7074"/>
  <c r="C7075"/>
  <c r="C7076"/>
  <c r="C7077"/>
  <c r="C7078"/>
  <c r="C7079"/>
  <c r="C7080"/>
  <c r="C7081"/>
  <c r="C7082"/>
  <c r="C7083"/>
  <c r="C7084"/>
  <c r="C7085"/>
  <c r="C7086"/>
  <c r="C7087"/>
  <c r="C7088"/>
  <c r="C7089"/>
  <c r="C7090"/>
  <c r="C7091"/>
  <c r="C7092"/>
  <c r="C7093"/>
  <c r="C7094"/>
  <c r="C7095"/>
  <c r="C7096"/>
  <c r="C7097"/>
  <c r="C7098"/>
  <c r="C7099"/>
  <c r="C7100"/>
  <c r="C7101"/>
  <c r="C7102"/>
  <c r="C7103"/>
  <c r="C7104"/>
  <c r="C7105"/>
  <c r="C7106"/>
  <c r="C7107"/>
  <c r="C7108"/>
  <c r="C7109"/>
  <c r="C7110"/>
  <c r="C7111"/>
  <c r="C7112"/>
  <c r="C7113"/>
  <c r="C7114"/>
  <c r="C7115"/>
  <c r="C7116"/>
  <c r="C7117"/>
  <c r="C7118"/>
  <c r="C7119"/>
  <c r="C7120"/>
  <c r="C7121"/>
  <c r="C7122"/>
  <c r="C7123"/>
  <c r="C7124"/>
  <c r="C7125"/>
  <c r="C7126"/>
  <c r="C7127"/>
  <c r="C7128"/>
  <c r="C7129"/>
  <c r="C7130"/>
  <c r="C7131"/>
  <c r="C7132"/>
  <c r="C7133"/>
  <c r="C7134"/>
  <c r="C7135"/>
  <c r="C7136"/>
  <c r="C7137"/>
  <c r="C7138"/>
  <c r="C7139"/>
  <c r="C7140"/>
  <c r="C7141"/>
  <c r="C7142"/>
  <c r="C7143"/>
  <c r="C7144"/>
  <c r="C7145"/>
  <c r="C7146"/>
  <c r="C7147"/>
  <c r="C7148"/>
  <c r="C7149"/>
  <c r="C7150"/>
  <c r="C7151"/>
  <c r="C7152"/>
  <c r="C7153"/>
  <c r="C7154"/>
  <c r="C7155"/>
  <c r="C7156"/>
  <c r="C7157"/>
  <c r="C7158"/>
  <c r="C7159"/>
  <c r="C7160"/>
  <c r="C7161"/>
  <c r="C7162"/>
  <c r="C7163"/>
  <c r="C7164"/>
  <c r="C7165"/>
  <c r="C7166"/>
  <c r="C7167"/>
  <c r="C7168"/>
  <c r="C7169"/>
  <c r="C7170"/>
  <c r="C7171"/>
  <c r="C7172"/>
  <c r="C7173"/>
  <c r="C7174"/>
  <c r="C7175"/>
  <c r="C7176"/>
  <c r="C7177"/>
  <c r="C7178"/>
  <c r="C7179"/>
  <c r="C7180"/>
  <c r="C7181"/>
  <c r="C7182"/>
  <c r="C7183"/>
  <c r="C7184"/>
  <c r="C7185"/>
  <c r="C7186"/>
  <c r="C7187"/>
  <c r="C7188"/>
  <c r="C7189"/>
  <c r="C7190"/>
  <c r="C7191"/>
  <c r="C7192"/>
  <c r="C7193"/>
  <c r="C7194"/>
  <c r="C7195"/>
  <c r="C7196"/>
  <c r="C7197"/>
  <c r="C7198"/>
  <c r="C7199"/>
  <c r="C7200"/>
  <c r="C7201"/>
  <c r="C7202"/>
  <c r="C7203"/>
  <c r="C7204"/>
  <c r="C7205"/>
  <c r="C7206"/>
  <c r="C7207"/>
  <c r="C7208"/>
  <c r="C7209"/>
  <c r="C7210"/>
  <c r="C7211"/>
  <c r="C7212"/>
  <c r="C7213"/>
  <c r="C7214"/>
  <c r="C7215"/>
  <c r="C7216"/>
  <c r="C7217"/>
  <c r="C7218"/>
  <c r="C7219"/>
  <c r="C7220"/>
  <c r="C7221"/>
  <c r="C7222"/>
  <c r="C7223"/>
  <c r="C7224"/>
  <c r="C7225"/>
  <c r="C7226"/>
  <c r="C7227"/>
  <c r="C7228"/>
  <c r="C7229"/>
  <c r="C7230"/>
  <c r="C7231"/>
  <c r="C7232"/>
  <c r="C7233"/>
  <c r="C7234"/>
  <c r="C7235"/>
  <c r="C7236"/>
  <c r="C7237"/>
  <c r="C7238"/>
  <c r="C7239"/>
  <c r="C7240"/>
  <c r="C7241"/>
  <c r="C7242"/>
  <c r="C7243"/>
  <c r="C7244"/>
  <c r="C7245"/>
  <c r="C7246"/>
  <c r="C7247"/>
  <c r="C7248"/>
  <c r="C7249"/>
  <c r="C7250"/>
  <c r="C7251"/>
  <c r="C7252"/>
  <c r="C7253"/>
  <c r="C7254"/>
  <c r="C7255"/>
  <c r="C7256"/>
  <c r="C7257"/>
  <c r="C7258"/>
  <c r="C7259"/>
  <c r="C7260"/>
  <c r="C7261"/>
  <c r="C7262"/>
  <c r="C7263"/>
  <c r="C7264"/>
  <c r="C7265"/>
  <c r="C7266"/>
  <c r="C7267"/>
  <c r="C7268"/>
  <c r="C7269"/>
  <c r="C7270"/>
  <c r="C7271"/>
  <c r="C7272"/>
  <c r="C7273"/>
  <c r="C7274"/>
  <c r="C7275"/>
  <c r="C7276"/>
  <c r="C7277"/>
  <c r="C7278"/>
  <c r="C7279"/>
  <c r="C7280"/>
  <c r="C7281"/>
  <c r="C7282"/>
  <c r="C7283"/>
  <c r="C7284"/>
  <c r="C7285"/>
  <c r="C7286"/>
  <c r="C7287"/>
  <c r="C7288"/>
  <c r="C7289"/>
  <c r="C7290"/>
  <c r="C7291"/>
  <c r="C7292"/>
  <c r="C7293"/>
  <c r="C7294"/>
  <c r="C7295"/>
  <c r="C7296"/>
  <c r="C7297"/>
  <c r="C7298"/>
  <c r="C7299"/>
  <c r="C7300"/>
  <c r="C7301"/>
  <c r="C7302"/>
  <c r="C7303"/>
  <c r="C7304"/>
  <c r="C7305"/>
  <c r="C7306"/>
  <c r="C7307"/>
  <c r="C7308"/>
  <c r="C7309"/>
  <c r="C7310"/>
  <c r="C7311"/>
  <c r="C7312"/>
  <c r="C7313"/>
  <c r="C7314"/>
  <c r="C7315"/>
  <c r="C7316"/>
  <c r="C7317"/>
  <c r="C7318"/>
  <c r="C7319"/>
  <c r="C7320"/>
  <c r="C7321"/>
  <c r="C7322"/>
  <c r="C7323"/>
  <c r="C7324"/>
  <c r="C7325"/>
  <c r="C7326"/>
  <c r="C7327"/>
  <c r="C7328"/>
  <c r="C7329"/>
  <c r="C7330"/>
  <c r="C7331"/>
  <c r="C7332"/>
  <c r="C7333"/>
  <c r="C7334"/>
  <c r="C7335"/>
  <c r="C7336"/>
  <c r="C7337"/>
  <c r="C7338"/>
  <c r="C7339"/>
  <c r="C7340"/>
  <c r="C7341"/>
  <c r="C7342"/>
  <c r="C7343"/>
  <c r="C7344"/>
  <c r="C7345"/>
  <c r="C7346"/>
  <c r="C7347"/>
  <c r="C7348"/>
  <c r="C7349"/>
  <c r="C7350"/>
  <c r="C7351"/>
  <c r="C7352"/>
  <c r="C7353"/>
  <c r="C7354"/>
  <c r="C7355"/>
  <c r="C7356"/>
  <c r="C7357"/>
  <c r="C7358"/>
  <c r="C7359"/>
  <c r="C7360"/>
  <c r="C7361"/>
  <c r="C7362"/>
  <c r="C7363"/>
  <c r="C7364"/>
  <c r="C7365"/>
  <c r="C7366"/>
  <c r="C7367"/>
  <c r="C7368"/>
  <c r="C7369"/>
  <c r="C7370"/>
  <c r="C7371"/>
  <c r="C7372"/>
  <c r="C7373"/>
  <c r="C7374"/>
  <c r="C7375"/>
  <c r="C7376"/>
  <c r="C7377"/>
  <c r="C7378"/>
  <c r="C7379"/>
  <c r="C7380"/>
  <c r="C7381"/>
  <c r="C7382"/>
  <c r="C7383"/>
  <c r="C7384"/>
  <c r="C7385"/>
  <c r="C7386"/>
  <c r="C7387"/>
  <c r="C7388"/>
  <c r="C7389"/>
  <c r="C7390"/>
  <c r="C7391"/>
  <c r="C7392"/>
  <c r="C7393"/>
  <c r="C7394"/>
  <c r="C7395"/>
  <c r="C7396"/>
  <c r="C7397"/>
  <c r="C7398"/>
  <c r="C7399"/>
  <c r="C7400"/>
  <c r="C7401"/>
  <c r="C7402"/>
  <c r="C7403"/>
  <c r="C7404"/>
  <c r="C7405"/>
  <c r="C7406"/>
  <c r="C7407"/>
  <c r="C7408"/>
  <c r="C7409"/>
  <c r="C7410"/>
  <c r="C7411"/>
  <c r="C7412"/>
  <c r="C7413"/>
  <c r="C7414"/>
  <c r="C7415"/>
  <c r="C7416"/>
  <c r="C7417"/>
  <c r="C7418"/>
  <c r="C7419"/>
  <c r="C7420"/>
  <c r="C7421"/>
  <c r="C7422"/>
  <c r="C7423"/>
  <c r="C7424"/>
  <c r="C7425"/>
  <c r="C7426"/>
  <c r="C7427"/>
  <c r="C7428"/>
  <c r="C7429"/>
  <c r="C7430"/>
  <c r="C7431"/>
  <c r="C7432"/>
  <c r="C7433"/>
  <c r="C7434"/>
  <c r="C7435"/>
  <c r="C7436"/>
  <c r="C7437"/>
  <c r="C7438"/>
  <c r="C7439"/>
  <c r="C7440"/>
  <c r="C7441"/>
  <c r="C7442"/>
  <c r="C7443"/>
  <c r="C7444"/>
  <c r="C7445"/>
  <c r="C7446"/>
  <c r="C7447"/>
  <c r="C7448"/>
  <c r="C7449"/>
  <c r="C7450"/>
  <c r="C7451"/>
  <c r="C7452"/>
  <c r="C7453"/>
  <c r="C7454"/>
  <c r="C7455"/>
  <c r="C7456"/>
  <c r="C7457"/>
  <c r="C7458"/>
  <c r="C7459"/>
  <c r="C7460"/>
  <c r="C7461"/>
  <c r="C7462"/>
  <c r="C7463"/>
  <c r="C7464"/>
  <c r="C7465"/>
  <c r="C7466"/>
  <c r="C7467"/>
  <c r="C7468"/>
  <c r="C7469"/>
  <c r="C7470"/>
  <c r="C7471"/>
  <c r="C7472"/>
  <c r="C7473"/>
  <c r="C7474"/>
  <c r="C7475"/>
  <c r="C7476"/>
  <c r="C7477"/>
  <c r="C7478"/>
  <c r="C7479"/>
  <c r="C7480"/>
  <c r="C7481"/>
  <c r="C7482"/>
  <c r="C7483"/>
  <c r="C7484"/>
  <c r="C7485"/>
  <c r="C7486"/>
  <c r="C7487"/>
  <c r="C7488"/>
  <c r="C7489"/>
  <c r="C7490"/>
  <c r="C7491"/>
  <c r="C7492"/>
  <c r="C7493"/>
  <c r="C7494"/>
  <c r="C7495"/>
  <c r="C7496"/>
  <c r="C7497"/>
  <c r="C7498"/>
  <c r="C7499"/>
  <c r="C7500"/>
  <c r="C7501"/>
  <c r="C7502"/>
  <c r="C7503"/>
  <c r="C7504"/>
  <c r="C7505"/>
  <c r="C7506"/>
  <c r="C7507"/>
  <c r="C7508"/>
  <c r="C7509"/>
  <c r="C7510"/>
  <c r="C7511"/>
  <c r="C7512"/>
  <c r="C7513"/>
  <c r="C7514"/>
  <c r="C7515"/>
  <c r="C7516"/>
  <c r="C7517"/>
  <c r="C7518"/>
  <c r="C7519"/>
  <c r="C7520"/>
  <c r="C7521"/>
  <c r="C7522"/>
  <c r="C7523"/>
  <c r="C7524"/>
  <c r="C7525"/>
  <c r="C7526"/>
  <c r="C7527"/>
  <c r="C7528"/>
  <c r="C7529"/>
  <c r="C7530"/>
  <c r="C7531"/>
  <c r="C7532"/>
  <c r="C7533"/>
  <c r="C7534"/>
  <c r="C7535"/>
  <c r="C7536"/>
  <c r="C7537"/>
  <c r="C7538"/>
  <c r="C7539"/>
  <c r="C7540"/>
  <c r="C7541"/>
  <c r="C7542"/>
  <c r="C7543"/>
  <c r="C7544"/>
  <c r="C7545"/>
  <c r="C7546"/>
  <c r="C7547"/>
  <c r="C7548"/>
  <c r="C7549"/>
  <c r="C7550"/>
  <c r="C7551"/>
  <c r="C7552"/>
  <c r="C7553"/>
  <c r="C7554"/>
  <c r="C7555"/>
  <c r="C7556"/>
  <c r="C7557"/>
  <c r="C7558"/>
  <c r="C7559"/>
  <c r="C7560"/>
  <c r="C7561"/>
  <c r="C7562"/>
  <c r="C7563"/>
  <c r="C7564"/>
  <c r="C7565"/>
  <c r="C7566"/>
  <c r="C7567"/>
  <c r="C7568"/>
  <c r="C7569"/>
  <c r="C7570"/>
  <c r="C7571"/>
  <c r="C7572"/>
  <c r="C7573"/>
  <c r="C7574"/>
  <c r="C7575"/>
  <c r="C7576"/>
  <c r="C7577"/>
  <c r="C7578"/>
  <c r="C7579"/>
  <c r="C7580"/>
  <c r="C7581"/>
  <c r="C7582"/>
  <c r="C7583"/>
  <c r="C7584"/>
  <c r="C7585"/>
  <c r="C7586"/>
  <c r="C7587"/>
  <c r="C7588"/>
  <c r="C7589"/>
  <c r="C7590"/>
  <c r="C7591"/>
  <c r="C7592"/>
  <c r="C7593"/>
  <c r="C7594"/>
  <c r="C7595"/>
  <c r="C7596"/>
  <c r="C7597"/>
  <c r="C7598"/>
  <c r="C7599"/>
  <c r="C7600"/>
  <c r="C7601"/>
  <c r="C7602"/>
  <c r="C7603"/>
  <c r="C7604"/>
  <c r="C7605"/>
  <c r="C7606"/>
  <c r="C7607"/>
  <c r="C7608"/>
  <c r="C7609"/>
  <c r="C7610"/>
  <c r="C7611"/>
  <c r="C7612"/>
  <c r="C7613"/>
  <c r="C7614"/>
  <c r="C7615"/>
  <c r="C7616"/>
  <c r="C7617"/>
  <c r="C7618"/>
  <c r="C7619"/>
  <c r="C7620"/>
  <c r="C7621"/>
  <c r="C7622"/>
  <c r="C7623"/>
  <c r="C7624"/>
  <c r="C7625"/>
  <c r="C7626"/>
  <c r="C7627"/>
  <c r="C7628"/>
  <c r="C7629"/>
  <c r="C7630"/>
  <c r="C7631"/>
  <c r="C7632"/>
  <c r="C7633"/>
  <c r="C7634"/>
  <c r="C7635"/>
  <c r="C7636"/>
  <c r="C7637"/>
  <c r="C7638"/>
  <c r="C7639"/>
  <c r="C7640"/>
  <c r="C7641"/>
  <c r="C7642"/>
  <c r="C7643"/>
  <c r="C7644"/>
  <c r="C7645"/>
  <c r="C7646"/>
  <c r="C7647"/>
  <c r="C7648"/>
  <c r="C7649"/>
  <c r="C7650"/>
  <c r="C7651"/>
  <c r="C7652"/>
  <c r="C7653"/>
  <c r="C7654"/>
  <c r="C7655"/>
  <c r="C7656"/>
  <c r="C7657"/>
  <c r="C7658"/>
  <c r="C7659"/>
  <c r="C7660"/>
  <c r="C7661"/>
  <c r="C7662"/>
  <c r="C7663"/>
  <c r="C7664"/>
  <c r="C7665"/>
  <c r="C7666"/>
  <c r="C7667"/>
  <c r="C7668"/>
  <c r="C7669"/>
  <c r="C7670"/>
  <c r="C7671"/>
  <c r="C7672"/>
  <c r="C7673"/>
  <c r="C7674"/>
  <c r="C7675"/>
  <c r="C7676"/>
  <c r="C7677"/>
  <c r="C7678"/>
  <c r="C7679"/>
  <c r="C7680"/>
  <c r="C7681"/>
  <c r="C7682"/>
  <c r="C7683"/>
  <c r="C7684"/>
  <c r="C7685"/>
  <c r="C7686"/>
  <c r="C7687"/>
  <c r="C7688"/>
  <c r="C7689"/>
  <c r="C7690"/>
  <c r="C7691"/>
  <c r="C7692"/>
  <c r="C7693"/>
  <c r="C7694"/>
  <c r="C7695"/>
  <c r="C7696"/>
  <c r="C7697"/>
  <c r="C7698"/>
  <c r="C7699"/>
  <c r="C7700"/>
  <c r="C7701"/>
  <c r="C7702"/>
  <c r="C7703"/>
  <c r="C7704"/>
  <c r="C7705"/>
  <c r="C7706"/>
  <c r="C7707"/>
  <c r="C7708"/>
  <c r="C7709"/>
  <c r="C7710"/>
  <c r="C7711"/>
  <c r="C7712"/>
  <c r="C7713"/>
  <c r="C7714"/>
  <c r="C7715"/>
  <c r="C7716"/>
  <c r="C7717"/>
  <c r="C7718"/>
  <c r="C7719"/>
  <c r="C7720"/>
  <c r="C7721"/>
  <c r="C7722"/>
  <c r="C7723"/>
  <c r="C7724"/>
  <c r="C7725"/>
  <c r="C7726"/>
  <c r="C7727"/>
  <c r="C7728"/>
  <c r="C7729"/>
  <c r="C7730"/>
  <c r="C7731"/>
  <c r="C7732"/>
  <c r="C7733"/>
  <c r="C7734"/>
  <c r="C7735"/>
  <c r="C7736"/>
  <c r="C7737"/>
  <c r="C7738"/>
  <c r="C7739"/>
  <c r="C7740"/>
  <c r="C7741"/>
  <c r="C7742"/>
  <c r="C7743"/>
  <c r="C7744"/>
  <c r="C7745"/>
  <c r="C7746"/>
  <c r="C7747"/>
  <c r="C7748"/>
  <c r="C7749"/>
  <c r="C7750"/>
  <c r="C7751"/>
  <c r="C7752"/>
  <c r="C7753"/>
  <c r="C7754"/>
  <c r="C7755"/>
  <c r="C7756"/>
  <c r="C7757"/>
  <c r="C7758"/>
  <c r="C7759"/>
  <c r="C7760"/>
  <c r="C7761"/>
  <c r="C7762"/>
  <c r="C7763"/>
  <c r="C7764"/>
  <c r="C7765"/>
  <c r="C7766"/>
  <c r="C7767"/>
  <c r="C7768"/>
  <c r="C7769"/>
  <c r="C7770"/>
  <c r="C7771"/>
  <c r="C7772"/>
  <c r="C7773"/>
  <c r="C7774"/>
  <c r="C7775"/>
  <c r="C7776"/>
  <c r="C7777"/>
  <c r="C7778"/>
  <c r="C7779"/>
  <c r="C7780"/>
  <c r="C7781"/>
  <c r="C7782"/>
  <c r="C7783"/>
  <c r="C7784"/>
  <c r="C7785"/>
  <c r="C7786"/>
  <c r="C7787"/>
  <c r="C7788"/>
  <c r="C7789"/>
  <c r="C7790"/>
  <c r="C7791"/>
  <c r="C7792"/>
  <c r="C7793"/>
  <c r="C7794"/>
  <c r="C7795"/>
  <c r="C7796"/>
  <c r="C7797"/>
  <c r="C7798"/>
  <c r="C7799"/>
  <c r="C7800"/>
  <c r="C7801"/>
  <c r="C7802"/>
  <c r="C7803"/>
  <c r="C7804"/>
  <c r="C7805"/>
  <c r="C7806"/>
  <c r="C7807"/>
  <c r="C7808"/>
  <c r="C7809"/>
  <c r="C7810"/>
  <c r="C7811"/>
  <c r="C7812"/>
  <c r="C7813"/>
  <c r="C7814"/>
  <c r="C7815"/>
  <c r="C7816"/>
  <c r="C7817"/>
  <c r="C7818"/>
  <c r="C7819"/>
  <c r="C7820"/>
  <c r="C7821"/>
  <c r="C7822"/>
  <c r="C7823"/>
  <c r="C7824"/>
  <c r="C7825"/>
  <c r="C7826"/>
  <c r="C7827"/>
  <c r="C7828"/>
  <c r="C7829"/>
  <c r="C7830"/>
  <c r="C7831"/>
  <c r="C7832"/>
  <c r="C7833"/>
  <c r="C7834"/>
  <c r="C7835"/>
  <c r="C7836"/>
  <c r="C7837"/>
  <c r="C7838"/>
  <c r="C7839"/>
  <c r="C7840"/>
  <c r="C7841"/>
  <c r="C7842"/>
  <c r="C7843"/>
  <c r="C7844"/>
  <c r="C7845"/>
  <c r="C7846"/>
  <c r="C7847"/>
  <c r="C7848"/>
  <c r="C7849"/>
  <c r="C7850"/>
  <c r="C7851"/>
  <c r="C7852"/>
  <c r="C7853"/>
  <c r="C7854"/>
  <c r="C7855"/>
  <c r="C7856"/>
  <c r="C7857"/>
  <c r="C7858"/>
  <c r="C7859"/>
  <c r="C7860"/>
  <c r="C7861"/>
  <c r="C7862"/>
  <c r="C7863"/>
  <c r="C7864"/>
  <c r="C7865"/>
  <c r="C7866"/>
  <c r="C7867"/>
  <c r="C7868"/>
  <c r="C7869"/>
  <c r="C7870"/>
  <c r="C7871"/>
  <c r="C7872"/>
  <c r="C7873"/>
  <c r="C7874"/>
  <c r="C7875"/>
  <c r="C7876"/>
  <c r="C7877"/>
  <c r="C7878"/>
  <c r="C7879"/>
  <c r="C7880"/>
  <c r="C7881"/>
  <c r="C7882"/>
  <c r="C7883"/>
  <c r="C7884"/>
  <c r="C7885"/>
  <c r="C7886"/>
  <c r="C7887"/>
  <c r="C7888"/>
  <c r="C7889"/>
  <c r="C7890"/>
  <c r="C7891"/>
  <c r="C7892"/>
  <c r="C7893"/>
  <c r="C7894"/>
  <c r="C7895"/>
  <c r="C7896"/>
  <c r="C7897"/>
  <c r="C7898"/>
  <c r="C7899"/>
  <c r="C7900"/>
  <c r="C7901"/>
  <c r="C7902"/>
  <c r="C7903"/>
  <c r="C7904"/>
  <c r="C7905"/>
  <c r="C7906"/>
  <c r="C7907"/>
  <c r="C7908"/>
  <c r="C7909"/>
  <c r="C7910"/>
  <c r="C7911"/>
  <c r="C7912"/>
  <c r="C7913"/>
  <c r="C7914"/>
  <c r="C7915"/>
  <c r="C7916"/>
  <c r="C7917"/>
  <c r="C7918"/>
  <c r="C7919"/>
  <c r="C7920"/>
  <c r="C7921"/>
  <c r="C7922"/>
  <c r="C7923"/>
  <c r="C7924"/>
  <c r="C7925"/>
  <c r="C7926"/>
  <c r="C7927"/>
  <c r="C7928"/>
  <c r="C7929"/>
  <c r="C7930"/>
  <c r="C7931"/>
  <c r="C7932"/>
  <c r="C7933"/>
  <c r="C7934"/>
  <c r="C7935"/>
  <c r="C7936"/>
  <c r="C7937"/>
  <c r="C7938"/>
  <c r="C7939"/>
  <c r="C7940"/>
  <c r="C7941"/>
  <c r="C7942"/>
  <c r="C7943"/>
  <c r="C7944"/>
  <c r="C7945"/>
  <c r="C7946"/>
  <c r="C7947"/>
  <c r="C7948"/>
  <c r="C7949"/>
  <c r="C7950"/>
  <c r="C7951"/>
  <c r="C7952"/>
  <c r="C7953"/>
  <c r="C7954"/>
  <c r="C7955"/>
  <c r="C7956"/>
  <c r="C7957"/>
  <c r="C7958"/>
  <c r="C7959"/>
  <c r="C7960"/>
  <c r="C7961"/>
  <c r="C7962"/>
  <c r="C7963"/>
  <c r="C7964"/>
  <c r="C7965"/>
  <c r="C7966"/>
  <c r="C7967"/>
  <c r="C7968"/>
  <c r="C7969"/>
  <c r="C7970"/>
  <c r="C7971"/>
  <c r="C7972"/>
  <c r="C7973"/>
  <c r="C7974"/>
  <c r="C7975"/>
  <c r="C7976"/>
  <c r="C7977"/>
  <c r="C7978"/>
  <c r="C7979"/>
  <c r="C7980"/>
  <c r="C7981"/>
  <c r="C7982"/>
  <c r="C7983"/>
  <c r="C7984"/>
  <c r="C7985"/>
  <c r="C7986"/>
  <c r="C7987"/>
  <c r="C7988"/>
  <c r="C7989"/>
  <c r="C7990"/>
  <c r="C7991"/>
  <c r="C7992"/>
  <c r="C7993"/>
  <c r="C7994"/>
  <c r="C7995"/>
  <c r="C7996"/>
  <c r="C7997"/>
  <c r="C7998"/>
  <c r="C7999"/>
  <c r="C8000"/>
  <c r="C8001"/>
  <c r="C8002"/>
  <c r="C8003"/>
  <c r="C8004"/>
  <c r="C8005"/>
  <c r="C8006"/>
  <c r="C8007"/>
  <c r="C8008"/>
  <c r="C8009"/>
  <c r="C8010"/>
  <c r="C8011"/>
  <c r="C8012"/>
  <c r="C8013"/>
  <c r="C8014"/>
  <c r="C8015"/>
  <c r="C8016"/>
  <c r="C8017"/>
  <c r="C8018"/>
  <c r="C8019"/>
  <c r="C8020"/>
  <c r="C8021"/>
  <c r="C8022"/>
  <c r="C8023"/>
  <c r="C8024"/>
  <c r="C8025"/>
  <c r="C8026"/>
  <c r="C8027"/>
  <c r="C8028"/>
  <c r="C8029"/>
  <c r="C8030"/>
  <c r="C8031"/>
  <c r="C8032"/>
  <c r="C8033"/>
  <c r="C8034"/>
  <c r="C8035"/>
  <c r="C8036"/>
  <c r="C8037"/>
  <c r="C8038"/>
  <c r="C8039"/>
  <c r="C8040"/>
  <c r="C8041"/>
  <c r="C8042"/>
  <c r="C8043"/>
  <c r="C8044"/>
  <c r="C8045"/>
  <c r="C8046"/>
  <c r="C8047"/>
  <c r="C8048"/>
  <c r="C8049"/>
  <c r="C8050"/>
  <c r="C8051"/>
  <c r="C8052"/>
  <c r="C8053"/>
  <c r="C8054"/>
  <c r="C8055"/>
  <c r="C8056"/>
  <c r="C8057"/>
  <c r="C8058"/>
  <c r="C8059"/>
  <c r="C8060"/>
  <c r="C8061"/>
  <c r="C8062"/>
  <c r="C8063"/>
  <c r="C8064"/>
  <c r="C8065"/>
  <c r="C8066"/>
  <c r="C8067"/>
  <c r="C8068"/>
  <c r="C8069"/>
  <c r="C8070"/>
  <c r="C8071"/>
  <c r="C8072"/>
  <c r="C8073"/>
  <c r="C8074"/>
  <c r="C8075"/>
  <c r="C8076"/>
  <c r="C8077"/>
  <c r="C8078"/>
  <c r="C8079"/>
  <c r="C8080"/>
  <c r="C8081"/>
  <c r="C8082"/>
  <c r="C8083"/>
  <c r="C8084"/>
  <c r="C8085"/>
  <c r="C8086"/>
  <c r="C8087"/>
  <c r="C8088"/>
  <c r="C8089"/>
  <c r="C8090"/>
  <c r="C8091"/>
  <c r="C8092"/>
  <c r="C8093"/>
  <c r="C8094"/>
  <c r="C8095"/>
  <c r="C8096"/>
  <c r="C8097"/>
  <c r="C8098"/>
  <c r="C8099"/>
  <c r="C8100"/>
  <c r="C8101"/>
  <c r="C8102"/>
  <c r="C8103"/>
  <c r="C8104"/>
  <c r="C8105"/>
  <c r="C8106"/>
  <c r="C8107"/>
  <c r="C8108"/>
  <c r="C8109"/>
  <c r="C8110"/>
  <c r="C8111"/>
  <c r="C8112"/>
  <c r="C8113"/>
  <c r="C8114"/>
  <c r="C8115"/>
  <c r="C8116"/>
  <c r="C8117"/>
  <c r="C8118"/>
  <c r="C8119"/>
  <c r="C8120"/>
  <c r="C8121"/>
  <c r="C8122"/>
  <c r="C8123"/>
  <c r="C8124"/>
  <c r="C8125"/>
  <c r="C8126"/>
  <c r="C8127"/>
  <c r="C8128"/>
  <c r="C8129"/>
  <c r="C8130"/>
  <c r="C8131"/>
  <c r="C8132"/>
  <c r="C8133"/>
  <c r="C8134"/>
  <c r="C8135"/>
  <c r="C8136"/>
  <c r="C8137"/>
  <c r="C8138"/>
  <c r="C8139"/>
  <c r="C8140"/>
  <c r="C8141"/>
  <c r="C8142"/>
  <c r="C8143"/>
  <c r="C8144"/>
  <c r="C8145"/>
  <c r="C8146"/>
  <c r="C8147"/>
  <c r="C8148"/>
  <c r="C8149"/>
  <c r="C8150"/>
  <c r="C8151"/>
  <c r="C8152"/>
  <c r="C8153"/>
  <c r="C8154"/>
  <c r="C8155"/>
  <c r="C8156"/>
  <c r="C8157"/>
  <c r="C8158"/>
  <c r="C8159"/>
  <c r="C8160"/>
  <c r="C8161"/>
  <c r="C8162"/>
  <c r="C8163"/>
  <c r="C8164"/>
  <c r="C8165"/>
  <c r="C8166"/>
  <c r="C8167"/>
  <c r="C8168"/>
  <c r="C8169"/>
  <c r="C8170"/>
  <c r="C8171"/>
  <c r="C8172"/>
  <c r="C8173"/>
  <c r="C8174"/>
  <c r="C8175"/>
  <c r="C8176"/>
  <c r="C8177"/>
  <c r="C8178"/>
  <c r="C8179"/>
  <c r="C8180"/>
  <c r="C8181"/>
  <c r="C8182"/>
  <c r="C8183"/>
  <c r="C8184"/>
  <c r="C8185"/>
  <c r="C8186"/>
  <c r="C8187"/>
  <c r="C8188"/>
  <c r="C8189"/>
  <c r="C8190"/>
  <c r="C8191"/>
  <c r="C8192"/>
  <c r="C8193"/>
  <c r="C8194"/>
  <c r="C8195"/>
  <c r="C8196"/>
  <c r="C8197"/>
  <c r="C8198"/>
  <c r="C8199"/>
  <c r="C8200"/>
  <c r="C8201"/>
  <c r="C8202"/>
  <c r="C8203"/>
  <c r="C8204"/>
  <c r="C8205"/>
  <c r="C8206"/>
  <c r="C8207"/>
  <c r="C8208"/>
  <c r="C8209"/>
  <c r="C8210"/>
  <c r="C8211"/>
  <c r="C8212"/>
  <c r="C8213"/>
  <c r="C8214"/>
  <c r="C8215"/>
  <c r="C8216"/>
  <c r="C8217"/>
  <c r="C8218"/>
  <c r="C8219"/>
  <c r="C8220"/>
  <c r="C8221"/>
  <c r="C8222"/>
  <c r="C8223"/>
  <c r="C8224"/>
  <c r="C8225"/>
  <c r="C8226"/>
  <c r="C8227"/>
  <c r="C8228"/>
  <c r="C8229"/>
  <c r="C8230"/>
  <c r="C8231"/>
  <c r="C8232"/>
  <c r="C8233"/>
  <c r="C8234"/>
  <c r="C8235"/>
  <c r="C8236"/>
  <c r="C8237"/>
  <c r="C8238"/>
  <c r="C8239"/>
  <c r="C8240"/>
  <c r="C8241"/>
  <c r="C8242"/>
  <c r="C8243"/>
  <c r="C8244"/>
  <c r="C8245"/>
  <c r="C8246"/>
  <c r="C8247"/>
  <c r="C8248"/>
  <c r="C8249"/>
  <c r="C8250"/>
  <c r="C8251"/>
  <c r="C8252"/>
  <c r="C8253"/>
  <c r="C8254"/>
  <c r="C8255"/>
  <c r="C8256"/>
  <c r="C8257"/>
  <c r="C8258"/>
  <c r="C8259"/>
  <c r="C8260"/>
  <c r="C8261"/>
  <c r="C8262"/>
  <c r="C8263"/>
  <c r="C8264"/>
  <c r="C8265"/>
  <c r="C8266"/>
  <c r="C8267"/>
  <c r="C8268"/>
  <c r="C8269"/>
  <c r="C8270"/>
  <c r="C8271"/>
  <c r="C8272"/>
  <c r="C8273"/>
  <c r="C8274"/>
  <c r="C8275"/>
  <c r="C8276"/>
  <c r="C8277"/>
  <c r="C8278"/>
  <c r="C8279"/>
  <c r="C8280"/>
  <c r="C8281"/>
  <c r="C8282"/>
  <c r="C8283"/>
  <c r="C8284"/>
  <c r="C8285"/>
  <c r="C8286"/>
  <c r="C8287"/>
  <c r="C8288"/>
  <c r="C8289"/>
  <c r="C8290"/>
  <c r="C8291"/>
  <c r="C8292"/>
  <c r="C8293"/>
  <c r="C8294"/>
  <c r="C8295"/>
  <c r="C8296"/>
  <c r="C8297"/>
  <c r="C8298"/>
  <c r="C8299"/>
  <c r="C8300"/>
  <c r="C8301"/>
  <c r="C8302"/>
  <c r="C8303"/>
  <c r="C8304"/>
  <c r="C8305"/>
  <c r="C8306"/>
  <c r="C8307"/>
  <c r="C8308"/>
  <c r="C8309"/>
  <c r="C8310"/>
  <c r="C8311"/>
  <c r="C8312"/>
  <c r="C8313"/>
  <c r="C8314"/>
  <c r="C8315"/>
  <c r="C8316"/>
  <c r="C8317"/>
  <c r="C8318"/>
  <c r="C8319"/>
  <c r="C8320"/>
  <c r="C8321"/>
  <c r="C8322"/>
  <c r="C8323"/>
  <c r="C8324"/>
  <c r="C8325"/>
  <c r="C8326"/>
  <c r="C8327"/>
  <c r="C8328"/>
  <c r="C8329"/>
  <c r="C8330"/>
  <c r="C8331"/>
  <c r="C8332"/>
  <c r="C8333"/>
  <c r="C8334"/>
  <c r="C8335"/>
  <c r="C8336"/>
  <c r="C8337"/>
  <c r="C8338"/>
  <c r="C8339"/>
  <c r="C8340"/>
  <c r="C8341"/>
  <c r="C8342"/>
  <c r="C8343"/>
  <c r="C8344"/>
  <c r="C8345"/>
  <c r="C8346"/>
  <c r="C8347"/>
  <c r="C8348"/>
  <c r="C8349"/>
  <c r="C8350"/>
  <c r="C8351"/>
  <c r="C8352"/>
  <c r="C8353"/>
  <c r="C8354"/>
  <c r="C8355"/>
  <c r="C8356"/>
  <c r="C8357"/>
  <c r="C8358"/>
  <c r="C8359"/>
  <c r="C8360"/>
  <c r="C8361"/>
  <c r="C8362"/>
  <c r="C8363"/>
  <c r="C8364"/>
  <c r="C8365"/>
  <c r="C8366"/>
  <c r="C8367"/>
  <c r="C8368"/>
  <c r="C8369"/>
  <c r="C8370"/>
  <c r="C8371"/>
  <c r="C8372"/>
  <c r="C8373"/>
  <c r="C8374"/>
  <c r="C8375"/>
  <c r="C8376"/>
  <c r="C8377"/>
  <c r="C8378"/>
  <c r="C8379"/>
  <c r="C8380"/>
  <c r="C8381"/>
  <c r="C8382"/>
  <c r="C8383"/>
  <c r="C8384"/>
  <c r="C8385"/>
  <c r="C8386"/>
  <c r="C8387"/>
  <c r="C8388"/>
  <c r="C8389"/>
  <c r="C8390"/>
  <c r="C8391"/>
  <c r="C8392"/>
  <c r="C8393"/>
  <c r="C8394"/>
  <c r="C8395"/>
  <c r="C8396"/>
  <c r="C8397"/>
  <c r="C8398"/>
  <c r="C8399"/>
  <c r="C8400"/>
  <c r="C8401"/>
  <c r="C8402"/>
  <c r="C8403"/>
  <c r="C8404"/>
  <c r="C8405"/>
  <c r="C8406"/>
  <c r="C8407"/>
  <c r="C8408"/>
  <c r="C8409"/>
  <c r="C8410"/>
  <c r="C8411"/>
  <c r="C8412"/>
  <c r="C8413"/>
  <c r="C8414"/>
  <c r="C8415"/>
  <c r="C8416"/>
  <c r="C8417"/>
  <c r="C8418"/>
  <c r="C8419"/>
  <c r="C8420"/>
  <c r="C8421"/>
  <c r="C8422"/>
  <c r="C8423"/>
  <c r="C8424"/>
  <c r="C8425"/>
  <c r="C8426"/>
  <c r="C8427"/>
  <c r="C8428"/>
  <c r="C8429"/>
  <c r="C8430"/>
  <c r="C8431"/>
  <c r="C8432"/>
  <c r="C8433"/>
  <c r="C8434"/>
  <c r="C8435"/>
  <c r="C8436"/>
  <c r="C8437"/>
  <c r="C8438"/>
  <c r="C8439"/>
  <c r="C8440"/>
  <c r="C8441"/>
  <c r="C8442"/>
  <c r="C8443"/>
  <c r="C8444"/>
  <c r="C8445"/>
  <c r="C8446"/>
  <c r="C8447"/>
  <c r="C8448"/>
  <c r="C8449"/>
  <c r="C8450"/>
  <c r="C8451"/>
  <c r="C8452"/>
  <c r="C8453"/>
  <c r="C8454"/>
  <c r="C8455"/>
  <c r="C8456"/>
  <c r="C8457"/>
  <c r="C8458"/>
  <c r="C8459"/>
  <c r="C8460"/>
  <c r="C8461"/>
  <c r="C8462"/>
  <c r="C8463"/>
  <c r="C8464"/>
  <c r="C8465"/>
  <c r="C8466"/>
  <c r="C8467"/>
  <c r="C8468"/>
  <c r="C8469"/>
  <c r="C8470"/>
  <c r="C8471"/>
  <c r="C8472"/>
  <c r="C8473"/>
  <c r="C8474"/>
  <c r="C8475"/>
  <c r="C8476"/>
  <c r="C8477"/>
  <c r="C8478"/>
  <c r="C8479"/>
  <c r="C8480"/>
  <c r="C8481"/>
  <c r="C8482"/>
  <c r="C8483"/>
  <c r="C8484"/>
  <c r="C8485"/>
  <c r="C8486"/>
  <c r="C8487"/>
  <c r="C8488"/>
  <c r="C8489"/>
  <c r="C8490"/>
  <c r="C8491"/>
  <c r="C8492"/>
  <c r="C8493"/>
  <c r="C8494"/>
  <c r="C8495"/>
  <c r="C8496"/>
  <c r="C8497"/>
  <c r="C8498"/>
  <c r="C8499"/>
  <c r="C8500"/>
  <c r="C8501"/>
  <c r="C8502"/>
  <c r="C8503"/>
  <c r="C8504"/>
  <c r="C8505"/>
  <c r="C8506"/>
  <c r="C8507"/>
  <c r="C8508"/>
  <c r="C8509"/>
  <c r="C8510"/>
  <c r="C8511"/>
  <c r="C8512"/>
  <c r="C8513"/>
  <c r="C8514"/>
  <c r="C8515"/>
  <c r="C8516"/>
  <c r="C8517"/>
  <c r="C8518"/>
  <c r="C8519"/>
  <c r="C8520"/>
  <c r="C8521"/>
  <c r="C8522"/>
  <c r="C8523"/>
  <c r="C8524"/>
  <c r="C8525"/>
  <c r="C8526"/>
  <c r="C8527"/>
  <c r="C8528"/>
  <c r="C8529"/>
  <c r="C8530"/>
  <c r="C8531"/>
  <c r="C8532"/>
  <c r="C8533"/>
  <c r="C8534"/>
  <c r="C8535"/>
  <c r="C8536"/>
  <c r="C8537"/>
  <c r="C8538"/>
  <c r="C8539"/>
  <c r="C8540"/>
  <c r="C8541"/>
  <c r="C8542"/>
  <c r="C8543"/>
  <c r="C8544"/>
  <c r="C8545"/>
  <c r="C8546"/>
  <c r="C8547"/>
  <c r="C8548"/>
  <c r="C8549"/>
  <c r="C8550"/>
  <c r="C8551"/>
  <c r="C8552"/>
  <c r="C8553"/>
  <c r="C8554"/>
  <c r="C8555"/>
  <c r="C8556"/>
  <c r="C8557"/>
  <c r="C8558"/>
  <c r="C8559"/>
  <c r="C8560"/>
  <c r="C8561"/>
  <c r="C8562"/>
  <c r="C8563"/>
  <c r="C8564"/>
  <c r="C8565"/>
  <c r="C8566"/>
  <c r="C8567"/>
  <c r="C8568"/>
  <c r="C8569"/>
  <c r="C8570"/>
  <c r="C8571"/>
  <c r="C8572"/>
  <c r="C8573"/>
  <c r="C8574"/>
  <c r="C8575"/>
  <c r="C8576"/>
  <c r="C8577"/>
  <c r="C8578"/>
  <c r="C8579"/>
  <c r="C8580"/>
  <c r="C8581"/>
  <c r="C8582"/>
  <c r="C8583"/>
  <c r="C8584"/>
  <c r="C8585"/>
  <c r="C8586"/>
  <c r="C8587"/>
  <c r="C8588"/>
  <c r="C8589"/>
  <c r="C8590"/>
  <c r="C8591"/>
  <c r="C8592"/>
  <c r="C8593"/>
  <c r="C8594"/>
  <c r="C8595"/>
  <c r="C8596"/>
  <c r="C8597"/>
  <c r="C8598"/>
  <c r="C8599"/>
  <c r="C8600"/>
  <c r="C8601"/>
  <c r="C8602"/>
  <c r="C8603"/>
  <c r="C8604"/>
  <c r="C8605"/>
  <c r="C8606"/>
  <c r="C8607"/>
  <c r="C8608"/>
  <c r="C8609"/>
  <c r="C8610"/>
  <c r="C8611"/>
  <c r="C8612"/>
  <c r="C8613"/>
  <c r="C8614"/>
  <c r="C8615"/>
  <c r="C8616"/>
  <c r="C8617"/>
  <c r="C8618"/>
  <c r="C8619"/>
  <c r="C8620"/>
  <c r="C8621"/>
  <c r="C8622"/>
  <c r="C8623"/>
  <c r="C8624"/>
  <c r="C8625"/>
  <c r="C8626"/>
  <c r="C8627"/>
  <c r="C8628"/>
  <c r="C8629"/>
  <c r="C8630"/>
  <c r="C8631"/>
  <c r="C8632"/>
  <c r="C8633"/>
  <c r="C8634"/>
  <c r="C8635"/>
  <c r="C8636"/>
  <c r="C8637"/>
  <c r="C8638"/>
  <c r="C8639"/>
  <c r="C8640"/>
  <c r="C8641"/>
  <c r="C8642"/>
  <c r="C8643"/>
  <c r="C8644"/>
  <c r="C8645"/>
  <c r="C8646"/>
  <c r="C8647"/>
  <c r="C8648"/>
  <c r="C8649"/>
  <c r="C8650"/>
  <c r="C8651"/>
  <c r="C8652"/>
  <c r="C8653"/>
  <c r="C8654"/>
  <c r="C8655"/>
  <c r="C8656"/>
  <c r="C8657"/>
  <c r="C8658"/>
  <c r="C8659"/>
  <c r="C8660"/>
  <c r="C8661"/>
  <c r="C8662"/>
  <c r="C8663"/>
  <c r="C8664"/>
  <c r="C8665"/>
  <c r="C8666"/>
  <c r="C8667"/>
  <c r="C8668"/>
  <c r="C8669"/>
  <c r="C8670"/>
  <c r="C8671"/>
  <c r="C8672"/>
  <c r="C8673"/>
  <c r="C8674"/>
  <c r="C8675"/>
  <c r="C8676"/>
  <c r="C8677"/>
  <c r="C8678"/>
  <c r="C8679"/>
  <c r="C8680"/>
  <c r="C8681"/>
  <c r="C8682"/>
  <c r="C8683"/>
  <c r="C8684"/>
  <c r="C8685"/>
  <c r="C8686"/>
  <c r="C8687"/>
  <c r="C8688"/>
  <c r="C8689"/>
  <c r="C8690"/>
  <c r="C8691"/>
  <c r="C8692"/>
  <c r="C8693"/>
  <c r="C8694"/>
  <c r="C8695"/>
  <c r="C8696"/>
  <c r="C8697"/>
  <c r="C8698"/>
  <c r="C8699"/>
  <c r="C8700"/>
  <c r="C8701"/>
  <c r="C8702"/>
  <c r="C8703"/>
  <c r="C8704"/>
  <c r="C8705"/>
  <c r="C8706"/>
  <c r="C8707"/>
  <c r="C8708"/>
  <c r="C8709"/>
  <c r="C8710"/>
  <c r="C8711"/>
  <c r="C8712"/>
  <c r="C8713"/>
  <c r="C8714"/>
  <c r="C8715"/>
  <c r="C8716"/>
  <c r="C8717"/>
  <c r="C8718"/>
  <c r="C8719"/>
  <c r="C8720"/>
  <c r="C8721"/>
  <c r="C8722"/>
  <c r="C8723"/>
  <c r="C8724"/>
  <c r="C8725"/>
  <c r="C8726"/>
  <c r="C8727"/>
  <c r="C8728"/>
  <c r="C8729"/>
  <c r="C8730"/>
  <c r="C8731"/>
  <c r="C8732"/>
  <c r="C8733"/>
  <c r="C8734"/>
  <c r="C8735"/>
  <c r="C8736"/>
  <c r="C8737"/>
  <c r="C8738"/>
  <c r="C8739"/>
  <c r="C8740"/>
  <c r="C8741"/>
  <c r="C8742"/>
  <c r="C8743"/>
  <c r="C8744"/>
  <c r="C8745"/>
  <c r="C8746"/>
  <c r="C8747"/>
  <c r="C8748"/>
  <c r="C8749"/>
  <c r="C8750"/>
  <c r="C8751"/>
  <c r="C8752"/>
  <c r="C8753"/>
  <c r="C8754"/>
  <c r="C8755"/>
  <c r="C8756"/>
  <c r="C8757"/>
  <c r="C8758"/>
  <c r="C8759"/>
  <c r="C8760"/>
  <c r="C8761"/>
  <c r="C8762"/>
  <c r="C8763"/>
  <c r="C8764"/>
  <c r="C8765"/>
  <c r="C8766"/>
  <c r="C8767"/>
  <c r="C8768"/>
  <c r="C8769"/>
  <c r="C8770"/>
  <c r="C8771"/>
  <c r="C8772"/>
  <c r="C8773"/>
  <c r="C8774"/>
  <c r="C8775"/>
  <c r="C8776"/>
  <c r="C8777"/>
  <c r="C8778"/>
  <c r="C8779"/>
  <c r="C8780"/>
  <c r="C8781"/>
  <c r="C8782"/>
  <c r="C8783"/>
  <c r="C8784"/>
  <c r="C8785"/>
  <c r="C8786"/>
  <c r="C8787"/>
  <c r="C8788"/>
  <c r="C8789"/>
  <c r="C8790"/>
  <c r="C8791"/>
  <c r="C8792"/>
  <c r="C8793"/>
  <c r="C8794"/>
  <c r="C8795"/>
  <c r="C8796"/>
  <c r="C8797"/>
  <c r="C8798"/>
  <c r="C8799"/>
  <c r="C8800"/>
  <c r="C8801"/>
  <c r="C8802"/>
  <c r="C8803"/>
  <c r="C8804"/>
  <c r="C8805"/>
  <c r="C8806"/>
  <c r="C8807"/>
  <c r="C8808"/>
  <c r="C8809"/>
  <c r="C8810"/>
  <c r="C8811"/>
  <c r="C8812"/>
  <c r="C8813"/>
  <c r="C8814"/>
  <c r="C8815"/>
  <c r="C8816"/>
  <c r="C8817"/>
  <c r="C8818"/>
  <c r="C8819"/>
  <c r="C8820"/>
  <c r="C8821"/>
  <c r="C8822"/>
  <c r="C8823"/>
  <c r="C8824"/>
  <c r="C8825"/>
  <c r="C8826"/>
  <c r="C8827"/>
  <c r="C8828"/>
  <c r="C8829"/>
  <c r="C8830"/>
  <c r="C8831"/>
  <c r="C8832"/>
  <c r="C8833"/>
  <c r="C8834"/>
  <c r="C8835"/>
  <c r="C8836"/>
  <c r="C8837"/>
  <c r="C8838"/>
  <c r="C8839"/>
  <c r="C8840"/>
  <c r="C8841"/>
  <c r="C8842"/>
  <c r="C8843"/>
  <c r="C8844"/>
  <c r="C8845"/>
  <c r="C8846"/>
  <c r="C8847"/>
  <c r="C8848"/>
  <c r="C8849"/>
  <c r="C8850"/>
  <c r="C8851"/>
  <c r="C8852"/>
  <c r="C8853"/>
  <c r="C8854"/>
  <c r="C8855"/>
  <c r="C8856"/>
  <c r="C8857"/>
  <c r="C8858"/>
  <c r="C8859"/>
  <c r="C8860"/>
  <c r="C8861"/>
  <c r="C8862"/>
  <c r="C8863"/>
  <c r="C8864"/>
  <c r="C8865"/>
  <c r="C8866"/>
  <c r="C8867"/>
  <c r="C8868"/>
  <c r="C8869"/>
  <c r="C8870"/>
  <c r="C8871"/>
  <c r="C8872"/>
  <c r="C8873"/>
  <c r="C8874"/>
  <c r="C8875"/>
  <c r="C8876"/>
  <c r="C8877"/>
  <c r="C8878"/>
  <c r="C8879"/>
  <c r="C8880"/>
  <c r="C8881"/>
  <c r="C8882"/>
  <c r="C8883"/>
  <c r="C8884"/>
  <c r="C8885"/>
  <c r="C8886"/>
  <c r="C8887"/>
  <c r="C8888"/>
  <c r="C8889"/>
  <c r="C8890"/>
  <c r="C8891"/>
  <c r="C8892"/>
  <c r="C8893"/>
  <c r="C8894"/>
  <c r="C8895"/>
  <c r="C8896"/>
  <c r="C8897"/>
  <c r="C8898"/>
  <c r="C8899"/>
  <c r="C8900"/>
  <c r="C8901"/>
  <c r="C8902"/>
  <c r="C8903"/>
  <c r="C8904"/>
  <c r="C8905"/>
  <c r="C8906"/>
  <c r="C8907"/>
  <c r="C8908"/>
  <c r="C8909"/>
  <c r="C8910"/>
  <c r="C8911"/>
  <c r="C8912"/>
  <c r="C8913"/>
  <c r="C8914"/>
  <c r="C8915"/>
  <c r="C8916"/>
  <c r="C8917"/>
  <c r="C8918"/>
  <c r="C8919"/>
  <c r="C8920"/>
  <c r="C8921"/>
  <c r="C8922"/>
  <c r="C8923"/>
  <c r="C8924"/>
  <c r="C8925"/>
  <c r="C8926"/>
  <c r="C8927"/>
  <c r="C8928"/>
  <c r="C8929"/>
  <c r="C8930"/>
  <c r="C8931"/>
  <c r="C8932"/>
  <c r="C8933"/>
  <c r="C8934"/>
  <c r="C8935"/>
  <c r="C8936"/>
  <c r="C8937"/>
  <c r="C8938"/>
  <c r="C8939"/>
  <c r="C8940"/>
  <c r="C8941"/>
  <c r="C8942"/>
  <c r="C8943"/>
  <c r="C8944"/>
  <c r="C8945"/>
  <c r="C8946"/>
  <c r="C8947"/>
  <c r="C8948"/>
  <c r="C8949"/>
  <c r="C8950"/>
  <c r="C8951"/>
  <c r="C8952"/>
  <c r="C8953"/>
  <c r="C8954"/>
  <c r="C8955"/>
  <c r="C8956"/>
  <c r="C8957"/>
  <c r="C8958"/>
  <c r="C8959"/>
  <c r="C8960"/>
  <c r="C8961"/>
  <c r="C8962"/>
  <c r="C8963"/>
  <c r="C8964"/>
  <c r="C8965"/>
  <c r="C8966"/>
  <c r="C8967"/>
  <c r="C8968"/>
  <c r="C8969"/>
  <c r="C8970"/>
  <c r="C8971"/>
  <c r="C8972"/>
  <c r="C8973"/>
  <c r="C8974"/>
  <c r="C8975"/>
  <c r="C8976"/>
  <c r="C8977"/>
  <c r="C8978"/>
  <c r="C8979"/>
  <c r="C8980"/>
  <c r="C8981"/>
  <c r="C8982"/>
  <c r="C8983"/>
  <c r="C8984"/>
  <c r="C8985"/>
  <c r="C8986"/>
  <c r="C8987"/>
  <c r="C8988"/>
  <c r="C8989"/>
  <c r="C8990"/>
  <c r="C8991"/>
  <c r="C8992"/>
  <c r="C8993"/>
  <c r="C8994"/>
  <c r="C8995"/>
  <c r="C8996"/>
  <c r="C8997"/>
  <c r="C8998"/>
  <c r="C8999"/>
  <c r="C9000"/>
  <c r="C9001"/>
  <c r="C9002"/>
  <c r="C9003"/>
  <c r="C9004"/>
  <c r="C9005"/>
  <c r="C9006"/>
  <c r="C9007"/>
  <c r="C9008"/>
  <c r="C9009"/>
  <c r="C9010"/>
  <c r="C9011"/>
  <c r="C9012"/>
  <c r="C9013"/>
  <c r="C9014"/>
  <c r="C9015"/>
  <c r="C9016"/>
  <c r="C9017"/>
  <c r="C9018"/>
  <c r="C9019"/>
  <c r="C9020"/>
  <c r="C9021"/>
  <c r="C9022"/>
  <c r="C9023"/>
  <c r="C9024"/>
  <c r="C9025"/>
  <c r="C9026"/>
  <c r="C9027"/>
  <c r="C9028"/>
  <c r="C9029"/>
  <c r="C9030"/>
  <c r="C9031"/>
  <c r="C9032"/>
  <c r="C9033"/>
  <c r="C9034"/>
  <c r="C9035"/>
  <c r="C9036"/>
  <c r="C9037"/>
  <c r="C9038"/>
  <c r="C9039"/>
  <c r="C9040"/>
  <c r="C9041"/>
  <c r="C9042"/>
  <c r="C9043"/>
  <c r="C9044"/>
  <c r="C9045"/>
  <c r="C9046"/>
  <c r="C9047"/>
  <c r="C9048"/>
  <c r="C9049"/>
  <c r="C9050"/>
  <c r="C9051"/>
  <c r="C9052"/>
  <c r="C9053"/>
  <c r="C9054"/>
  <c r="C9055"/>
  <c r="C9056"/>
  <c r="C9057"/>
  <c r="C9058"/>
  <c r="C9059"/>
  <c r="C9060"/>
  <c r="C9061"/>
  <c r="C9062"/>
  <c r="C9063"/>
  <c r="C9064"/>
  <c r="C9065"/>
  <c r="C9066"/>
  <c r="C9067"/>
  <c r="C9068"/>
  <c r="C9069"/>
  <c r="C9070"/>
  <c r="C9071"/>
  <c r="C9072"/>
  <c r="C9073"/>
  <c r="C9074"/>
  <c r="C9075"/>
  <c r="C9076"/>
  <c r="C9077"/>
  <c r="C9078"/>
  <c r="C9079"/>
  <c r="C9080"/>
  <c r="C9081"/>
  <c r="C9082"/>
  <c r="C9083"/>
  <c r="C9084"/>
  <c r="C9085"/>
  <c r="C9086"/>
  <c r="C9087"/>
  <c r="C9088"/>
  <c r="C9089"/>
  <c r="C9090"/>
  <c r="C9091"/>
  <c r="C9092"/>
  <c r="C9093"/>
  <c r="C9094"/>
  <c r="C9095"/>
  <c r="C9096"/>
  <c r="C9097"/>
  <c r="C9098"/>
  <c r="C9099"/>
  <c r="C9100"/>
  <c r="C9101"/>
  <c r="C9102"/>
  <c r="C9103"/>
  <c r="C9104"/>
  <c r="C9105"/>
  <c r="C9106"/>
  <c r="C9107"/>
  <c r="C9108"/>
  <c r="C9109"/>
  <c r="C9110"/>
  <c r="C9111"/>
  <c r="C9112"/>
  <c r="C9113"/>
  <c r="C9114"/>
  <c r="C9115"/>
  <c r="C9116"/>
  <c r="C9117"/>
  <c r="C9118"/>
  <c r="C9119"/>
  <c r="C9120"/>
  <c r="C9121"/>
  <c r="C9122"/>
  <c r="C9123"/>
  <c r="C9124"/>
  <c r="C9125"/>
  <c r="C9126"/>
  <c r="C9127"/>
  <c r="C9128"/>
  <c r="C9129"/>
  <c r="C9130"/>
  <c r="C9131"/>
  <c r="C9132"/>
  <c r="C9133"/>
  <c r="C9134"/>
  <c r="C9135"/>
  <c r="C9136"/>
  <c r="C9137"/>
  <c r="C9138"/>
  <c r="C9139"/>
  <c r="C9140"/>
  <c r="C9141"/>
  <c r="C9142"/>
  <c r="C9143"/>
  <c r="C9144"/>
  <c r="C9145"/>
  <c r="C9146"/>
  <c r="C9147"/>
  <c r="C9148"/>
  <c r="C9149"/>
  <c r="C9150"/>
  <c r="C9151"/>
  <c r="C9152"/>
  <c r="C9153"/>
  <c r="C9154"/>
  <c r="C9155"/>
  <c r="C9156"/>
  <c r="C9157"/>
  <c r="C9158"/>
  <c r="C9159"/>
  <c r="C9160"/>
  <c r="C9161"/>
  <c r="C9162"/>
  <c r="C9163"/>
  <c r="C9164"/>
  <c r="C9165"/>
  <c r="C9166"/>
  <c r="C9167"/>
  <c r="C9168"/>
  <c r="C9169"/>
  <c r="C9170"/>
  <c r="C9171"/>
  <c r="C9172"/>
  <c r="C9173"/>
  <c r="C9174"/>
  <c r="C9175"/>
  <c r="C9176"/>
  <c r="C9177"/>
  <c r="C9178"/>
  <c r="C9179"/>
  <c r="C9180"/>
  <c r="C9181"/>
  <c r="C9182"/>
  <c r="C9183"/>
  <c r="C9184"/>
  <c r="C9185"/>
  <c r="C9186"/>
  <c r="C9187"/>
  <c r="C9188"/>
  <c r="C9189"/>
  <c r="C9190"/>
  <c r="C9191"/>
  <c r="C9192"/>
  <c r="C9193"/>
  <c r="C9194"/>
  <c r="C9195"/>
  <c r="C9196"/>
  <c r="C9197"/>
  <c r="C9198"/>
  <c r="C9199"/>
  <c r="C9200"/>
  <c r="C9201"/>
  <c r="C9202"/>
  <c r="C9203"/>
  <c r="C9204"/>
  <c r="C9205"/>
  <c r="C9206"/>
  <c r="C9207"/>
  <c r="C9208"/>
  <c r="C9209"/>
  <c r="C9210"/>
  <c r="C9211"/>
  <c r="C9212"/>
  <c r="C9213"/>
  <c r="C9214"/>
  <c r="C9215"/>
  <c r="C9216"/>
  <c r="C9217"/>
  <c r="C9218"/>
  <c r="C9219"/>
  <c r="C9220"/>
  <c r="C9221"/>
  <c r="C9222"/>
  <c r="C9223"/>
  <c r="C9224"/>
  <c r="C9225"/>
  <c r="C9226"/>
  <c r="C9227"/>
  <c r="C9228"/>
  <c r="C9229"/>
  <c r="C9230"/>
  <c r="C9231"/>
  <c r="C9232"/>
  <c r="C9233"/>
  <c r="C9234"/>
  <c r="C9235"/>
  <c r="C9236"/>
  <c r="C9237"/>
  <c r="C9238"/>
  <c r="C9239"/>
  <c r="C9240"/>
  <c r="C9241"/>
  <c r="C9242"/>
  <c r="C9243"/>
  <c r="C9244"/>
  <c r="C9245"/>
  <c r="C9246"/>
  <c r="C9247"/>
  <c r="C9248"/>
  <c r="C9249"/>
  <c r="C9250"/>
  <c r="C9251"/>
  <c r="C9252"/>
  <c r="C9253"/>
  <c r="C9254"/>
  <c r="C9255"/>
  <c r="C9256"/>
  <c r="C9257"/>
  <c r="C9258"/>
  <c r="C9259"/>
  <c r="C9260"/>
  <c r="C9261"/>
  <c r="C9262"/>
  <c r="C9263"/>
  <c r="C9264"/>
  <c r="C9265"/>
  <c r="C9266"/>
  <c r="C9267"/>
  <c r="C9268"/>
  <c r="C9269"/>
  <c r="C9270"/>
  <c r="C9271"/>
  <c r="C9272"/>
  <c r="C9273"/>
  <c r="C9274"/>
  <c r="C9275"/>
  <c r="C9276"/>
  <c r="C9277"/>
  <c r="C9278"/>
  <c r="C9279"/>
  <c r="C9280"/>
  <c r="C9281"/>
  <c r="C9282"/>
  <c r="C9283"/>
  <c r="C9284"/>
  <c r="C9285"/>
  <c r="C9286"/>
  <c r="C9287"/>
  <c r="C9288"/>
  <c r="C9289"/>
  <c r="C9290"/>
  <c r="C9291"/>
  <c r="C9292"/>
  <c r="C9293"/>
  <c r="C9294"/>
  <c r="C9295"/>
  <c r="C9296"/>
  <c r="C9297"/>
  <c r="C9298"/>
  <c r="C9299"/>
  <c r="C9300"/>
  <c r="C9301"/>
  <c r="C9302"/>
  <c r="C9303"/>
  <c r="C9304"/>
  <c r="C9305"/>
  <c r="C9306"/>
  <c r="C9307"/>
  <c r="C9308"/>
  <c r="C9309"/>
  <c r="C9310"/>
  <c r="C9311"/>
  <c r="C9312"/>
  <c r="C9313"/>
  <c r="C9314"/>
  <c r="C9315"/>
  <c r="C9316"/>
  <c r="C9317"/>
  <c r="C9318"/>
  <c r="C9319"/>
  <c r="C9320"/>
  <c r="C9321"/>
  <c r="C9322"/>
  <c r="C9323"/>
  <c r="C9324"/>
  <c r="C9325"/>
  <c r="C9326"/>
  <c r="C9327"/>
  <c r="C9328"/>
  <c r="C9329"/>
  <c r="C9330"/>
  <c r="C9331"/>
  <c r="C9332"/>
  <c r="C9333"/>
  <c r="C9334"/>
  <c r="C9335"/>
  <c r="C9336"/>
  <c r="C9337"/>
  <c r="C9338"/>
  <c r="C9339"/>
  <c r="C9340"/>
  <c r="C9341"/>
  <c r="C9342"/>
  <c r="C9343"/>
  <c r="C9344"/>
  <c r="C9345"/>
  <c r="C9346"/>
  <c r="C9347"/>
  <c r="C9348"/>
  <c r="C9349"/>
  <c r="C9350"/>
  <c r="C9351"/>
  <c r="C9352"/>
  <c r="C9353"/>
  <c r="C9354"/>
  <c r="C9355"/>
  <c r="C9356"/>
  <c r="C9357"/>
  <c r="C9358"/>
  <c r="C9359"/>
  <c r="C9360"/>
  <c r="C9361"/>
  <c r="C9362"/>
  <c r="C9363"/>
  <c r="C9364"/>
  <c r="C9365"/>
  <c r="C9366"/>
  <c r="C9367"/>
  <c r="C9368"/>
  <c r="C9369"/>
  <c r="C9370"/>
  <c r="C9371"/>
  <c r="C9372"/>
  <c r="C9373"/>
  <c r="C9374"/>
  <c r="C9375"/>
  <c r="C9376"/>
  <c r="C9377"/>
  <c r="C9378"/>
  <c r="C9379"/>
  <c r="C9380"/>
  <c r="C9381"/>
  <c r="C9382"/>
  <c r="C9383"/>
  <c r="C9384"/>
  <c r="C9385"/>
  <c r="C9386"/>
  <c r="C9387"/>
  <c r="C9388"/>
  <c r="C9389"/>
  <c r="C9390"/>
  <c r="C9391"/>
  <c r="C9392"/>
  <c r="C9393"/>
  <c r="C9394"/>
  <c r="C9395"/>
  <c r="C9396"/>
  <c r="C9397"/>
  <c r="C9398"/>
  <c r="C9399"/>
  <c r="C9400"/>
  <c r="C9401"/>
  <c r="C9402"/>
  <c r="C9403"/>
  <c r="C9404"/>
  <c r="C9405"/>
  <c r="C9406"/>
  <c r="C9407"/>
  <c r="C9408"/>
  <c r="C9409"/>
  <c r="C9410"/>
  <c r="C9411"/>
  <c r="C9412"/>
  <c r="C9413"/>
  <c r="C9414"/>
  <c r="C9415"/>
  <c r="C9416"/>
  <c r="C9417"/>
  <c r="C9418"/>
  <c r="C9419"/>
  <c r="C9420"/>
  <c r="C9421"/>
  <c r="C9422"/>
  <c r="C9423"/>
  <c r="C9424"/>
  <c r="C9425"/>
  <c r="C9426"/>
  <c r="C9427"/>
  <c r="C9428"/>
  <c r="C9429"/>
  <c r="C9430"/>
  <c r="C9431"/>
  <c r="C9432"/>
  <c r="C9433"/>
  <c r="C9434"/>
  <c r="C9435"/>
  <c r="C9436"/>
  <c r="C9437"/>
  <c r="C9438"/>
  <c r="C9439"/>
  <c r="C9440"/>
  <c r="C9441"/>
  <c r="C9442"/>
  <c r="C9443"/>
  <c r="C9444"/>
  <c r="C9445"/>
  <c r="C9446"/>
  <c r="C9447"/>
  <c r="C9448"/>
  <c r="C9449"/>
  <c r="C9450"/>
  <c r="C9451"/>
  <c r="C9452"/>
  <c r="C9453"/>
  <c r="C9454"/>
  <c r="C9455"/>
  <c r="C9456"/>
  <c r="C9457"/>
  <c r="C9458"/>
  <c r="C9459"/>
  <c r="C9460"/>
  <c r="C9461"/>
  <c r="C9462"/>
  <c r="C9463"/>
  <c r="C9464"/>
  <c r="C9465"/>
  <c r="C9466"/>
  <c r="C9467"/>
  <c r="C9468"/>
  <c r="C9469"/>
  <c r="C9470"/>
  <c r="C9471"/>
  <c r="C9472"/>
  <c r="C9473"/>
  <c r="C9474"/>
  <c r="C9475"/>
  <c r="C9476"/>
  <c r="C9477"/>
  <c r="C9478"/>
  <c r="C9479"/>
  <c r="C9480"/>
  <c r="C9481"/>
  <c r="C9482"/>
  <c r="C9483"/>
  <c r="C9484"/>
  <c r="C9485"/>
  <c r="C9486"/>
  <c r="C9487"/>
  <c r="C9488"/>
  <c r="C9489"/>
  <c r="C9490"/>
  <c r="C9491"/>
  <c r="C9492"/>
  <c r="C9493"/>
  <c r="C9494"/>
  <c r="C9495"/>
  <c r="C9496"/>
  <c r="C9497"/>
  <c r="C9498"/>
  <c r="C9499"/>
  <c r="C9500"/>
  <c r="C9501"/>
  <c r="C9502"/>
  <c r="C9503"/>
  <c r="C9504"/>
  <c r="C9505"/>
  <c r="C9506"/>
  <c r="C9507"/>
  <c r="C9508"/>
  <c r="C9509"/>
  <c r="C9510"/>
  <c r="C9511"/>
  <c r="C9512"/>
  <c r="C9513"/>
  <c r="C9514"/>
  <c r="C9515"/>
  <c r="C9516"/>
  <c r="C9517"/>
  <c r="C9518"/>
  <c r="C9519"/>
  <c r="C9520"/>
  <c r="C9521"/>
  <c r="C9522"/>
  <c r="C9523"/>
  <c r="C9524"/>
  <c r="C9525"/>
  <c r="C9526"/>
  <c r="C9527"/>
  <c r="C9528"/>
  <c r="C9529"/>
  <c r="C9530"/>
  <c r="C9531"/>
  <c r="C9532"/>
  <c r="C9533"/>
  <c r="C9534"/>
  <c r="C9535"/>
  <c r="C9536"/>
  <c r="C9537"/>
  <c r="C9538"/>
  <c r="C9539"/>
  <c r="C9540"/>
  <c r="C9541"/>
  <c r="C9542"/>
  <c r="C9543"/>
  <c r="C9544"/>
  <c r="C9545"/>
  <c r="C9546"/>
  <c r="C9547"/>
  <c r="C9548"/>
  <c r="C9549"/>
  <c r="C9550"/>
  <c r="C9551"/>
  <c r="C9552"/>
  <c r="C9553"/>
  <c r="C9554"/>
  <c r="C9555"/>
  <c r="C9556"/>
  <c r="C9557"/>
  <c r="C9558"/>
  <c r="C9559"/>
  <c r="C9560"/>
  <c r="C9561"/>
  <c r="C9562"/>
  <c r="C9563"/>
  <c r="C9564"/>
  <c r="C9565"/>
  <c r="C9566"/>
  <c r="C9567"/>
  <c r="C9568"/>
  <c r="C9569"/>
  <c r="C9570"/>
  <c r="C9571"/>
  <c r="C9572"/>
  <c r="C9573"/>
  <c r="C9574"/>
  <c r="C9575"/>
  <c r="C9576"/>
  <c r="C9577"/>
  <c r="C9578"/>
  <c r="C9579"/>
  <c r="C9580"/>
  <c r="C9581"/>
  <c r="C9582"/>
  <c r="C9583"/>
  <c r="C9584"/>
  <c r="C9585"/>
  <c r="C9586"/>
  <c r="C9587"/>
  <c r="C9588"/>
  <c r="C9589"/>
  <c r="C9590"/>
  <c r="C9591"/>
  <c r="C9592"/>
  <c r="C9593"/>
  <c r="C9594"/>
  <c r="C9595"/>
  <c r="C9596"/>
  <c r="C9597"/>
  <c r="C9598"/>
  <c r="C9599"/>
  <c r="C9600"/>
  <c r="C9601"/>
  <c r="C9602"/>
  <c r="C9603"/>
  <c r="C9604"/>
  <c r="C9605"/>
  <c r="C9606"/>
  <c r="C9607"/>
  <c r="C9608"/>
  <c r="C9609"/>
  <c r="C9610"/>
  <c r="C9611"/>
  <c r="C9612"/>
  <c r="C9613"/>
  <c r="C9614"/>
  <c r="C9615"/>
  <c r="C9616"/>
  <c r="C9617"/>
  <c r="C9618"/>
  <c r="C9619"/>
  <c r="C9620"/>
  <c r="C9621"/>
  <c r="C9622"/>
  <c r="C9623"/>
  <c r="C9624"/>
  <c r="C9625"/>
  <c r="C9626"/>
  <c r="C9627"/>
  <c r="C9628"/>
  <c r="C9629"/>
  <c r="C9630"/>
  <c r="C9631"/>
  <c r="C9632"/>
  <c r="C9633"/>
  <c r="C9634"/>
  <c r="C9635"/>
  <c r="C9636"/>
  <c r="C9637"/>
  <c r="C9638"/>
  <c r="C9639"/>
  <c r="C9640"/>
  <c r="C9641"/>
  <c r="C9642"/>
  <c r="C9643"/>
  <c r="C9644"/>
  <c r="C9645"/>
  <c r="C9646"/>
  <c r="C9647"/>
  <c r="C9648"/>
  <c r="C9649"/>
  <c r="C9650"/>
  <c r="C9651"/>
  <c r="C9652"/>
  <c r="C9653"/>
  <c r="C9654"/>
  <c r="C9655"/>
  <c r="C9656"/>
  <c r="C9657"/>
  <c r="C9658"/>
  <c r="C9659"/>
  <c r="C9660"/>
  <c r="C9661"/>
  <c r="C9662"/>
  <c r="C9663"/>
  <c r="C9664"/>
  <c r="C9665"/>
  <c r="C9666"/>
  <c r="C9667"/>
  <c r="C9668"/>
  <c r="C9669"/>
  <c r="C9670"/>
  <c r="C9671"/>
  <c r="C9672"/>
  <c r="C9673"/>
  <c r="C9674"/>
  <c r="C9675"/>
  <c r="C9676"/>
  <c r="C9677"/>
  <c r="C9678"/>
  <c r="C9679"/>
  <c r="C9680"/>
  <c r="C9681"/>
  <c r="C9682"/>
  <c r="C9683"/>
  <c r="C9684"/>
  <c r="C9685"/>
  <c r="C9686"/>
  <c r="C9687"/>
  <c r="C9688"/>
  <c r="C9689"/>
  <c r="C9690"/>
  <c r="C9691"/>
  <c r="C9692"/>
  <c r="C9693"/>
  <c r="C9694"/>
  <c r="C9695"/>
  <c r="C9696"/>
  <c r="C9697"/>
  <c r="C9698"/>
  <c r="C9699"/>
  <c r="C9700"/>
  <c r="C9701"/>
  <c r="C9702"/>
  <c r="C9703"/>
  <c r="C9704"/>
  <c r="C9705"/>
  <c r="C9706"/>
  <c r="C9707"/>
  <c r="C9708"/>
  <c r="C9709"/>
  <c r="C9710"/>
  <c r="C9711"/>
  <c r="C9712"/>
  <c r="C9713"/>
  <c r="C9714"/>
  <c r="C9715"/>
  <c r="C9716"/>
  <c r="C9717"/>
  <c r="C9718"/>
  <c r="C9719"/>
  <c r="C9720"/>
  <c r="C9721"/>
  <c r="C9722"/>
  <c r="C9723"/>
  <c r="C9724"/>
  <c r="C9725"/>
  <c r="C9726"/>
  <c r="C9727"/>
  <c r="C9728"/>
  <c r="C9729"/>
  <c r="C9730"/>
  <c r="C9731"/>
  <c r="C9732"/>
  <c r="C9733"/>
  <c r="C9734"/>
  <c r="C9735"/>
  <c r="C9736"/>
  <c r="C9737"/>
  <c r="C9738"/>
  <c r="C9739"/>
  <c r="C9740"/>
  <c r="C9741"/>
  <c r="C9742"/>
  <c r="C9743"/>
  <c r="C9744"/>
  <c r="C9745"/>
  <c r="C9746"/>
  <c r="C9747"/>
  <c r="C9748"/>
  <c r="C9749"/>
  <c r="C9750"/>
  <c r="C9751"/>
  <c r="C9752"/>
  <c r="C9753"/>
  <c r="C9754"/>
  <c r="C9755"/>
  <c r="C9756"/>
  <c r="C9757"/>
  <c r="C9758"/>
  <c r="C9759"/>
  <c r="C9760"/>
  <c r="C9761"/>
  <c r="C9762"/>
  <c r="C9763"/>
  <c r="C9764"/>
  <c r="C9765"/>
  <c r="C9766"/>
  <c r="C9767"/>
  <c r="C9768"/>
  <c r="C9769"/>
  <c r="C9770"/>
  <c r="C9771"/>
  <c r="C9772"/>
  <c r="C9773"/>
  <c r="C9774"/>
  <c r="C9775"/>
  <c r="C9776"/>
  <c r="C9777"/>
  <c r="C9778"/>
  <c r="C9779"/>
  <c r="C9780"/>
  <c r="C9781"/>
  <c r="C9782"/>
  <c r="C9783"/>
  <c r="C9784"/>
  <c r="C9785"/>
  <c r="C9786"/>
  <c r="C9787"/>
  <c r="C9788"/>
  <c r="C9789"/>
  <c r="C9790"/>
  <c r="C9791"/>
  <c r="C9792"/>
  <c r="C9793"/>
  <c r="C9794"/>
  <c r="C9795"/>
  <c r="C9796"/>
  <c r="C9797"/>
  <c r="C9798"/>
  <c r="C9799"/>
  <c r="C9800"/>
  <c r="C9801"/>
  <c r="C9802"/>
  <c r="C9803"/>
  <c r="C9804"/>
  <c r="C9805"/>
  <c r="C9806"/>
  <c r="C9807"/>
  <c r="C9808"/>
  <c r="C9809"/>
  <c r="C9810"/>
  <c r="C9811"/>
  <c r="C9812"/>
  <c r="C9813"/>
  <c r="C9814"/>
  <c r="C9815"/>
  <c r="C9816"/>
  <c r="C9817"/>
  <c r="C9818"/>
  <c r="C9819"/>
  <c r="C9820"/>
  <c r="C9821"/>
  <c r="C9822"/>
  <c r="C9823"/>
  <c r="C9824"/>
  <c r="C9825"/>
  <c r="C9826"/>
  <c r="C9827"/>
  <c r="C9828"/>
  <c r="C9829"/>
  <c r="C9830"/>
  <c r="C9831"/>
  <c r="C9832"/>
  <c r="C9833"/>
  <c r="C9834"/>
  <c r="C9835"/>
  <c r="C9836"/>
  <c r="C9837"/>
  <c r="C9838"/>
  <c r="C9839"/>
  <c r="C9840"/>
  <c r="C9841"/>
  <c r="C9842"/>
  <c r="C9843"/>
  <c r="C9844"/>
  <c r="C9845"/>
  <c r="C9846"/>
  <c r="C9847"/>
  <c r="C9848"/>
  <c r="C9849"/>
  <c r="C9850"/>
  <c r="C9851"/>
  <c r="C9852"/>
  <c r="C9853"/>
  <c r="C9854"/>
  <c r="C9855"/>
  <c r="C9856"/>
  <c r="C9857"/>
  <c r="C9858"/>
  <c r="C9859"/>
  <c r="C9860"/>
  <c r="C9861"/>
  <c r="C9862"/>
  <c r="C9863"/>
  <c r="C9864"/>
  <c r="C9865"/>
  <c r="C9866"/>
  <c r="C9867"/>
  <c r="C9868"/>
  <c r="C9869"/>
  <c r="C9870"/>
  <c r="C9871"/>
  <c r="C9872"/>
  <c r="C9873"/>
  <c r="C9874"/>
  <c r="C9875"/>
  <c r="C9876"/>
  <c r="C9877"/>
  <c r="C9878"/>
  <c r="C9879"/>
  <c r="C9880"/>
  <c r="C9881"/>
  <c r="C9882"/>
  <c r="C9883"/>
  <c r="C9884"/>
  <c r="C9885"/>
  <c r="C9886"/>
  <c r="C9887"/>
  <c r="C9888"/>
  <c r="C9889"/>
  <c r="C9890"/>
  <c r="C9891"/>
  <c r="C9892"/>
  <c r="C9893"/>
  <c r="C9894"/>
  <c r="C9895"/>
  <c r="C9896"/>
  <c r="C9897"/>
  <c r="C9898"/>
  <c r="C9899"/>
  <c r="C9900"/>
  <c r="C9901"/>
  <c r="C9902"/>
  <c r="C9903"/>
  <c r="C9904"/>
  <c r="C9905"/>
  <c r="C9906"/>
  <c r="C9907"/>
  <c r="C9908"/>
  <c r="C9909"/>
  <c r="C9910"/>
  <c r="C9911"/>
  <c r="C9912"/>
  <c r="C9913"/>
  <c r="C9914"/>
  <c r="C9915"/>
  <c r="C9916"/>
  <c r="C9917"/>
  <c r="C9918"/>
  <c r="C9919"/>
  <c r="C9920"/>
  <c r="C9921"/>
  <c r="C9922"/>
  <c r="C9923"/>
  <c r="C9924"/>
  <c r="C9925"/>
  <c r="C9926"/>
  <c r="C9927"/>
  <c r="C9928"/>
  <c r="C9929"/>
  <c r="C9930"/>
  <c r="C9931"/>
  <c r="C9932"/>
  <c r="C9933"/>
  <c r="C9934"/>
  <c r="C9935"/>
  <c r="C9936"/>
  <c r="C9937"/>
  <c r="C9938"/>
  <c r="C9939"/>
  <c r="C9940"/>
  <c r="C9941"/>
  <c r="C9942"/>
  <c r="C9943"/>
  <c r="C9944"/>
  <c r="C9945"/>
  <c r="C9946"/>
  <c r="C9947"/>
  <c r="C9948"/>
  <c r="C9949"/>
  <c r="C9950"/>
  <c r="C9951"/>
  <c r="C9952"/>
  <c r="C9953"/>
  <c r="C9954"/>
  <c r="C9955"/>
  <c r="C9956"/>
  <c r="C9957"/>
  <c r="C9958"/>
  <c r="C9959"/>
  <c r="C9960"/>
  <c r="C9961"/>
  <c r="C9962"/>
  <c r="C9963"/>
  <c r="C9964"/>
  <c r="C9965"/>
  <c r="C9966"/>
  <c r="C9967"/>
  <c r="C9968"/>
  <c r="C9969"/>
  <c r="C9970"/>
  <c r="C9971"/>
  <c r="C9972"/>
  <c r="C9973"/>
  <c r="C9974"/>
  <c r="C9975"/>
  <c r="C9976"/>
  <c r="C9977"/>
  <c r="C9978"/>
  <c r="C9979"/>
  <c r="C9980"/>
  <c r="C9981"/>
  <c r="C9982"/>
  <c r="C9983"/>
  <c r="C9984"/>
  <c r="C9985"/>
  <c r="C9986"/>
  <c r="C9987"/>
  <c r="C9988"/>
  <c r="C9989"/>
  <c r="C9990"/>
  <c r="C9991"/>
  <c r="C9992"/>
  <c r="C9993"/>
  <c r="C9994"/>
  <c r="C9995"/>
  <c r="C9996"/>
  <c r="C9997"/>
  <c r="C9998"/>
  <c r="C9999"/>
  <c r="C10000"/>
  <c r="C10001"/>
  <c r="C10002"/>
  <c r="C10003"/>
  <c r="C10004"/>
  <c r="C10005"/>
  <c r="C10006"/>
  <c r="C10007"/>
  <c r="C10008"/>
  <c r="C10009"/>
  <c r="C10010"/>
  <c r="C10011"/>
  <c r="C10012"/>
  <c r="C10013"/>
  <c r="C10014"/>
  <c r="C10015"/>
  <c r="C10016"/>
  <c r="C10017"/>
  <c r="C10018"/>
  <c r="C10019"/>
  <c r="C10020"/>
  <c r="C10021"/>
  <c r="C10022"/>
  <c r="C10023"/>
  <c r="C10024"/>
  <c r="C10025"/>
  <c r="C10026"/>
  <c r="C10027"/>
  <c r="C10028"/>
  <c r="C10029"/>
  <c r="C10030"/>
  <c r="C10031"/>
  <c r="C10032"/>
  <c r="C10033"/>
  <c r="C10034"/>
  <c r="C10035"/>
  <c r="C10036"/>
  <c r="C10037"/>
  <c r="C10038"/>
  <c r="C10039"/>
  <c r="C10040"/>
  <c r="C10041"/>
  <c r="C10042"/>
  <c r="C10043"/>
  <c r="C10044"/>
  <c r="C10045"/>
  <c r="C10046"/>
  <c r="C10047"/>
  <c r="C10048"/>
  <c r="C10049"/>
  <c r="C10050"/>
  <c r="C10051"/>
  <c r="C10052"/>
  <c r="C10053"/>
  <c r="C10054"/>
  <c r="C10055"/>
  <c r="C10056"/>
  <c r="C10057"/>
  <c r="C10058"/>
  <c r="C10059"/>
  <c r="C10060"/>
  <c r="C10061"/>
  <c r="C10062"/>
  <c r="C10063"/>
  <c r="C10064"/>
  <c r="C10065"/>
  <c r="C10066"/>
  <c r="C10067"/>
  <c r="C10068"/>
  <c r="C10069"/>
  <c r="C10070"/>
  <c r="C10071"/>
  <c r="C10072"/>
  <c r="C10073"/>
  <c r="C10074"/>
  <c r="C10075"/>
  <c r="C10076"/>
  <c r="C10077"/>
  <c r="C10078"/>
  <c r="C10079"/>
  <c r="C10080"/>
  <c r="C10081"/>
  <c r="C10082"/>
  <c r="C10083"/>
  <c r="C10084"/>
  <c r="C10085"/>
  <c r="C10086"/>
  <c r="C10087"/>
  <c r="C10088"/>
  <c r="C10089"/>
  <c r="C10090"/>
  <c r="C10091"/>
  <c r="C10092"/>
  <c r="C10093"/>
  <c r="C10094"/>
  <c r="C10095"/>
  <c r="C10096"/>
  <c r="C10097"/>
  <c r="C10098"/>
  <c r="C10099"/>
  <c r="C10100"/>
  <c r="C10101"/>
  <c r="C10102"/>
  <c r="C10103"/>
  <c r="C10104"/>
  <c r="C10105"/>
  <c r="C10106"/>
  <c r="C10107"/>
  <c r="C10108"/>
  <c r="C10109"/>
  <c r="C10110"/>
  <c r="C10111"/>
  <c r="C10112"/>
  <c r="C10113"/>
  <c r="C10114"/>
  <c r="C10115"/>
  <c r="C10116"/>
  <c r="C10117"/>
  <c r="C10118"/>
  <c r="C10119"/>
  <c r="C10120"/>
  <c r="C10121"/>
  <c r="C10122"/>
  <c r="C10123"/>
  <c r="C10124"/>
  <c r="C10125"/>
  <c r="C10126"/>
  <c r="C10127"/>
  <c r="C10128"/>
  <c r="C10129"/>
  <c r="C10130"/>
  <c r="C10131"/>
  <c r="C10132"/>
  <c r="C10133"/>
  <c r="C10134"/>
  <c r="C10135"/>
  <c r="C10136"/>
  <c r="C10137"/>
  <c r="C10138"/>
  <c r="C10139"/>
  <c r="C10140"/>
  <c r="C10141"/>
  <c r="C10142"/>
  <c r="C10143"/>
  <c r="C10144"/>
  <c r="C10145"/>
  <c r="C10146"/>
  <c r="C10147"/>
  <c r="C10148"/>
  <c r="C10149"/>
  <c r="C10150"/>
  <c r="C10151"/>
  <c r="C10152"/>
  <c r="C10153"/>
  <c r="C10154"/>
  <c r="C10155"/>
  <c r="C10156"/>
  <c r="C10157"/>
  <c r="C10158"/>
  <c r="C10159"/>
  <c r="C10160"/>
  <c r="C10161"/>
  <c r="C10162"/>
  <c r="C10163"/>
  <c r="C10164"/>
  <c r="C10165"/>
  <c r="C10166"/>
  <c r="C10167"/>
  <c r="C10168"/>
  <c r="C10169"/>
  <c r="C10170"/>
  <c r="C10171"/>
  <c r="C10172"/>
  <c r="C10173"/>
  <c r="C10174"/>
  <c r="C10175"/>
  <c r="C10176"/>
  <c r="C10177"/>
  <c r="C10178"/>
  <c r="C10179"/>
  <c r="C10180"/>
  <c r="C10181"/>
  <c r="C10182"/>
  <c r="C10183"/>
  <c r="C10184"/>
  <c r="C10185"/>
  <c r="C10186"/>
  <c r="C10187"/>
  <c r="C10188"/>
  <c r="C10189"/>
  <c r="C10190"/>
  <c r="C10191"/>
  <c r="C10192"/>
  <c r="C10193"/>
  <c r="C10194"/>
  <c r="C10195"/>
  <c r="C10196"/>
  <c r="C10197"/>
  <c r="C10198"/>
  <c r="C10199"/>
  <c r="C10200"/>
  <c r="C10201"/>
  <c r="C10202"/>
  <c r="C10203"/>
  <c r="C10204"/>
  <c r="C10205"/>
  <c r="C10206"/>
  <c r="C10207"/>
  <c r="C10208"/>
  <c r="C10209"/>
  <c r="C10210"/>
  <c r="C10211"/>
  <c r="C10212"/>
  <c r="C10213"/>
  <c r="C10214"/>
  <c r="C10215"/>
  <c r="C10216"/>
  <c r="C10217"/>
  <c r="C10218"/>
  <c r="C10219"/>
  <c r="C10220"/>
  <c r="C10221"/>
  <c r="C10222"/>
  <c r="C10223"/>
  <c r="C10224"/>
  <c r="C10225"/>
  <c r="C10226"/>
  <c r="C10227"/>
  <c r="C10228"/>
  <c r="C10229"/>
  <c r="C10230"/>
  <c r="C10231"/>
  <c r="C10232"/>
  <c r="C10233"/>
  <c r="C10234"/>
  <c r="C10235"/>
  <c r="C10236"/>
  <c r="C10237"/>
  <c r="C10238"/>
  <c r="C10239"/>
  <c r="C10240"/>
  <c r="C10241"/>
  <c r="C10242"/>
  <c r="C10243"/>
  <c r="C10244"/>
  <c r="C10245"/>
  <c r="C10246"/>
  <c r="C10247"/>
  <c r="C10248"/>
  <c r="C10249"/>
  <c r="C10250"/>
  <c r="C10251"/>
  <c r="C10252"/>
  <c r="C10253"/>
  <c r="C10254"/>
  <c r="C10255"/>
  <c r="C10256"/>
  <c r="C10257"/>
  <c r="C10258"/>
  <c r="C10259"/>
  <c r="C10260"/>
  <c r="C10261"/>
  <c r="C10262"/>
  <c r="C10263"/>
  <c r="C10264"/>
  <c r="C10265"/>
  <c r="C10266"/>
  <c r="C10267"/>
  <c r="C10268"/>
  <c r="C10269"/>
  <c r="C10270"/>
  <c r="C10271"/>
  <c r="C10272"/>
  <c r="C10273"/>
  <c r="C10274"/>
  <c r="C10275"/>
  <c r="C10276"/>
  <c r="C10277"/>
  <c r="C10278"/>
  <c r="C10279"/>
  <c r="C10280"/>
  <c r="C10281"/>
  <c r="C10282"/>
  <c r="C10283"/>
  <c r="C10284"/>
  <c r="C10285"/>
  <c r="C10286"/>
  <c r="C10287"/>
  <c r="C10288"/>
  <c r="C10289"/>
  <c r="C10290"/>
  <c r="C10291"/>
  <c r="C10292"/>
  <c r="C10293"/>
  <c r="C10294"/>
  <c r="C10295"/>
  <c r="C10296"/>
  <c r="C10297"/>
  <c r="C10298"/>
  <c r="C10299"/>
  <c r="C10300"/>
  <c r="C10301"/>
  <c r="C10302"/>
  <c r="C10303"/>
  <c r="C10304"/>
  <c r="C10305"/>
  <c r="C10306"/>
  <c r="C10307"/>
  <c r="C10308"/>
  <c r="C10309"/>
  <c r="C10310"/>
  <c r="C10311"/>
  <c r="C10312"/>
  <c r="C10313"/>
  <c r="C10314"/>
  <c r="C10315"/>
  <c r="C10316"/>
  <c r="C10317"/>
  <c r="C10318"/>
  <c r="C10319"/>
  <c r="C10320"/>
  <c r="C10321"/>
  <c r="C10322"/>
  <c r="C10323"/>
  <c r="C10324"/>
  <c r="C10325"/>
  <c r="C10326"/>
  <c r="C10327"/>
  <c r="C10328"/>
  <c r="C10329"/>
  <c r="C10330"/>
  <c r="C10331"/>
  <c r="C10332"/>
  <c r="C10333"/>
  <c r="C10334"/>
  <c r="C10335"/>
  <c r="C10336"/>
  <c r="C10337"/>
  <c r="C10338"/>
  <c r="C10339"/>
  <c r="C10340"/>
  <c r="C10341"/>
  <c r="C10342"/>
  <c r="C10343"/>
  <c r="C10344"/>
  <c r="C10345"/>
  <c r="C10346"/>
  <c r="C10347"/>
  <c r="C10348"/>
  <c r="C10349"/>
  <c r="C10350"/>
  <c r="C10351"/>
  <c r="C10352"/>
  <c r="C10353"/>
  <c r="C10354"/>
  <c r="C10355"/>
  <c r="C10356"/>
  <c r="C10357"/>
  <c r="C10358"/>
  <c r="C10359"/>
  <c r="C10360"/>
  <c r="C10361"/>
  <c r="C10362"/>
  <c r="C10363"/>
  <c r="C10364"/>
  <c r="C10365"/>
  <c r="C10366"/>
  <c r="C10367"/>
  <c r="C10368"/>
  <c r="C10369"/>
  <c r="C10370"/>
  <c r="C10371"/>
  <c r="C10372"/>
  <c r="C10373"/>
  <c r="C10374"/>
  <c r="C10375"/>
  <c r="C10376"/>
  <c r="C10377"/>
  <c r="C10378"/>
  <c r="C10379"/>
  <c r="C10380"/>
  <c r="C10381"/>
  <c r="C10382"/>
  <c r="C10383"/>
  <c r="C10384"/>
  <c r="C10385"/>
  <c r="C10386"/>
  <c r="C10387"/>
  <c r="C10388"/>
  <c r="C10389"/>
  <c r="C10390"/>
  <c r="C10391"/>
  <c r="C10392"/>
  <c r="C10393"/>
  <c r="C10394"/>
  <c r="C10395"/>
  <c r="C10396"/>
  <c r="C10397"/>
  <c r="C10398"/>
  <c r="C10399"/>
  <c r="C10400"/>
  <c r="C10401"/>
  <c r="C10402"/>
  <c r="C10403"/>
  <c r="C10404"/>
  <c r="C10405"/>
  <c r="C10406"/>
  <c r="C10407"/>
  <c r="C10408"/>
  <c r="C10409"/>
  <c r="C10410"/>
  <c r="C10411"/>
  <c r="C10412"/>
  <c r="C10413"/>
  <c r="C10414"/>
  <c r="C10415"/>
  <c r="C10416"/>
  <c r="C10417"/>
  <c r="C10418"/>
  <c r="C10419"/>
  <c r="C10420"/>
  <c r="C10421"/>
  <c r="C10422"/>
  <c r="C10423"/>
  <c r="C10424"/>
  <c r="C10425"/>
  <c r="C10426"/>
  <c r="C10427"/>
  <c r="C10428"/>
  <c r="C10429"/>
  <c r="C10430"/>
  <c r="C10431"/>
  <c r="C10432"/>
  <c r="C10433"/>
  <c r="C10434"/>
  <c r="C10435"/>
  <c r="C10436"/>
  <c r="C10437"/>
  <c r="C10438"/>
  <c r="C10439"/>
  <c r="C10440"/>
  <c r="C10441"/>
  <c r="C10442"/>
  <c r="C10443"/>
  <c r="C10444"/>
  <c r="C10445"/>
  <c r="C10446"/>
  <c r="C10447"/>
  <c r="C10448"/>
  <c r="C10449"/>
  <c r="C10450"/>
  <c r="C10451"/>
  <c r="C10452"/>
  <c r="C10453"/>
  <c r="C10454"/>
  <c r="C10455"/>
  <c r="C10456"/>
  <c r="C10457"/>
  <c r="C10458"/>
  <c r="C10459"/>
  <c r="C10460"/>
  <c r="C10461"/>
  <c r="C10462"/>
  <c r="C10463"/>
  <c r="C10464"/>
  <c r="C10465"/>
  <c r="C10466"/>
  <c r="C10467"/>
  <c r="C10468"/>
  <c r="C10469"/>
  <c r="C10470"/>
  <c r="C10471"/>
  <c r="C10472"/>
  <c r="C10473"/>
  <c r="C10474"/>
  <c r="C10475"/>
  <c r="C10476"/>
  <c r="C10477"/>
  <c r="C10478"/>
  <c r="C10479"/>
  <c r="C10480"/>
  <c r="C10481"/>
  <c r="C10482"/>
  <c r="C10483"/>
  <c r="C10484"/>
  <c r="C10485"/>
  <c r="C10486"/>
  <c r="C10487"/>
  <c r="C10488"/>
  <c r="C10489"/>
  <c r="C10490"/>
  <c r="C10491"/>
  <c r="C10492"/>
  <c r="C10493"/>
  <c r="C10494"/>
  <c r="C10495"/>
  <c r="C10496"/>
  <c r="C10497"/>
  <c r="C10498"/>
  <c r="C10499"/>
  <c r="C10500"/>
  <c r="C10501"/>
  <c r="C10502"/>
  <c r="C10503"/>
  <c r="C10504"/>
  <c r="C10505"/>
  <c r="C10506"/>
  <c r="C10507"/>
  <c r="C10508"/>
  <c r="C10509"/>
  <c r="C10510"/>
  <c r="C10511"/>
  <c r="C10512"/>
  <c r="C10513"/>
  <c r="C10514"/>
  <c r="C10515"/>
  <c r="C10516"/>
  <c r="C10517"/>
  <c r="C10518"/>
  <c r="C10519"/>
  <c r="C10520"/>
  <c r="C10521"/>
  <c r="C10522"/>
  <c r="C10523"/>
  <c r="C10524"/>
  <c r="C10525"/>
  <c r="C10526"/>
  <c r="C10527"/>
  <c r="C10528"/>
  <c r="C10529"/>
  <c r="C10530"/>
  <c r="C10531"/>
  <c r="C10532"/>
  <c r="C10533"/>
  <c r="C10534"/>
  <c r="C10535"/>
  <c r="C10536"/>
  <c r="C10537"/>
  <c r="C10538"/>
  <c r="C10539"/>
  <c r="C10540"/>
  <c r="C10541"/>
  <c r="C10542"/>
  <c r="C10543"/>
  <c r="C10544"/>
  <c r="C10545"/>
  <c r="C10546"/>
  <c r="C10547"/>
  <c r="C10548"/>
  <c r="C10549"/>
  <c r="C10550"/>
  <c r="C10551"/>
  <c r="C10552"/>
  <c r="C10553"/>
  <c r="C10554"/>
  <c r="C10555"/>
  <c r="C10556"/>
  <c r="C10557"/>
  <c r="C10558"/>
  <c r="C10559"/>
  <c r="C10560"/>
  <c r="C10561"/>
  <c r="C10562"/>
  <c r="C10563"/>
  <c r="C10564"/>
  <c r="C10565"/>
  <c r="C10566"/>
  <c r="C10567"/>
  <c r="C10568"/>
  <c r="C10569"/>
  <c r="C10570"/>
  <c r="C10571"/>
  <c r="C10572"/>
  <c r="C10573"/>
  <c r="C10574"/>
  <c r="C10575"/>
  <c r="C10576"/>
  <c r="C10577"/>
  <c r="C10578"/>
  <c r="C10579"/>
  <c r="C10580"/>
  <c r="C10581"/>
  <c r="C10582"/>
  <c r="C10583"/>
  <c r="C10584"/>
  <c r="C10585"/>
  <c r="C10586"/>
  <c r="C10587"/>
  <c r="C10588"/>
  <c r="C10589"/>
  <c r="C10590"/>
  <c r="C10591"/>
  <c r="C10592"/>
  <c r="C10593"/>
  <c r="C10594"/>
  <c r="C10595"/>
  <c r="C10596"/>
  <c r="C10597"/>
  <c r="C10598"/>
  <c r="C10599"/>
  <c r="C10600"/>
  <c r="C10601"/>
  <c r="C10602"/>
  <c r="C10603"/>
  <c r="C10604"/>
  <c r="C10605"/>
  <c r="C10606"/>
  <c r="C10607"/>
  <c r="C10608"/>
  <c r="C10609"/>
  <c r="C10610"/>
  <c r="C10611"/>
  <c r="C10612"/>
  <c r="C10613"/>
  <c r="C10614"/>
  <c r="C10615"/>
  <c r="C10616"/>
  <c r="C10617"/>
  <c r="C10618"/>
  <c r="C10619"/>
  <c r="C10620"/>
  <c r="C10621"/>
  <c r="C10622"/>
  <c r="C10623"/>
  <c r="C10624"/>
  <c r="C10625"/>
  <c r="C10626"/>
  <c r="C10627"/>
  <c r="C10628"/>
  <c r="C10629"/>
  <c r="C10630"/>
  <c r="C10631"/>
  <c r="C10632"/>
  <c r="C10633"/>
  <c r="C10634"/>
  <c r="C10635"/>
  <c r="C10636"/>
  <c r="C10637"/>
  <c r="C10638"/>
  <c r="C10639"/>
  <c r="C10640"/>
  <c r="C10641"/>
  <c r="C10642"/>
  <c r="C10643"/>
  <c r="C10644"/>
  <c r="C10645"/>
  <c r="C10646"/>
  <c r="C10647"/>
  <c r="C10648"/>
  <c r="C10649"/>
  <c r="C10650"/>
  <c r="C10651"/>
  <c r="C10652"/>
  <c r="C10653"/>
  <c r="C10654"/>
  <c r="C10655"/>
  <c r="C10656"/>
  <c r="C10657"/>
  <c r="C10658"/>
  <c r="C10659"/>
  <c r="C10660"/>
  <c r="C10661"/>
  <c r="C10662"/>
  <c r="C10663"/>
  <c r="C10664"/>
  <c r="C10665"/>
  <c r="C10666"/>
  <c r="C10667"/>
  <c r="C10668"/>
  <c r="C10669"/>
  <c r="C10670"/>
  <c r="C10671"/>
  <c r="C10672"/>
  <c r="C10673"/>
  <c r="C10674"/>
  <c r="C10675"/>
  <c r="C10676"/>
  <c r="C10677"/>
  <c r="C10678"/>
  <c r="C10679"/>
  <c r="C10680"/>
  <c r="C10681"/>
  <c r="C10682"/>
  <c r="C10683"/>
  <c r="C10684"/>
  <c r="C10685"/>
  <c r="C10686"/>
  <c r="C10687"/>
  <c r="C10688"/>
  <c r="C10689"/>
  <c r="C10690"/>
  <c r="C10691"/>
  <c r="C10692"/>
  <c r="C10693"/>
  <c r="C10694"/>
  <c r="C10695"/>
  <c r="C10696"/>
  <c r="C10697"/>
  <c r="C10698"/>
  <c r="C10699"/>
  <c r="C10700"/>
  <c r="C10701"/>
  <c r="C10702"/>
  <c r="C10703"/>
  <c r="C10704"/>
  <c r="C10705"/>
  <c r="C10706"/>
  <c r="C10707"/>
  <c r="C10708"/>
  <c r="C10709"/>
  <c r="C10710"/>
  <c r="C10711"/>
  <c r="C10712"/>
  <c r="C10713"/>
  <c r="C10714"/>
  <c r="C10715"/>
  <c r="C10716"/>
  <c r="C10717"/>
  <c r="C10718"/>
  <c r="C10719"/>
  <c r="C10720"/>
  <c r="C10721"/>
  <c r="C10722"/>
  <c r="C10723"/>
  <c r="C10724"/>
  <c r="C10725"/>
  <c r="C10726"/>
  <c r="C10727"/>
  <c r="C10728"/>
  <c r="C10729"/>
  <c r="C10730"/>
  <c r="C10731"/>
  <c r="C10732"/>
  <c r="C10733"/>
  <c r="C10734"/>
  <c r="C10735"/>
  <c r="C10736"/>
  <c r="C10737"/>
  <c r="C10738"/>
  <c r="C10739"/>
  <c r="C10740"/>
  <c r="C10741"/>
  <c r="C10742"/>
  <c r="C10743"/>
  <c r="C10744"/>
  <c r="C10745"/>
  <c r="C10746"/>
  <c r="C10747"/>
  <c r="C10748"/>
  <c r="C10749"/>
  <c r="C10750"/>
  <c r="C10751"/>
  <c r="C10752"/>
  <c r="C10753"/>
  <c r="C10754"/>
  <c r="C10755"/>
  <c r="C10756"/>
  <c r="C10757"/>
  <c r="C10758"/>
  <c r="C10759"/>
  <c r="C10760"/>
  <c r="C10761"/>
  <c r="C10762"/>
  <c r="C10763"/>
  <c r="C10764"/>
  <c r="C10765"/>
  <c r="C10766"/>
  <c r="C10767"/>
  <c r="C10768"/>
  <c r="C10769"/>
  <c r="C10770"/>
  <c r="C10771"/>
  <c r="C10772"/>
  <c r="C10773"/>
  <c r="C10774"/>
  <c r="C10775"/>
  <c r="C10776"/>
  <c r="C10777"/>
  <c r="C10778"/>
  <c r="C10779"/>
  <c r="C10780"/>
  <c r="C10781"/>
  <c r="C10782"/>
  <c r="C10783"/>
  <c r="C10784"/>
  <c r="C10785"/>
  <c r="C10786"/>
  <c r="C10787"/>
  <c r="C10788"/>
  <c r="C10789"/>
  <c r="C10790"/>
  <c r="C10791"/>
  <c r="C10792"/>
  <c r="C10793"/>
  <c r="C10794"/>
  <c r="C10795"/>
  <c r="C10796"/>
  <c r="C10797"/>
  <c r="C10798"/>
  <c r="C10799"/>
  <c r="C10800"/>
  <c r="C10801"/>
  <c r="C10802"/>
  <c r="C10803"/>
  <c r="C10804"/>
  <c r="C10805"/>
  <c r="C10806"/>
  <c r="C10807"/>
  <c r="C10808"/>
  <c r="C10809"/>
  <c r="C10810"/>
  <c r="C10811"/>
  <c r="C10812"/>
  <c r="C10813"/>
  <c r="C10814"/>
  <c r="C10815"/>
  <c r="C10816"/>
  <c r="C10817"/>
  <c r="C10818"/>
  <c r="C10819"/>
  <c r="C10820"/>
  <c r="C10821"/>
  <c r="C10822"/>
  <c r="C10823"/>
  <c r="C10824"/>
  <c r="C10825"/>
  <c r="C10826"/>
  <c r="C10827"/>
  <c r="C10828"/>
  <c r="C10829"/>
  <c r="C10830"/>
  <c r="C10831"/>
  <c r="C10832"/>
  <c r="C10833"/>
  <c r="C10834"/>
  <c r="C10835"/>
  <c r="C10836"/>
  <c r="C10837"/>
  <c r="C10838"/>
  <c r="C10839"/>
  <c r="C10840"/>
  <c r="C10841"/>
  <c r="C10842"/>
  <c r="C10843"/>
  <c r="C10844"/>
  <c r="C10845"/>
  <c r="C10846"/>
  <c r="C10847"/>
  <c r="C10848"/>
  <c r="C10849"/>
  <c r="C10850"/>
  <c r="C10851"/>
  <c r="C10852"/>
  <c r="C10853"/>
  <c r="C10854"/>
  <c r="C10855"/>
  <c r="C10856"/>
  <c r="C10857"/>
  <c r="C10858"/>
  <c r="C10859"/>
  <c r="C10860"/>
  <c r="C10861"/>
  <c r="C10862"/>
  <c r="C10863"/>
  <c r="C10864"/>
  <c r="C10865"/>
  <c r="C10866"/>
  <c r="C10867"/>
  <c r="C10868"/>
  <c r="C10869"/>
  <c r="C10870"/>
  <c r="C10871"/>
  <c r="C10872"/>
  <c r="C10873"/>
  <c r="C10874"/>
  <c r="C10875"/>
  <c r="C10876"/>
  <c r="C10877"/>
  <c r="C10878"/>
  <c r="C10879"/>
  <c r="C10880"/>
  <c r="C10881"/>
  <c r="C10882"/>
  <c r="C10883"/>
  <c r="C10884"/>
  <c r="C10885"/>
  <c r="C10886"/>
  <c r="C10887"/>
  <c r="C10888"/>
  <c r="C10889"/>
  <c r="C10890"/>
  <c r="C10891"/>
  <c r="C10892"/>
  <c r="C10893"/>
  <c r="C10894"/>
  <c r="C10895"/>
  <c r="C10896"/>
  <c r="C10897"/>
  <c r="C10898"/>
  <c r="C10899"/>
  <c r="C10900"/>
  <c r="C10901"/>
  <c r="C10902"/>
  <c r="C10903"/>
  <c r="C10904"/>
  <c r="C10905"/>
  <c r="C10906"/>
  <c r="C10907"/>
  <c r="C10908"/>
  <c r="C10909"/>
  <c r="C10910"/>
  <c r="C10911"/>
  <c r="C10912"/>
  <c r="C10913"/>
  <c r="C10914"/>
  <c r="C10915"/>
  <c r="C10916"/>
  <c r="C10917"/>
  <c r="C10918"/>
  <c r="C10919"/>
  <c r="C10920"/>
  <c r="C10921"/>
  <c r="C10922"/>
  <c r="C10923"/>
  <c r="C10924"/>
  <c r="C10925"/>
  <c r="C10926"/>
  <c r="C10927"/>
  <c r="C10928"/>
  <c r="C10929"/>
  <c r="C10930"/>
  <c r="C10931"/>
  <c r="C10932"/>
  <c r="C10933"/>
  <c r="C10934"/>
  <c r="C10935"/>
  <c r="C10936"/>
  <c r="C10937"/>
  <c r="C10938"/>
  <c r="C10939"/>
  <c r="C10940"/>
  <c r="C10941"/>
  <c r="C10942"/>
  <c r="C10943"/>
  <c r="C10944"/>
  <c r="C10945"/>
  <c r="C10946"/>
  <c r="C10947"/>
  <c r="C10948"/>
  <c r="C10949"/>
  <c r="C10950"/>
  <c r="C10951"/>
  <c r="C10952"/>
  <c r="C10953"/>
  <c r="C10954"/>
  <c r="C10955"/>
  <c r="C10956"/>
  <c r="C10957"/>
  <c r="C10958"/>
  <c r="C10959"/>
  <c r="C10960"/>
  <c r="C10961"/>
  <c r="C10962"/>
  <c r="C10963"/>
  <c r="C10964"/>
  <c r="C10965"/>
  <c r="C10966"/>
  <c r="C10967"/>
  <c r="C10968"/>
  <c r="C10969"/>
  <c r="C10970"/>
  <c r="C10971"/>
  <c r="C10972"/>
  <c r="C10973"/>
  <c r="C10974"/>
  <c r="C10975"/>
  <c r="C10976"/>
  <c r="C10977"/>
  <c r="C10978"/>
  <c r="C10979"/>
  <c r="C10980"/>
  <c r="C10981"/>
  <c r="C10982"/>
  <c r="C10983"/>
  <c r="C10984"/>
  <c r="C10985"/>
  <c r="C10986"/>
  <c r="C10987"/>
  <c r="C10988"/>
  <c r="C10989"/>
  <c r="C10990"/>
  <c r="C10991"/>
  <c r="C10992"/>
  <c r="C10993"/>
  <c r="C10994"/>
  <c r="C10995"/>
  <c r="C10996"/>
  <c r="C10997"/>
  <c r="C10998"/>
  <c r="C10999"/>
  <c r="C11000"/>
  <c r="C11001"/>
  <c r="C11002"/>
  <c r="C11003"/>
  <c r="C11004"/>
  <c r="C11005"/>
  <c r="C11006"/>
  <c r="C11007"/>
  <c r="C11008"/>
  <c r="C11009"/>
  <c r="C11010"/>
  <c r="C11011"/>
  <c r="C11012"/>
  <c r="C11013"/>
  <c r="C11014"/>
  <c r="C11015"/>
  <c r="C11016"/>
  <c r="C11017"/>
  <c r="C11018"/>
  <c r="C11019"/>
  <c r="C11020"/>
  <c r="C11021"/>
  <c r="C11022"/>
  <c r="C11023"/>
  <c r="C11024"/>
  <c r="C11025"/>
  <c r="C11026"/>
  <c r="C11027"/>
  <c r="C11028"/>
  <c r="C11029"/>
  <c r="C11030"/>
  <c r="C11031"/>
  <c r="C11032"/>
  <c r="C11033"/>
  <c r="C11034"/>
  <c r="C11035"/>
  <c r="C11036"/>
  <c r="C11037"/>
  <c r="C11038"/>
  <c r="C11039"/>
  <c r="C11040"/>
  <c r="C11041"/>
  <c r="C11042"/>
  <c r="C11043"/>
  <c r="C11044"/>
  <c r="C11045"/>
  <c r="C11046"/>
  <c r="C11047"/>
  <c r="C11048"/>
  <c r="C11049"/>
  <c r="C11050"/>
  <c r="C11051"/>
  <c r="C11052"/>
  <c r="C11053"/>
  <c r="C11054"/>
  <c r="C11055"/>
  <c r="C11056"/>
  <c r="C11057"/>
  <c r="C11058"/>
  <c r="C11059"/>
  <c r="C11060"/>
  <c r="C11061"/>
  <c r="C11062"/>
  <c r="C11063"/>
  <c r="C11064"/>
  <c r="C11065"/>
  <c r="C11066"/>
  <c r="C11067"/>
  <c r="C11068"/>
  <c r="C11069"/>
  <c r="C11070"/>
  <c r="C11071"/>
  <c r="C11072"/>
  <c r="C11073"/>
  <c r="C11074"/>
  <c r="C11075"/>
  <c r="C11076"/>
  <c r="C11077"/>
  <c r="C11078"/>
  <c r="C11079"/>
  <c r="C11080"/>
  <c r="C11081"/>
  <c r="C11082"/>
  <c r="C11083"/>
  <c r="C11084"/>
  <c r="C11085"/>
  <c r="C11086"/>
  <c r="C11087"/>
  <c r="C11088"/>
  <c r="C11089"/>
  <c r="C11090"/>
  <c r="C11091"/>
  <c r="C11092"/>
  <c r="C11093"/>
  <c r="C11094"/>
  <c r="C11095"/>
  <c r="C11096"/>
  <c r="C11097"/>
  <c r="C11098"/>
  <c r="C11099"/>
  <c r="C11100"/>
  <c r="C11101"/>
  <c r="C11102"/>
  <c r="C11103"/>
  <c r="C11104"/>
  <c r="C11105"/>
  <c r="C11106"/>
  <c r="C11107"/>
  <c r="C11108"/>
  <c r="C11109"/>
  <c r="C11110"/>
  <c r="C11111"/>
  <c r="C11112"/>
  <c r="C11113"/>
  <c r="C11114"/>
  <c r="C11115"/>
  <c r="C11116"/>
  <c r="C11117"/>
  <c r="C11118"/>
  <c r="C11119"/>
  <c r="C11120"/>
  <c r="C11121"/>
  <c r="C11122"/>
  <c r="C11123"/>
  <c r="C11124"/>
  <c r="C11125"/>
  <c r="C11126"/>
  <c r="C11127"/>
  <c r="C11128"/>
  <c r="C11129"/>
  <c r="C11130"/>
  <c r="C11131"/>
  <c r="C11132"/>
  <c r="C11133"/>
  <c r="C11134"/>
  <c r="C11135"/>
  <c r="C11136"/>
  <c r="C11137"/>
  <c r="C11138"/>
  <c r="C11139"/>
  <c r="C11140"/>
  <c r="C11141"/>
  <c r="C11142"/>
  <c r="C11143"/>
  <c r="C11144"/>
  <c r="C11145"/>
  <c r="C11146"/>
  <c r="C11147"/>
  <c r="C11148"/>
  <c r="C11149"/>
  <c r="C11150"/>
  <c r="C11151"/>
  <c r="C11152"/>
  <c r="C11153"/>
  <c r="C11154"/>
  <c r="C11155"/>
  <c r="C11156"/>
  <c r="C11157"/>
  <c r="C11158"/>
  <c r="C11159"/>
  <c r="C11160"/>
  <c r="C11161"/>
  <c r="C11162"/>
  <c r="C11163"/>
  <c r="C11164"/>
  <c r="C11165"/>
  <c r="C11166"/>
  <c r="C11167"/>
  <c r="C11168"/>
  <c r="C11169"/>
  <c r="C11170"/>
  <c r="C11171"/>
  <c r="C11172"/>
  <c r="C11173"/>
  <c r="C11174"/>
  <c r="C11175"/>
  <c r="C11176"/>
  <c r="C11177"/>
  <c r="C11178"/>
  <c r="C11179"/>
  <c r="C11180"/>
  <c r="C11181"/>
  <c r="C11182"/>
  <c r="C11183"/>
  <c r="C11184"/>
  <c r="C11185"/>
  <c r="C11186"/>
  <c r="C11187"/>
  <c r="C11188"/>
  <c r="C11189"/>
  <c r="C11190"/>
  <c r="C11191"/>
  <c r="C11192"/>
  <c r="C11193"/>
  <c r="C11194"/>
  <c r="C11195"/>
  <c r="C11196"/>
  <c r="C11197"/>
  <c r="C11198"/>
  <c r="C11199"/>
  <c r="C11200"/>
  <c r="C11201"/>
  <c r="C11202"/>
  <c r="C11203"/>
  <c r="C11204"/>
  <c r="C11205"/>
  <c r="C11206"/>
  <c r="C11207"/>
  <c r="C11208"/>
  <c r="C11209"/>
  <c r="C11210"/>
  <c r="C11211"/>
  <c r="C11212"/>
  <c r="C11213"/>
  <c r="C11214"/>
  <c r="C11215"/>
  <c r="C11216"/>
  <c r="C11217"/>
  <c r="C11218"/>
  <c r="C11219"/>
  <c r="C11220"/>
  <c r="C11221"/>
  <c r="C11222"/>
  <c r="C11223"/>
  <c r="C11224"/>
  <c r="C11225"/>
  <c r="C11226"/>
  <c r="C11227"/>
  <c r="C11228"/>
  <c r="C11229"/>
  <c r="C11230"/>
  <c r="C11231"/>
  <c r="C11232"/>
  <c r="C11233"/>
  <c r="C11234"/>
  <c r="C11235"/>
  <c r="C11236"/>
  <c r="C11237"/>
  <c r="C11238"/>
  <c r="C11239"/>
  <c r="C11240"/>
  <c r="C11241"/>
  <c r="C11242"/>
  <c r="C11243"/>
  <c r="C11244"/>
  <c r="C11245"/>
  <c r="C11246"/>
  <c r="C11247"/>
  <c r="C11248"/>
  <c r="C11249"/>
  <c r="C11250"/>
  <c r="C11251"/>
  <c r="C11252"/>
  <c r="C11253"/>
  <c r="C11254"/>
  <c r="C11255"/>
  <c r="C11256"/>
  <c r="C11257"/>
  <c r="C11258"/>
  <c r="C11259"/>
  <c r="C11260"/>
  <c r="C11261"/>
  <c r="C11262"/>
  <c r="C11263"/>
  <c r="C11264"/>
  <c r="C11265"/>
  <c r="C11266"/>
  <c r="C11267"/>
  <c r="C11268"/>
  <c r="C11269"/>
  <c r="C11270"/>
  <c r="C11271"/>
  <c r="C11272"/>
  <c r="C11273"/>
  <c r="C11274"/>
  <c r="C11275"/>
  <c r="C11276"/>
  <c r="C11277"/>
  <c r="C11278"/>
  <c r="C11279"/>
  <c r="C11280"/>
  <c r="C11281"/>
  <c r="C11282"/>
  <c r="C11283"/>
  <c r="C11284"/>
  <c r="C11285"/>
  <c r="C11286"/>
  <c r="C11287"/>
  <c r="C11288"/>
  <c r="C11289"/>
  <c r="C11290"/>
  <c r="C11291"/>
  <c r="C11292"/>
  <c r="C11293"/>
  <c r="C11294"/>
  <c r="C11295"/>
  <c r="C11296"/>
  <c r="C11297"/>
  <c r="C11298"/>
  <c r="C11299"/>
  <c r="C11300"/>
  <c r="C11301"/>
  <c r="C11302"/>
  <c r="C11303"/>
  <c r="C11304"/>
  <c r="C11305"/>
  <c r="C11306"/>
  <c r="C11307"/>
  <c r="C11308"/>
  <c r="C11309"/>
  <c r="C11310"/>
  <c r="C11311"/>
  <c r="C11312"/>
  <c r="C11313"/>
  <c r="C11314"/>
  <c r="C11315"/>
  <c r="C11316"/>
  <c r="C11317"/>
  <c r="C11318"/>
  <c r="C11319"/>
  <c r="C11320"/>
  <c r="C11321"/>
  <c r="C11322"/>
  <c r="C11323"/>
  <c r="C11324"/>
  <c r="C11325"/>
  <c r="C11326"/>
  <c r="C11327"/>
  <c r="C11328"/>
  <c r="C11329"/>
  <c r="C11330"/>
  <c r="C11331"/>
  <c r="C11332"/>
  <c r="C11333"/>
  <c r="C11334"/>
  <c r="C11335"/>
  <c r="C11336"/>
  <c r="C11337"/>
  <c r="C11338"/>
  <c r="C11339"/>
  <c r="C11340"/>
  <c r="C11341"/>
  <c r="C11342"/>
  <c r="C11343"/>
  <c r="C11344"/>
  <c r="C11345"/>
  <c r="C11346"/>
  <c r="C11347"/>
  <c r="C11348"/>
  <c r="C11349"/>
  <c r="C11350"/>
  <c r="C11351"/>
  <c r="C11352"/>
  <c r="C11353"/>
  <c r="C11354"/>
  <c r="C11355"/>
  <c r="C11356"/>
  <c r="C11357"/>
  <c r="C11358"/>
  <c r="C11359"/>
  <c r="C11360"/>
  <c r="C11361"/>
  <c r="C11362"/>
  <c r="C11363"/>
  <c r="C11364"/>
  <c r="C11365"/>
  <c r="C11366"/>
  <c r="C11367"/>
  <c r="C11368"/>
  <c r="C11369"/>
  <c r="C11370"/>
  <c r="C11371"/>
  <c r="C11372"/>
  <c r="C11373"/>
  <c r="C11374"/>
  <c r="C11375"/>
  <c r="C11376"/>
  <c r="C11377"/>
  <c r="C11378"/>
  <c r="C11379"/>
  <c r="C11380"/>
  <c r="C11381"/>
  <c r="C11382"/>
  <c r="C11383"/>
  <c r="C11384"/>
  <c r="C11385"/>
  <c r="C11386"/>
  <c r="C11387"/>
  <c r="C11388"/>
  <c r="C11389"/>
  <c r="C11390"/>
  <c r="C11391"/>
  <c r="C11392"/>
  <c r="C11393"/>
  <c r="C11394"/>
  <c r="C11395"/>
  <c r="C11396"/>
  <c r="C11397"/>
  <c r="C11398"/>
  <c r="C11399"/>
  <c r="C11400"/>
  <c r="C11401"/>
  <c r="C11402"/>
  <c r="C11403"/>
  <c r="C11404"/>
  <c r="C11405"/>
  <c r="C11406"/>
  <c r="C11407"/>
  <c r="C11408"/>
  <c r="C11409"/>
  <c r="C11410"/>
  <c r="C11411"/>
  <c r="C11412"/>
  <c r="C11413"/>
  <c r="C11414"/>
  <c r="C11415"/>
  <c r="C11416"/>
  <c r="C11417"/>
  <c r="C11418"/>
  <c r="C11419"/>
  <c r="C11420"/>
  <c r="C11421"/>
  <c r="C11422"/>
  <c r="C11423"/>
  <c r="C11424"/>
  <c r="C11425"/>
  <c r="C11426"/>
  <c r="C11427"/>
  <c r="C11428"/>
  <c r="C11429"/>
  <c r="C11430"/>
  <c r="C11431"/>
  <c r="C11432"/>
  <c r="C11433"/>
  <c r="C11434"/>
  <c r="C11435"/>
  <c r="C11436"/>
  <c r="C11437"/>
  <c r="C11438"/>
  <c r="C11439"/>
  <c r="C11440"/>
  <c r="C11441"/>
  <c r="C11442"/>
  <c r="C11443"/>
  <c r="C11444"/>
  <c r="C11445"/>
  <c r="C11446"/>
  <c r="C11447"/>
  <c r="C11448"/>
  <c r="C11449"/>
  <c r="C11450"/>
  <c r="C11451"/>
  <c r="C11452"/>
  <c r="C11453"/>
  <c r="C11454"/>
  <c r="C11455"/>
  <c r="C11456"/>
  <c r="C11457"/>
  <c r="C11458"/>
  <c r="C11459"/>
  <c r="C11460"/>
  <c r="C11461"/>
  <c r="C11462"/>
  <c r="C11463"/>
  <c r="C11464"/>
  <c r="C11465"/>
  <c r="C11466"/>
  <c r="C11467"/>
  <c r="C11468"/>
  <c r="C11469"/>
  <c r="C11470"/>
  <c r="C11471"/>
  <c r="C11472"/>
  <c r="C11473"/>
  <c r="C11474"/>
  <c r="C11475"/>
  <c r="C11476"/>
  <c r="C11477"/>
  <c r="C11478"/>
  <c r="C11479"/>
  <c r="C11480"/>
  <c r="C11481"/>
  <c r="C11482"/>
  <c r="C11483"/>
  <c r="C11484"/>
  <c r="C11485"/>
  <c r="C11486"/>
  <c r="C11487"/>
  <c r="C11488"/>
  <c r="C11489"/>
  <c r="C11490"/>
  <c r="C11491"/>
  <c r="C11492"/>
  <c r="C11493"/>
  <c r="C11494"/>
  <c r="C11495"/>
  <c r="C11496"/>
  <c r="C11497"/>
  <c r="C11498"/>
  <c r="C11499"/>
  <c r="C11500"/>
  <c r="C11501"/>
  <c r="C11502"/>
  <c r="C11503"/>
  <c r="C11504"/>
  <c r="C11505"/>
  <c r="C11506"/>
  <c r="C11507"/>
  <c r="C11508"/>
  <c r="C11509"/>
  <c r="C11510"/>
  <c r="C11511"/>
  <c r="C11512"/>
  <c r="C11513"/>
  <c r="C11514"/>
  <c r="C11515"/>
  <c r="C11516"/>
  <c r="C11517"/>
  <c r="C11518"/>
  <c r="C11519"/>
  <c r="C11520"/>
  <c r="C11521"/>
  <c r="C11522"/>
  <c r="C11523"/>
  <c r="C11524"/>
  <c r="C11525"/>
  <c r="C11526"/>
  <c r="C11527"/>
  <c r="C11528"/>
  <c r="C11529"/>
  <c r="C11530"/>
  <c r="C11531"/>
  <c r="C11532"/>
  <c r="C11533"/>
  <c r="C11534"/>
  <c r="C11535"/>
  <c r="C11536"/>
  <c r="C11537"/>
  <c r="C11538"/>
  <c r="C11539"/>
  <c r="C11540"/>
  <c r="C11541"/>
  <c r="C11542"/>
  <c r="C11543"/>
  <c r="C11544"/>
  <c r="C11545"/>
  <c r="C11546"/>
  <c r="C11547"/>
  <c r="C11548"/>
  <c r="C11549"/>
  <c r="C11550"/>
  <c r="C11551"/>
  <c r="C11552"/>
  <c r="C11553"/>
  <c r="C11554"/>
  <c r="C11555"/>
  <c r="C11556"/>
  <c r="C11557"/>
  <c r="C11558"/>
  <c r="C11559"/>
  <c r="C11560"/>
  <c r="C11561"/>
  <c r="C11562"/>
  <c r="C11563"/>
  <c r="C11564"/>
  <c r="C11565"/>
  <c r="C11566"/>
  <c r="C11567"/>
  <c r="C11568"/>
  <c r="C11569"/>
  <c r="C11570"/>
  <c r="C11571"/>
  <c r="C11572"/>
  <c r="C11573"/>
  <c r="C11574"/>
  <c r="C11575"/>
  <c r="C11576"/>
  <c r="C11577"/>
  <c r="C11578"/>
  <c r="C11579"/>
  <c r="C11580"/>
  <c r="C11581"/>
  <c r="C11582"/>
  <c r="C11583"/>
  <c r="C11584"/>
  <c r="C11585"/>
  <c r="C11586"/>
  <c r="C11587"/>
  <c r="C11588"/>
  <c r="C11589"/>
  <c r="C11590"/>
  <c r="C11591"/>
  <c r="C11592"/>
  <c r="C11593"/>
  <c r="C11594"/>
  <c r="C11595"/>
  <c r="C11596"/>
  <c r="C11597"/>
  <c r="C11598"/>
  <c r="C11599"/>
  <c r="C11600"/>
  <c r="C11601"/>
  <c r="C11602"/>
  <c r="C11603"/>
  <c r="C11604"/>
  <c r="C11605"/>
  <c r="C11606"/>
  <c r="C11607"/>
  <c r="C11608"/>
  <c r="C11609"/>
  <c r="C11610"/>
  <c r="C11611"/>
  <c r="C11612"/>
  <c r="C11613"/>
  <c r="C11614"/>
  <c r="C11615"/>
  <c r="C11616"/>
  <c r="C11617"/>
  <c r="C11618"/>
  <c r="C11619"/>
  <c r="C11620"/>
  <c r="C11621"/>
  <c r="C11622"/>
  <c r="C11623"/>
  <c r="C11624"/>
  <c r="C11625"/>
  <c r="C11626"/>
  <c r="C11627"/>
  <c r="C11628"/>
  <c r="C11629"/>
  <c r="C11630"/>
  <c r="C11631"/>
  <c r="C11632"/>
  <c r="C11633"/>
  <c r="C11634"/>
  <c r="C11635"/>
  <c r="C11636"/>
  <c r="C11637"/>
  <c r="C11638"/>
  <c r="C11639"/>
  <c r="C11640"/>
  <c r="C11641"/>
  <c r="C11642"/>
  <c r="C11643"/>
  <c r="C11644"/>
  <c r="C11645"/>
  <c r="C11646"/>
  <c r="C11647"/>
  <c r="C11648"/>
  <c r="C11649"/>
  <c r="C11650"/>
  <c r="C11651"/>
  <c r="C11652"/>
  <c r="C11653"/>
  <c r="C11654"/>
  <c r="C11655"/>
  <c r="C11656"/>
  <c r="C11657"/>
  <c r="C11658"/>
  <c r="C11659"/>
  <c r="C11660"/>
  <c r="C11661"/>
  <c r="C11662"/>
  <c r="C11663"/>
  <c r="C11664"/>
  <c r="C11665"/>
  <c r="C11666"/>
  <c r="C11667"/>
  <c r="C11668"/>
  <c r="C11669"/>
  <c r="C11670"/>
  <c r="C11671"/>
  <c r="C11672"/>
  <c r="C11673"/>
  <c r="C11674"/>
  <c r="C11675"/>
  <c r="C11676"/>
  <c r="C11677"/>
  <c r="C11678"/>
  <c r="C11679"/>
  <c r="C11680"/>
  <c r="C11681"/>
  <c r="C11682"/>
  <c r="C11683"/>
  <c r="C11684"/>
  <c r="C11685"/>
  <c r="C11686"/>
  <c r="C11687"/>
  <c r="C11688"/>
  <c r="C11689"/>
  <c r="C11690"/>
  <c r="C11691"/>
  <c r="C11692"/>
  <c r="C11693"/>
  <c r="C11694"/>
  <c r="C11695"/>
  <c r="C11696"/>
  <c r="C11697"/>
  <c r="C11698"/>
  <c r="C11699"/>
  <c r="C11700"/>
  <c r="C11701"/>
  <c r="C11702"/>
  <c r="C11703"/>
  <c r="C11704"/>
  <c r="C11705"/>
  <c r="C11706"/>
  <c r="C11707"/>
  <c r="C11708"/>
  <c r="C11709"/>
  <c r="C11710"/>
  <c r="C11711"/>
  <c r="C11712"/>
  <c r="C11713"/>
  <c r="C11714"/>
  <c r="C11715"/>
  <c r="C11716"/>
  <c r="C11717"/>
  <c r="C11718"/>
  <c r="C11719"/>
  <c r="C11720"/>
  <c r="C11721"/>
  <c r="C11722"/>
  <c r="C11723"/>
  <c r="C11724"/>
  <c r="C11725"/>
  <c r="C11726"/>
  <c r="C11727"/>
  <c r="C11728"/>
  <c r="C11729"/>
  <c r="C11730"/>
  <c r="C11731"/>
  <c r="C11732"/>
  <c r="C11733"/>
  <c r="C11734"/>
  <c r="C11735"/>
  <c r="C11736"/>
  <c r="C11737"/>
  <c r="C11738"/>
  <c r="C11739"/>
  <c r="C11740"/>
  <c r="C11741"/>
  <c r="C11742"/>
  <c r="C11743"/>
  <c r="C11744"/>
  <c r="C11745"/>
  <c r="C11746"/>
  <c r="C11747"/>
  <c r="C11748"/>
  <c r="C11749"/>
  <c r="C11750"/>
  <c r="C11751"/>
  <c r="C11752"/>
  <c r="C11753"/>
  <c r="C11754"/>
  <c r="C11755"/>
  <c r="C11756"/>
  <c r="C11757"/>
  <c r="C11758"/>
  <c r="C11759"/>
  <c r="C11760"/>
  <c r="C11761"/>
  <c r="C11762"/>
  <c r="C11763"/>
  <c r="C11764"/>
  <c r="C11765"/>
  <c r="C11766"/>
  <c r="C11767"/>
  <c r="C11768"/>
  <c r="C11769"/>
  <c r="C11770"/>
  <c r="C11771"/>
  <c r="C11772"/>
  <c r="C11773"/>
  <c r="C11774"/>
  <c r="C11775"/>
  <c r="C11776"/>
  <c r="C11777"/>
  <c r="C11778"/>
  <c r="C11779"/>
  <c r="C11780"/>
  <c r="C11781"/>
  <c r="C11782"/>
  <c r="C11783"/>
  <c r="C11784"/>
  <c r="C11785"/>
  <c r="C11786"/>
  <c r="C11787"/>
  <c r="C11788"/>
  <c r="C11789"/>
  <c r="C11790"/>
  <c r="C11791"/>
  <c r="C11792"/>
  <c r="C11793"/>
  <c r="C11794"/>
  <c r="C11795"/>
  <c r="C11796"/>
  <c r="C11797"/>
  <c r="C11798"/>
  <c r="C11799"/>
  <c r="C11800"/>
  <c r="C11801"/>
  <c r="C11802"/>
  <c r="C11803"/>
  <c r="C11804"/>
  <c r="C11805"/>
  <c r="C11806"/>
  <c r="C11807"/>
  <c r="C11808"/>
  <c r="C11809"/>
  <c r="C11810"/>
  <c r="C11811"/>
  <c r="C11812"/>
  <c r="C11813"/>
  <c r="C11814"/>
  <c r="C11815"/>
  <c r="C11816"/>
  <c r="C11817"/>
  <c r="C11818"/>
  <c r="C11819"/>
  <c r="C11820"/>
  <c r="C11821"/>
  <c r="C11822"/>
  <c r="C11823"/>
  <c r="C11824"/>
  <c r="C11825"/>
  <c r="C11826"/>
  <c r="C11827"/>
  <c r="C11828"/>
  <c r="C11829"/>
  <c r="C11830"/>
  <c r="C11831"/>
  <c r="C11832"/>
  <c r="C11833"/>
  <c r="C11834"/>
  <c r="C11835"/>
  <c r="C11836"/>
  <c r="C11837"/>
  <c r="C11838"/>
  <c r="C11839"/>
  <c r="C11840"/>
  <c r="C11841"/>
  <c r="C11842"/>
  <c r="C11843"/>
  <c r="C11844"/>
  <c r="C11845"/>
  <c r="C11846"/>
  <c r="C11847"/>
  <c r="C11848"/>
  <c r="C11849"/>
  <c r="C11850"/>
  <c r="C11851"/>
  <c r="C11852"/>
  <c r="C11853"/>
  <c r="C11854"/>
  <c r="C11855"/>
  <c r="C11856"/>
  <c r="C11857"/>
  <c r="C11858"/>
  <c r="C11859"/>
  <c r="C11860"/>
  <c r="C11861"/>
  <c r="C11862"/>
  <c r="C11863"/>
  <c r="C11864"/>
  <c r="C11865"/>
  <c r="C11866"/>
  <c r="C11867"/>
  <c r="C11868"/>
  <c r="C11869"/>
  <c r="C11870"/>
  <c r="C11871"/>
  <c r="C11872"/>
  <c r="C11873"/>
  <c r="C11874"/>
  <c r="C11875"/>
  <c r="C11876"/>
  <c r="C11877"/>
  <c r="C11878"/>
  <c r="C11879"/>
  <c r="C11880"/>
  <c r="C11881"/>
  <c r="C11882"/>
  <c r="C11883"/>
  <c r="C11884"/>
  <c r="C11885"/>
  <c r="C11886"/>
  <c r="C11887"/>
  <c r="C11888"/>
  <c r="C11889"/>
  <c r="C11890"/>
  <c r="C11891"/>
  <c r="C11892"/>
  <c r="C11893"/>
  <c r="C11894"/>
  <c r="C11895"/>
  <c r="C11896"/>
  <c r="C11897"/>
  <c r="C11898"/>
  <c r="C11899"/>
  <c r="C11900"/>
  <c r="C11901"/>
  <c r="C11902"/>
  <c r="C11903"/>
  <c r="C11904"/>
  <c r="C11905"/>
  <c r="C11906"/>
  <c r="C11907"/>
  <c r="C11908"/>
  <c r="C11909"/>
  <c r="C11910"/>
  <c r="C11911"/>
  <c r="C11912"/>
  <c r="C11913"/>
  <c r="C11914"/>
  <c r="C11915"/>
  <c r="C11916"/>
  <c r="C11917"/>
  <c r="C11918"/>
  <c r="C11919"/>
  <c r="C11920"/>
  <c r="C11921"/>
  <c r="C11922"/>
  <c r="C11923"/>
  <c r="C11924"/>
  <c r="C11925"/>
  <c r="C11926"/>
  <c r="C11927"/>
  <c r="C11928"/>
  <c r="C11929"/>
  <c r="C11930"/>
  <c r="C11931"/>
  <c r="C11932"/>
  <c r="C11933"/>
  <c r="C11934"/>
  <c r="C11935"/>
  <c r="C11936"/>
  <c r="C11937"/>
  <c r="C11938"/>
  <c r="C11939"/>
  <c r="C11940"/>
  <c r="C11941"/>
  <c r="C11942"/>
  <c r="C11943"/>
  <c r="C11944"/>
  <c r="C11945"/>
  <c r="C11946"/>
  <c r="C11947"/>
  <c r="C11948"/>
  <c r="C11949"/>
  <c r="C11950"/>
  <c r="C11951"/>
  <c r="C11952"/>
  <c r="C11953"/>
  <c r="C11954"/>
  <c r="C11955"/>
  <c r="C11956"/>
  <c r="C11957"/>
  <c r="C11958"/>
  <c r="C11959"/>
  <c r="C11960"/>
  <c r="C11961"/>
  <c r="C11962"/>
  <c r="C11963"/>
  <c r="C11964"/>
  <c r="C11965"/>
  <c r="C11966"/>
  <c r="C11967"/>
  <c r="C11968"/>
  <c r="C11969"/>
  <c r="C11970"/>
  <c r="C11971"/>
  <c r="C11972"/>
  <c r="C11973"/>
  <c r="C11974"/>
  <c r="C11975"/>
  <c r="C11976"/>
  <c r="C11977"/>
  <c r="C11978"/>
  <c r="C11979"/>
  <c r="C11980"/>
  <c r="C11981"/>
  <c r="C11982"/>
  <c r="C11983"/>
  <c r="C11984"/>
  <c r="C11985"/>
  <c r="C11986"/>
  <c r="C11987"/>
  <c r="C11988"/>
  <c r="C11989"/>
  <c r="C11990"/>
  <c r="C11991"/>
  <c r="C11992"/>
  <c r="C11993"/>
  <c r="C11994"/>
  <c r="C11995"/>
  <c r="C11996"/>
  <c r="C11997"/>
  <c r="C11998"/>
  <c r="C11999"/>
  <c r="C12000"/>
  <c r="C12001"/>
  <c r="C12002"/>
  <c r="C12003"/>
  <c r="C12004"/>
  <c r="C12005"/>
  <c r="C12006"/>
  <c r="C12007"/>
  <c r="C12008"/>
  <c r="C12009"/>
  <c r="C12010"/>
  <c r="C12011"/>
  <c r="C12012"/>
  <c r="C12013"/>
  <c r="C12014"/>
  <c r="C12015"/>
  <c r="C12016"/>
  <c r="C12017"/>
  <c r="C12018"/>
  <c r="C12019"/>
  <c r="C12020"/>
  <c r="C12021"/>
  <c r="C12022"/>
  <c r="C12023"/>
  <c r="C12024"/>
  <c r="C12025"/>
  <c r="C12026"/>
  <c r="C12027"/>
  <c r="C12028"/>
  <c r="C12029"/>
  <c r="C12030"/>
  <c r="C12031"/>
  <c r="C12032"/>
  <c r="C12033"/>
  <c r="C12034"/>
  <c r="C12035"/>
  <c r="C12036"/>
  <c r="C12037"/>
  <c r="C12038"/>
  <c r="C12039"/>
  <c r="C12040"/>
  <c r="C12041"/>
  <c r="C12042"/>
  <c r="C12043"/>
  <c r="C12044"/>
  <c r="C12045"/>
  <c r="C12046"/>
  <c r="C12047"/>
  <c r="C12048"/>
  <c r="C12049"/>
  <c r="C12050"/>
  <c r="C12051"/>
  <c r="C12052"/>
  <c r="C12053"/>
  <c r="C12054"/>
  <c r="C12055"/>
  <c r="C12056"/>
  <c r="C12057"/>
  <c r="C12058"/>
  <c r="C12059"/>
  <c r="C12060"/>
  <c r="C12061"/>
  <c r="C12062"/>
  <c r="C12063"/>
  <c r="C12064"/>
  <c r="C12065"/>
  <c r="C12066"/>
  <c r="C12067"/>
  <c r="C12068"/>
  <c r="C12069"/>
  <c r="C12070"/>
  <c r="C12071"/>
  <c r="C12072"/>
  <c r="C12073"/>
  <c r="C12074"/>
  <c r="C12075"/>
  <c r="C12076"/>
  <c r="C12077"/>
  <c r="C12078"/>
  <c r="C12079"/>
  <c r="C12080"/>
  <c r="C12081"/>
  <c r="C12082"/>
  <c r="C12083"/>
  <c r="C12084"/>
  <c r="C12085"/>
  <c r="C12086"/>
  <c r="C12087"/>
  <c r="C12088"/>
  <c r="C12089"/>
  <c r="C12090"/>
  <c r="C12091"/>
  <c r="C12092"/>
  <c r="C12093"/>
  <c r="C12094"/>
  <c r="C12095"/>
  <c r="C12096"/>
  <c r="C12097"/>
  <c r="C12098"/>
  <c r="C12099"/>
  <c r="C12100"/>
  <c r="C12101"/>
  <c r="C12102"/>
  <c r="C12103"/>
  <c r="C12104"/>
  <c r="C12105"/>
  <c r="C12106"/>
  <c r="C12107"/>
  <c r="C12108"/>
  <c r="C12109"/>
  <c r="C12110"/>
  <c r="C12111"/>
  <c r="C12112"/>
  <c r="C12113"/>
  <c r="C12114"/>
  <c r="C12115"/>
  <c r="C12116"/>
  <c r="C12117"/>
  <c r="C12118"/>
  <c r="C12119"/>
  <c r="C12120"/>
  <c r="C12121"/>
  <c r="C12122"/>
  <c r="C12123"/>
  <c r="C12124"/>
  <c r="C12125"/>
  <c r="C12126"/>
  <c r="C12127"/>
  <c r="C12128"/>
  <c r="C12129"/>
  <c r="C12130"/>
  <c r="C12131"/>
  <c r="C12132"/>
  <c r="C12133"/>
  <c r="C12134"/>
  <c r="C12135"/>
  <c r="C12136"/>
  <c r="C12137"/>
  <c r="C12138"/>
  <c r="C12139"/>
  <c r="C12140"/>
  <c r="C12141"/>
  <c r="C12142"/>
  <c r="C12143"/>
  <c r="C12144"/>
  <c r="C12145"/>
  <c r="C12146"/>
  <c r="C12147"/>
  <c r="C12148"/>
  <c r="C12149"/>
  <c r="C12150"/>
  <c r="C12151"/>
  <c r="C12152"/>
  <c r="C12153"/>
  <c r="C12154"/>
  <c r="C12155"/>
  <c r="C12156"/>
  <c r="C12157"/>
  <c r="C12158"/>
  <c r="C12159"/>
  <c r="C12160"/>
  <c r="C12161"/>
  <c r="C12162"/>
  <c r="C12163"/>
  <c r="C12164"/>
  <c r="C12165"/>
  <c r="C12166"/>
  <c r="C12167"/>
  <c r="C12168"/>
  <c r="C12169"/>
  <c r="C12170"/>
  <c r="C12171"/>
  <c r="C12172"/>
  <c r="C12173"/>
  <c r="C12174"/>
  <c r="C12175"/>
  <c r="C12176"/>
  <c r="C12177"/>
  <c r="C12178"/>
  <c r="C12179"/>
  <c r="C12180"/>
  <c r="C12181"/>
  <c r="C12182"/>
  <c r="C12183"/>
  <c r="C12184"/>
  <c r="C12185"/>
  <c r="C12186"/>
  <c r="C12187"/>
  <c r="C12188"/>
  <c r="C12189"/>
  <c r="C12190"/>
  <c r="C12191"/>
  <c r="C12192"/>
  <c r="C12193"/>
  <c r="C12194"/>
  <c r="C12195"/>
  <c r="C12196"/>
  <c r="C12197"/>
  <c r="C12198"/>
  <c r="C12199"/>
  <c r="C12200"/>
  <c r="C12201"/>
  <c r="C12202"/>
  <c r="C12203"/>
  <c r="C12204"/>
  <c r="C12205"/>
  <c r="C12206"/>
  <c r="C12207"/>
  <c r="C12208"/>
  <c r="C12209"/>
  <c r="C12210"/>
  <c r="C12211"/>
  <c r="C12212"/>
  <c r="C12213"/>
  <c r="C12214"/>
  <c r="C12215"/>
  <c r="C12216"/>
  <c r="C12217"/>
  <c r="C12218"/>
  <c r="C12219"/>
  <c r="C12220"/>
  <c r="C12221"/>
  <c r="C12222"/>
  <c r="C12223"/>
  <c r="C12224"/>
  <c r="C12225"/>
  <c r="C12226"/>
  <c r="C12227"/>
  <c r="C12228"/>
  <c r="C12229"/>
  <c r="C12230"/>
  <c r="C12231"/>
  <c r="C12232"/>
  <c r="C12233"/>
  <c r="C12234"/>
  <c r="C12235"/>
  <c r="C12236"/>
  <c r="C12237"/>
  <c r="C12238"/>
  <c r="C12239"/>
  <c r="C12240"/>
  <c r="C12241"/>
  <c r="C12242"/>
  <c r="C12243"/>
  <c r="C12244"/>
  <c r="C12245"/>
  <c r="C12246"/>
  <c r="C12247"/>
  <c r="C12248"/>
  <c r="C12249"/>
  <c r="C12250"/>
  <c r="C12251"/>
  <c r="C12252"/>
  <c r="C12253"/>
  <c r="C12254"/>
  <c r="C12255"/>
  <c r="C12256"/>
  <c r="C12257"/>
  <c r="C12258"/>
  <c r="C12259"/>
  <c r="C12260"/>
  <c r="C12261"/>
  <c r="C12262"/>
  <c r="C12263"/>
  <c r="C12264"/>
  <c r="C12265"/>
  <c r="C12266"/>
  <c r="C12267"/>
  <c r="C12268"/>
  <c r="C12269"/>
  <c r="C12270"/>
  <c r="C12271"/>
  <c r="C12272"/>
  <c r="C12273"/>
  <c r="C12274"/>
  <c r="C12275"/>
  <c r="C12276"/>
  <c r="C12277"/>
  <c r="C12278"/>
  <c r="C12279"/>
  <c r="C12280"/>
  <c r="C12281"/>
  <c r="C12282"/>
  <c r="C12283"/>
  <c r="C12284"/>
  <c r="C12285"/>
  <c r="C12286"/>
  <c r="C12287"/>
  <c r="C12288"/>
  <c r="C12289"/>
  <c r="C12290"/>
  <c r="C12291"/>
  <c r="C12292"/>
  <c r="C12293"/>
  <c r="C12294"/>
  <c r="C12295"/>
  <c r="C12296"/>
  <c r="C12297"/>
  <c r="C12298"/>
  <c r="C12299"/>
  <c r="C12300"/>
  <c r="C12301"/>
  <c r="C12302"/>
  <c r="C12303"/>
  <c r="C12304"/>
  <c r="C12305"/>
  <c r="C12306"/>
  <c r="C12307"/>
  <c r="C12308"/>
  <c r="C12309"/>
  <c r="C12310"/>
  <c r="C12311"/>
  <c r="C12312"/>
  <c r="C12313"/>
  <c r="C12314"/>
  <c r="C12315"/>
  <c r="C12316"/>
  <c r="C12317"/>
  <c r="C12318"/>
  <c r="C12319"/>
  <c r="C12320"/>
  <c r="C12321"/>
  <c r="C12322"/>
  <c r="C12323"/>
  <c r="C12324"/>
  <c r="C12325"/>
  <c r="C12326"/>
  <c r="C12327"/>
  <c r="C12328"/>
  <c r="C12329"/>
  <c r="C12330"/>
  <c r="C12331"/>
  <c r="C12332"/>
  <c r="C12333"/>
  <c r="C12334"/>
  <c r="C12335"/>
  <c r="C12336"/>
  <c r="C12337"/>
  <c r="C12338"/>
  <c r="C12339"/>
  <c r="C12340"/>
  <c r="C12341"/>
  <c r="C12342"/>
  <c r="C12343"/>
  <c r="C12344"/>
  <c r="C12345"/>
  <c r="C12346"/>
  <c r="C12347"/>
  <c r="C12348"/>
  <c r="C12349"/>
  <c r="C12350"/>
  <c r="C12351"/>
  <c r="C12352"/>
  <c r="C12353"/>
  <c r="C12354"/>
  <c r="C12355"/>
  <c r="C12356"/>
  <c r="C12357"/>
  <c r="C12358"/>
  <c r="C12359"/>
  <c r="C12360"/>
  <c r="C12361"/>
  <c r="C12362"/>
  <c r="C12363"/>
  <c r="C12364"/>
  <c r="C12365"/>
  <c r="C12366"/>
  <c r="C12367"/>
  <c r="C12368"/>
  <c r="C12369"/>
  <c r="C12370"/>
  <c r="C12371"/>
  <c r="C12372"/>
  <c r="C12373"/>
  <c r="C12374"/>
  <c r="C12375"/>
  <c r="C12376"/>
  <c r="C12377"/>
  <c r="C12378"/>
  <c r="C12379"/>
  <c r="C12380"/>
  <c r="C12381"/>
  <c r="C12382"/>
  <c r="C12383"/>
  <c r="C12384"/>
  <c r="C12385"/>
  <c r="C12386"/>
  <c r="C12387"/>
  <c r="C12388"/>
  <c r="C12389"/>
  <c r="C12390"/>
  <c r="C12391"/>
  <c r="C12392"/>
  <c r="C12393"/>
  <c r="C12394"/>
  <c r="C12395"/>
  <c r="C12396"/>
  <c r="C12397"/>
  <c r="C12398"/>
  <c r="C12399"/>
  <c r="C12400"/>
  <c r="C12401"/>
  <c r="C12402"/>
  <c r="C12403"/>
  <c r="C12404"/>
  <c r="C12405"/>
  <c r="C12406"/>
  <c r="C12407"/>
  <c r="C12408"/>
  <c r="C12409"/>
  <c r="C12410"/>
  <c r="C12411"/>
  <c r="C12412"/>
  <c r="C12413"/>
  <c r="C12414"/>
  <c r="C12415"/>
  <c r="C12416"/>
  <c r="C12417"/>
  <c r="C12418"/>
  <c r="C12419"/>
  <c r="C12420"/>
  <c r="C12421"/>
  <c r="C12422"/>
  <c r="C12423"/>
  <c r="C12424"/>
  <c r="C12425"/>
  <c r="C12426"/>
  <c r="C12427"/>
  <c r="C12428"/>
  <c r="C12429"/>
  <c r="C12430"/>
  <c r="C12431"/>
  <c r="C12432"/>
  <c r="C12433"/>
  <c r="C12434"/>
  <c r="C12435"/>
  <c r="C12436"/>
  <c r="C12437"/>
  <c r="C12438"/>
  <c r="C12439"/>
  <c r="C12440"/>
  <c r="C12441"/>
  <c r="C12442"/>
  <c r="C12443"/>
  <c r="C12444"/>
  <c r="C12445"/>
  <c r="C12446"/>
  <c r="C12447"/>
  <c r="C12448"/>
  <c r="C12449"/>
  <c r="C12450"/>
  <c r="C12451"/>
  <c r="C12452"/>
  <c r="C12453"/>
  <c r="C12454"/>
  <c r="C12455"/>
  <c r="C12456"/>
  <c r="C12457"/>
  <c r="C12458"/>
  <c r="C12459"/>
  <c r="C12460"/>
  <c r="C12461"/>
  <c r="C12462"/>
  <c r="C12463"/>
  <c r="C12464"/>
  <c r="C12465"/>
  <c r="C12466"/>
  <c r="C12467"/>
  <c r="C12468"/>
  <c r="C12469"/>
  <c r="C12470"/>
  <c r="C12471"/>
  <c r="C12472"/>
  <c r="C12473"/>
  <c r="C12474"/>
  <c r="C12475"/>
  <c r="C12476"/>
  <c r="C12477"/>
  <c r="C12478"/>
  <c r="C12479"/>
  <c r="C12480"/>
  <c r="C12481"/>
  <c r="C12482"/>
  <c r="C12483"/>
  <c r="C12484"/>
  <c r="C12485"/>
  <c r="C12486"/>
  <c r="C12487"/>
  <c r="C12488"/>
  <c r="C12489"/>
  <c r="C12490"/>
  <c r="C12491"/>
  <c r="C12492"/>
  <c r="C12493"/>
  <c r="C12494"/>
  <c r="C12495"/>
  <c r="C12496"/>
  <c r="C12497"/>
  <c r="C12498"/>
  <c r="C12499"/>
  <c r="C12500"/>
  <c r="C12501"/>
  <c r="C12502"/>
  <c r="C12503"/>
  <c r="C12504"/>
  <c r="C12505"/>
  <c r="C12506"/>
  <c r="C12507"/>
  <c r="C12508"/>
  <c r="C12509"/>
  <c r="C12510"/>
  <c r="C12511"/>
  <c r="C12512"/>
  <c r="C12513"/>
  <c r="C12514"/>
  <c r="C12515"/>
  <c r="C12516"/>
  <c r="C12517"/>
  <c r="C12518"/>
  <c r="C12519"/>
  <c r="C12520"/>
  <c r="C12521"/>
  <c r="C12522"/>
  <c r="C12523"/>
  <c r="C12524"/>
  <c r="C12525"/>
  <c r="C12526"/>
  <c r="C12527"/>
  <c r="C12528"/>
  <c r="C12529"/>
  <c r="C12530"/>
  <c r="C12531"/>
  <c r="C12532"/>
  <c r="C12533"/>
  <c r="C12534"/>
  <c r="C12535"/>
  <c r="C12536"/>
  <c r="C12537"/>
  <c r="C12538"/>
  <c r="C12539"/>
  <c r="C12540"/>
  <c r="C12541"/>
  <c r="C12542"/>
  <c r="C12543"/>
  <c r="C12544"/>
  <c r="C12545"/>
  <c r="C12546"/>
  <c r="C12547"/>
  <c r="C12548"/>
  <c r="C12549"/>
  <c r="C12550"/>
  <c r="C12551"/>
  <c r="C12552"/>
  <c r="C12553"/>
  <c r="C12554"/>
  <c r="C12555"/>
  <c r="C12556"/>
  <c r="C12557"/>
  <c r="C12558"/>
  <c r="C12559"/>
  <c r="C12560"/>
  <c r="C12561"/>
  <c r="C12562"/>
  <c r="C12563"/>
  <c r="C12564"/>
  <c r="C12565"/>
  <c r="C12566"/>
  <c r="C12567"/>
  <c r="C12568"/>
  <c r="C12569"/>
  <c r="C12570"/>
  <c r="C12571"/>
  <c r="C12572"/>
  <c r="C12573"/>
  <c r="C12574"/>
  <c r="C12575"/>
  <c r="C12576"/>
  <c r="C12577"/>
  <c r="C12578"/>
  <c r="C12579"/>
  <c r="C12580"/>
  <c r="C12581"/>
  <c r="C12582"/>
  <c r="C12583"/>
  <c r="C12584"/>
  <c r="C12585"/>
  <c r="C12586"/>
  <c r="C12587"/>
  <c r="C12588"/>
  <c r="C12589"/>
  <c r="C12590"/>
  <c r="C12591"/>
  <c r="C12592"/>
  <c r="C12593"/>
  <c r="C12594"/>
  <c r="C12595"/>
  <c r="C12596"/>
  <c r="C12597"/>
  <c r="C12598"/>
  <c r="C12599"/>
  <c r="C12600"/>
  <c r="C12601"/>
  <c r="C12602"/>
  <c r="C12603"/>
  <c r="C12604"/>
  <c r="C12605"/>
  <c r="C12606"/>
  <c r="C12607"/>
  <c r="C12608"/>
  <c r="C12609"/>
  <c r="C12610"/>
  <c r="C12611"/>
  <c r="C12612"/>
  <c r="C12613"/>
  <c r="C12614"/>
  <c r="C12615"/>
  <c r="C12616"/>
  <c r="C12617"/>
  <c r="C12618"/>
  <c r="C12619"/>
  <c r="C12620"/>
  <c r="C12621"/>
  <c r="C12622"/>
  <c r="C12623"/>
  <c r="C12624"/>
  <c r="C12625"/>
  <c r="C12626"/>
  <c r="C12627"/>
  <c r="C12628"/>
  <c r="C12629"/>
  <c r="C12630"/>
  <c r="C12631"/>
  <c r="C12632"/>
  <c r="C12633"/>
  <c r="C12634"/>
  <c r="C12635"/>
  <c r="C12636"/>
  <c r="C12637"/>
  <c r="C12638"/>
  <c r="C12639"/>
  <c r="C12640"/>
  <c r="C12641"/>
  <c r="C12642"/>
  <c r="C12643"/>
  <c r="C12644"/>
  <c r="C12645"/>
  <c r="C12646"/>
  <c r="C12647"/>
  <c r="C12648"/>
  <c r="C12649"/>
  <c r="C12650"/>
  <c r="C12651"/>
  <c r="C12652"/>
  <c r="C12653"/>
  <c r="C12654"/>
  <c r="C12655"/>
  <c r="C12656"/>
  <c r="C12657"/>
  <c r="C12658"/>
  <c r="C12659"/>
  <c r="C12660"/>
  <c r="C12661"/>
  <c r="C12662"/>
  <c r="C12663"/>
  <c r="C12664"/>
  <c r="C12665"/>
  <c r="C12666"/>
  <c r="C12667"/>
  <c r="C12668"/>
  <c r="C12669"/>
  <c r="C12670"/>
  <c r="C12671"/>
  <c r="C12672"/>
  <c r="C12673"/>
  <c r="C12674"/>
  <c r="C12675"/>
  <c r="C12676"/>
  <c r="C12677"/>
  <c r="C12678"/>
  <c r="C12679"/>
  <c r="C12680"/>
  <c r="C12681"/>
  <c r="C12682"/>
  <c r="C12683"/>
  <c r="C12684"/>
  <c r="C12685"/>
  <c r="C12686"/>
  <c r="C12687"/>
  <c r="C12688"/>
  <c r="C12689"/>
  <c r="C12690"/>
  <c r="C12691"/>
  <c r="C12692"/>
  <c r="C12693"/>
  <c r="C12694"/>
  <c r="C12695"/>
  <c r="C12696"/>
  <c r="C12697"/>
  <c r="C12698"/>
  <c r="C12699"/>
  <c r="C12700"/>
  <c r="C12701"/>
  <c r="C12702"/>
  <c r="C12703"/>
  <c r="C12704"/>
  <c r="C12705"/>
  <c r="C12706"/>
  <c r="C12707"/>
  <c r="C12708"/>
  <c r="C12709"/>
  <c r="C12710"/>
  <c r="C12711"/>
  <c r="C12712"/>
  <c r="C12713"/>
  <c r="C12714"/>
  <c r="C12715"/>
  <c r="C12716"/>
  <c r="C12717"/>
  <c r="C12718"/>
  <c r="C12719"/>
  <c r="C12720"/>
  <c r="C12721"/>
  <c r="C12722"/>
  <c r="C12723"/>
  <c r="C12724"/>
  <c r="C12725"/>
  <c r="C12726"/>
  <c r="C12727"/>
  <c r="C12728"/>
  <c r="C12729"/>
  <c r="C12730"/>
  <c r="C12731"/>
  <c r="C12732"/>
  <c r="C12733"/>
  <c r="C12734"/>
  <c r="C12735"/>
  <c r="C12736"/>
  <c r="C12737"/>
  <c r="C12738"/>
  <c r="C12739"/>
  <c r="C12740"/>
  <c r="C12741"/>
  <c r="C12742"/>
  <c r="C12743"/>
  <c r="C12744"/>
  <c r="C12745"/>
  <c r="C12746"/>
  <c r="C12747"/>
  <c r="C12748"/>
  <c r="C12749"/>
  <c r="C12750"/>
  <c r="C12751"/>
  <c r="C12752"/>
  <c r="C12753"/>
  <c r="C12754"/>
  <c r="C12755"/>
  <c r="C12756"/>
  <c r="C12757"/>
  <c r="C12758"/>
  <c r="C12759"/>
  <c r="C12760"/>
  <c r="C12761"/>
  <c r="C12762"/>
  <c r="C12763"/>
  <c r="C12764"/>
  <c r="C12765"/>
  <c r="C12766"/>
  <c r="C12767"/>
  <c r="C12768"/>
  <c r="C12769"/>
  <c r="C12770"/>
  <c r="C12771"/>
  <c r="C12772"/>
  <c r="C12773"/>
  <c r="C12774"/>
  <c r="C12775"/>
  <c r="C12776"/>
  <c r="C12777"/>
  <c r="C12778"/>
  <c r="C12779"/>
  <c r="C12780"/>
  <c r="C12781"/>
  <c r="C12782"/>
  <c r="C12783"/>
  <c r="C12784"/>
  <c r="C12785"/>
  <c r="C12786"/>
  <c r="C12787"/>
  <c r="C12788"/>
  <c r="C12789"/>
  <c r="C12790"/>
  <c r="C12791"/>
  <c r="C12792"/>
  <c r="C12793"/>
  <c r="C12794"/>
  <c r="C12795"/>
  <c r="C12796"/>
  <c r="C12797"/>
  <c r="C12798"/>
  <c r="C12799"/>
  <c r="C12800"/>
  <c r="C12801"/>
  <c r="C12802"/>
  <c r="C12803"/>
  <c r="C12804"/>
  <c r="C12805"/>
  <c r="C12806"/>
  <c r="C12807"/>
  <c r="C12808"/>
  <c r="C12809"/>
  <c r="C12810"/>
  <c r="C12811"/>
  <c r="C12812"/>
  <c r="C12813"/>
  <c r="C12814"/>
  <c r="C12815"/>
  <c r="C12816"/>
  <c r="C12817"/>
  <c r="C12818"/>
  <c r="C12819"/>
  <c r="C12820"/>
  <c r="C12821"/>
  <c r="C12822"/>
  <c r="C12823"/>
  <c r="C12824"/>
  <c r="C12825"/>
  <c r="C12826"/>
  <c r="C12827"/>
  <c r="C12828"/>
  <c r="C12829"/>
  <c r="C12830"/>
  <c r="C12831"/>
  <c r="C12832"/>
  <c r="C12833"/>
  <c r="C12834"/>
  <c r="C12835"/>
  <c r="C12836"/>
  <c r="C12837"/>
  <c r="C12838"/>
  <c r="C12839"/>
  <c r="C12840"/>
  <c r="C12841"/>
  <c r="C12842"/>
  <c r="C12843"/>
  <c r="C12844"/>
  <c r="C12845"/>
  <c r="C12846"/>
  <c r="C12847"/>
  <c r="C12848"/>
  <c r="C12849"/>
  <c r="C12850"/>
  <c r="C12851"/>
  <c r="C12852"/>
  <c r="C12853"/>
  <c r="C12854"/>
  <c r="C12855"/>
  <c r="C12856"/>
  <c r="C12857"/>
  <c r="C12858"/>
  <c r="C12859"/>
  <c r="C12860"/>
  <c r="C12861"/>
  <c r="C12862"/>
  <c r="C12863"/>
  <c r="C12864"/>
  <c r="C12865"/>
  <c r="C12866"/>
  <c r="C12867"/>
  <c r="C12868"/>
  <c r="C12869"/>
  <c r="C12870"/>
  <c r="C12871"/>
  <c r="C12872"/>
  <c r="C12873"/>
  <c r="C12874"/>
  <c r="C12875"/>
  <c r="C12876"/>
  <c r="C12877"/>
  <c r="C12878"/>
  <c r="C12879"/>
  <c r="C12880"/>
  <c r="C12881"/>
  <c r="C12882"/>
  <c r="C12883"/>
  <c r="C12884"/>
  <c r="C12885"/>
  <c r="C12886"/>
  <c r="C12887"/>
  <c r="C12888"/>
  <c r="C12889"/>
  <c r="C12890"/>
  <c r="C12891"/>
  <c r="C12892"/>
  <c r="C12893"/>
  <c r="C12894"/>
  <c r="C12895"/>
  <c r="C12896"/>
  <c r="C12897"/>
  <c r="C12898"/>
  <c r="C12899"/>
  <c r="C12900"/>
  <c r="C12901"/>
  <c r="C12902"/>
  <c r="C12903"/>
  <c r="C12904"/>
  <c r="C12905"/>
  <c r="C12906"/>
  <c r="C12907"/>
  <c r="C12908"/>
  <c r="C12909"/>
  <c r="C12910"/>
  <c r="C12911"/>
  <c r="C12912"/>
  <c r="C12913"/>
  <c r="C12914"/>
  <c r="C12915"/>
  <c r="C12916"/>
  <c r="C12917"/>
  <c r="C12918"/>
  <c r="C12919"/>
  <c r="C12920"/>
  <c r="C12921"/>
  <c r="C12922"/>
  <c r="C12923"/>
  <c r="C12924"/>
  <c r="C12925"/>
  <c r="C12926"/>
  <c r="C12927"/>
  <c r="C12928"/>
  <c r="C12929"/>
  <c r="C12930"/>
  <c r="C12931"/>
  <c r="C12932"/>
  <c r="C12933"/>
  <c r="C12934"/>
  <c r="C12935"/>
  <c r="C12936"/>
  <c r="C12937"/>
  <c r="C12938"/>
  <c r="C12939"/>
  <c r="C12940"/>
  <c r="C12941"/>
  <c r="C12942"/>
  <c r="C12943"/>
  <c r="C12944"/>
  <c r="C12945"/>
  <c r="C12946"/>
  <c r="C12947"/>
  <c r="C12948"/>
  <c r="C12949"/>
  <c r="C12950"/>
  <c r="C12951"/>
  <c r="C12952"/>
  <c r="C12953"/>
  <c r="C12954"/>
  <c r="C12955"/>
  <c r="C12956"/>
  <c r="C12957"/>
  <c r="C12958"/>
  <c r="C12959"/>
  <c r="C12960"/>
  <c r="C12961"/>
  <c r="C12962"/>
  <c r="C12963"/>
  <c r="C12964"/>
  <c r="C12965"/>
  <c r="C12966"/>
  <c r="C12967"/>
  <c r="C12968"/>
  <c r="C12969"/>
  <c r="C12970"/>
  <c r="C12971"/>
  <c r="C12972"/>
  <c r="C12973"/>
  <c r="C12974"/>
  <c r="C12975"/>
  <c r="C12976"/>
  <c r="C12977"/>
  <c r="C12978"/>
  <c r="C12979"/>
  <c r="C12980"/>
  <c r="C12981"/>
  <c r="C12982"/>
  <c r="C12983"/>
  <c r="C12984"/>
  <c r="C12985"/>
  <c r="C12986"/>
  <c r="C12987"/>
  <c r="C12988"/>
  <c r="C12989"/>
  <c r="C12990"/>
  <c r="C12991"/>
  <c r="C12992"/>
  <c r="C12993"/>
  <c r="C12994"/>
  <c r="C12995"/>
  <c r="C12996"/>
  <c r="C12997"/>
  <c r="C12998"/>
  <c r="C12999"/>
  <c r="C13000"/>
  <c r="C13001"/>
  <c r="C13002"/>
  <c r="C13003"/>
  <c r="C13004"/>
  <c r="C13005"/>
  <c r="C13006"/>
  <c r="C13007"/>
  <c r="C13008"/>
  <c r="C13009"/>
  <c r="C13010"/>
  <c r="C13011"/>
  <c r="C13012"/>
  <c r="C13013"/>
  <c r="C13014"/>
  <c r="C13015"/>
  <c r="C13016"/>
  <c r="C13017"/>
  <c r="C13018"/>
  <c r="C13019"/>
  <c r="C13020"/>
  <c r="C13021"/>
  <c r="C13022"/>
  <c r="C13023"/>
  <c r="C13024"/>
  <c r="C13025"/>
  <c r="C13026"/>
  <c r="C13027"/>
  <c r="C13028"/>
  <c r="C13029"/>
  <c r="C13030"/>
  <c r="C13031"/>
  <c r="C13032"/>
  <c r="C13033"/>
  <c r="C13034"/>
  <c r="C13035"/>
  <c r="C13036"/>
  <c r="C13037"/>
  <c r="C13038"/>
  <c r="C13039"/>
  <c r="C13040"/>
  <c r="C13041"/>
  <c r="C13042"/>
  <c r="C13043"/>
  <c r="C13044"/>
  <c r="C13045"/>
  <c r="C13046"/>
  <c r="C13047"/>
  <c r="C13048"/>
  <c r="C13049"/>
  <c r="C13050"/>
  <c r="C13051"/>
  <c r="C13052"/>
  <c r="C13053"/>
  <c r="C13054"/>
  <c r="C13055"/>
  <c r="C13056"/>
  <c r="C13057"/>
  <c r="C13058"/>
  <c r="C13059"/>
  <c r="C13060"/>
  <c r="C13061"/>
  <c r="C13062"/>
  <c r="C13063"/>
  <c r="C13064"/>
  <c r="C13065"/>
  <c r="C13066"/>
  <c r="C13067"/>
  <c r="C13068"/>
  <c r="C13069"/>
  <c r="C13070"/>
  <c r="C13071"/>
  <c r="C13072"/>
  <c r="C13073"/>
  <c r="C13074"/>
  <c r="C13075"/>
  <c r="C13076"/>
  <c r="C13077"/>
  <c r="C13078"/>
  <c r="C13079"/>
  <c r="C13080"/>
  <c r="C13081"/>
  <c r="C13082"/>
  <c r="C13083"/>
  <c r="C13084"/>
  <c r="C13085"/>
  <c r="C13086"/>
  <c r="C13087"/>
  <c r="C13088"/>
  <c r="C13089"/>
  <c r="C13090"/>
  <c r="C13091"/>
  <c r="C13092"/>
  <c r="C13093"/>
  <c r="C13094"/>
  <c r="C13095"/>
  <c r="C13096"/>
  <c r="C13097"/>
  <c r="C13098"/>
  <c r="C13099"/>
  <c r="C13100"/>
  <c r="C13101"/>
  <c r="C13102"/>
  <c r="C13103"/>
  <c r="C13104"/>
  <c r="C13105"/>
  <c r="C13106"/>
  <c r="C13107"/>
  <c r="C13108"/>
  <c r="C13109"/>
  <c r="C13110"/>
  <c r="C13111"/>
  <c r="C13112"/>
  <c r="C13113"/>
  <c r="C13114"/>
  <c r="C13115"/>
  <c r="C13116"/>
  <c r="C13117"/>
  <c r="C13118"/>
  <c r="C13119"/>
  <c r="C13120"/>
  <c r="C13121"/>
  <c r="C13122"/>
  <c r="C13123"/>
  <c r="C13124"/>
  <c r="C13125"/>
  <c r="C13126"/>
  <c r="C13127"/>
  <c r="C13128"/>
  <c r="C13129"/>
  <c r="C13130"/>
  <c r="C13131"/>
  <c r="C13132"/>
  <c r="C13133"/>
  <c r="C13134"/>
  <c r="C13135"/>
  <c r="C13136"/>
  <c r="C13137"/>
  <c r="C13138"/>
  <c r="C13139"/>
  <c r="C13140"/>
  <c r="C13141"/>
  <c r="C13142"/>
  <c r="C13143"/>
  <c r="C13144"/>
  <c r="C13145"/>
  <c r="C13146"/>
  <c r="C13147"/>
  <c r="C13148"/>
  <c r="C13149"/>
  <c r="C13150"/>
  <c r="C13151"/>
  <c r="C13152"/>
  <c r="C13153"/>
  <c r="C13154"/>
  <c r="C13155"/>
  <c r="C13156"/>
  <c r="C13157"/>
  <c r="C13158"/>
  <c r="C13159"/>
  <c r="C13160"/>
  <c r="C13161"/>
  <c r="C13162"/>
  <c r="C13163"/>
  <c r="C13164"/>
  <c r="C13165"/>
  <c r="C13166"/>
  <c r="C13167"/>
  <c r="C13168"/>
  <c r="C13169"/>
  <c r="C13170"/>
  <c r="C13171"/>
  <c r="C13172"/>
  <c r="C13173"/>
  <c r="C13174"/>
  <c r="C13175"/>
  <c r="C13176"/>
  <c r="C13177"/>
  <c r="C13178"/>
  <c r="C13179"/>
  <c r="C13180"/>
  <c r="C13181"/>
  <c r="C13182"/>
  <c r="C13183"/>
  <c r="C13184"/>
  <c r="C13185"/>
  <c r="C13186"/>
  <c r="C13187"/>
  <c r="C13188"/>
  <c r="C13189"/>
  <c r="C13190"/>
  <c r="C13191"/>
  <c r="C13192"/>
  <c r="C13193"/>
  <c r="C13194"/>
  <c r="C13195"/>
  <c r="C13196"/>
  <c r="C13197"/>
  <c r="C13198"/>
  <c r="C13199"/>
  <c r="C13200"/>
  <c r="C13201"/>
  <c r="C13202"/>
  <c r="C13203"/>
  <c r="C13204"/>
  <c r="C13205"/>
  <c r="C13206"/>
  <c r="C13207"/>
  <c r="C13208"/>
  <c r="C13209"/>
  <c r="C13210"/>
  <c r="C13211"/>
  <c r="C13212"/>
  <c r="C13213"/>
  <c r="C13214"/>
  <c r="C13215"/>
  <c r="C13216"/>
  <c r="C13217"/>
  <c r="C13218"/>
  <c r="C13219"/>
  <c r="C13220"/>
  <c r="C13221"/>
  <c r="C13222"/>
  <c r="C13223"/>
  <c r="C13224"/>
  <c r="C13225"/>
  <c r="C13226"/>
  <c r="C13227"/>
  <c r="C13228"/>
  <c r="C13229"/>
  <c r="C13230"/>
  <c r="C13231"/>
  <c r="C13232"/>
  <c r="C13233"/>
  <c r="C13234"/>
  <c r="C13235"/>
  <c r="C13236"/>
  <c r="C13237"/>
  <c r="C13238"/>
  <c r="C13239"/>
  <c r="C13240"/>
  <c r="C13241"/>
  <c r="C13242"/>
  <c r="C13243"/>
  <c r="C13244"/>
  <c r="C13245"/>
  <c r="C13246"/>
  <c r="C13247"/>
  <c r="C13248"/>
  <c r="C13249"/>
  <c r="C13250"/>
  <c r="C13251"/>
  <c r="C13252"/>
  <c r="C13253"/>
  <c r="C13254"/>
  <c r="C13255"/>
  <c r="C13256"/>
  <c r="C13257"/>
  <c r="C13258"/>
  <c r="C13259"/>
  <c r="C13260"/>
  <c r="C13261"/>
  <c r="C13262"/>
  <c r="C13263"/>
  <c r="C13264"/>
  <c r="C13265"/>
  <c r="C13266"/>
  <c r="C13267"/>
  <c r="C13268"/>
  <c r="C13269"/>
  <c r="C13270"/>
  <c r="C13271"/>
  <c r="C13272"/>
  <c r="C13273"/>
  <c r="C13274"/>
  <c r="C13275"/>
  <c r="C13276"/>
  <c r="C13277"/>
  <c r="C13278"/>
  <c r="C13279"/>
  <c r="C13280"/>
  <c r="C13281"/>
  <c r="C13282"/>
  <c r="C13283"/>
  <c r="C13284"/>
  <c r="C13285"/>
  <c r="C13286"/>
  <c r="C13287"/>
  <c r="C13288"/>
  <c r="C13289"/>
  <c r="C13290"/>
  <c r="C13291"/>
  <c r="C13292"/>
  <c r="C13293"/>
  <c r="C13294"/>
  <c r="C13295"/>
  <c r="C13296"/>
  <c r="C13297"/>
  <c r="C13298"/>
  <c r="C13299"/>
  <c r="C13300"/>
  <c r="C13301"/>
  <c r="C13302"/>
  <c r="C13303"/>
  <c r="C13304"/>
  <c r="C13305"/>
  <c r="C13306"/>
  <c r="C13307"/>
  <c r="C13308"/>
  <c r="C13309"/>
  <c r="C13310"/>
  <c r="C13311"/>
  <c r="C13312"/>
  <c r="C13313"/>
  <c r="C13314"/>
  <c r="C13315"/>
  <c r="C13316"/>
  <c r="C13317"/>
  <c r="C13318"/>
  <c r="C13319"/>
  <c r="C13320"/>
  <c r="C13321"/>
  <c r="C13322"/>
  <c r="C13323"/>
  <c r="C13324"/>
  <c r="C13325"/>
  <c r="C13326"/>
  <c r="C13327"/>
  <c r="C13328"/>
  <c r="C13329"/>
  <c r="C13330"/>
  <c r="C13331"/>
  <c r="C13332"/>
  <c r="C13333"/>
  <c r="C13334"/>
  <c r="C13335"/>
  <c r="C13336"/>
  <c r="C13337"/>
  <c r="C13338"/>
  <c r="C13339"/>
  <c r="C13340"/>
  <c r="C13341"/>
  <c r="C13342"/>
  <c r="C13343"/>
  <c r="C13344"/>
  <c r="C13345"/>
  <c r="C13346"/>
  <c r="C13347"/>
  <c r="C13348"/>
  <c r="C13349"/>
  <c r="C13350"/>
  <c r="C13351"/>
  <c r="C13352"/>
  <c r="C13353"/>
  <c r="C13354"/>
  <c r="C13355"/>
  <c r="C13356"/>
  <c r="C13357"/>
  <c r="C13358"/>
  <c r="C13359"/>
  <c r="C13360"/>
  <c r="C13361"/>
  <c r="C13362"/>
  <c r="C13363"/>
  <c r="C13364"/>
  <c r="C13365"/>
  <c r="C13366"/>
  <c r="C13367"/>
  <c r="C13368"/>
  <c r="C13369"/>
  <c r="C13370"/>
  <c r="C13371"/>
  <c r="C13372"/>
  <c r="C13373"/>
  <c r="C13374"/>
  <c r="C13375"/>
  <c r="C13376"/>
  <c r="C13377"/>
  <c r="C13378"/>
  <c r="C13379"/>
  <c r="C13380"/>
  <c r="C13381"/>
  <c r="C13382"/>
  <c r="C13383"/>
  <c r="C13384"/>
  <c r="C13385"/>
  <c r="C13386"/>
  <c r="C13387"/>
  <c r="C13388"/>
  <c r="C13389"/>
  <c r="C13390"/>
  <c r="C13391"/>
  <c r="C13392"/>
  <c r="C13393"/>
  <c r="C13394"/>
  <c r="C13395"/>
  <c r="C13396"/>
  <c r="C13397"/>
  <c r="C13398"/>
  <c r="C13399"/>
  <c r="C13400"/>
  <c r="C13401"/>
  <c r="C13402"/>
  <c r="C13403"/>
  <c r="C13404"/>
  <c r="C13405"/>
  <c r="C13406"/>
  <c r="C13407"/>
  <c r="C13408"/>
  <c r="C13409"/>
  <c r="C13410"/>
  <c r="C13411"/>
  <c r="C13412"/>
  <c r="C13413"/>
  <c r="C13414"/>
  <c r="C13415"/>
  <c r="C13416"/>
  <c r="C13417"/>
  <c r="C13418"/>
  <c r="C13419"/>
  <c r="C13420"/>
  <c r="C13421"/>
  <c r="C13422"/>
  <c r="C13423"/>
  <c r="C13424"/>
  <c r="C13425"/>
  <c r="C13426"/>
  <c r="C13427"/>
  <c r="C13428"/>
  <c r="C13429"/>
  <c r="C13430"/>
  <c r="C13431"/>
  <c r="C13432"/>
  <c r="C13433"/>
  <c r="C13434"/>
  <c r="C13435"/>
  <c r="C13436"/>
  <c r="C13437"/>
  <c r="C13438"/>
  <c r="C13439"/>
  <c r="C13440"/>
  <c r="C13441"/>
  <c r="C13442"/>
  <c r="C13443"/>
  <c r="C13444"/>
  <c r="C13445"/>
  <c r="C13446"/>
  <c r="C13447"/>
  <c r="C13448"/>
  <c r="C13449"/>
  <c r="C13450"/>
  <c r="C13451"/>
  <c r="C13452"/>
  <c r="C13453"/>
  <c r="C13454"/>
  <c r="C13455"/>
  <c r="C13456"/>
  <c r="C13457"/>
  <c r="C13458"/>
  <c r="C13459"/>
  <c r="C13460"/>
  <c r="C13461"/>
  <c r="C13462"/>
  <c r="C13463"/>
  <c r="C13464"/>
  <c r="C13465"/>
  <c r="C13466"/>
  <c r="C13467"/>
  <c r="C13468"/>
  <c r="C13469"/>
  <c r="C13470"/>
  <c r="C13471"/>
  <c r="C13472"/>
  <c r="C13473"/>
  <c r="C13474"/>
  <c r="C13475"/>
  <c r="C13476"/>
  <c r="C13477"/>
  <c r="C13478"/>
  <c r="C13479"/>
  <c r="C13480"/>
  <c r="C13481"/>
  <c r="C13482"/>
  <c r="C13483"/>
  <c r="C13484"/>
  <c r="C13485"/>
  <c r="C13486"/>
  <c r="C13487"/>
  <c r="C13488"/>
  <c r="C13489"/>
  <c r="C13490"/>
  <c r="C13491"/>
  <c r="C13492"/>
  <c r="C13493"/>
  <c r="C13494"/>
  <c r="C13495"/>
  <c r="C13496"/>
  <c r="C13497"/>
  <c r="C13498"/>
  <c r="C13499"/>
  <c r="C13500"/>
  <c r="C13501"/>
  <c r="C13502"/>
  <c r="C13503"/>
  <c r="C13504"/>
  <c r="C13505"/>
  <c r="C13506"/>
  <c r="C13507"/>
  <c r="C13508"/>
  <c r="C13509"/>
  <c r="C13510"/>
  <c r="C13511"/>
  <c r="C13512"/>
  <c r="C13513"/>
  <c r="C13514"/>
  <c r="C13515"/>
  <c r="C13516"/>
  <c r="C13517"/>
  <c r="C13518"/>
  <c r="C13519"/>
  <c r="C13520"/>
  <c r="C13521"/>
  <c r="C13522"/>
  <c r="C13523"/>
  <c r="C13524"/>
  <c r="C13525"/>
  <c r="C13526"/>
  <c r="C13527"/>
  <c r="C13528"/>
  <c r="C13529"/>
  <c r="C13530"/>
  <c r="C13531"/>
  <c r="C13532"/>
  <c r="C13533"/>
  <c r="C13534"/>
  <c r="C13535"/>
  <c r="C13536"/>
  <c r="C13537"/>
  <c r="C13538"/>
  <c r="C13539"/>
  <c r="C13540"/>
  <c r="C13541"/>
  <c r="C13542"/>
  <c r="C13543"/>
  <c r="C13544"/>
  <c r="C13545"/>
  <c r="C13546"/>
  <c r="C13547"/>
  <c r="C13548"/>
  <c r="C13549"/>
  <c r="C13550"/>
  <c r="C13551"/>
  <c r="C13552"/>
  <c r="C13553"/>
  <c r="C13554"/>
  <c r="C13555"/>
  <c r="C13556"/>
  <c r="C13557"/>
  <c r="C13558"/>
  <c r="C13559"/>
  <c r="C13560"/>
  <c r="C13561"/>
  <c r="C13562"/>
  <c r="C13563"/>
  <c r="C13564"/>
  <c r="C13565"/>
  <c r="C13566"/>
  <c r="C13567"/>
  <c r="C13568"/>
  <c r="C13569"/>
  <c r="C13570"/>
  <c r="C13571"/>
  <c r="C13572"/>
  <c r="C13573"/>
  <c r="C13574"/>
  <c r="C13575"/>
  <c r="C13576"/>
  <c r="C13577"/>
  <c r="C13578"/>
  <c r="C13579"/>
  <c r="C13580"/>
  <c r="C13581"/>
  <c r="C13582"/>
  <c r="C13583"/>
  <c r="C13584"/>
  <c r="C13585"/>
  <c r="C13586"/>
  <c r="C13587"/>
  <c r="C13588"/>
  <c r="C13589"/>
  <c r="C13590"/>
  <c r="C13591"/>
  <c r="C13592"/>
  <c r="C13593"/>
  <c r="C13594"/>
  <c r="C13595"/>
  <c r="C13596"/>
  <c r="C13597"/>
  <c r="C13598"/>
  <c r="C13599"/>
  <c r="C13600"/>
  <c r="C13601"/>
  <c r="C13602"/>
  <c r="C13603"/>
  <c r="C13604"/>
  <c r="C13605"/>
  <c r="C13606"/>
  <c r="C13607"/>
  <c r="C13608"/>
  <c r="C13609"/>
  <c r="C13610"/>
  <c r="C13611"/>
  <c r="C13612"/>
  <c r="C13613"/>
  <c r="C13614"/>
  <c r="C13615"/>
  <c r="C13616"/>
  <c r="C13617"/>
  <c r="C13618"/>
  <c r="C13619"/>
  <c r="C13620"/>
  <c r="C13621"/>
  <c r="C13622"/>
  <c r="C13623"/>
  <c r="C13624"/>
  <c r="C13625"/>
  <c r="C13626"/>
  <c r="C13627"/>
  <c r="C13628"/>
  <c r="C13629"/>
  <c r="C13630"/>
  <c r="C13631"/>
  <c r="C13632"/>
  <c r="C13633"/>
  <c r="C13634"/>
  <c r="C13635"/>
  <c r="C13636"/>
  <c r="C13637"/>
  <c r="C13638"/>
  <c r="C13639"/>
  <c r="C13640"/>
  <c r="C13641"/>
  <c r="C13642"/>
  <c r="C13643"/>
  <c r="C13644"/>
  <c r="C13645"/>
  <c r="C13646"/>
  <c r="C13647"/>
  <c r="C13648"/>
  <c r="C13649"/>
  <c r="C13650"/>
  <c r="C13651"/>
  <c r="C13652"/>
  <c r="C13653"/>
  <c r="C13654"/>
  <c r="C13655"/>
  <c r="C13656"/>
  <c r="C13657"/>
  <c r="C13658"/>
  <c r="C13659"/>
  <c r="C13660"/>
  <c r="C13661"/>
  <c r="C13662"/>
  <c r="C13663"/>
  <c r="C13664"/>
  <c r="C13665"/>
  <c r="C13666"/>
  <c r="C13667"/>
  <c r="C13668"/>
  <c r="C13669"/>
  <c r="C13670"/>
  <c r="C13671"/>
  <c r="C13672"/>
  <c r="C13673"/>
  <c r="C13674"/>
  <c r="C13675"/>
  <c r="C13676"/>
  <c r="C13677"/>
  <c r="C13678"/>
  <c r="C13679"/>
  <c r="C13680"/>
  <c r="C13681"/>
  <c r="C13682"/>
  <c r="C13683"/>
  <c r="C13684"/>
  <c r="C13685"/>
  <c r="C13686"/>
  <c r="C13687"/>
  <c r="C13688"/>
  <c r="C13689"/>
  <c r="C13690"/>
  <c r="C13691"/>
  <c r="C13692"/>
  <c r="C13693"/>
  <c r="C13694"/>
  <c r="C13695"/>
  <c r="C13696"/>
  <c r="C13697"/>
  <c r="C13698"/>
  <c r="C13699"/>
  <c r="C13700"/>
  <c r="C13701"/>
  <c r="C13702"/>
  <c r="C13703"/>
  <c r="C13704"/>
  <c r="C13705"/>
  <c r="C13706"/>
  <c r="C13707"/>
  <c r="C13708"/>
  <c r="C13709"/>
  <c r="C13710"/>
  <c r="C13711"/>
  <c r="C13712"/>
  <c r="C13713"/>
  <c r="C13714"/>
  <c r="C13715"/>
  <c r="C13716"/>
  <c r="C13717"/>
  <c r="C13718"/>
  <c r="C13719"/>
  <c r="C13720"/>
  <c r="C13721"/>
  <c r="C13722"/>
  <c r="C13723"/>
  <c r="C13724"/>
  <c r="C13725"/>
  <c r="C13726"/>
  <c r="C13727"/>
  <c r="C13728"/>
  <c r="C13729"/>
  <c r="C13730"/>
  <c r="C13731"/>
  <c r="C13732"/>
  <c r="C13733"/>
  <c r="C13734"/>
  <c r="C13735"/>
  <c r="C13736"/>
  <c r="C13737"/>
  <c r="C13738"/>
  <c r="C13739"/>
  <c r="C13740"/>
  <c r="C13741"/>
  <c r="C13742"/>
  <c r="C13743"/>
  <c r="C13744"/>
  <c r="C13745"/>
  <c r="C13746"/>
  <c r="C13747"/>
  <c r="C13748"/>
  <c r="C13749"/>
  <c r="C13750"/>
  <c r="C13751"/>
  <c r="C13752"/>
  <c r="C13753"/>
  <c r="C13754"/>
  <c r="C13755"/>
  <c r="C13756"/>
  <c r="C13757"/>
  <c r="C13758"/>
  <c r="C13759"/>
  <c r="C13760"/>
  <c r="C13761"/>
  <c r="C13762"/>
  <c r="C13763"/>
  <c r="C13764"/>
  <c r="C13765"/>
  <c r="C13766"/>
  <c r="C13767"/>
  <c r="C13768"/>
  <c r="C13769"/>
  <c r="C13770"/>
  <c r="C13771"/>
  <c r="C13772"/>
  <c r="C13773"/>
  <c r="C13774"/>
  <c r="C13775"/>
  <c r="C13776"/>
  <c r="C13777"/>
  <c r="C13778"/>
  <c r="C13779"/>
  <c r="C13780"/>
  <c r="C13781"/>
  <c r="C13782"/>
  <c r="C13783"/>
  <c r="C13784"/>
  <c r="C13785"/>
  <c r="C13786"/>
  <c r="C13787"/>
  <c r="C13788"/>
  <c r="C13789"/>
  <c r="C13790"/>
  <c r="C13791"/>
  <c r="C13792"/>
  <c r="C13793"/>
  <c r="C13794"/>
  <c r="C13795"/>
  <c r="C13796"/>
  <c r="C13797"/>
  <c r="C13798"/>
  <c r="C13799"/>
  <c r="C13800"/>
  <c r="C13801"/>
  <c r="C13802"/>
  <c r="C13803"/>
  <c r="C13804"/>
  <c r="C13805"/>
  <c r="C13806"/>
  <c r="C13807"/>
  <c r="C13808"/>
  <c r="C13809"/>
  <c r="C13810"/>
  <c r="C13811"/>
  <c r="C13812"/>
  <c r="C13813"/>
  <c r="C13814"/>
  <c r="C13815"/>
  <c r="C13816"/>
  <c r="C13817"/>
  <c r="C13818"/>
  <c r="C13819"/>
  <c r="C13820"/>
  <c r="C13821"/>
  <c r="C13822"/>
  <c r="C13823"/>
  <c r="C13824"/>
  <c r="C13825"/>
  <c r="C13826"/>
  <c r="C13827"/>
  <c r="C13828"/>
  <c r="C13829"/>
  <c r="C13830"/>
  <c r="C13831"/>
  <c r="C13832"/>
  <c r="C13833"/>
  <c r="C13834"/>
  <c r="C13835"/>
  <c r="C13836"/>
  <c r="C13837"/>
  <c r="C13838"/>
  <c r="C13839"/>
  <c r="C13840"/>
  <c r="C13841"/>
  <c r="C13842"/>
  <c r="C13843"/>
  <c r="C13844"/>
  <c r="C13845"/>
  <c r="C13846"/>
  <c r="C13847"/>
  <c r="C13848"/>
  <c r="C13849"/>
  <c r="C13850"/>
  <c r="C13851"/>
  <c r="C13852"/>
  <c r="C13853"/>
  <c r="C13854"/>
  <c r="C13855"/>
  <c r="C13856"/>
  <c r="C13857"/>
  <c r="C13858"/>
  <c r="C13859"/>
  <c r="C13860"/>
  <c r="C13861"/>
  <c r="C13862"/>
  <c r="C13863"/>
  <c r="C13864"/>
  <c r="C13865"/>
  <c r="C13866"/>
  <c r="C13867"/>
  <c r="C13868"/>
  <c r="C13869"/>
  <c r="C13870"/>
  <c r="C13871"/>
  <c r="C13872"/>
  <c r="C13873"/>
  <c r="C13874"/>
  <c r="C13875"/>
  <c r="C13876"/>
  <c r="C13877"/>
  <c r="C13878"/>
  <c r="C13879"/>
  <c r="C13880"/>
  <c r="C13881"/>
  <c r="C13882"/>
  <c r="C13883"/>
  <c r="C13884"/>
  <c r="C13885"/>
  <c r="C13886"/>
  <c r="C13887"/>
  <c r="C13888"/>
  <c r="C13889"/>
  <c r="C13890"/>
  <c r="C13891"/>
  <c r="C13892"/>
  <c r="C13893"/>
  <c r="C13894"/>
  <c r="C13895"/>
  <c r="C13896"/>
  <c r="C13897"/>
  <c r="C13898"/>
  <c r="C13899"/>
  <c r="C13900"/>
  <c r="C13901"/>
  <c r="C13902"/>
  <c r="C13903"/>
  <c r="C13904"/>
  <c r="C13905"/>
  <c r="C13906"/>
  <c r="C13907"/>
  <c r="C13908"/>
  <c r="C13909"/>
  <c r="C13910"/>
  <c r="C13911"/>
  <c r="C13912"/>
  <c r="C13913"/>
  <c r="C13914"/>
  <c r="C13915"/>
  <c r="C13916"/>
  <c r="C13917"/>
  <c r="C13918"/>
  <c r="C13919"/>
  <c r="C13920"/>
  <c r="C13921"/>
  <c r="C13922"/>
  <c r="C13923"/>
  <c r="C13924"/>
  <c r="C13925"/>
  <c r="C13926"/>
  <c r="C13927"/>
  <c r="C13928"/>
  <c r="C13929"/>
  <c r="C13930"/>
  <c r="C13931"/>
  <c r="C13932"/>
  <c r="C13933"/>
  <c r="C13934"/>
  <c r="C13935"/>
  <c r="C13936"/>
  <c r="C13937"/>
  <c r="C13938"/>
  <c r="C13939"/>
  <c r="C13940"/>
  <c r="C13941"/>
  <c r="C13942"/>
  <c r="C13943"/>
  <c r="C13944"/>
  <c r="C13945"/>
  <c r="C13946"/>
  <c r="C13947"/>
  <c r="C13948"/>
  <c r="C13949"/>
  <c r="C13950"/>
  <c r="C13951"/>
  <c r="C13952"/>
  <c r="C13953"/>
  <c r="C13954"/>
  <c r="C13955"/>
  <c r="C13956"/>
  <c r="C13957"/>
  <c r="C13958"/>
  <c r="C13959"/>
  <c r="C13960"/>
  <c r="C13961"/>
  <c r="C13962"/>
  <c r="C13963"/>
  <c r="C13964"/>
  <c r="C13965"/>
  <c r="C13966"/>
  <c r="C13967"/>
  <c r="C13968"/>
  <c r="C13969"/>
  <c r="C13970"/>
  <c r="C13971"/>
  <c r="C13972"/>
  <c r="C13973"/>
  <c r="C13974"/>
  <c r="C13975"/>
  <c r="C13976"/>
  <c r="C13977"/>
  <c r="C13978"/>
  <c r="C13979"/>
  <c r="C13980"/>
  <c r="C13981"/>
  <c r="C13982"/>
  <c r="C13983"/>
  <c r="C13984"/>
  <c r="C13985"/>
  <c r="C13986"/>
  <c r="C13987"/>
  <c r="C13988"/>
  <c r="C13989"/>
  <c r="C13990"/>
  <c r="C13991"/>
  <c r="C13992"/>
  <c r="C13993"/>
  <c r="C13994"/>
  <c r="C13995"/>
  <c r="C13996"/>
  <c r="C13997"/>
  <c r="C13998"/>
  <c r="C13999"/>
  <c r="C14000"/>
  <c r="C14001"/>
  <c r="C14002"/>
  <c r="C14003"/>
  <c r="C14004"/>
  <c r="C14005"/>
  <c r="C14006"/>
  <c r="C14007"/>
  <c r="C14008"/>
  <c r="C14009"/>
  <c r="C14010"/>
  <c r="C14011"/>
  <c r="C14012"/>
  <c r="C14013"/>
  <c r="C14014"/>
  <c r="C14015"/>
  <c r="C14016"/>
  <c r="C14017"/>
  <c r="C14018"/>
  <c r="C14019"/>
  <c r="C14020"/>
  <c r="C14021"/>
  <c r="C14022"/>
  <c r="C14023"/>
  <c r="C14024"/>
  <c r="C14025"/>
  <c r="C14026"/>
  <c r="C14027"/>
  <c r="C14028"/>
  <c r="C14029"/>
  <c r="C14030"/>
  <c r="C14031"/>
  <c r="C14032"/>
  <c r="C14033"/>
  <c r="C14034"/>
  <c r="C14035"/>
  <c r="C14036"/>
  <c r="C14037"/>
  <c r="C14038"/>
  <c r="C14039"/>
  <c r="C14040"/>
  <c r="C14041"/>
  <c r="C14042"/>
  <c r="C14043"/>
  <c r="C14044"/>
  <c r="C14045"/>
  <c r="C14046"/>
  <c r="C14047"/>
  <c r="C14048"/>
  <c r="C14049"/>
  <c r="C14050"/>
  <c r="C14051"/>
  <c r="C14052"/>
  <c r="C14053"/>
  <c r="C14054"/>
  <c r="C14055"/>
  <c r="C14056"/>
  <c r="C14057"/>
  <c r="C14058"/>
  <c r="C14059"/>
  <c r="C14060"/>
  <c r="C14061"/>
  <c r="C14062"/>
  <c r="C14063"/>
  <c r="C14064"/>
  <c r="C14065"/>
  <c r="C14066"/>
  <c r="C14067"/>
  <c r="C14068"/>
  <c r="C14069"/>
  <c r="C14070"/>
  <c r="C14071"/>
  <c r="C14072"/>
  <c r="C14073"/>
  <c r="C14074"/>
  <c r="C14075"/>
  <c r="C14076"/>
  <c r="C14077"/>
  <c r="C14078"/>
  <c r="C14079"/>
  <c r="C14080"/>
  <c r="C14081"/>
  <c r="C14082"/>
  <c r="C14083"/>
  <c r="C14084"/>
  <c r="C14085"/>
  <c r="C14086"/>
  <c r="C14087"/>
  <c r="C14088"/>
  <c r="C14089"/>
  <c r="C14090"/>
  <c r="C14091"/>
  <c r="C14092"/>
  <c r="C14093"/>
  <c r="C14094"/>
  <c r="C14095"/>
  <c r="C14096"/>
  <c r="C14097"/>
  <c r="C14098"/>
  <c r="C14099"/>
  <c r="C14100"/>
  <c r="C14101"/>
  <c r="C14102"/>
  <c r="C14103"/>
  <c r="C14104"/>
  <c r="C14105"/>
  <c r="C14106"/>
  <c r="C14107"/>
  <c r="C14108"/>
  <c r="C14109"/>
  <c r="C14110"/>
  <c r="C14111"/>
  <c r="C14112"/>
  <c r="C14113"/>
  <c r="C14114"/>
  <c r="C14115"/>
  <c r="C14116"/>
  <c r="C14117"/>
  <c r="C14118"/>
  <c r="C14119"/>
  <c r="C14120"/>
  <c r="C14121"/>
  <c r="C14122"/>
  <c r="C14123"/>
  <c r="C14124"/>
  <c r="C14125"/>
  <c r="C14126"/>
  <c r="C14127"/>
  <c r="C14128"/>
  <c r="C14129"/>
  <c r="C14130"/>
  <c r="C14131"/>
  <c r="C14132"/>
  <c r="C14133"/>
  <c r="C14134"/>
  <c r="C14135"/>
  <c r="C14136"/>
  <c r="C14137"/>
  <c r="C14138"/>
  <c r="C14139"/>
  <c r="C14140"/>
  <c r="C14141"/>
  <c r="C14142"/>
  <c r="C14143"/>
  <c r="C14144"/>
  <c r="C14145"/>
  <c r="C14146"/>
  <c r="C14147"/>
  <c r="C14148"/>
  <c r="C14149"/>
  <c r="C14150"/>
  <c r="C14151"/>
  <c r="C14152"/>
  <c r="C14153"/>
  <c r="C14154"/>
  <c r="C14155"/>
  <c r="C14156"/>
  <c r="C14157"/>
  <c r="C14158"/>
  <c r="C14159"/>
  <c r="C14160"/>
  <c r="C14161"/>
  <c r="C14162"/>
  <c r="C14163"/>
  <c r="C14164"/>
  <c r="C14165"/>
  <c r="C14166"/>
  <c r="C14167"/>
  <c r="C14168"/>
  <c r="C14169"/>
  <c r="C14170"/>
  <c r="C14171"/>
  <c r="C14172"/>
  <c r="C14173"/>
  <c r="C14174"/>
  <c r="C14175"/>
  <c r="C14176"/>
  <c r="C14177"/>
  <c r="C14178"/>
  <c r="C14179"/>
  <c r="C14180"/>
  <c r="C14181"/>
  <c r="C14182"/>
  <c r="C14183"/>
  <c r="C14184"/>
  <c r="C14185"/>
  <c r="C14186"/>
  <c r="C14187"/>
  <c r="C14188"/>
  <c r="C14189"/>
  <c r="C14190"/>
  <c r="C14191"/>
  <c r="C14192"/>
  <c r="C14193"/>
  <c r="C14194"/>
  <c r="C14195"/>
  <c r="C14196"/>
  <c r="C14197"/>
  <c r="C14198"/>
  <c r="C14199"/>
  <c r="C14200"/>
  <c r="C14201"/>
  <c r="C14202"/>
  <c r="C14203"/>
  <c r="C14204"/>
  <c r="C14205"/>
  <c r="C14206"/>
  <c r="C14207"/>
  <c r="C14208"/>
  <c r="C14209"/>
  <c r="C14210"/>
  <c r="C14211"/>
  <c r="C14212"/>
  <c r="C14213"/>
  <c r="C14214"/>
  <c r="C14215"/>
  <c r="C14216"/>
  <c r="C14217"/>
  <c r="C14218"/>
  <c r="C14219"/>
  <c r="C14220"/>
  <c r="C14221"/>
  <c r="C14222"/>
  <c r="C14223"/>
  <c r="C14224"/>
  <c r="C14225"/>
  <c r="C14226"/>
  <c r="C14227"/>
  <c r="C14228"/>
  <c r="C14229"/>
  <c r="C14230"/>
  <c r="C14231"/>
  <c r="C14232"/>
  <c r="C14233"/>
  <c r="C14234"/>
  <c r="C14235"/>
  <c r="C14236"/>
  <c r="C14237"/>
  <c r="C14238"/>
  <c r="C14239"/>
  <c r="C14240"/>
  <c r="C14241"/>
  <c r="C14242"/>
  <c r="C14243"/>
  <c r="C14244"/>
  <c r="C14245"/>
  <c r="C14246"/>
  <c r="C14247"/>
  <c r="C14248"/>
  <c r="C14249"/>
  <c r="C14250"/>
  <c r="C14251"/>
  <c r="C14252"/>
  <c r="C14253"/>
  <c r="C14254"/>
  <c r="C14255"/>
  <c r="C14256"/>
  <c r="C14257"/>
  <c r="C14258"/>
  <c r="C14259"/>
  <c r="C14260"/>
  <c r="C14261"/>
  <c r="C14262"/>
  <c r="C14263"/>
  <c r="C14264"/>
  <c r="C14265"/>
  <c r="C14266"/>
  <c r="C14267"/>
  <c r="C14268"/>
  <c r="C14269"/>
  <c r="C14270"/>
  <c r="C14271"/>
  <c r="C14272"/>
  <c r="C14273"/>
  <c r="C14274"/>
  <c r="C14275"/>
  <c r="C14276"/>
  <c r="C14277"/>
  <c r="C14278"/>
  <c r="C14279"/>
  <c r="C14280"/>
  <c r="C14281"/>
  <c r="C14282"/>
  <c r="C14283"/>
  <c r="C14284"/>
  <c r="C14285"/>
  <c r="C14286"/>
  <c r="C14287"/>
  <c r="C14288"/>
  <c r="C14289"/>
  <c r="C14290"/>
  <c r="C14291"/>
  <c r="C14292"/>
  <c r="C14293"/>
  <c r="C14294"/>
  <c r="C14295"/>
  <c r="C14296"/>
  <c r="C14297"/>
  <c r="C14298"/>
  <c r="C14299"/>
  <c r="C14300"/>
  <c r="C14301"/>
  <c r="C14302"/>
  <c r="C14303"/>
  <c r="C14304"/>
  <c r="C14305"/>
  <c r="C14306"/>
  <c r="C14307"/>
  <c r="C14308"/>
  <c r="C14309"/>
  <c r="C14310"/>
  <c r="C14311"/>
  <c r="C14312"/>
  <c r="C14313"/>
  <c r="C14314"/>
  <c r="C14315"/>
  <c r="C14316"/>
  <c r="C14317"/>
  <c r="C14318"/>
  <c r="C14319"/>
  <c r="C14320"/>
  <c r="C14321"/>
  <c r="C14322"/>
  <c r="C14323"/>
  <c r="C14324"/>
  <c r="C14325"/>
  <c r="C14326"/>
  <c r="C14327"/>
  <c r="C14328"/>
  <c r="C14329"/>
  <c r="C14330"/>
  <c r="C14331"/>
  <c r="C14332"/>
  <c r="C14333"/>
  <c r="C14334"/>
  <c r="C14335"/>
  <c r="C14336"/>
  <c r="C14337"/>
  <c r="C14338"/>
  <c r="C14339"/>
  <c r="C14340"/>
  <c r="C14341"/>
  <c r="C14342"/>
  <c r="C14343"/>
  <c r="C14344"/>
  <c r="C14345"/>
  <c r="C14346"/>
  <c r="C14347"/>
  <c r="C14348"/>
  <c r="C14349"/>
  <c r="C14350"/>
  <c r="C14351"/>
  <c r="C14352"/>
  <c r="C14353"/>
  <c r="C14354"/>
  <c r="C14355"/>
  <c r="C14356"/>
  <c r="C14357"/>
  <c r="C14358"/>
  <c r="C14359"/>
  <c r="C14360"/>
  <c r="C14361"/>
  <c r="C14362"/>
  <c r="C14363"/>
  <c r="C14364"/>
  <c r="C14365"/>
  <c r="C14366"/>
  <c r="C14367"/>
  <c r="C14368"/>
  <c r="C14369"/>
  <c r="C14370"/>
  <c r="C14371"/>
  <c r="C14372"/>
  <c r="C14373"/>
  <c r="C14374"/>
  <c r="C14375"/>
  <c r="C14376"/>
  <c r="C14377"/>
  <c r="C14378"/>
  <c r="C14379"/>
  <c r="C14380"/>
  <c r="C14381"/>
  <c r="C14382"/>
  <c r="C14383"/>
  <c r="C14384"/>
  <c r="C14385"/>
  <c r="C14386"/>
  <c r="C14387"/>
  <c r="C14388"/>
  <c r="C14389"/>
  <c r="C14390"/>
  <c r="C14391"/>
  <c r="C14392"/>
  <c r="C14393"/>
  <c r="C14394"/>
  <c r="C14395"/>
  <c r="C14396"/>
  <c r="C14397"/>
  <c r="C14398"/>
  <c r="C14399"/>
  <c r="C14400"/>
  <c r="C14401"/>
  <c r="C14402"/>
  <c r="C14403"/>
  <c r="C14404"/>
  <c r="C14405"/>
  <c r="C14406"/>
  <c r="C14407"/>
  <c r="C14408"/>
  <c r="C14409"/>
  <c r="C14410"/>
  <c r="C14411"/>
  <c r="C14412"/>
  <c r="C14413"/>
  <c r="C14414"/>
  <c r="C14415"/>
  <c r="C14416"/>
  <c r="C14417"/>
  <c r="C14418"/>
  <c r="C14419"/>
  <c r="C14420"/>
  <c r="C14421"/>
  <c r="C14422"/>
  <c r="C14423"/>
  <c r="C14424"/>
  <c r="C14425"/>
  <c r="C14426"/>
  <c r="C14427"/>
  <c r="C14428"/>
  <c r="C14429"/>
  <c r="C14430"/>
  <c r="C14431"/>
  <c r="C14432"/>
  <c r="C14433"/>
  <c r="C14434"/>
  <c r="C14435"/>
  <c r="C14436"/>
  <c r="C14437"/>
  <c r="C14438"/>
  <c r="C14439"/>
  <c r="C14440"/>
  <c r="C14441"/>
  <c r="C14442"/>
  <c r="C14443"/>
  <c r="C14444"/>
  <c r="C14445"/>
  <c r="C14446"/>
  <c r="C14447"/>
  <c r="C14448"/>
  <c r="C14449"/>
  <c r="C14450"/>
  <c r="C14451"/>
  <c r="C14452"/>
  <c r="C14453"/>
  <c r="C14454"/>
  <c r="C14455"/>
  <c r="C14456"/>
  <c r="C14457"/>
  <c r="C14458"/>
  <c r="C14459"/>
  <c r="C14460"/>
  <c r="C14461"/>
  <c r="C14462"/>
  <c r="C14463"/>
  <c r="C14464"/>
  <c r="C14465"/>
  <c r="C14466"/>
  <c r="C14467"/>
  <c r="C14468"/>
  <c r="C14469"/>
  <c r="C14470"/>
  <c r="C14471"/>
  <c r="C14472"/>
  <c r="C14473"/>
  <c r="C14474"/>
  <c r="C14475"/>
  <c r="C14476"/>
  <c r="C14477"/>
  <c r="C14478"/>
  <c r="C14479"/>
  <c r="C14480"/>
  <c r="C14481"/>
  <c r="C14482"/>
  <c r="C14483"/>
  <c r="C14484"/>
  <c r="C14485"/>
  <c r="C14486"/>
  <c r="C14487"/>
  <c r="C14488"/>
  <c r="C14489"/>
  <c r="C14490"/>
  <c r="C14491"/>
  <c r="C14492"/>
  <c r="C14493"/>
  <c r="C14494"/>
  <c r="C14495"/>
  <c r="C14496"/>
  <c r="C14497"/>
  <c r="C14498"/>
  <c r="C14499"/>
  <c r="C14500"/>
  <c r="C14501"/>
  <c r="C14502"/>
  <c r="C14503"/>
  <c r="C14504"/>
  <c r="C14505"/>
  <c r="C14506"/>
  <c r="C14507"/>
  <c r="C14508"/>
  <c r="C14509"/>
  <c r="C14510"/>
  <c r="C14511"/>
  <c r="C14512"/>
  <c r="C14513"/>
  <c r="C14514"/>
  <c r="C14515"/>
  <c r="C14516"/>
  <c r="C14517"/>
  <c r="C14518"/>
  <c r="C14519"/>
  <c r="C14520"/>
  <c r="C14521"/>
  <c r="C14522"/>
  <c r="C14523"/>
  <c r="C14524"/>
  <c r="C14525"/>
  <c r="C14526"/>
  <c r="C14527"/>
  <c r="C14528"/>
  <c r="C14529"/>
  <c r="C14530"/>
  <c r="C14531"/>
  <c r="C14532"/>
  <c r="C14533"/>
  <c r="C14534"/>
  <c r="C14535"/>
  <c r="C14536"/>
  <c r="C14537"/>
  <c r="C14538"/>
  <c r="C14539"/>
  <c r="C14540"/>
  <c r="C14541"/>
  <c r="C14542"/>
  <c r="C14543"/>
  <c r="C14544"/>
  <c r="C14545"/>
  <c r="C14546"/>
  <c r="C14547"/>
  <c r="C14548"/>
  <c r="C14549"/>
  <c r="C14550"/>
  <c r="C14551"/>
  <c r="C14552"/>
  <c r="C14553"/>
  <c r="C14554"/>
  <c r="C14555"/>
  <c r="C14556"/>
  <c r="C14557"/>
  <c r="C14558"/>
  <c r="C14559"/>
  <c r="C14560"/>
  <c r="C14561"/>
  <c r="C14562"/>
  <c r="C14563"/>
  <c r="C14564"/>
  <c r="C14565"/>
  <c r="C14566"/>
  <c r="C14567"/>
  <c r="C14568"/>
  <c r="C14569"/>
  <c r="C14570"/>
  <c r="C14571"/>
  <c r="C14572"/>
  <c r="C14573"/>
  <c r="C14574"/>
  <c r="C14575"/>
  <c r="C14576"/>
  <c r="C14577"/>
  <c r="C14578"/>
  <c r="C14579"/>
  <c r="C14580"/>
  <c r="C14581"/>
  <c r="C14582"/>
  <c r="C14583"/>
  <c r="C14584"/>
  <c r="C14585"/>
  <c r="C14586"/>
  <c r="C14587"/>
  <c r="C14588"/>
  <c r="C14589"/>
  <c r="C14590"/>
  <c r="C14591"/>
  <c r="C14592"/>
  <c r="C14593"/>
  <c r="C14594"/>
  <c r="C14595"/>
  <c r="C14596"/>
  <c r="C14597"/>
  <c r="C14598"/>
  <c r="C14599"/>
  <c r="C14600"/>
  <c r="C14601"/>
  <c r="C14602"/>
  <c r="C14603"/>
  <c r="C14604"/>
  <c r="C14605"/>
  <c r="C14606"/>
  <c r="C14607"/>
  <c r="C14608"/>
  <c r="C14609"/>
  <c r="C14610"/>
  <c r="C14611"/>
  <c r="C14612"/>
  <c r="C14613"/>
  <c r="C14614"/>
  <c r="C14615"/>
  <c r="C14616"/>
  <c r="C14617"/>
  <c r="C14618"/>
  <c r="C14619"/>
  <c r="C14620"/>
  <c r="C14621"/>
  <c r="C14622"/>
  <c r="C14623"/>
  <c r="C14624"/>
  <c r="C14625"/>
  <c r="C14626"/>
  <c r="C14627"/>
  <c r="C14628"/>
  <c r="C14629"/>
  <c r="C14630"/>
  <c r="C14631"/>
  <c r="C14632"/>
  <c r="C14633"/>
  <c r="C14634"/>
  <c r="C14635"/>
  <c r="C14636"/>
  <c r="C14637"/>
  <c r="C14638"/>
  <c r="C14639"/>
  <c r="C14640"/>
  <c r="C14641"/>
  <c r="C14642"/>
  <c r="C14643"/>
  <c r="C14644"/>
  <c r="C14645"/>
  <c r="C14646"/>
  <c r="C14647"/>
  <c r="C14648"/>
  <c r="C14649"/>
  <c r="C14650"/>
  <c r="C14651"/>
  <c r="C14652"/>
  <c r="C14653"/>
  <c r="C14654"/>
  <c r="C14655"/>
  <c r="C14656"/>
  <c r="C14657"/>
  <c r="C14658"/>
  <c r="C14659"/>
  <c r="C14660"/>
  <c r="C14661"/>
  <c r="C14662"/>
  <c r="C14663"/>
  <c r="C14664"/>
  <c r="C14665"/>
  <c r="C14666"/>
  <c r="C14667"/>
  <c r="C14668"/>
  <c r="C14669"/>
  <c r="C14670"/>
  <c r="C14671"/>
  <c r="C14672"/>
  <c r="C14673"/>
  <c r="C14674"/>
  <c r="C14675"/>
  <c r="C14676"/>
  <c r="C14677"/>
  <c r="C14678"/>
  <c r="C14679"/>
  <c r="C14680"/>
  <c r="C14681"/>
  <c r="C14682"/>
  <c r="C14683"/>
  <c r="C14684"/>
  <c r="C14685"/>
  <c r="C14686"/>
  <c r="C14687"/>
  <c r="C14688"/>
  <c r="C14689"/>
  <c r="C14690"/>
  <c r="C14691"/>
  <c r="C14692"/>
  <c r="C14693"/>
  <c r="C14694"/>
  <c r="C14695"/>
  <c r="C14696"/>
  <c r="C14697"/>
  <c r="C14698"/>
  <c r="C14699"/>
  <c r="C14700"/>
  <c r="C14701"/>
  <c r="C14702"/>
  <c r="C14703"/>
  <c r="C14704"/>
  <c r="C14705"/>
  <c r="C14706"/>
  <c r="C14707"/>
  <c r="C14708"/>
  <c r="C14709"/>
  <c r="C14710"/>
  <c r="C14711"/>
  <c r="C14712"/>
  <c r="C14713"/>
  <c r="C14714"/>
  <c r="C14715"/>
  <c r="C14716"/>
  <c r="C14717"/>
  <c r="C14718"/>
  <c r="C14719"/>
  <c r="C14720"/>
  <c r="C14721"/>
  <c r="C14722"/>
  <c r="C14723"/>
  <c r="C14724"/>
  <c r="C14725"/>
  <c r="C14726"/>
  <c r="C14727"/>
  <c r="C14728"/>
  <c r="C14729"/>
  <c r="C14730"/>
  <c r="C14731"/>
  <c r="C14732"/>
  <c r="C14733"/>
  <c r="C14734"/>
  <c r="C14735"/>
  <c r="C14736"/>
  <c r="C14737"/>
  <c r="C14738"/>
  <c r="C14739"/>
  <c r="C14740"/>
  <c r="C14741"/>
  <c r="C14742"/>
  <c r="C14743"/>
  <c r="C14744"/>
  <c r="C14745"/>
  <c r="C14746"/>
  <c r="C14747"/>
  <c r="C14748"/>
  <c r="C14749"/>
  <c r="C14750"/>
  <c r="C14751"/>
  <c r="C14752"/>
  <c r="C14753"/>
  <c r="C14754"/>
  <c r="C14755"/>
  <c r="C14756"/>
  <c r="C14757"/>
  <c r="C14758"/>
  <c r="C14759"/>
  <c r="C14760"/>
  <c r="C14761"/>
  <c r="C14762"/>
  <c r="C14763"/>
  <c r="C14764"/>
  <c r="C14765"/>
  <c r="C14766"/>
  <c r="C14767"/>
  <c r="C14768"/>
  <c r="C14769"/>
  <c r="C14770"/>
  <c r="C14771"/>
  <c r="C14772"/>
  <c r="C14773"/>
  <c r="C14774"/>
  <c r="C14775"/>
  <c r="C14776"/>
  <c r="C14777"/>
  <c r="C14778"/>
  <c r="C14779"/>
  <c r="C14780"/>
  <c r="C14781"/>
  <c r="C14782"/>
  <c r="C14783"/>
  <c r="C14784"/>
  <c r="C14785"/>
  <c r="C14786"/>
  <c r="C14787"/>
  <c r="C14788"/>
  <c r="C14789"/>
  <c r="C14790"/>
  <c r="C14791"/>
  <c r="C14792"/>
  <c r="C14793"/>
  <c r="C14794"/>
  <c r="C14795"/>
  <c r="C14796"/>
  <c r="C14797"/>
  <c r="C14798"/>
  <c r="C14799"/>
  <c r="C14800"/>
  <c r="C14801"/>
  <c r="C14802"/>
  <c r="C14803"/>
  <c r="C14804"/>
  <c r="C14805"/>
  <c r="C14806"/>
  <c r="C14807"/>
  <c r="C14808"/>
  <c r="C14809"/>
  <c r="C14810"/>
  <c r="C14811"/>
  <c r="C14812"/>
  <c r="C14813"/>
  <c r="C14814"/>
  <c r="C14815"/>
  <c r="C14816"/>
  <c r="C14817"/>
  <c r="C14818"/>
  <c r="C14819"/>
  <c r="C14820"/>
  <c r="C14821"/>
  <c r="C14822"/>
  <c r="C14823"/>
  <c r="C14824"/>
  <c r="C14825"/>
  <c r="C14826"/>
  <c r="C14827"/>
  <c r="C14828"/>
  <c r="C14829"/>
  <c r="C14830"/>
  <c r="C14831"/>
  <c r="C14832"/>
  <c r="C14833"/>
  <c r="C14834"/>
  <c r="C14835"/>
  <c r="C14836"/>
  <c r="C14837"/>
  <c r="C14838"/>
  <c r="C14839"/>
  <c r="C14840"/>
  <c r="C14841"/>
  <c r="C14842"/>
  <c r="C14843"/>
  <c r="C14844"/>
  <c r="C3"/>
  <c r="G1" l="1"/>
  <c r="D3" s="1"/>
  <c r="G2"/>
  <c r="D14843"/>
  <c r="D14839"/>
  <c r="D14835"/>
  <c r="D14831"/>
  <c r="D14827"/>
  <c r="D14823"/>
  <c r="D14819"/>
  <c r="D14815"/>
  <c r="D14811"/>
  <c r="D14807"/>
  <c r="D14803"/>
  <c r="D14799"/>
  <c r="D14795"/>
  <c r="D14791"/>
  <c r="D14787"/>
  <c r="D14783"/>
  <c r="D14779"/>
  <c r="D14775"/>
  <c r="D14771"/>
  <c r="D14767"/>
  <c r="D14763"/>
  <c r="D14759"/>
  <c r="D14755"/>
  <c r="D14751"/>
  <c r="D14747"/>
  <c r="D14743"/>
  <c r="D14739"/>
  <c r="D14735"/>
  <c r="D14731"/>
  <c r="D14727"/>
  <c r="D14723"/>
  <c r="D14719"/>
  <c r="D14715"/>
  <c r="D14711"/>
  <c r="D14707"/>
  <c r="D14703"/>
  <c r="D14699"/>
  <c r="D14695"/>
  <c r="D14691"/>
  <c r="D14687"/>
  <c r="D14683"/>
  <c r="D14679"/>
  <c r="D14675"/>
  <c r="D14671"/>
  <c r="D14667"/>
  <c r="D14663"/>
  <c r="D14659"/>
  <c r="D14655"/>
  <c r="D14651"/>
  <c r="D14647"/>
  <c r="D14643"/>
  <c r="D14639"/>
  <c r="D14635"/>
  <c r="D14631"/>
  <c r="D14627"/>
  <c r="D14623"/>
  <c r="D14619"/>
  <c r="D14615"/>
  <c r="D14611"/>
  <c r="D14607"/>
  <c r="D14603"/>
  <c r="D14599"/>
  <c r="D14842"/>
  <c r="D14838"/>
  <c r="D14834"/>
  <c r="D14830"/>
  <c r="D14826"/>
  <c r="D14822"/>
  <c r="D14818"/>
  <c r="D14814"/>
  <c r="D14810"/>
  <c r="D14806"/>
  <c r="D14802"/>
  <c r="D14798"/>
  <c r="D14794"/>
  <c r="D14790"/>
  <c r="D14786"/>
  <c r="D14782"/>
  <c r="D14778"/>
  <c r="D14774"/>
  <c r="D14770"/>
  <c r="D14766"/>
  <c r="D14762"/>
  <c r="D14758"/>
  <c r="D14754"/>
  <c r="D14750"/>
  <c r="D14746"/>
  <c r="D14742"/>
  <c r="D14738"/>
  <c r="D14734"/>
  <c r="D14730"/>
  <c r="D14726"/>
  <c r="D14722"/>
  <c r="D14718"/>
  <c r="D14714"/>
  <c r="D14710"/>
  <c r="D14706"/>
  <c r="D14702"/>
  <c r="D14698"/>
  <c r="D14694"/>
  <c r="D14690"/>
  <c r="D14686"/>
  <c r="D14682"/>
  <c r="D14678"/>
  <c r="D14674"/>
  <c r="D14670"/>
  <c r="D14666"/>
  <c r="D14662"/>
  <c r="D14658"/>
  <c r="D14654"/>
  <c r="D14650"/>
  <c r="D14646"/>
  <c r="D14642"/>
  <c r="D14638"/>
  <c r="D14634"/>
  <c r="D14630"/>
  <c r="D14626"/>
  <c r="D14622"/>
  <c r="D14618"/>
  <c r="D14614"/>
  <c r="D14610"/>
  <c r="D14606"/>
  <c r="D14602"/>
  <c r="D14598"/>
  <c r="D14594"/>
  <c r="D14590"/>
  <c r="D14586"/>
  <c r="D14582"/>
  <c r="D14578"/>
  <c r="D14574"/>
  <c r="D14570"/>
  <c r="D14566"/>
  <c r="D14562"/>
  <c r="D14558"/>
  <c r="D14554"/>
  <c r="D14550"/>
  <c r="D14546"/>
  <c r="D14542"/>
  <c r="D14538"/>
  <c r="D14534"/>
  <c r="D14530"/>
  <c r="D14526"/>
  <c r="D14522"/>
  <c r="D14518"/>
  <c r="D14514"/>
  <c r="D14510"/>
  <c r="D14506"/>
  <c r="D14502"/>
  <c r="D14498"/>
  <c r="D14494"/>
  <c r="D14490"/>
  <c r="D14486"/>
  <c r="D14482"/>
  <c r="D14478"/>
  <c r="D14474"/>
  <c r="D14470"/>
  <c r="D14466"/>
  <c r="D14462"/>
  <c r="D14460"/>
  <c r="D14456"/>
  <c r="D14452"/>
  <c r="D14448"/>
  <c r="D14444"/>
  <c r="D14440"/>
  <c r="D14436"/>
  <c r="D14432"/>
  <c r="D14428"/>
  <c r="D14424"/>
  <c r="D14420"/>
  <c r="D14416"/>
  <c r="D14412"/>
  <c r="D14408"/>
  <c r="D14404"/>
  <c r="D14400"/>
  <c r="D14396"/>
  <c r="D14392"/>
  <c r="D14388"/>
  <c r="D14384"/>
  <c r="D14380"/>
  <c r="D14376"/>
  <c r="D14372"/>
  <c r="D14368"/>
  <c r="D14364"/>
  <c r="D14360"/>
  <c r="D14356"/>
  <c r="D14352"/>
  <c r="D14348"/>
  <c r="D14344"/>
  <c r="D14340"/>
  <c r="D14336"/>
  <c r="D14332"/>
  <c r="D14328"/>
  <c r="D14324"/>
  <c r="D14320"/>
  <c r="D14316"/>
  <c r="D14312"/>
  <c r="D14308"/>
  <c r="D14304"/>
  <c r="D14300"/>
  <c r="D14296"/>
  <c r="D14292"/>
  <c r="D14290"/>
  <c r="D14288"/>
  <c r="D14286"/>
  <c r="D14284"/>
  <c r="D14282"/>
  <c r="D14280"/>
  <c r="D14278"/>
  <c r="D14276"/>
  <c r="D14274"/>
  <c r="D14272"/>
  <c r="D14270"/>
  <c r="D14268"/>
  <c r="D14266"/>
  <c r="D14264"/>
  <c r="D14262"/>
  <c r="D14260"/>
  <c r="D14258"/>
  <c r="D14256"/>
  <c r="D14254"/>
  <c r="D14252"/>
  <c r="D14250"/>
  <c r="D14248"/>
  <c r="D14246"/>
  <c r="D14244"/>
  <c r="D14242"/>
  <c r="D14240"/>
  <c r="D14238"/>
  <c r="D14236"/>
  <c r="D14234"/>
  <c r="D14232"/>
  <c r="D14230"/>
  <c r="D14228"/>
  <c r="D14226"/>
  <c r="D14224"/>
  <c r="D14222"/>
  <c r="D14220"/>
  <c r="D14218"/>
  <c r="D14216"/>
  <c r="D14214"/>
  <c r="D14212"/>
  <c r="D14210"/>
  <c r="D14208"/>
  <c r="D14206"/>
  <c r="D14204"/>
  <c r="D14202"/>
  <c r="D14200"/>
  <c r="D14198"/>
  <c r="D14196"/>
  <c r="D14194"/>
  <c r="D14192"/>
  <c r="D14190"/>
  <c r="D14188"/>
  <c r="D14186"/>
  <c r="D14184"/>
  <c r="D14182"/>
  <c r="D14180"/>
  <c r="D14178"/>
  <c r="D14176"/>
  <c r="D14174"/>
  <c r="D14172"/>
  <c r="D14170"/>
  <c r="D14168"/>
  <c r="D14166"/>
  <c r="D14164"/>
  <c r="D14162"/>
  <c r="D14160"/>
  <c r="D14158"/>
  <c r="D14156"/>
  <c r="D14154"/>
  <c r="D14152"/>
  <c r="D14150"/>
  <c r="D14148"/>
  <c r="D14146"/>
  <c r="D14144"/>
  <c r="D14142"/>
  <c r="D14140"/>
  <c r="D14138"/>
  <c r="D14136"/>
  <c r="D14134"/>
  <c r="D14132"/>
  <c r="D14130"/>
  <c r="D14128"/>
  <c r="D14126"/>
  <c r="D14124"/>
  <c r="D14122"/>
  <c r="D14120"/>
  <c r="D14118"/>
  <c r="D14116"/>
  <c r="D14114"/>
  <c r="D14112"/>
  <c r="D14110"/>
  <c r="D14108"/>
  <c r="D14106"/>
  <c r="D14104"/>
  <c r="D14102"/>
  <c r="D14100"/>
  <c r="D14098"/>
  <c r="D14096"/>
  <c r="D14094"/>
  <c r="D14092"/>
  <c r="D14090"/>
  <c r="D14088"/>
  <c r="D14086"/>
  <c r="D14084"/>
  <c r="D14082"/>
  <c r="D14080"/>
  <c r="D14078"/>
  <c r="D14076"/>
  <c r="D14074"/>
  <c r="D14072"/>
  <c r="D14070"/>
  <c r="D14068"/>
  <c r="D14066"/>
  <c r="D14064"/>
  <c r="D14062"/>
  <c r="D14060"/>
  <c r="D14058"/>
  <c r="D14056"/>
  <c r="D14054"/>
  <c r="D14052"/>
  <c r="D14050"/>
  <c r="D14048"/>
  <c r="D14046"/>
  <c r="D14044"/>
  <c r="D14042"/>
  <c r="D14040"/>
  <c r="D14038"/>
  <c r="D14036"/>
  <c r="D14034"/>
  <c r="D14032"/>
  <c r="D14030"/>
  <c r="D14028"/>
  <c r="D14026"/>
  <c r="D14024"/>
  <c r="D14022"/>
  <c r="D14020"/>
  <c r="D14018"/>
  <c r="D14016"/>
  <c r="D14014"/>
  <c r="D14012"/>
  <c r="D14010"/>
  <c r="D14008"/>
  <c r="D14006"/>
  <c r="D14004"/>
  <c r="D14002"/>
  <c r="D14000"/>
  <c r="D13998"/>
  <c r="D13996"/>
  <c r="D13994"/>
  <c r="D13992"/>
  <c r="D13990"/>
  <c r="D13988"/>
  <c r="D13986"/>
  <c r="D13984"/>
  <c r="D13982"/>
  <c r="D13980"/>
  <c r="D13978"/>
  <c r="D13976"/>
  <c r="D13974"/>
  <c r="D13972"/>
  <c r="D13970"/>
  <c r="D13968"/>
  <c r="D13966"/>
  <c r="D13964"/>
  <c r="D13962"/>
  <c r="D13960"/>
  <c r="D13958"/>
  <c r="D13956"/>
  <c r="D13954"/>
  <c r="D13952"/>
  <c r="D13950"/>
  <c r="D13948"/>
  <c r="D13946"/>
  <c r="D13944"/>
  <c r="D13942"/>
  <c r="D13940"/>
  <c r="D13938"/>
  <c r="D13936"/>
  <c r="D13934"/>
  <c r="D13932"/>
  <c r="D13930"/>
  <c r="D13928"/>
  <c r="D13926"/>
  <c r="D13924"/>
  <c r="D13922"/>
  <c r="D13920"/>
  <c r="D13918"/>
  <c r="D13916"/>
  <c r="D13914"/>
  <c r="D13912"/>
  <c r="D13910"/>
  <c r="D13908"/>
  <c r="D13906"/>
  <c r="D13904"/>
  <c r="D13902"/>
  <c r="D13900"/>
  <c r="D13898"/>
  <c r="D13896"/>
  <c r="D13894"/>
  <c r="D13892"/>
  <c r="D13890"/>
  <c r="D13888"/>
  <c r="D13886"/>
  <c r="D13884"/>
  <c r="D13882"/>
  <c r="D13880"/>
  <c r="D13878"/>
  <c r="D13876"/>
  <c r="D13874"/>
  <c r="D13872"/>
  <c r="D13870"/>
  <c r="D13868"/>
  <c r="D13866"/>
  <c r="D13864"/>
  <c r="D13862"/>
  <c r="D13860"/>
  <c r="D13858"/>
  <c r="D13856"/>
  <c r="D13854"/>
  <c r="D13852"/>
  <c r="D13850"/>
  <c r="D13848"/>
  <c r="D13846"/>
  <c r="D13844"/>
  <c r="D13842"/>
  <c r="D13840"/>
  <c r="D13838"/>
  <c r="D13836"/>
  <c r="D13834"/>
  <c r="D13832"/>
  <c r="D13830"/>
  <c r="D13828"/>
  <c r="D13826"/>
  <c r="D13824"/>
  <c r="D13822"/>
  <c r="D13820"/>
  <c r="D13818"/>
  <c r="D13816"/>
  <c r="D13814"/>
  <c r="D13812"/>
  <c r="D13810"/>
  <c r="D13808"/>
  <c r="D13806"/>
  <c r="D13804"/>
  <c r="D13802"/>
  <c r="D13800"/>
  <c r="D13798"/>
  <c r="D13796"/>
  <c r="D13794"/>
  <c r="D13792"/>
  <c r="D13790"/>
  <c r="D13788"/>
  <c r="D13786"/>
  <c r="D13784"/>
  <c r="D13782"/>
  <c r="D13780"/>
  <c r="D13778"/>
  <c r="D13776"/>
  <c r="D13774"/>
  <c r="D13772"/>
  <c r="D13770"/>
  <c r="D13768"/>
  <c r="D13766"/>
  <c r="D13764"/>
  <c r="D13762"/>
  <c r="D13760"/>
  <c r="D13758"/>
  <c r="D13756"/>
  <c r="D13754"/>
  <c r="D13752"/>
  <c r="D13750"/>
  <c r="D13748"/>
  <c r="D13746"/>
  <c r="D13744"/>
  <c r="D13742"/>
  <c r="D13740"/>
  <c r="D13738"/>
  <c r="D13736"/>
  <c r="D13734"/>
  <c r="D13732"/>
  <c r="D13730"/>
  <c r="D13728"/>
  <c r="D13726"/>
  <c r="D13724"/>
  <c r="D13722"/>
  <c r="D13720"/>
  <c r="D13718"/>
  <c r="D13716"/>
  <c r="D13714"/>
  <c r="D13712"/>
  <c r="D13710"/>
  <c r="D13708"/>
  <c r="D13706"/>
  <c r="D13704"/>
  <c r="D13702"/>
  <c r="D13700"/>
  <c r="D13698"/>
  <c r="D13696"/>
  <c r="D13694"/>
  <c r="D13692"/>
  <c r="D13690"/>
  <c r="D13688"/>
  <c r="D13686"/>
  <c r="D13684"/>
  <c r="D13682"/>
  <c r="D13680"/>
  <c r="D13678"/>
  <c r="D13676"/>
  <c r="D13674"/>
  <c r="D13672"/>
  <c r="D13670"/>
  <c r="D13668"/>
  <c r="D13666"/>
  <c r="D13664"/>
  <c r="D13662"/>
  <c r="D13660"/>
  <c r="D13658"/>
  <c r="D13656"/>
  <c r="D13654"/>
  <c r="D13652"/>
  <c r="D13650"/>
  <c r="D13648"/>
  <c r="D13646"/>
  <c r="D13644"/>
  <c r="D13642"/>
  <c r="D13640"/>
  <c r="D13638"/>
  <c r="D13636"/>
  <c r="D13634"/>
  <c r="D13632"/>
  <c r="D13630"/>
  <c r="D13628"/>
  <c r="D13626"/>
  <c r="D13624"/>
  <c r="D13622"/>
  <c r="D13620"/>
  <c r="D13618"/>
  <c r="D13616"/>
  <c r="D13614"/>
  <c r="D13612"/>
  <c r="D13610"/>
  <c r="D13608"/>
  <c r="D13606"/>
  <c r="D13604"/>
  <c r="D13602"/>
  <c r="D13600"/>
  <c r="D13598"/>
  <c r="D13596"/>
  <c r="D13594"/>
  <c r="D13592"/>
  <c r="D13590"/>
  <c r="D13588"/>
  <c r="D13586"/>
  <c r="D13584"/>
  <c r="D13582"/>
  <c r="D13580"/>
  <c r="D13578"/>
  <c r="D13576"/>
  <c r="D13574"/>
  <c r="D13572"/>
  <c r="D13570"/>
  <c r="D13568"/>
  <c r="D13566"/>
  <c r="D13564"/>
  <c r="D13562"/>
  <c r="D13560"/>
  <c r="D13558"/>
  <c r="D13556"/>
  <c r="D13554"/>
  <c r="D13552"/>
  <c r="D13550"/>
  <c r="D13548"/>
  <c r="D13546"/>
  <c r="D13544"/>
  <c r="D13542"/>
  <c r="D13540"/>
  <c r="D13538"/>
  <c r="D13536"/>
  <c r="D13534"/>
  <c r="D13532"/>
  <c r="D13530"/>
  <c r="D13528"/>
  <c r="D13526"/>
  <c r="D13524"/>
  <c r="D13522"/>
  <c r="D13520"/>
  <c r="D13518"/>
  <c r="D13516"/>
  <c r="D13514"/>
  <c r="D13512"/>
  <c r="D13510"/>
  <c r="D13508"/>
  <c r="D13506"/>
  <c r="D13504"/>
  <c r="D13502"/>
  <c r="D13500"/>
  <c r="D13498"/>
  <c r="D13496"/>
  <c r="D13494"/>
  <c r="D13492"/>
  <c r="D13490"/>
  <c r="D13488"/>
  <c r="D13486"/>
  <c r="D13484"/>
  <c r="D13482"/>
  <c r="D13480"/>
  <c r="D13478"/>
  <c r="D13476"/>
  <c r="D13474"/>
  <c r="D13472"/>
  <c r="D13470"/>
  <c r="D13468"/>
  <c r="D13466"/>
  <c r="D13464"/>
  <c r="D13462"/>
  <c r="D13460"/>
  <c r="D13458"/>
  <c r="D13456"/>
  <c r="D13454"/>
  <c r="D13452"/>
  <c r="D13450"/>
  <c r="D13448"/>
  <c r="D13446"/>
  <c r="D13444"/>
  <c r="D13442"/>
  <c r="D13440"/>
  <c r="D13438"/>
  <c r="D13436"/>
  <c r="D13434"/>
  <c r="D13432"/>
  <c r="D13430"/>
  <c r="D13428"/>
  <c r="D13426"/>
  <c r="D13424"/>
  <c r="D13422"/>
  <c r="D13420"/>
  <c r="D13418"/>
  <c r="D13416"/>
  <c r="D13414"/>
  <c r="D13412"/>
  <c r="D13410"/>
  <c r="D13408"/>
  <c r="D13406"/>
  <c r="D13404"/>
  <c r="D13402"/>
  <c r="D13400"/>
  <c r="D13398"/>
  <c r="D13396"/>
  <c r="D13394"/>
  <c r="D13392"/>
  <c r="D13390"/>
  <c r="D13388"/>
  <c r="D13386"/>
  <c r="D13384"/>
  <c r="D13382"/>
  <c r="D13380"/>
  <c r="D13378"/>
  <c r="D13376"/>
  <c r="D13374"/>
  <c r="D13372"/>
  <c r="D13370"/>
  <c r="D13368"/>
  <c r="D13366"/>
  <c r="D13364"/>
  <c r="D13362"/>
  <c r="D13360"/>
  <c r="D13358"/>
  <c r="D13356"/>
  <c r="D13354"/>
  <c r="D13352"/>
  <c r="D13350"/>
  <c r="D13348"/>
  <c r="D13346"/>
  <c r="D13344"/>
  <c r="D13342"/>
  <c r="D13340"/>
  <c r="D13338"/>
  <c r="D13336"/>
  <c r="D13334"/>
  <c r="D13332"/>
  <c r="D13330"/>
  <c r="D13328"/>
  <c r="D13326"/>
  <c r="D13324"/>
  <c r="D13322"/>
  <c r="D13320"/>
  <c r="D13318"/>
  <c r="D13316"/>
  <c r="D13314"/>
  <c r="D13312"/>
  <c r="D13310"/>
  <c r="D13308"/>
  <c r="D13306"/>
  <c r="D13304"/>
  <c r="D13302"/>
  <c r="D13300"/>
  <c r="D13298"/>
  <c r="D13296"/>
  <c r="D13294"/>
  <c r="D13292"/>
  <c r="D13290"/>
  <c r="D13288"/>
  <c r="D13286"/>
  <c r="D13284"/>
  <c r="D13282"/>
  <c r="D13280"/>
  <c r="D13278"/>
  <c r="D13276"/>
  <c r="D13274"/>
  <c r="D13272"/>
  <c r="D13270"/>
  <c r="D13268"/>
  <c r="D13266"/>
  <c r="D13264"/>
  <c r="D13262"/>
  <c r="D13260"/>
  <c r="D13258"/>
  <c r="D13256"/>
  <c r="D13254"/>
  <c r="D13252"/>
  <c r="D13250"/>
  <c r="D13248"/>
  <c r="D13246"/>
  <c r="D13244"/>
  <c r="D13242"/>
  <c r="D13240"/>
  <c r="D13238"/>
  <c r="D13236"/>
  <c r="D13234"/>
  <c r="D13232"/>
  <c r="D13230"/>
  <c r="D13228"/>
  <c r="D13226"/>
  <c r="D13224"/>
  <c r="D13222"/>
  <c r="D13220"/>
  <c r="D13218"/>
  <c r="D13216"/>
  <c r="D13214"/>
  <c r="D13212"/>
  <c r="D13210"/>
  <c r="D13208"/>
  <c r="D13206"/>
  <c r="D13204"/>
  <c r="D13202"/>
  <c r="D13200"/>
  <c r="D13198"/>
  <c r="D13196"/>
  <c r="D13194"/>
  <c r="D13192"/>
  <c r="D13190"/>
  <c r="D13188"/>
  <c r="D13186"/>
  <c r="D13184"/>
  <c r="D13182"/>
  <c r="D13180"/>
  <c r="D13178"/>
  <c r="D13176"/>
  <c r="D13174"/>
  <c r="D13172"/>
  <c r="D13170"/>
  <c r="D13168"/>
  <c r="D13166"/>
  <c r="D13164"/>
  <c r="D13162"/>
  <c r="D13160"/>
  <c r="D13158"/>
  <c r="D13156"/>
  <c r="D13154"/>
  <c r="D13152"/>
  <c r="D13150"/>
  <c r="D13148"/>
  <c r="D13146"/>
  <c r="D13144"/>
  <c r="D13142"/>
  <c r="D13140"/>
  <c r="D13138"/>
  <c r="D13136"/>
  <c r="D13134"/>
  <c r="D13132"/>
  <c r="D13130"/>
  <c r="D13128"/>
  <c r="D13126"/>
  <c r="D13124"/>
  <c r="D13122"/>
  <c r="D13120"/>
  <c r="D13118"/>
  <c r="D13116"/>
  <c r="D13114"/>
  <c r="D13112"/>
  <c r="D13110"/>
  <c r="D13108"/>
  <c r="D13106"/>
  <c r="D13104"/>
  <c r="D13102"/>
  <c r="D13100"/>
  <c r="D13098"/>
  <c r="D13096"/>
  <c r="D13094"/>
  <c r="D13092"/>
  <c r="D13090"/>
  <c r="D13088"/>
  <c r="D13086"/>
  <c r="D13084"/>
  <c r="D13082"/>
  <c r="D13080"/>
  <c r="D13078"/>
  <c r="D13076"/>
  <c r="D13074"/>
  <c r="D13072"/>
  <c r="D13070"/>
  <c r="D13068"/>
  <c r="D13066"/>
  <c r="D13064"/>
  <c r="D13062"/>
  <c r="D13060"/>
  <c r="D13058"/>
  <c r="D13056"/>
  <c r="D13054"/>
  <c r="D13052"/>
  <c r="D13050"/>
  <c r="D13048"/>
  <c r="D13046"/>
  <c r="D13044"/>
  <c r="D13042"/>
  <c r="D13040"/>
  <c r="D13038"/>
  <c r="D13036"/>
  <c r="D13034"/>
  <c r="D13032"/>
  <c r="D13030"/>
  <c r="D13028"/>
  <c r="D13026"/>
  <c r="D13024"/>
  <c r="D13022"/>
  <c r="D13020"/>
  <c r="D13018"/>
  <c r="D13016"/>
  <c r="D13014"/>
  <c r="D13012"/>
  <c r="D13010"/>
  <c r="D13008"/>
  <c r="D13006"/>
  <c r="D13004"/>
  <c r="D13002"/>
  <c r="D13000"/>
  <c r="D12998"/>
  <c r="D12996"/>
  <c r="D12994"/>
  <c r="D12992"/>
  <c r="D12990"/>
  <c r="D12988"/>
  <c r="D12986"/>
  <c r="D12984"/>
  <c r="D12982"/>
  <c r="D12980"/>
  <c r="D12978"/>
  <c r="D12976"/>
  <c r="D12974"/>
  <c r="D12972"/>
  <c r="D12970"/>
  <c r="D12968"/>
  <c r="D12966"/>
  <c r="D12964"/>
  <c r="D12962"/>
  <c r="D12960"/>
  <c r="D12958"/>
  <c r="D12956"/>
  <c r="D12954"/>
  <c r="D12952"/>
  <c r="D12950"/>
  <c r="D12948"/>
  <c r="D12946"/>
  <c r="D12944"/>
  <c r="D12942"/>
  <c r="D12940"/>
  <c r="D12938"/>
  <c r="D12936"/>
  <c r="D12934"/>
  <c r="D12932"/>
  <c r="D12930"/>
  <c r="D12928"/>
  <c r="D12926"/>
  <c r="D12924"/>
  <c r="D12922"/>
  <c r="D12920"/>
  <c r="D12918"/>
  <c r="D12916"/>
  <c r="D12914"/>
  <c r="D12912"/>
  <c r="D12910"/>
  <c r="D12908"/>
  <c r="D12906"/>
  <c r="D12904"/>
  <c r="D12902"/>
  <c r="D12900"/>
  <c r="D12898"/>
  <c r="D12896"/>
  <c r="D12894"/>
  <c r="D12892"/>
  <c r="D12890"/>
  <c r="D12888"/>
  <c r="D12886"/>
  <c r="D12884"/>
  <c r="D12882"/>
  <c r="D12880"/>
  <c r="D12878"/>
  <c r="D12876"/>
  <c r="D12874"/>
  <c r="D12872"/>
  <c r="D12870"/>
  <c r="D12868"/>
  <c r="D12866"/>
  <c r="D12864"/>
  <c r="D12862"/>
  <c r="D12860"/>
  <c r="D12858"/>
  <c r="D12856"/>
  <c r="D12854"/>
  <c r="D12852"/>
  <c r="D12850"/>
  <c r="D12848"/>
  <c r="D12846"/>
  <c r="D12844"/>
  <c r="D12842"/>
  <c r="D12840"/>
  <c r="D12838"/>
  <c r="D12836"/>
  <c r="D12834"/>
  <c r="D12832"/>
  <c r="D12830"/>
  <c r="D12828"/>
  <c r="D12826"/>
  <c r="D12824"/>
  <c r="D12822"/>
  <c r="D12820"/>
  <c r="D12818"/>
  <c r="D12816"/>
  <c r="D12814"/>
  <c r="D12812"/>
  <c r="D12810"/>
  <c r="D12808"/>
  <c r="D12806"/>
  <c r="D12804"/>
  <c r="D12802"/>
  <c r="D12800"/>
  <c r="D12798"/>
  <c r="D12796"/>
  <c r="D12794"/>
  <c r="D12792"/>
  <c r="D12790"/>
  <c r="D12788"/>
  <c r="D12786"/>
  <c r="D12784"/>
  <c r="D12782"/>
  <c r="D12780"/>
  <c r="D12778"/>
  <c r="D12776"/>
  <c r="D12774"/>
  <c r="D12772"/>
  <c r="D12770"/>
  <c r="D12768"/>
  <c r="D12766"/>
  <c r="D12764"/>
  <c r="D12762"/>
  <c r="D12760"/>
  <c r="D12758"/>
  <c r="D12756"/>
  <c r="D12754"/>
  <c r="D12752"/>
  <c r="D12750"/>
  <c r="D12748"/>
  <c r="D12746"/>
  <c r="D12744"/>
  <c r="D12742"/>
  <c r="D12740"/>
  <c r="D12738"/>
  <c r="D12736"/>
  <c r="D12734"/>
  <c r="D12732"/>
  <c r="D12730"/>
  <c r="D12728"/>
  <c r="D12726"/>
  <c r="D12724"/>
  <c r="D12722"/>
  <c r="D12720"/>
  <c r="D12718"/>
  <c r="D12716"/>
  <c r="D12714"/>
  <c r="D12712"/>
  <c r="D12710"/>
  <c r="D12708"/>
  <c r="D12706"/>
  <c r="D12704"/>
  <c r="D12702"/>
  <c r="D12700"/>
  <c r="D12698"/>
  <c r="D12696"/>
  <c r="D12694"/>
  <c r="D12692"/>
  <c r="D12690"/>
  <c r="D12688"/>
  <c r="D12686"/>
  <c r="D12684"/>
  <c r="D12682"/>
  <c r="D12680"/>
  <c r="D12678"/>
  <c r="D12676"/>
  <c r="D12674"/>
  <c r="D12672"/>
  <c r="D12670"/>
  <c r="D12668"/>
  <c r="D12666"/>
  <c r="D12664"/>
  <c r="D12662"/>
  <c r="D12660"/>
  <c r="D12658"/>
  <c r="D12656"/>
  <c r="D12654"/>
  <c r="D12652"/>
  <c r="D12650"/>
  <c r="D12648"/>
  <c r="D12646"/>
  <c r="D12644"/>
  <c r="D12642"/>
  <c r="D12640"/>
  <c r="D12638"/>
  <c r="D12636"/>
  <c r="D12634"/>
  <c r="D12632"/>
  <c r="D12630"/>
  <c r="D12628"/>
  <c r="D12626"/>
  <c r="D12624"/>
  <c r="D12622"/>
  <c r="D12620"/>
  <c r="D12618"/>
  <c r="D12616"/>
  <c r="D12614"/>
  <c r="D12612"/>
  <c r="D12610"/>
  <c r="D12608"/>
  <c r="D12606"/>
  <c r="D12604"/>
  <c r="D12602"/>
  <c r="D12600"/>
  <c r="D12598"/>
  <c r="D12596"/>
  <c r="D12594"/>
  <c r="D12592"/>
  <c r="D12590"/>
  <c r="D12588"/>
  <c r="D12586"/>
  <c r="D12584"/>
  <c r="D12582"/>
  <c r="D12580"/>
  <c r="D12578"/>
  <c r="D12576"/>
  <c r="D12574"/>
  <c r="D12572"/>
  <c r="D12570"/>
  <c r="D12568"/>
  <c r="D12566"/>
  <c r="D12564"/>
  <c r="D12562"/>
  <c r="D12560"/>
  <c r="D12558"/>
  <c r="D12556"/>
  <c r="D12554"/>
  <c r="D12552"/>
  <c r="D12550"/>
  <c r="D12548"/>
  <c r="D12546"/>
  <c r="D12544"/>
  <c r="D12542"/>
  <c r="D12540"/>
  <c r="D12538"/>
  <c r="D12536"/>
  <c r="D12534"/>
  <c r="D12532"/>
  <c r="D12530"/>
  <c r="D12528"/>
  <c r="D12526"/>
  <c r="D12524"/>
  <c r="D12522"/>
  <c r="D12520"/>
  <c r="D12518"/>
  <c r="D12516"/>
  <c r="D12514"/>
  <c r="D12512"/>
  <c r="D12510"/>
  <c r="D12508"/>
  <c r="D12506"/>
  <c r="D12504"/>
  <c r="D12502"/>
  <c r="D12500"/>
  <c r="D12498"/>
  <c r="D12496"/>
  <c r="D12494"/>
  <c r="D12492"/>
  <c r="D12490"/>
  <c r="D12488"/>
  <c r="D12486"/>
  <c r="D12484"/>
  <c r="D12482"/>
  <c r="D12480"/>
  <c r="D12478"/>
  <c r="D12476"/>
  <c r="D12474"/>
  <c r="D12472"/>
  <c r="D12470"/>
  <c r="D12468"/>
  <c r="D12466"/>
  <c r="D12464"/>
  <c r="D12462"/>
  <c r="D12460"/>
  <c r="D12458"/>
  <c r="D12456"/>
  <c r="D12454"/>
  <c r="D12452"/>
  <c r="D12450"/>
  <c r="D12448"/>
  <c r="D12446"/>
  <c r="D12444"/>
  <c r="D12442"/>
  <c r="D12440"/>
  <c r="D12438"/>
  <c r="D12436"/>
  <c r="D12434"/>
  <c r="D12432"/>
  <c r="D12430"/>
  <c r="D12428"/>
  <c r="D12426"/>
  <c r="D12424"/>
  <c r="D12422"/>
  <c r="D12420"/>
  <c r="D12418"/>
  <c r="D12416"/>
  <c r="D12414"/>
  <c r="D12412"/>
  <c r="D12410"/>
  <c r="D12408"/>
  <c r="D12406"/>
  <c r="D12404"/>
  <c r="D12402"/>
  <c r="D12400"/>
  <c r="D12398"/>
  <c r="D12396"/>
  <c r="D12394"/>
  <c r="D12392"/>
  <c r="D12390"/>
  <c r="D12388"/>
  <c r="D12386"/>
  <c r="D12384"/>
  <c r="D12382"/>
  <c r="D12380"/>
  <c r="D12378"/>
  <c r="D12376"/>
  <c r="D12374"/>
  <c r="D12372"/>
  <c r="D12370"/>
  <c r="D12368"/>
  <c r="D12366"/>
  <c r="D12364"/>
  <c r="D12362"/>
  <c r="D12360"/>
  <c r="D12358"/>
  <c r="D12356"/>
  <c r="D12354"/>
  <c r="D12352"/>
  <c r="D12350"/>
  <c r="D12348"/>
  <c r="D12346"/>
  <c r="D12344"/>
  <c r="D12342"/>
  <c r="D12340"/>
  <c r="D12338"/>
  <c r="D12336"/>
  <c r="D12334"/>
  <c r="D12332"/>
  <c r="D12330"/>
  <c r="D12328"/>
  <c r="D12326"/>
  <c r="D12324"/>
  <c r="D12322"/>
  <c r="D12320"/>
  <c r="D12318"/>
  <c r="D12316"/>
  <c r="D12314"/>
  <c r="D12312"/>
  <c r="D12310"/>
  <c r="D12308"/>
  <c r="D12306"/>
  <c r="D12304"/>
  <c r="D12302"/>
  <c r="D12300"/>
  <c r="D12298"/>
  <c r="D12296"/>
  <c r="D12294"/>
  <c r="D12292"/>
  <c r="D12290"/>
  <c r="D12288"/>
  <c r="D12286"/>
  <c r="D12284"/>
  <c r="D12282"/>
  <c r="D12280"/>
  <c r="D12278"/>
  <c r="D12276"/>
  <c r="D12274"/>
  <c r="D12272"/>
  <c r="D12270"/>
  <c r="D12268"/>
  <c r="D12266"/>
  <c r="D12264"/>
  <c r="D12262"/>
  <c r="D12260"/>
  <c r="D12258"/>
  <c r="D12256"/>
  <c r="D12254"/>
  <c r="D12252"/>
  <c r="D12250"/>
  <c r="D12248"/>
  <c r="D12246"/>
  <c r="D12244"/>
  <c r="D12242"/>
  <c r="D12240"/>
  <c r="D12238"/>
  <c r="D12236"/>
  <c r="D12234"/>
  <c r="D12232"/>
  <c r="D12230"/>
  <c r="D12228"/>
  <c r="D12226"/>
  <c r="D12224"/>
  <c r="D12222"/>
  <c r="D12220"/>
  <c r="D12218"/>
  <c r="D12216"/>
  <c r="D12214"/>
  <c r="D12212"/>
  <c r="D12210"/>
  <c r="D12208"/>
  <c r="D12206"/>
  <c r="D12204"/>
  <c r="D12202"/>
  <c r="D12200"/>
  <c r="D12198"/>
  <c r="D12196"/>
  <c r="D12194"/>
  <c r="D12192"/>
  <c r="D12190"/>
  <c r="D12188"/>
  <c r="D12186"/>
  <c r="D12184"/>
  <c r="D12182"/>
  <c r="D12180"/>
  <c r="D12178"/>
  <c r="D12176"/>
  <c r="D12174"/>
  <c r="D12172"/>
  <c r="D12170"/>
  <c r="D12168"/>
  <c r="D12166"/>
  <c r="D12164"/>
  <c r="D12162"/>
  <c r="D12160"/>
  <c r="D12158"/>
  <c r="D12156"/>
  <c r="D12154"/>
  <c r="D12152"/>
  <c r="D12150"/>
  <c r="D12148"/>
  <c r="D12146"/>
  <c r="D12144"/>
  <c r="D12142"/>
  <c r="D12140"/>
  <c r="D12138"/>
  <c r="D12136"/>
  <c r="D12134"/>
  <c r="D12132"/>
  <c r="D12130"/>
  <c r="D12128"/>
  <c r="D12126"/>
  <c r="D12124"/>
  <c r="D12122"/>
  <c r="D12120"/>
  <c r="D12118"/>
  <c r="D12116"/>
  <c r="D12114"/>
  <c r="D12112"/>
  <c r="D12110"/>
  <c r="D12108"/>
  <c r="D12106"/>
  <c r="D12104"/>
  <c r="D12102"/>
  <c r="D12100"/>
  <c r="D12098"/>
  <c r="D12096"/>
  <c r="D12094"/>
  <c r="D12092"/>
  <c r="D12090"/>
  <c r="D12088"/>
  <c r="D12086"/>
  <c r="D12084"/>
  <c r="D12082"/>
  <c r="D12080"/>
  <c r="D12078"/>
  <c r="D12076"/>
  <c r="D12074"/>
  <c r="D12072"/>
  <c r="D12070"/>
  <c r="D12068"/>
  <c r="D12066"/>
  <c r="D12064"/>
  <c r="D12062"/>
  <c r="D12060"/>
  <c r="D12058"/>
  <c r="D12056"/>
  <c r="D12054"/>
  <c r="D12052"/>
  <c r="D12050"/>
  <c r="D12048"/>
  <c r="D12046"/>
  <c r="D12044"/>
  <c r="D12042"/>
  <c r="D12040"/>
  <c r="D12038"/>
  <c r="D12036"/>
  <c r="D12034"/>
  <c r="D12032"/>
  <c r="D12030"/>
  <c r="D12028"/>
  <c r="D12026"/>
  <c r="D12024"/>
  <c r="D12022"/>
  <c r="D12020"/>
  <c r="D12018"/>
  <c r="D12016"/>
  <c r="D12014"/>
  <c r="D12012"/>
  <c r="D12010"/>
  <c r="D12008"/>
  <c r="D12006"/>
  <c r="D12004"/>
  <c r="D12002"/>
  <c r="D12000"/>
  <c r="D11998"/>
  <c r="D11996"/>
  <c r="D11994"/>
  <c r="D11992"/>
  <c r="D11990"/>
  <c r="D11988"/>
  <c r="D11986"/>
  <c r="D11984"/>
  <c r="D11982"/>
  <c r="D11980"/>
  <c r="D11978"/>
  <c r="D11976"/>
  <c r="D11974"/>
  <c r="D11972"/>
  <c r="D11970"/>
  <c r="D11968"/>
  <c r="D11966"/>
  <c r="D11964"/>
  <c r="D11962"/>
  <c r="D11960"/>
  <c r="D11958"/>
  <c r="D11956"/>
  <c r="D11954"/>
  <c r="D11952"/>
  <c r="D11950"/>
  <c r="D11948"/>
  <c r="D11946"/>
  <c r="D11944"/>
  <c r="D11942"/>
  <c r="D11940"/>
  <c r="D11938"/>
  <c r="D11936"/>
  <c r="D11934"/>
  <c r="D11932"/>
  <c r="D11930"/>
  <c r="D11928"/>
  <c r="D11926"/>
  <c r="D11924"/>
  <c r="D11922"/>
  <c r="D11920"/>
  <c r="D11918"/>
  <c r="D11916"/>
  <c r="D11914"/>
  <c r="D11912"/>
  <c r="D11910"/>
  <c r="D11908"/>
  <c r="D11906"/>
  <c r="D11904"/>
  <c r="D11902"/>
  <c r="D11900"/>
  <c r="D11898"/>
  <c r="D11896"/>
  <c r="D11894"/>
  <c r="D11892"/>
  <c r="D11890"/>
  <c r="D11888"/>
  <c r="D11886"/>
  <c r="D11884"/>
  <c r="D11882"/>
  <c r="D11880"/>
  <c r="D11878"/>
  <c r="D11876"/>
  <c r="D11874"/>
  <c r="D11872"/>
  <c r="D11870"/>
  <c r="D11868"/>
  <c r="D11866"/>
  <c r="D11864"/>
  <c r="D11862"/>
  <c r="D11860"/>
  <c r="D11858"/>
  <c r="D11856"/>
  <c r="D11854"/>
  <c r="D11852"/>
  <c r="D11850"/>
  <c r="D11848"/>
  <c r="D11846"/>
  <c r="D11844"/>
  <c r="D11842"/>
  <c r="D11840"/>
  <c r="D11838"/>
  <c r="D11836"/>
  <c r="D11834"/>
  <c r="D11832"/>
  <c r="D11830"/>
  <c r="D11828"/>
  <c r="D11826"/>
  <c r="D11824"/>
  <c r="D11822"/>
  <c r="D11820"/>
  <c r="D11818"/>
  <c r="D11816"/>
  <c r="D11814"/>
  <c r="D11812"/>
  <c r="D11810"/>
  <c r="D11808"/>
  <c r="D11806"/>
  <c r="D11804"/>
  <c r="D11802"/>
  <c r="D11800"/>
  <c r="D11798"/>
  <c r="D11796"/>
  <c r="D11794"/>
  <c r="D11792"/>
  <c r="D11790"/>
  <c r="D11788"/>
  <c r="D11786"/>
  <c r="D11784"/>
  <c r="D11782"/>
  <c r="D11780"/>
  <c r="D11778"/>
  <c r="D11776"/>
  <c r="D11774"/>
  <c r="D11772"/>
  <c r="D11770"/>
  <c r="D11768"/>
  <c r="D11766"/>
  <c r="D11764"/>
  <c r="D11762"/>
  <c r="D11760"/>
  <c r="D11758"/>
  <c r="D11756"/>
  <c r="D11754"/>
  <c r="D11752"/>
  <c r="D11750"/>
  <c r="D11748"/>
  <c r="D11746"/>
  <c r="D11744"/>
  <c r="D11742"/>
  <c r="D11740"/>
  <c r="D11738"/>
  <c r="D11736"/>
  <c r="D11734"/>
  <c r="D11732"/>
  <c r="D11730"/>
  <c r="D11728"/>
  <c r="D11726"/>
  <c r="D11724"/>
  <c r="D11722"/>
  <c r="D11720"/>
  <c r="D11718"/>
  <c r="D11716"/>
  <c r="D11714"/>
  <c r="D11712"/>
  <c r="D11710"/>
  <c r="D11708"/>
  <c r="D11706"/>
  <c r="D11704"/>
  <c r="D11702"/>
  <c r="D11700"/>
  <c r="D11698"/>
  <c r="D11696"/>
  <c r="D11694"/>
  <c r="D11692"/>
  <c r="D11690"/>
  <c r="D11688"/>
  <c r="D11686"/>
  <c r="D11684"/>
  <c r="D11682"/>
  <c r="D11680"/>
  <c r="D11678"/>
  <c r="D11676"/>
  <c r="D11674"/>
  <c r="D11672"/>
  <c r="D11670"/>
  <c r="D11668"/>
  <c r="D11666"/>
  <c r="D11664"/>
  <c r="D11662"/>
  <c r="D11660"/>
  <c r="D11658"/>
  <c r="D11656"/>
  <c r="D11654"/>
  <c r="D11652"/>
  <c r="D11650"/>
  <c r="D11648"/>
  <c r="D11646"/>
  <c r="D11644"/>
  <c r="D11642"/>
  <c r="D11640"/>
  <c r="D11638"/>
  <c r="D11636"/>
  <c r="D11634"/>
  <c r="D11632"/>
  <c r="D11630"/>
  <c r="D11628"/>
  <c r="D11626"/>
  <c r="D11624"/>
  <c r="D11622"/>
  <c r="D11620"/>
  <c r="D11618"/>
  <c r="D11616"/>
  <c r="D11614"/>
  <c r="D11612"/>
  <c r="D11610"/>
  <c r="D11608"/>
  <c r="D11606"/>
  <c r="D11604"/>
  <c r="D11602"/>
  <c r="D11600"/>
  <c r="D11598"/>
  <c r="D11596"/>
  <c r="D11594"/>
  <c r="D11592"/>
  <c r="D11590"/>
  <c r="D11588"/>
  <c r="D11586"/>
  <c r="D11584"/>
  <c r="D11582"/>
  <c r="D11580"/>
  <c r="D11578"/>
  <c r="D11576"/>
  <c r="D11574"/>
  <c r="D11572"/>
  <c r="D11570"/>
  <c r="D11568"/>
  <c r="D11566"/>
  <c r="D11564"/>
  <c r="D11562"/>
  <c r="D11560"/>
  <c r="D11558"/>
  <c r="D11556"/>
  <c r="D11554"/>
  <c r="D11552"/>
  <c r="D11550"/>
  <c r="D11548"/>
  <c r="D11546"/>
  <c r="D11544"/>
  <c r="D11542"/>
  <c r="D11540"/>
  <c r="D11538"/>
  <c r="D11536"/>
  <c r="D11534"/>
  <c r="D11532"/>
  <c r="D11530"/>
  <c r="D11528"/>
  <c r="D11526"/>
  <c r="D11524"/>
  <c r="D11522"/>
  <c r="D11520"/>
  <c r="D11518"/>
  <c r="D11516"/>
  <c r="D11514"/>
  <c r="D11512"/>
  <c r="D11510"/>
  <c r="D11508"/>
  <c r="D11506"/>
  <c r="D11504"/>
  <c r="D11502"/>
  <c r="D11500"/>
  <c r="D11498"/>
  <c r="D11496"/>
  <c r="D11494"/>
  <c r="D11492"/>
  <c r="D11490"/>
  <c r="D11488"/>
  <c r="D11486"/>
  <c r="D11484"/>
  <c r="D11482"/>
  <c r="D11480"/>
  <c r="D11478"/>
  <c r="D11476"/>
  <c r="D11474"/>
  <c r="D11472"/>
  <c r="D11470"/>
  <c r="D11468"/>
  <c r="D11466"/>
  <c r="D11464"/>
  <c r="D11462"/>
  <c r="D11460"/>
  <c r="D11458"/>
  <c r="D11456"/>
  <c r="D11454"/>
  <c r="D11452"/>
  <c r="D11450"/>
  <c r="D11448"/>
  <c r="D11446"/>
  <c r="D11444"/>
  <c r="D11442"/>
  <c r="D11440"/>
  <c r="D11438"/>
  <c r="D11436"/>
  <c r="D11434"/>
  <c r="D11432"/>
  <c r="D11430"/>
  <c r="D11428"/>
  <c r="D11426"/>
  <c r="D11424"/>
  <c r="D11422"/>
  <c r="D11420"/>
  <c r="D11418"/>
  <c r="D11416"/>
  <c r="D11414"/>
  <c r="D11412"/>
  <c r="D11410"/>
  <c r="D11408"/>
  <c r="D11406"/>
  <c r="D11404"/>
  <c r="D11402"/>
  <c r="D11400"/>
  <c r="D11398"/>
  <c r="D11396"/>
  <c r="D11394"/>
  <c r="D11392"/>
  <c r="D11390"/>
  <c r="D11388"/>
  <c r="D11386"/>
  <c r="D11384"/>
  <c r="D11382"/>
  <c r="D11380"/>
  <c r="D11378"/>
  <c r="D11376"/>
  <c r="D11374"/>
  <c r="D11372"/>
  <c r="D11370"/>
  <c r="D11368"/>
  <c r="D11366"/>
  <c r="D11364"/>
  <c r="D11362"/>
  <c r="D11360"/>
  <c r="D11358"/>
  <c r="D11356"/>
  <c r="D11354"/>
  <c r="D11352"/>
  <c r="D11350"/>
  <c r="D11348"/>
  <c r="D11346"/>
  <c r="D11344"/>
  <c r="D11342"/>
  <c r="D11340"/>
  <c r="D11338"/>
  <c r="D11336"/>
  <c r="D11334"/>
  <c r="D11332"/>
  <c r="D11330"/>
  <c r="D11328"/>
  <c r="D11326"/>
  <c r="D11324"/>
  <c r="D11322"/>
  <c r="D11320"/>
  <c r="D11318"/>
  <c r="D11316"/>
  <c r="D11314"/>
  <c r="D11312"/>
  <c r="D11310"/>
  <c r="D11308"/>
  <c r="D11306"/>
  <c r="D11304"/>
  <c r="D11302"/>
  <c r="D11300"/>
  <c r="D11298"/>
  <c r="D11296"/>
  <c r="D11294"/>
  <c r="D11292"/>
  <c r="D11290"/>
  <c r="D11288"/>
  <c r="D11286"/>
  <c r="D11284"/>
  <c r="D11282"/>
  <c r="D11280"/>
  <c r="D11278"/>
  <c r="D11276"/>
  <c r="D11274"/>
  <c r="D11272"/>
  <c r="D11270"/>
  <c r="D11268"/>
  <c r="D11266"/>
  <c r="D11264"/>
  <c r="D11262"/>
  <c r="D11260"/>
  <c r="D11258"/>
  <c r="D11256"/>
  <c r="D11254"/>
  <c r="D11252"/>
  <c r="D11250"/>
  <c r="D11248"/>
  <c r="D11246"/>
  <c r="D11244"/>
  <c r="D11242"/>
  <c r="D11240"/>
  <c r="D11238"/>
  <c r="D11236"/>
  <c r="D11234"/>
  <c r="D11232"/>
  <c r="D11230"/>
  <c r="D11228"/>
  <c r="D11226"/>
  <c r="D11224"/>
  <c r="D11222"/>
  <c r="D11220"/>
  <c r="D11218"/>
  <c r="D11216"/>
  <c r="D11214"/>
  <c r="D11212"/>
  <c r="D11210"/>
  <c r="D11208"/>
  <c r="D11206"/>
  <c r="D11204"/>
  <c r="D11202"/>
  <c r="D11200"/>
  <c r="D11198"/>
  <c r="D11196"/>
  <c r="D11194"/>
  <c r="D11192"/>
  <c r="D11190"/>
  <c r="D11188"/>
  <c r="D11186"/>
  <c r="D11184"/>
  <c r="D11182"/>
  <c r="D11180"/>
  <c r="D11178"/>
  <c r="D11176"/>
  <c r="D11174"/>
  <c r="D11172"/>
  <c r="D11170"/>
  <c r="D11168"/>
  <c r="D11166"/>
  <c r="D11164"/>
  <c r="D11162"/>
  <c r="D11160"/>
  <c r="D11158"/>
  <c r="D11156"/>
  <c r="D11154"/>
  <c r="D11152"/>
  <c r="D11150"/>
  <c r="D11148"/>
  <c r="D11146"/>
  <c r="D11144"/>
  <c r="D11142"/>
  <c r="D11140"/>
  <c r="D11138"/>
  <c r="D11136"/>
  <c r="D11134"/>
  <c r="D11132"/>
  <c r="D11130"/>
  <c r="D11128"/>
  <c r="D11126"/>
  <c r="D11124"/>
  <c r="D11122"/>
  <c r="D11120"/>
  <c r="D11118"/>
  <c r="D11116"/>
  <c r="D11114"/>
  <c r="D11112"/>
  <c r="D11110"/>
  <c r="D11108"/>
  <c r="D11106"/>
  <c r="D11104"/>
  <c r="D11102"/>
  <c r="D11100"/>
  <c r="D11098"/>
  <c r="D11096"/>
  <c r="D11094"/>
  <c r="D11092"/>
  <c r="D11090"/>
  <c r="D11088"/>
  <c r="D11086"/>
  <c r="D11084"/>
  <c r="D11082"/>
  <c r="D11080"/>
  <c r="D11078"/>
  <c r="D11076"/>
  <c r="D11074"/>
  <c r="D11072"/>
  <c r="D11070"/>
  <c r="D11068"/>
  <c r="D11066"/>
  <c r="D11064"/>
  <c r="D11062"/>
  <c r="D11060"/>
  <c r="D11058"/>
  <c r="D11056"/>
  <c r="D11054"/>
  <c r="D11052"/>
  <c r="D11050"/>
  <c r="D11048"/>
  <c r="D11046"/>
  <c r="D11044"/>
  <c r="D11042"/>
  <c r="D11040"/>
  <c r="D11038"/>
  <c r="D11036"/>
  <c r="D11034"/>
  <c r="D11032"/>
  <c r="D11030"/>
  <c r="D11028"/>
  <c r="D11026"/>
  <c r="D11024"/>
  <c r="D11022"/>
  <c r="D11020"/>
  <c r="D11018"/>
  <c r="D11016"/>
  <c r="D11014"/>
  <c r="D11012"/>
  <c r="D11010"/>
  <c r="D11008"/>
  <c r="D11006"/>
  <c r="D11004"/>
  <c r="D11002"/>
  <c r="D11000"/>
  <c r="D10998"/>
  <c r="D10996"/>
  <c r="D10994"/>
  <c r="D10992"/>
  <c r="D10990"/>
  <c r="D10988"/>
  <c r="D10986"/>
  <c r="D10984"/>
  <c r="D10982"/>
  <c r="D10980"/>
  <c r="D10978"/>
  <c r="D10976"/>
  <c r="D10974"/>
  <c r="D10972"/>
  <c r="D10970"/>
  <c r="D10968"/>
  <c r="D10966"/>
  <c r="D10964"/>
  <c r="D10962"/>
  <c r="D10960"/>
  <c r="D10958"/>
  <c r="D10956"/>
  <c r="D10954"/>
  <c r="D10952"/>
  <c r="D10950"/>
  <c r="D10948"/>
  <c r="D10946"/>
  <c r="D10944"/>
  <c r="D10942"/>
  <c r="D10940"/>
  <c r="D10938"/>
  <c r="D10936"/>
  <c r="D10934"/>
  <c r="D10932"/>
  <c r="D10930"/>
  <c r="D10928"/>
  <c r="D10926"/>
  <c r="D10924"/>
  <c r="D10922"/>
  <c r="D10920"/>
  <c r="D10918"/>
  <c r="D10916"/>
  <c r="D10914"/>
  <c r="D10912"/>
  <c r="D10910"/>
  <c r="D10908"/>
  <c r="D10906"/>
  <c r="D10904"/>
  <c r="D10902"/>
  <c r="D10900"/>
  <c r="D10898"/>
  <c r="D10896"/>
  <c r="D10894"/>
  <c r="D10892"/>
  <c r="D10890"/>
  <c r="D10888"/>
  <c r="D10886"/>
  <c r="D10884"/>
  <c r="D10882"/>
  <c r="D10880"/>
  <c r="D10878"/>
  <c r="D10876"/>
  <c r="D10874"/>
  <c r="D10872"/>
  <c r="D10870"/>
  <c r="D10868"/>
  <c r="D10866"/>
  <c r="D10864"/>
  <c r="D10862"/>
  <c r="D10860"/>
  <c r="D10858"/>
  <c r="D10856"/>
  <c r="D10854"/>
  <c r="D10852"/>
  <c r="D10850"/>
  <c r="D10848"/>
  <c r="D10846"/>
  <c r="D10844"/>
  <c r="D10842"/>
  <c r="D10840"/>
  <c r="D10838"/>
  <c r="D10836"/>
  <c r="D10834"/>
  <c r="D10832"/>
  <c r="D10830"/>
  <c r="D10828"/>
  <c r="D10826"/>
  <c r="D10824"/>
  <c r="D10822"/>
  <c r="D10820"/>
  <c r="D10818"/>
  <c r="D10816"/>
  <c r="D10814"/>
  <c r="D10812"/>
  <c r="D10810"/>
  <c r="D10808"/>
  <c r="D10806"/>
  <c r="D10804"/>
  <c r="D10802"/>
  <c r="D10800"/>
  <c r="D10798"/>
  <c r="D10796"/>
  <c r="D10794"/>
  <c r="D10792"/>
  <c r="D10790"/>
  <c r="D10788"/>
  <c r="D10786"/>
  <c r="D10784"/>
  <c r="D10782"/>
  <c r="D10780"/>
  <c r="D10778"/>
  <c r="D10776"/>
  <c r="D10774"/>
  <c r="D10772"/>
  <c r="D10770"/>
  <c r="D10768"/>
  <c r="D10766"/>
  <c r="D10764"/>
  <c r="D10762"/>
  <c r="D10760"/>
  <c r="D10758"/>
  <c r="D10756"/>
  <c r="D10754"/>
  <c r="D10752"/>
  <c r="D10750"/>
  <c r="D10748"/>
  <c r="D10746"/>
  <c r="D10744"/>
  <c r="D10742"/>
  <c r="D10740"/>
  <c r="D10738"/>
  <c r="D10736"/>
  <c r="D10734"/>
  <c r="D10732"/>
  <c r="D10730"/>
  <c r="D10728"/>
  <c r="D10726"/>
  <c r="D10724"/>
  <c r="D10722"/>
  <c r="D10720"/>
  <c r="D10718"/>
  <c r="D10716"/>
  <c r="D10714"/>
  <c r="D10712"/>
  <c r="D10710"/>
  <c r="D10708"/>
  <c r="D10706"/>
  <c r="D10704"/>
  <c r="D10702"/>
  <c r="D10700"/>
  <c r="D10698"/>
  <c r="D10696"/>
  <c r="D10694"/>
  <c r="D10692"/>
  <c r="D10690"/>
  <c r="D10688"/>
  <c r="D10686"/>
  <c r="D10684"/>
  <c r="D10682"/>
  <c r="D10680"/>
  <c r="D10678"/>
  <c r="D10676"/>
  <c r="D10674"/>
  <c r="D10672"/>
  <c r="D10670"/>
  <c r="D10668"/>
  <c r="D10666"/>
  <c r="D10664"/>
  <c r="D10662"/>
  <c r="D10660"/>
  <c r="D10658"/>
  <c r="D10656"/>
  <c r="D10654"/>
  <c r="D10652"/>
  <c r="D10650"/>
  <c r="D10648"/>
  <c r="D10646"/>
  <c r="D10644"/>
  <c r="D10642"/>
  <c r="D10640"/>
  <c r="D10638"/>
  <c r="D10636"/>
  <c r="D10634"/>
  <c r="D10632"/>
  <c r="D10630"/>
  <c r="D10628"/>
  <c r="D10626"/>
  <c r="D10624"/>
  <c r="D10622"/>
  <c r="D10620"/>
  <c r="D10618"/>
  <c r="D10616"/>
  <c r="D10614"/>
  <c r="D10612"/>
  <c r="D10610"/>
  <c r="D10608"/>
  <c r="D10606"/>
  <c r="D10604"/>
  <c r="D10602"/>
  <c r="D10600"/>
  <c r="D10598"/>
  <c r="D10596"/>
  <c r="D10594"/>
  <c r="D10592"/>
  <c r="D10590"/>
  <c r="D10588"/>
  <c r="D10586"/>
  <c r="D10584"/>
  <c r="D10582"/>
  <c r="D10580"/>
  <c r="D10578"/>
  <c r="D10576"/>
  <c r="D10574"/>
  <c r="D10572"/>
  <c r="D10570"/>
  <c r="D10568"/>
  <c r="D10566"/>
  <c r="D10564"/>
  <c r="D10562"/>
  <c r="D10560"/>
  <c r="D10558"/>
  <c r="D10556"/>
  <c r="D10554"/>
  <c r="D10552"/>
  <c r="D10550"/>
  <c r="D10548"/>
  <c r="D10546"/>
  <c r="D10544"/>
  <c r="D10542"/>
  <c r="D10540"/>
  <c r="D10538"/>
  <c r="D10536"/>
  <c r="D10534"/>
  <c r="D10532"/>
  <c r="D10530"/>
  <c r="D10528"/>
  <c r="D10526"/>
  <c r="D10524"/>
  <c r="D10522"/>
  <c r="D10520"/>
  <c r="D10518"/>
  <c r="D10516"/>
  <c r="D10514"/>
  <c r="D10512"/>
  <c r="D10510"/>
  <c r="D10508"/>
  <c r="D10506"/>
  <c r="D10504"/>
  <c r="D10502"/>
  <c r="D10500"/>
  <c r="D10498"/>
  <c r="D10496"/>
  <c r="D10494"/>
  <c r="D10492"/>
  <c r="D10490"/>
  <c r="D10488"/>
  <c r="D10486"/>
  <c r="D10484"/>
  <c r="D10482"/>
  <c r="D10480"/>
  <c r="D10478"/>
  <c r="D10476"/>
  <c r="D10474"/>
  <c r="D10472"/>
  <c r="D10470"/>
  <c r="D10468"/>
  <c r="D10466"/>
  <c r="D10464"/>
  <c r="D10462"/>
  <c r="D10460"/>
  <c r="D10458"/>
  <c r="D10456"/>
  <c r="D10454"/>
  <c r="D10452"/>
  <c r="D10450"/>
  <c r="D10448"/>
  <c r="D10446"/>
  <c r="D10444"/>
  <c r="D10442"/>
  <c r="D10440"/>
  <c r="D10438"/>
  <c r="D10436"/>
  <c r="D10434"/>
  <c r="D10432"/>
  <c r="D10430"/>
  <c r="D10428"/>
  <c r="D10426"/>
  <c r="D10424"/>
  <c r="D10422"/>
  <c r="D10420"/>
  <c r="D10418"/>
  <c r="D10416"/>
  <c r="D10414"/>
  <c r="D10412"/>
  <c r="D10410"/>
  <c r="D10408"/>
  <c r="D10406"/>
  <c r="D10404"/>
  <c r="D10402"/>
  <c r="D10400"/>
  <c r="D10398"/>
  <c r="D10396"/>
  <c r="D10394"/>
  <c r="D10392"/>
  <c r="D10390"/>
  <c r="D10388"/>
  <c r="D10386"/>
  <c r="D10384"/>
  <c r="D10382"/>
  <c r="D10380"/>
  <c r="D10378"/>
  <c r="D10376"/>
  <c r="D10374"/>
  <c r="D10372"/>
  <c r="D10370"/>
  <c r="D10368"/>
  <c r="D10366"/>
  <c r="D10364"/>
  <c r="D10362"/>
  <c r="D10360"/>
  <c r="D10358"/>
  <c r="D10356"/>
  <c r="D10354"/>
  <c r="D10352"/>
  <c r="D10350"/>
  <c r="D10348"/>
  <c r="D10346"/>
  <c r="D10344"/>
  <c r="D10342"/>
  <c r="D10340"/>
  <c r="D10338"/>
  <c r="D10336"/>
  <c r="D10334"/>
  <c r="D10332"/>
  <c r="D10330"/>
  <c r="D10328"/>
  <c r="D10326"/>
  <c r="D10324"/>
  <c r="D10322"/>
  <c r="D10320"/>
  <c r="D10318"/>
  <c r="D10316"/>
  <c r="D10314"/>
  <c r="D10312"/>
  <c r="D10310"/>
  <c r="D10308"/>
  <c r="D10306"/>
  <c r="D10304"/>
  <c r="D10302"/>
  <c r="D10300"/>
  <c r="D10298"/>
  <c r="D10296"/>
  <c r="D10294"/>
  <c r="D10292"/>
  <c r="D10290"/>
  <c r="D10288"/>
  <c r="D10286"/>
  <c r="D10284"/>
  <c r="D10282"/>
  <c r="D10280"/>
  <c r="D10278"/>
  <c r="D10276"/>
  <c r="D10274"/>
  <c r="D10272"/>
  <c r="D10270"/>
  <c r="D10268"/>
  <c r="D10266"/>
  <c r="D10264"/>
  <c r="D10262"/>
  <c r="D10260"/>
  <c r="D10258"/>
  <c r="D10256"/>
  <c r="D10254"/>
  <c r="D10252"/>
  <c r="D10250"/>
  <c r="D10248"/>
  <c r="D10246"/>
  <c r="D10244"/>
  <c r="D10242"/>
  <c r="D10240"/>
  <c r="D10238"/>
  <c r="D10236"/>
  <c r="D10234"/>
  <c r="D10232"/>
  <c r="D10230"/>
  <c r="D10228"/>
  <c r="D10226"/>
  <c r="D10224"/>
  <c r="D10222"/>
  <c r="D10220"/>
  <c r="D10218"/>
  <c r="D10216"/>
  <c r="D10214"/>
  <c r="D10212"/>
  <c r="D10210"/>
  <c r="D10208"/>
  <c r="D10206"/>
  <c r="D10204"/>
  <c r="D10202"/>
  <c r="D10200"/>
  <c r="D10198"/>
  <c r="D10196"/>
  <c r="D10194"/>
  <c r="D10192"/>
  <c r="D10190"/>
  <c r="D10188"/>
  <c r="D10186"/>
  <c r="D10184"/>
  <c r="D10182"/>
  <c r="D10180"/>
  <c r="D10178"/>
  <c r="D10176"/>
  <c r="D10174"/>
  <c r="D10172"/>
  <c r="D10170"/>
  <c r="D10168"/>
  <c r="D10166"/>
  <c r="D10164"/>
  <c r="D10162"/>
  <c r="D10160"/>
  <c r="D10158"/>
  <c r="D10156"/>
  <c r="D10154"/>
  <c r="D10152"/>
  <c r="D10150"/>
  <c r="D10148"/>
  <c r="D10146"/>
  <c r="D10144"/>
  <c r="D10142"/>
  <c r="D10140"/>
  <c r="D10138"/>
  <c r="D10136"/>
  <c r="D10134"/>
  <c r="D10132"/>
  <c r="D10130"/>
  <c r="D10128"/>
  <c r="D10126"/>
  <c r="D10124"/>
  <c r="D10122"/>
  <c r="D10120"/>
  <c r="D10118"/>
  <c r="D10116"/>
  <c r="D10114"/>
  <c r="D10112"/>
  <c r="D10110"/>
  <c r="D10108"/>
  <c r="D10106"/>
  <c r="D10104"/>
  <c r="D10102"/>
  <c r="D10100"/>
  <c r="D10098"/>
  <c r="D10096"/>
  <c r="D10094"/>
  <c r="D10092"/>
  <c r="D10090"/>
  <c r="D10088"/>
  <c r="D10086"/>
  <c r="D10084"/>
  <c r="D10082"/>
  <c r="D10080"/>
  <c r="D10078"/>
  <c r="D10076"/>
  <c r="D10074"/>
  <c r="D10072"/>
  <c r="D10070"/>
  <c r="D10068"/>
  <c r="D10066"/>
  <c r="D10064"/>
  <c r="D10062"/>
  <c r="D10060"/>
  <c r="D10058"/>
  <c r="D10056"/>
  <c r="D10054"/>
  <c r="D10052"/>
  <c r="D10050"/>
  <c r="D10048"/>
  <c r="D10046"/>
  <c r="D10044"/>
  <c r="D10042"/>
  <c r="D10040"/>
  <c r="D10038"/>
  <c r="D10036"/>
  <c r="D10034"/>
  <c r="D10032"/>
  <c r="D10030"/>
  <c r="D10028"/>
  <c r="D10026"/>
  <c r="D10024"/>
  <c r="D10022"/>
  <c r="D10020"/>
  <c r="D10018"/>
  <c r="D10016"/>
  <c r="D10014"/>
  <c r="D10012"/>
  <c r="D10010"/>
  <c r="D10008"/>
  <c r="D10006"/>
  <c r="D10004"/>
  <c r="D10002"/>
  <c r="D10000"/>
  <c r="D9998"/>
  <c r="D9996"/>
  <c r="D9994"/>
  <c r="D9992"/>
  <c r="D9990"/>
  <c r="D9988"/>
  <c r="D9986"/>
  <c r="D9984"/>
  <c r="D9982"/>
  <c r="D9980"/>
  <c r="D9978"/>
  <c r="D9976"/>
  <c r="D9974"/>
  <c r="D9972"/>
  <c r="D9970"/>
  <c r="D9968"/>
  <c r="D9966"/>
  <c r="D9964"/>
  <c r="D9962"/>
  <c r="D9960"/>
  <c r="D9958"/>
  <c r="D9956"/>
  <c r="D9954"/>
  <c r="D9952"/>
  <c r="D9950"/>
  <c r="D9948"/>
  <c r="D9946"/>
  <c r="D9944"/>
  <c r="D9942"/>
  <c r="D9940"/>
  <c r="D9938"/>
  <c r="D9936"/>
  <c r="D9934"/>
  <c r="D9932"/>
  <c r="D9930"/>
  <c r="D9928"/>
  <c r="D9926"/>
  <c r="D9924"/>
  <c r="D9922"/>
  <c r="D9920"/>
  <c r="D9918"/>
  <c r="D9916"/>
  <c r="D9914"/>
  <c r="D9912"/>
  <c r="D9910"/>
  <c r="D9908"/>
  <c r="D9906"/>
  <c r="D9904"/>
  <c r="D9902"/>
  <c r="D9900"/>
  <c r="D9898"/>
  <c r="D9896"/>
  <c r="D9894"/>
  <c r="D9892"/>
  <c r="D9890"/>
  <c r="D9888"/>
  <c r="D9886"/>
  <c r="D9884"/>
  <c r="D9882"/>
  <c r="D9880"/>
  <c r="D9878"/>
  <c r="D9876"/>
  <c r="D9874"/>
  <c r="D9872"/>
  <c r="D9870"/>
  <c r="D9868"/>
  <c r="D9866"/>
  <c r="D9864"/>
  <c r="D9862"/>
  <c r="D9860"/>
  <c r="D9858"/>
  <c r="D9856"/>
  <c r="D9854"/>
  <c r="D9852"/>
  <c r="D9850"/>
  <c r="D9848"/>
  <c r="D9846"/>
  <c r="D9844"/>
  <c r="D9842"/>
  <c r="D9840"/>
  <c r="D9838"/>
  <c r="D9836"/>
  <c r="D9834"/>
  <c r="D9832"/>
  <c r="D9830"/>
  <c r="D9828"/>
  <c r="D9826"/>
  <c r="D9824"/>
  <c r="D9822"/>
  <c r="D9820"/>
  <c r="D9818"/>
  <c r="D9816"/>
  <c r="D9814"/>
  <c r="D9812"/>
  <c r="D9810"/>
  <c r="D9808"/>
  <c r="D9806"/>
  <c r="D9804"/>
  <c r="D9802"/>
  <c r="D9800"/>
  <c r="D9798"/>
  <c r="D9796"/>
  <c r="D9794"/>
  <c r="D9792"/>
  <c r="D9790"/>
  <c r="D9788"/>
  <c r="D9786"/>
  <c r="D9784"/>
  <c r="D9782"/>
  <c r="D9780"/>
  <c r="D9778"/>
  <c r="D9776"/>
  <c r="D9774"/>
  <c r="D9772"/>
  <c r="D9770"/>
  <c r="D9768"/>
  <c r="D9766"/>
  <c r="D9764"/>
  <c r="D9762"/>
  <c r="D9760"/>
  <c r="D9758"/>
  <c r="D9756"/>
  <c r="D9754"/>
  <c r="D9752"/>
  <c r="D9750"/>
  <c r="D9748"/>
  <c r="D9746"/>
  <c r="D9744"/>
  <c r="D9742"/>
  <c r="D9740"/>
  <c r="D9738"/>
  <c r="D9736"/>
  <c r="D9734"/>
  <c r="D9732"/>
  <c r="D9730"/>
  <c r="D9728"/>
  <c r="D9726"/>
  <c r="D9724"/>
  <c r="D9722"/>
  <c r="D9720"/>
  <c r="D9718"/>
  <c r="D9716"/>
  <c r="D9714"/>
  <c r="D9712"/>
  <c r="D9710"/>
  <c r="D9708"/>
  <c r="D9706"/>
  <c r="D9704"/>
  <c r="D9702"/>
  <c r="D9700"/>
  <c r="D9698"/>
  <c r="D9696"/>
  <c r="D9694"/>
  <c r="D9692"/>
  <c r="D9690"/>
  <c r="D9688"/>
  <c r="D9686"/>
  <c r="D9684"/>
  <c r="D9682"/>
  <c r="D9680"/>
  <c r="D9678"/>
  <c r="D9676"/>
  <c r="D9674"/>
  <c r="D9672"/>
  <c r="D9670"/>
  <c r="D9668"/>
  <c r="D9666"/>
  <c r="D9664"/>
  <c r="D9662"/>
  <c r="D9660"/>
  <c r="D9658"/>
  <c r="D9656"/>
  <c r="D9654"/>
  <c r="D9652"/>
  <c r="D9650"/>
  <c r="D9648"/>
  <c r="D9646"/>
  <c r="D9644"/>
  <c r="D9642"/>
  <c r="D9640"/>
  <c r="D9638"/>
  <c r="D9636"/>
  <c r="D9634"/>
  <c r="D9632"/>
  <c r="D9630"/>
  <c r="D9628"/>
  <c r="D9626"/>
  <c r="D9624"/>
  <c r="D9622"/>
  <c r="D9620"/>
  <c r="D9618"/>
  <c r="D9616"/>
  <c r="D9614"/>
  <c r="D9612"/>
  <c r="D9610"/>
  <c r="D9608"/>
  <c r="D9606"/>
  <c r="D9604"/>
  <c r="D9602"/>
  <c r="D9600"/>
  <c r="D9598"/>
  <c r="D9596"/>
  <c r="D9594"/>
  <c r="D9592"/>
  <c r="D9590"/>
  <c r="D9588"/>
  <c r="D9586"/>
  <c r="D9584"/>
  <c r="D9582"/>
  <c r="D9580"/>
  <c r="D9578"/>
  <c r="D9576"/>
  <c r="D9574"/>
  <c r="D9572"/>
  <c r="D9570"/>
  <c r="D9568"/>
  <c r="D9566"/>
  <c r="D9564"/>
  <c r="D9562"/>
  <c r="D9560"/>
  <c r="D9558"/>
  <c r="D9556"/>
  <c r="D9554"/>
  <c r="D9552"/>
  <c r="D9550"/>
  <c r="D9548"/>
  <c r="D9546"/>
  <c r="D9544"/>
  <c r="D9542"/>
  <c r="D9540"/>
  <c r="D9538"/>
  <c r="D9536"/>
  <c r="D9534"/>
  <c r="D9532"/>
  <c r="D9530"/>
  <c r="D9528"/>
  <c r="D9526"/>
  <c r="D9524"/>
  <c r="D9522"/>
  <c r="D9520"/>
  <c r="D9518"/>
  <c r="D9516"/>
  <c r="D9514"/>
  <c r="D9512"/>
  <c r="D9510"/>
  <c r="D9508"/>
  <c r="D9506"/>
  <c r="D9504"/>
  <c r="D9502"/>
  <c r="D9500"/>
  <c r="D9498"/>
  <c r="D9496"/>
  <c r="D9494"/>
  <c r="D9492"/>
  <c r="D9490"/>
  <c r="D9488"/>
  <c r="D9486"/>
  <c r="D9484"/>
  <c r="D9482"/>
  <c r="D9480"/>
  <c r="D9478"/>
  <c r="D9476"/>
  <c r="D9474"/>
  <c r="D9472"/>
  <c r="D9470"/>
  <c r="D9468"/>
  <c r="D9466"/>
  <c r="D9464"/>
  <c r="D9462"/>
  <c r="D9460"/>
  <c r="D9458"/>
  <c r="D9456"/>
  <c r="D9454"/>
  <c r="D9452"/>
  <c r="D9450"/>
  <c r="D9448"/>
  <c r="D9446"/>
  <c r="D9444"/>
  <c r="D9442"/>
  <c r="D9440"/>
  <c r="D9438"/>
  <c r="D9436"/>
  <c r="D9434"/>
  <c r="D9432"/>
  <c r="D9430"/>
  <c r="D9428"/>
  <c r="D9426"/>
  <c r="D9424"/>
  <c r="D9422"/>
  <c r="D9420"/>
  <c r="D9418"/>
  <c r="D9416"/>
  <c r="D9414"/>
  <c r="D9412"/>
  <c r="D9410"/>
  <c r="D9408"/>
  <c r="D9406"/>
  <c r="D9404"/>
  <c r="D9402"/>
  <c r="D9400"/>
  <c r="D9398"/>
  <c r="D9396"/>
  <c r="D9394"/>
  <c r="D9392"/>
  <c r="D9390"/>
  <c r="D9388"/>
  <c r="D9386"/>
  <c r="D9384"/>
  <c r="D9382"/>
  <c r="D9380"/>
  <c r="D9378"/>
  <c r="D9376"/>
  <c r="D9374"/>
  <c r="D9372"/>
  <c r="D9370"/>
  <c r="D9368"/>
  <c r="D9366"/>
  <c r="D9364"/>
  <c r="D9362"/>
  <c r="D9360"/>
  <c r="D9358"/>
  <c r="D9356"/>
  <c r="D9354"/>
  <c r="D9352"/>
  <c r="D9350"/>
  <c r="D9348"/>
  <c r="D9346"/>
  <c r="D9344"/>
  <c r="D9342"/>
  <c r="D9340"/>
  <c r="D9338"/>
  <c r="D9336"/>
  <c r="D9334"/>
  <c r="D9332"/>
  <c r="D9330"/>
  <c r="D9328"/>
  <c r="D9326"/>
  <c r="D9324"/>
  <c r="D9322"/>
  <c r="D9320"/>
  <c r="D9318"/>
  <c r="D9316"/>
  <c r="D9314"/>
  <c r="D9312"/>
  <c r="D9310"/>
  <c r="D9308"/>
  <c r="D9306"/>
  <c r="D9304"/>
  <c r="D9302"/>
  <c r="D9300"/>
  <c r="D9298"/>
  <c r="D9296"/>
  <c r="D9294"/>
  <c r="D9292"/>
  <c r="D9290"/>
  <c r="D9288"/>
  <c r="D9286"/>
  <c r="D9284"/>
  <c r="D9282"/>
  <c r="D9280"/>
  <c r="D9278"/>
  <c r="D9276"/>
  <c r="D9274"/>
  <c r="D9272"/>
  <c r="D9270"/>
  <c r="D9268"/>
  <c r="D9266"/>
  <c r="D9264"/>
  <c r="D9262"/>
  <c r="D9260"/>
  <c r="D9258"/>
  <c r="D9256"/>
  <c r="D9254"/>
  <c r="D9252"/>
  <c r="D9250"/>
  <c r="D9248"/>
  <c r="D9246"/>
  <c r="D9244"/>
  <c r="D9242"/>
  <c r="D9240"/>
  <c r="D9238"/>
  <c r="D9236"/>
  <c r="D9234"/>
  <c r="D9232"/>
  <c r="D9230"/>
  <c r="D9228"/>
  <c r="D9226"/>
  <c r="D9224"/>
  <c r="D9222"/>
  <c r="D9220"/>
  <c r="D9218"/>
  <c r="D9216"/>
  <c r="D9214"/>
  <c r="D9212"/>
  <c r="D9210"/>
  <c r="D9208"/>
  <c r="D9206"/>
  <c r="D9204"/>
  <c r="D9202"/>
  <c r="D9200"/>
  <c r="D9198"/>
  <c r="D9196"/>
  <c r="D9194"/>
  <c r="D9192"/>
  <c r="D9190"/>
  <c r="D9188"/>
  <c r="D9186"/>
  <c r="D9184"/>
  <c r="D9182"/>
  <c r="D9180"/>
  <c r="D9178"/>
  <c r="D9176"/>
  <c r="D9174"/>
  <c r="D9172"/>
  <c r="D9170"/>
  <c r="D9168"/>
  <c r="D9166"/>
  <c r="D9164"/>
  <c r="D9162"/>
  <c r="D9160"/>
  <c r="D9158"/>
  <c r="D9156"/>
  <c r="D9154"/>
  <c r="D9152"/>
  <c r="D9150"/>
  <c r="D9148"/>
  <c r="D9146"/>
  <c r="D9144"/>
  <c r="D9142"/>
  <c r="D9140"/>
  <c r="D9138"/>
  <c r="D9136"/>
  <c r="D9134"/>
  <c r="D9132"/>
  <c r="D9130"/>
  <c r="D9128"/>
  <c r="D9126"/>
  <c r="D9124"/>
  <c r="D9122"/>
  <c r="D9120"/>
  <c r="D9118"/>
  <c r="D9116"/>
  <c r="D9114"/>
  <c r="D9112"/>
  <c r="D9110"/>
  <c r="D9108"/>
  <c r="D9106"/>
  <c r="D9104"/>
  <c r="D9102"/>
  <c r="D9100"/>
  <c r="D9098"/>
  <c r="D9096"/>
  <c r="D9094"/>
  <c r="D9092"/>
  <c r="D9090"/>
  <c r="D9088"/>
  <c r="D9086"/>
  <c r="D9084"/>
  <c r="D9082"/>
  <c r="D9080"/>
  <c r="D9078"/>
  <c r="D9076"/>
  <c r="D9074"/>
  <c r="D9072"/>
  <c r="D9070"/>
  <c r="D9068"/>
  <c r="D9066"/>
  <c r="D9064"/>
  <c r="D9062"/>
  <c r="D9060"/>
  <c r="D9058"/>
  <c r="D9056"/>
  <c r="D9054"/>
  <c r="D9052"/>
  <c r="D9050"/>
  <c r="D9048"/>
  <c r="D9046"/>
  <c r="D9044"/>
  <c r="D9042"/>
  <c r="D9040"/>
  <c r="D9038"/>
  <c r="D9036"/>
  <c r="D9034"/>
  <c r="D9032"/>
  <c r="D9030"/>
  <c r="D9028"/>
  <c r="D9026"/>
  <c r="D9024"/>
  <c r="D9022"/>
  <c r="D9020"/>
  <c r="D9018"/>
  <c r="D9016"/>
  <c r="D9014"/>
  <c r="D9012"/>
  <c r="D9010"/>
  <c r="D9008"/>
  <c r="D9006"/>
  <c r="D9004"/>
  <c r="D9002"/>
  <c r="D9000"/>
  <c r="D8998"/>
  <c r="D8996"/>
  <c r="D8994"/>
  <c r="D8992"/>
  <c r="D8990"/>
  <c r="D8988"/>
  <c r="D8986"/>
  <c r="D8984"/>
  <c r="D8982"/>
  <c r="D8980"/>
  <c r="D8978"/>
  <c r="D8976"/>
  <c r="D8974"/>
  <c r="D8972"/>
  <c r="D8970"/>
  <c r="D8968"/>
  <c r="D8966"/>
  <c r="D8964"/>
  <c r="D8962"/>
  <c r="D8960"/>
  <c r="D8958"/>
  <c r="D8956"/>
  <c r="D8954"/>
  <c r="D8952"/>
  <c r="D8950"/>
  <c r="D8948"/>
  <c r="D8946"/>
  <c r="D8944"/>
  <c r="D8942"/>
  <c r="D8940"/>
  <c r="D8938"/>
  <c r="D8936"/>
  <c r="D8934"/>
  <c r="D8932"/>
  <c r="D8930"/>
  <c r="D8928"/>
  <c r="D8926"/>
  <c r="D8924"/>
  <c r="D8922"/>
  <c r="D8920"/>
  <c r="D8918"/>
  <c r="D8916"/>
  <c r="D8914"/>
  <c r="D8912"/>
  <c r="D8910"/>
  <c r="D8908"/>
  <c r="D8906"/>
  <c r="D8904"/>
  <c r="D8902"/>
  <c r="D8900"/>
  <c r="D8898"/>
  <c r="D8896"/>
  <c r="D8894"/>
  <c r="D8892"/>
  <c r="D8890"/>
  <c r="D8888"/>
  <c r="D8886"/>
  <c r="D8884"/>
  <c r="D8882"/>
  <c r="D8880"/>
  <c r="D8878"/>
  <c r="D8876"/>
  <c r="D8874"/>
  <c r="D8872"/>
  <c r="D8870"/>
  <c r="D8868"/>
  <c r="D8866"/>
  <c r="D8864"/>
  <c r="D8862"/>
  <c r="D8860"/>
  <c r="D8858"/>
  <c r="D8856"/>
  <c r="D8854"/>
  <c r="D8852"/>
  <c r="D8850"/>
  <c r="D8848"/>
  <c r="D8846"/>
  <c r="D8844"/>
  <c r="D8842"/>
  <c r="D8840"/>
  <c r="D8838"/>
  <c r="D8836"/>
  <c r="D8834"/>
  <c r="D8832"/>
  <c r="D8830"/>
  <c r="D8828"/>
  <c r="D8826"/>
  <c r="D8824"/>
  <c r="D8822"/>
  <c r="D8820"/>
  <c r="D8818"/>
  <c r="D8816"/>
  <c r="D8814"/>
  <c r="D8812"/>
  <c r="D8810"/>
  <c r="D8808"/>
  <c r="D8806"/>
  <c r="D8804"/>
  <c r="D8802"/>
  <c r="D8800"/>
  <c r="D8798"/>
  <c r="D8796"/>
  <c r="D8794"/>
  <c r="D8792"/>
  <c r="D8790"/>
  <c r="D8788"/>
  <c r="D8786"/>
  <c r="D8784"/>
  <c r="D8782"/>
  <c r="D8780"/>
  <c r="D8778"/>
  <c r="D8776"/>
  <c r="D8774"/>
  <c r="D8772"/>
  <c r="D8770"/>
  <c r="D8768"/>
  <c r="D8766"/>
  <c r="D8764"/>
  <c r="D8762"/>
  <c r="D8760"/>
  <c r="D8758"/>
  <c r="D8756"/>
  <c r="D8754"/>
  <c r="D8752"/>
  <c r="D8750"/>
  <c r="D8748"/>
  <c r="D8746"/>
  <c r="D8744"/>
  <c r="D8742"/>
  <c r="D8740"/>
  <c r="D8738"/>
  <c r="D8736"/>
  <c r="D8734"/>
  <c r="D8732"/>
  <c r="D8730"/>
  <c r="D8728"/>
  <c r="D8726"/>
  <c r="D8724"/>
  <c r="D8722"/>
  <c r="D8720"/>
  <c r="D8718"/>
  <c r="D8716"/>
  <c r="D8714"/>
  <c r="D8712"/>
  <c r="D8710"/>
  <c r="D8708"/>
  <c r="D8706"/>
  <c r="D8704"/>
  <c r="D8702"/>
  <c r="D8700"/>
  <c r="D8698"/>
  <c r="D8696"/>
  <c r="D8694"/>
  <c r="D8692"/>
  <c r="D8690"/>
  <c r="D8688"/>
  <c r="D8686"/>
  <c r="D8684"/>
  <c r="D8682"/>
  <c r="D8680"/>
  <c r="D8678"/>
  <c r="D8676"/>
  <c r="D8674"/>
  <c r="D8672"/>
  <c r="D8670"/>
  <c r="D8668"/>
  <c r="D8666"/>
  <c r="D8664"/>
  <c r="D8662"/>
  <c r="D8660"/>
  <c r="D8658"/>
  <c r="D8656"/>
  <c r="D8654"/>
  <c r="D8652"/>
  <c r="D8650"/>
  <c r="D8648"/>
  <c r="D8646"/>
  <c r="D8644"/>
  <c r="D8642"/>
  <c r="D8640"/>
  <c r="D8638"/>
  <c r="D8636"/>
  <c r="D8634"/>
  <c r="D8632"/>
  <c r="D8630"/>
  <c r="D8628"/>
  <c r="D8626"/>
  <c r="D8624"/>
  <c r="D8622"/>
  <c r="D8620"/>
  <c r="D8618"/>
  <c r="D8616"/>
  <c r="D8614"/>
  <c r="D8612"/>
  <c r="D8610"/>
  <c r="D8608"/>
  <c r="D8606"/>
  <c r="D8604"/>
  <c r="D8602"/>
  <c r="D8600"/>
  <c r="D8598"/>
  <c r="D8596"/>
  <c r="D8594"/>
  <c r="D8592"/>
  <c r="D8590"/>
  <c r="D8588"/>
  <c r="D8586"/>
  <c r="D8584"/>
  <c r="D8582"/>
  <c r="D8580"/>
  <c r="D8578"/>
  <c r="D8576"/>
  <c r="D8574"/>
  <c r="D8572"/>
  <c r="D8570"/>
  <c r="D8568"/>
  <c r="D8566"/>
  <c r="D8564"/>
  <c r="D8562"/>
  <c r="D8560"/>
  <c r="D8558"/>
  <c r="D8556"/>
  <c r="D8554"/>
  <c r="D8552"/>
  <c r="D8550"/>
  <c r="D8548"/>
  <c r="D8546"/>
  <c r="D8544"/>
  <c r="D8542"/>
  <c r="D8540"/>
  <c r="D8538"/>
  <c r="D8536"/>
  <c r="D8534"/>
  <c r="D8532"/>
  <c r="D8530"/>
  <c r="D8528"/>
  <c r="D8526"/>
  <c r="D8524"/>
  <c r="D8522"/>
  <c r="D8520"/>
  <c r="D8518"/>
  <c r="D8516"/>
  <c r="D8514"/>
  <c r="D8512"/>
  <c r="D8510"/>
  <c r="D8508"/>
  <c r="D8506"/>
  <c r="D8504"/>
  <c r="D8502"/>
  <c r="D8500"/>
  <c r="D8498"/>
  <c r="D8496"/>
  <c r="D8494"/>
  <c r="D8492"/>
  <c r="D8490"/>
  <c r="D8488"/>
  <c r="D8486"/>
  <c r="D8484"/>
  <c r="D8482"/>
  <c r="D8480"/>
  <c r="D8478"/>
  <c r="D8476"/>
  <c r="D8474"/>
  <c r="D8472"/>
  <c r="D8470"/>
  <c r="D8468"/>
  <c r="D8466"/>
  <c r="D8464"/>
  <c r="D8462"/>
  <c r="D8460"/>
  <c r="D8458"/>
  <c r="D8456"/>
  <c r="D8454"/>
  <c r="D8452"/>
  <c r="D8450"/>
  <c r="D8448"/>
  <c r="D8446"/>
  <c r="D8444"/>
  <c r="D8442"/>
  <c r="D8440"/>
  <c r="D8438"/>
  <c r="D8436"/>
  <c r="D8434"/>
  <c r="D8432"/>
  <c r="D8430"/>
  <c r="D8428"/>
  <c r="D8426"/>
  <c r="D8424"/>
  <c r="D8422"/>
  <c r="D8420"/>
  <c r="D8418"/>
  <c r="D8416"/>
  <c r="D8414"/>
  <c r="D8412"/>
  <c r="D8410"/>
  <c r="D8408"/>
  <c r="D8406"/>
  <c r="D8404"/>
  <c r="D8402"/>
  <c r="D8400"/>
  <c r="D8398"/>
  <c r="D8396"/>
  <c r="D8394"/>
  <c r="D8392"/>
  <c r="D8390"/>
  <c r="D8388"/>
  <c r="D8386"/>
  <c r="D8384"/>
  <c r="D8382"/>
  <c r="D8380"/>
  <c r="D8378"/>
  <c r="D8376"/>
  <c r="D8374"/>
  <c r="D8372"/>
  <c r="D8370"/>
  <c r="D8368"/>
  <c r="D8366"/>
  <c r="D8364"/>
  <c r="D8362"/>
  <c r="D8360"/>
  <c r="D8358"/>
  <c r="D8356"/>
  <c r="D8354"/>
  <c r="D8352"/>
  <c r="D8350"/>
  <c r="D8348"/>
  <c r="D8346"/>
  <c r="D8344"/>
  <c r="D8342"/>
  <c r="D8340"/>
  <c r="D8338"/>
  <c r="D8336"/>
  <c r="D8334"/>
  <c r="D8332"/>
  <c r="D8330"/>
  <c r="D8328"/>
  <c r="D8326"/>
  <c r="D8324"/>
  <c r="D8322"/>
  <c r="D8320"/>
  <c r="D8318"/>
  <c r="D8316"/>
  <c r="D8314"/>
  <c r="D8312"/>
  <c r="D8310"/>
  <c r="D8308"/>
  <c r="D8306"/>
  <c r="D8304"/>
  <c r="D8302"/>
  <c r="D8300"/>
  <c r="D8298"/>
  <c r="D8296"/>
  <c r="D8294"/>
  <c r="D8292"/>
  <c r="D8290"/>
  <c r="D8288"/>
  <c r="D8286"/>
  <c r="D8284"/>
  <c r="D8282"/>
  <c r="D8280"/>
  <c r="D8278"/>
  <c r="D8276"/>
  <c r="D8274"/>
  <c r="D8272"/>
  <c r="D8270"/>
  <c r="D8268"/>
  <c r="D8266"/>
  <c r="D8264"/>
  <c r="D8262"/>
  <c r="D8260"/>
  <c r="D8258"/>
  <c r="D8256"/>
  <c r="D8254"/>
  <c r="D8252"/>
  <c r="D8250"/>
  <c r="D8248"/>
  <c r="D8246"/>
  <c r="D8244"/>
  <c r="D8242"/>
  <c r="D8240"/>
  <c r="D8238"/>
  <c r="D8236"/>
  <c r="D8234"/>
  <c r="D8232"/>
  <c r="D8230"/>
  <c r="D8228"/>
  <c r="D8226"/>
  <c r="D8224"/>
  <c r="D8222"/>
  <c r="D8220"/>
  <c r="D8218"/>
  <c r="D8216"/>
  <c r="D8214"/>
  <c r="D8212"/>
  <c r="D8210"/>
  <c r="D8208"/>
  <c r="D8206"/>
  <c r="D8204"/>
  <c r="D8202"/>
  <c r="D8200"/>
  <c r="D8198"/>
  <c r="D8196"/>
  <c r="D8194"/>
  <c r="D8192"/>
  <c r="D8190"/>
  <c r="D8188"/>
  <c r="D8186"/>
  <c r="D8184"/>
  <c r="D8182"/>
  <c r="D8180"/>
  <c r="D8178"/>
  <c r="D8176"/>
  <c r="D8174"/>
  <c r="D8172"/>
  <c r="D8170"/>
  <c r="D8168"/>
  <c r="D8166"/>
  <c r="D8164"/>
  <c r="D8162"/>
  <c r="D8160"/>
  <c r="D8158"/>
  <c r="D8156"/>
  <c r="D8154"/>
  <c r="D8152"/>
  <c r="D8150"/>
  <c r="D8148"/>
  <c r="D8146"/>
  <c r="D8144"/>
  <c r="D8142"/>
  <c r="D8140"/>
  <c r="D8138"/>
  <c r="D8136"/>
  <c r="D8134"/>
  <c r="D8132"/>
  <c r="D8130"/>
  <c r="D8128"/>
  <c r="D8126"/>
  <c r="D8124"/>
  <c r="D8122"/>
  <c r="D8120"/>
  <c r="D8118"/>
  <c r="D8116"/>
  <c r="D8114"/>
  <c r="D8112"/>
  <c r="D8110"/>
  <c r="D8108"/>
  <c r="D8106"/>
  <c r="D8104"/>
  <c r="D8102"/>
  <c r="D8100"/>
  <c r="D8098"/>
  <c r="D8096"/>
  <c r="D8094"/>
  <c r="D8092"/>
  <c r="D8090"/>
  <c r="D8088"/>
  <c r="D8086"/>
  <c r="D8084"/>
  <c r="D8082"/>
  <c r="D8080"/>
  <c r="D8078"/>
  <c r="D8076"/>
  <c r="D8074"/>
  <c r="D8072"/>
  <c r="D8070"/>
  <c r="D8068"/>
  <c r="D8066"/>
  <c r="D8064"/>
  <c r="D8062"/>
  <c r="D8060"/>
  <c r="D8058"/>
  <c r="D8056"/>
  <c r="D8054"/>
  <c r="D8052"/>
  <c r="D8050"/>
  <c r="D8048"/>
  <c r="D8046"/>
  <c r="D8044"/>
  <c r="D8042"/>
  <c r="D8040"/>
  <c r="D8038"/>
  <c r="D8036"/>
  <c r="D8034"/>
  <c r="D8032"/>
  <c r="D8030"/>
  <c r="D8028"/>
  <c r="D8026"/>
  <c r="D8024"/>
  <c r="D8022"/>
  <c r="D8020"/>
  <c r="D8018"/>
  <c r="D8016"/>
  <c r="D8014"/>
  <c r="D8012"/>
  <c r="D8010"/>
  <c r="D8008"/>
  <c r="D8006"/>
  <c r="D8004"/>
  <c r="D8002"/>
  <c r="D8000"/>
  <c r="D7998"/>
  <c r="D7996"/>
  <c r="D7994"/>
  <c r="D7992"/>
  <c r="D7990"/>
  <c r="D7988"/>
  <c r="D7986"/>
  <c r="D7984"/>
  <c r="D7982"/>
  <c r="D7980"/>
  <c r="D7978"/>
  <c r="D7976"/>
  <c r="D7974"/>
  <c r="D7972"/>
  <c r="D7970"/>
  <c r="D7968"/>
  <c r="D7966"/>
  <c r="D7964"/>
  <c r="D7962"/>
  <c r="D7960"/>
  <c r="D7958"/>
  <c r="D7956"/>
  <c r="D7954"/>
  <c r="D7952"/>
  <c r="D7950"/>
  <c r="D7948"/>
  <c r="D7946"/>
  <c r="D7944"/>
  <c r="D7942"/>
  <c r="D7940"/>
  <c r="D7938"/>
  <c r="D7936"/>
  <c r="D7934"/>
  <c r="D7932"/>
  <c r="D7930"/>
  <c r="D7928"/>
  <c r="D7926"/>
  <c r="D7924"/>
  <c r="D7922"/>
  <c r="D7920"/>
  <c r="D7918"/>
  <c r="D7916"/>
  <c r="D7914"/>
  <c r="D7912"/>
  <c r="D7910"/>
  <c r="D7908"/>
  <c r="D7906"/>
  <c r="D7904"/>
  <c r="D7902"/>
  <c r="D7900"/>
  <c r="D7898"/>
  <c r="D7896"/>
  <c r="D7894"/>
  <c r="D7892"/>
  <c r="D7890"/>
  <c r="D7888"/>
  <c r="D7886"/>
  <c r="D7884"/>
  <c r="D7882"/>
  <c r="D7880"/>
  <c r="D7878"/>
  <c r="D7876"/>
  <c r="D7874"/>
  <c r="D7872"/>
  <c r="D7870"/>
  <c r="D7868"/>
  <c r="D7866"/>
  <c r="D7864"/>
  <c r="D7862"/>
  <c r="D7860"/>
  <c r="D7858"/>
  <c r="D7856"/>
  <c r="D7854"/>
  <c r="D7852"/>
  <c r="D7850"/>
  <c r="D7848"/>
  <c r="D7846"/>
  <c r="D7844"/>
  <c r="D7842"/>
  <c r="D7840"/>
  <c r="D7838"/>
  <c r="D7836"/>
  <c r="D7834"/>
  <c r="D7832"/>
  <c r="D7830"/>
  <c r="D7828"/>
  <c r="D7826"/>
  <c r="D7824"/>
  <c r="D7822"/>
  <c r="D7820"/>
  <c r="D7818"/>
  <c r="D7816"/>
  <c r="D7814"/>
  <c r="D7812"/>
  <c r="D7810"/>
  <c r="D7808"/>
  <c r="D7806"/>
  <c r="D7804"/>
  <c r="D7802"/>
  <c r="D7800"/>
  <c r="D7798"/>
  <c r="D7796"/>
  <c r="D7794"/>
  <c r="D7792"/>
  <c r="D7790"/>
  <c r="D7788"/>
  <c r="D7786"/>
  <c r="D7784"/>
  <c r="D7782"/>
  <c r="D7780"/>
  <c r="D7778"/>
  <c r="D7776"/>
  <c r="D7774"/>
  <c r="D7772"/>
  <c r="D7770"/>
  <c r="D7768"/>
  <c r="D7766"/>
  <c r="D7764"/>
  <c r="D7762"/>
  <c r="D7760"/>
  <c r="D7758"/>
  <c r="D7756"/>
  <c r="D7754"/>
  <c r="D7752"/>
  <c r="D7750"/>
  <c r="D7748"/>
  <c r="D7746"/>
  <c r="D7744"/>
  <c r="D7742"/>
  <c r="D7740"/>
  <c r="D7738"/>
  <c r="D7736"/>
  <c r="D7734"/>
  <c r="D7732"/>
  <c r="D7730"/>
  <c r="D7728"/>
  <c r="D7726"/>
  <c r="D7724"/>
  <c r="D7722"/>
  <c r="D7720"/>
  <c r="D7718"/>
  <c r="D7716"/>
  <c r="D7714"/>
  <c r="D7712"/>
  <c r="D7710"/>
  <c r="D7708"/>
  <c r="D7706"/>
  <c r="D7704"/>
  <c r="D7702"/>
  <c r="D7700"/>
  <c r="D7698"/>
  <c r="D7696"/>
  <c r="D7694"/>
  <c r="D7692"/>
  <c r="D7690"/>
  <c r="D7688"/>
  <c r="D7686"/>
  <c r="D7684"/>
  <c r="D7682"/>
  <c r="D7680"/>
  <c r="D7678"/>
  <c r="D7676"/>
  <c r="D7674"/>
  <c r="D7672"/>
  <c r="D7670"/>
  <c r="D7668"/>
  <c r="D7666"/>
  <c r="D7664"/>
  <c r="D7662"/>
  <c r="D7660"/>
  <c r="D7658"/>
  <c r="D7656"/>
  <c r="D7654"/>
  <c r="D7652"/>
  <c r="D7650"/>
  <c r="D7648"/>
  <c r="D7646"/>
  <c r="D7644"/>
  <c r="D7642"/>
  <c r="D7640"/>
  <c r="D7638"/>
  <c r="D7636"/>
  <c r="D7634"/>
  <c r="D7632"/>
  <c r="D7630"/>
  <c r="D7628"/>
  <c r="D7626"/>
  <c r="D7624"/>
  <c r="D7622"/>
  <c r="D7620"/>
  <c r="D7618"/>
  <c r="D7616"/>
  <c r="D7614"/>
  <c r="D7612"/>
  <c r="D7610"/>
  <c r="D7608"/>
  <c r="D7606"/>
  <c r="D7604"/>
  <c r="D7602"/>
  <c r="D7600"/>
  <c r="D7598"/>
  <c r="D7596"/>
  <c r="D7594"/>
  <c r="D7592"/>
  <c r="D7590"/>
  <c r="D7588"/>
  <c r="D7586"/>
  <c r="D7584"/>
  <c r="D7582"/>
  <c r="D7580"/>
  <c r="D7578"/>
  <c r="D7576"/>
  <c r="D7574"/>
  <c r="D7572"/>
  <c r="D7570"/>
  <c r="D7568"/>
  <c r="D7566"/>
  <c r="D7564"/>
  <c r="D7562"/>
  <c r="D7560"/>
  <c r="D7558"/>
  <c r="D7556"/>
  <c r="D7554"/>
  <c r="D7552"/>
  <c r="D7550"/>
  <c r="D7548"/>
  <c r="D7546"/>
  <c r="D7544"/>
  <c r="D7542"/>
  <c r="D7540"/>
  <c r="D7538"/>
  <c r="D7536"/>
  <c r="D7534"/>
  <c r="D7532"/>
  <c r="D7530"/>
  <c r="D7528"/>
  <c r="D7526"/>
  <c r="D7524"/>
  <c r="D7522"/>
  <c r="D7520"/>
  <c r="D7518"/>
  <c r="D7516"/>
  <c r="D7514"/>
  <c r="D7512"/>
  <c r="D7510"/>
  <c r="D7508"/>
  <c r="D7506"/>
  <c r="D7504"/>
  <c r="D7502"/>
  <c r="D7500"/>
  <c r="D7498"/>
  <c r="D7496"/>
  <c r="D7494"/>
  <c r="D7492"/>
  <c r="D7490"/>
  <c r="D7488"/>
  <c r="D7486"/>
  <c r="D7484"/>
  <c r="D7482"/>
  <c r="D7480"/>
  <c r="D7478"/>
  <c r="D7476"/>
  <c r="D7474"/>
  <c r="D7472"/>
  <c r="D7470"/>
  <c r="D7468"/>
  <c r="D7466"/>
  <c r="D7464"/>
  <c r="D7462"/>
  <c r="D7460"/>
  <c r="D7458"/>
  <c r="D7456"/>
  <c r="D7454"/>
  <c r="D7452"/>
  <c r="D7450"/>
  <c r="D7448"/>
  <c r="D7446"/>
  <c r="D7444"/>
  <c r="D7442"/>
  <c r="D7440"/>
  <c r="D7438"/>
  <c r="D7436"/>
  <c r="D7434"/>
  <c r="D7432"/>
  <c r="D7430"/>
  <c r="D7428"/>
  <c r="D7426"/>
  <c r="D7424"/>
  <c r="D7422"/>
  <c r="D7420"/>
  <c r="D7418"/>
  <c r="D7416"/>
  <c r="D7414"/>
  <c r="D7412"/>
  <c r="D7410"/>
  <c r="D7408"/>
  <c r="D7406"/>
  <c r="D7404"/>
  <c r="D7402"/>
  <c r="D7400"/>
  <c r="D7398"/>
  <c r="D7396"/>
  <c r="D7394"/>
  <c r="D7392"/>
  <c r="D7390"/>
  <c r="D7388"/>
  <c r="D7386"/>
  <c r="D7384"/>
  <c r="D7382"/>
  <c r="D7380"/>
  <c r="D7378"/>
  <c r="D7376"/>
  <c r="D7374"/>
  <c r="D7372"/>
  <c r="D7370"/>
  <c r="D7368"/>
  <c r="D7366"/>
  <c r="D7364"/>
  <c r="D7362"/>
  <c r="D7360"/>
  <c r="D7358"/>
  <c r="D7356"/>
  <c r="D7354"/>
  <c r="D7352"/>
  <c r="D7350"/>
  <c r="D7348"/>
  <c r="D7346"/>
  <c r="D7344"/>
  <c r="D7342"/>
  <c r="D7340"/>
  <c r="D7338"/>
  <c r="D7336"/>
  <c r="D7334"/>
  <c r="D7332"/>
  <c r="D7330"/>
  <c r="D7328"/>
  <c r="D7326"/>
  <c r="D7324"/>
  <c r="D7322"/>
  <c r="D7320"/>
  <c r="D7318"/>
  <c r="D7316"/>
  <c r="D7314"/>
  <c r="D7312"/>
  <c r="D7310"/>
  <c r="D7308"/>
  <c r="D7306"/>
  <c r="D7304"/>
  <c r="D7302"/>
  <c r="D7300"/>
  <c r="D7298"/>
  <c r="D7296"/>
  <c r="D7294"/>
  <c r="D7292"/>
  <c r="D7290"/>
  <c r="D7288"/>
  <c r="D7286"/>
  <c r="D7284"/>
  <c r="D7282"/>
  <c r="D7280"/>
  <c r="D7278"/>
  <c r="D7276"/>
  <c r="D7274"/>
  <c r="D7272"/>
  <c r="D7270"/>
  <c r="D7268"/>
  <c r="D7266"/>
  <c r="D7264"/>
  <c r="D7262"/>
  <c r="D7260"/>
  <c r="D7258"/>
  <c r="D7256"/>
  <c r="D7254"/>
  <c r="D7252"/>
  <c r="D7250"/>
  <c r="D7248"/>
  <c r="D7246"/>
  <c r="D7244"/>
  <c r="D7242"/>
  <c r="D7240"/>
  <c r="D7238"/>
  <c r="D7236"/>
  <c r="D7234"/>
  <c r="D7232"/>
  <c r="D7230"/>
  <c r="D7228"/>
  <c r="D7226"/>
  <c r="D7224"/>
  <c r="D7222"/>
  <c r="D7220"/>
  <c r="D7218"/>
  <c r="D7216"/>
  <c r="D7214"/>
  <c r="D7212"/>
  <c r="D7210"/>
  <c r="D7208"/>
  <c r="D7206"/>
  <c r="D7204"/>
  <c r="D7202"/>
  <c r="D7200"/>
  <c r="D7198"/>
  <c r="D7196"/>
  <c r="D7194"/>
  <c r="D7192"/>
  <c r="D7190"/>
  <c r="D7188"/>
  <c r="D7186"/>
  <c r="D7184"/>
  <c r="D7182"/>
  <c r="D7180"/>
  <c r="D7178"/>
  <c r="D7176"/>
  <c r="D7174"/>
  <c r="D7172"/>
  <c r="D7170"/>
  <c r="D7168"/>
  <c r="D7166"/>
  <c r="D7164"/>
  <c r="D7162"/>
  <c r="D7160"/>
  <c r="D7158"/>
  <c r="D7156"/>
  <c r="D7154"/>
  <c r="D7152"/>
  <c r="D7150"/>
  <c r="D7148"/>
  <c r="D7146"/>
  <c r="D7144"/>
  <c r="D7142"/>
  <c r="D7140"/>
  <c r="D7138"/>
  <c r="D7136"/>
  <c r="D7134"/>
  <c r="D7132"/>
  <c r="D7130"/>
  <c r="D7128"/>
  <c r="D7126"/>
  <c r="D7124"/>
  <c r="D7122"/>
  <c r="D7120"/>
  <c r="D7118"/>
  <c r="D7116"/>
  <c r="D7114"/>
  <c r="D7112"/>
  <c r="D7110"/>
  <c r="D7108"/>
  <c r="D7106"/>
  <c r="D7104"/>
  <c r="D7102"/>
  <c r="D7100"/>
  <c r="D7098"/>
  <c r="D7096"/>
  <c r="D7094"/>
  <c r="D7092"/>
  <c r="D7090"/>
  <c r="D7088"/>
  <c r="D7086"/>
  <c r="D7084"/>
  <c r="D7082"/>
  <c r="D7080"/>
  <c r="D7078"/>
  <c r="D7076"/>
  <c r="D7074"/>
  <c r="D7072"/>
  <c r="D7070"/>
  <c r="D7068"/>
  <c r="D7066"/>
  <c r="D7064"/>
  <c r="D7062"/>
  <c r="D7060"/>
  <c r="D7058"/>
  <c r="D7056"/>
  <c r="D7054"/>
  <c r="D7052"/>
  <c r="D7050"/>
  <c r="D7048"/>
  <c r="D7046"/>
  <c r="D7044"/>
  <c r="D7042"/>
  <c r="D7040"/>
  <c r="D7038"/>
  <c r="D7036"/>
  <c r="D7034"/>
  <c r="D7032"/>
  <c r="D7030"/>
  <c r="D7028"/>
  <c r="D7026"/>
  <c r="D7024"/>
  <c r="D7022"/>
  <c r="D7020"/>
  <c r="D7018"/>
  <c r="D7016"/>
  <c r="D7014"/>
  <c r="D7012"/>
  <c r="D7010"/>
  <c r="D7008"/>
  <c r="D7006"/>
  <c r="D7004"/>
  <c r="D7002"/>
  <c r="D7000"/>
  <c r="D6998"/>
  <c r="D6996"/>
  <c r="D6994"/>
  <c r="D6992"/>
  <c r="D6990"/>
  <c r="D6988"/>
  <c r="D6986"/>
  <c r="D6984"/>
  <c r="D6982"/>
  <c r="D6980"/>
  <c r="D6978"/>
  <c r="D6976"/>
  <c r="D6974"/>
  <c r="D6972"/>
  <c r="D6970"/>
  <c r="D6968"/>
  <c r="D6966"/>
  <c r="D6964"/>
  <c r="D6962"/>
  <c r="D6960"/>
  <c r="D6958"/>
  <c r="D6956"/>
  <c r="D6954"/>
  <c r="D6952"/>
  <c r="D6950"/>
  <c r="D6948"/>
  <c r="D6946"/>
  <c r="D6944"/>
  <c r="D6942"/>
  <c r="D6940"/>
  <c r="D6938"/>
  <c r="D6936"/>
  <c r="D6934"/>
  <c r="D6932"/>
  <c r="D6930"/>
  <c r="D6928"/>
  <c r="D6926"/>
  <c r="D6924"/>
  <c r="D6922"/>
  <c r="D6920"/>
  <c r="D6918"/>
  <c r="D6916"/>
  <c r="D6914"/>
  <c r="D6912"/>
  <c r="D6910"/>
  <c r="D6908"/>
  <c r="D6906"/>
  <c r="D6904"/>
  <c r="D6902"/>
  <c r="D6900"/>
  <c r="D6898"/>
  <c r="D6896"/>
  <c r="D6894"/>
  <c r="D6892"/>
  <c r="D6890"/>
  <c r="D6888"/>
  <c r="D6886"/>
  <c r="D6884"/>
  <c r="D6882"/>
  <c r="D6880"/>
  <c r="D6878"/>
  <c r="D6876"/>
  <c r="D6874"/>
  <c r="D6872"/>
  <c r="D6870"/>
  <c r="D6868"/>
  <c r="D6866"/>
  <c r="D6864"/>
  <c r="D6862"/>
  <c r="D6860"/>
  <c r="D6858"/>
  <c r="D6856"/>
  <c r="D6854"/>
  <c r="D6852"/>
  <c r="D6850"/>
  <c r="D6848"/>
  <c r="D6846"/>
  <c r="D6844"/>
  <c r="D6842"/>
  <c r="D6840"/>
  <c r="D6838"/>
  <c r="D6836"/>
  <c r="D6834"/>
  <c r="D6832"/>
  <c r="D6830"/>
  <c r="D6828"/>
  <c r="D6826"/>
  <c r="D6824"/>
  <c r="D6822"/>
  <c r="D6820"/>
  <c r="D6818"/>
  <c r="D6816"/>
  <c r="D6814"/>
  <c r="D6812"/>
  <c r="D6810"/>
  <c r="D6808"/>
  <c r="D6806"/>
  <c r="D6804"/>
  <c r="D6802"/>
  <c r="D6800"/>
  <c r="D6798"/>
  <c r="D6796"/>
  <c r="D6794"/>
  <c r="D6792"/>
  <c r="D6790"/>
  <c r="D6788"/>
  <c r="D6786"/>
  <c r="D6784"/>
  <c r="D6782"/>
  <c r="D6780"/>
  <c r="D6778"/>
  <c r="D6776"/>
  <c r="D6774"/>
  <c r="D6772"/>
  <c r="D6770"/>
  <c r="D6768"/>
  <c r="D6766"/>
  <c r="D6764"/>
  <c r="D6762"/>
  <c r="D6760"/>
  <c r="D6758"/>
  <c r="D6756"/>
  <c r="D6754"/>
  <c r="D6752"/>
  <c r="D6750"/>
  <c r="D6748"/>
  <c r="D6746"/>
  <c r="D6744"/>
  <c r="D6742"/>
  <c r="D6740"/>
  <c r="D6738"/>
  <c r="D6736"/>
  <c r="D6734"/>
  <c r="D6732"/>
  <c r="D6730"/>
  <c r="D6728"/>
  <c r="D6726"/>
  <c r="D6724"/>
  <c r="D6722"/>
  <c r="D6720"/>
  <c r="D6718"/>
  <c r="D6716"/>
  <c r="D6714"/>
  <c r="D6712"/>
  <c r="D6710"/>
  <c r="D6708"/>
  <c r="D6706"/>
  <c r="D6704"/>
  <c r="D6702"/>
  <c r="D6700"/>
  <c r="D6698"/>
  <c r="D6696"/>
  <c r="D6694"/>
  <c r="D6692"/>
  <c r="D6690"/>
  <c r="D6688"/>
  <c r="D6686"/>
  <c r="D6684"/>
  <c r="D6682"/>
  <c r="D6680"/>
  <c r="D6678"/>
  <c r="D6676"/>
  <c r="D6674"/>
  <c r="D6672"/>
  <c r="D6670"/>
  <c r="D6668"/>
  <c r="D6666"/>
  <c r="D6664"/>
  <c r="D6662"/>
  <c r="D6660"/>
  <c r="D6658"/>
  <c r="D6656"/>
  <c r="D6654"/>
  <c r="D6652"/>
  <c r="D6650"/>
  <c r="D6648"/>
  <c r="D6646"/>
  <c r="D6644"/>
  <c r="D6642"/>
  <c r="D6640"/>
  <c r="D6638"/>
  <c r="D6636"/>
  <c r="D6634"/>
  <c r="D6632"/>
  <c r="D6630"/>
  <c r="D6628"/>
  <c r="D6626"/>
  <c r="D6624"/>
  <c r="D6622"/>
  <c r="D6620"/>
  <c r="D6618"/>
  <c r="D6616"/>
  <c r="D6614"/>
  <c r="D6612"/>
  <c r="D6610"/>
  <c r="D6608"/>
  <c r="D6606"/>
  <c r="D6604"/>
  <c r="D6602"/>
  <c r="D6600"/>
  <c r="D6598"/>
  <c r="D6596"/>
  <c r="D6594"/>
  <c r="D6592"/>
  <c r="D6590"/>
  <c r="D6588"/>
  <c r="D6586"/>
  <c r="D6584"/>
  <c r="D6582"/>
  <c r="D6580"/>
  <c r="D6578"/>
  <c r="D6576"/>
  <c r="D6574"/>
  <c r="D6572"/>
  <c r="D6570"/>
  <c r="D6568"/>
  <c r="D6566"/>
  <c r="D6564"/>
  <c r="D6562"/>
  <c r="D6560"/>
  <c r="D6558"/>
  <c r="D6556"/>
  <c r="D6554"/>
  <c r="D6552"/>
  <c r="D6550"/>
  <c r="D6548"/>
  <c r="D6546"/>
  <c r="D6544"/>
  <c r="D6542"/>
  <c r="D6540"/>
  <c r="D6538"/>
  <c r="D6536"/>
  <c r="D6534"/>
  <c r="D6532"/>
  <c r="D6530"/>
  <c r="D6528"/>
  <c r="D6526"/>
  <c r="D6524"/>
  <c r="D6522"/>
  <c r="D6520"/>
  <c r="D6518"/>
  <c r="D6516"/>
  <c r="D6514"/>
  <c r="D6512"/>
  <c r="D6510"/>
  <c r="D6508"/>
  <c r="D6506"/>
  <c r="D6504"/>
  <c r="D6502"/>
  <c r="D6500"/>
  <c r="D6498"/>
  <c r="D6496"/>
  <c r="D6494"/>
  <c r="D6492"/>
  <c r="D6490"/>
  <c r="D6488"/>
  <c r="D6486"/>
  <c r="D6484"/>
  <c r="D6482"/>
  <c r="D6480"/>
  <c r="D6478"/>
  <c r="D6476"/>
  <c r="D6474"/>
  <c r="D6472"/>
  <c r="D6470"/>
  <c r="D6468"/>
  <c r="D6466"/>
  <c r="D6464"/>
  <c r="D6462"/>
  <c r="D6460"/>
  <c r="D6458"/>
  <c r="D6456"/>
  <c r="D6454"/>
  <c r="D6452"/>
  <c r="D6450"/>
  <c r="D6448"/>
  <c r="D6446"/>
  <c r="D6444"/>
  <c r="D6442"/>
  <c r="D6440"/>
  <c r="D6438"/>
  <c r="D6436"/>
  <c r="D6434"/>
  <c r="D6432"/>
  <c r="D6430"/>
  <c r="D6428"/>
  <c r="D6426"/>
  <c r="D6424"/>
  <c r="D6422"/>
  <c r="D6420"/>
  <c r="D6418"/>
  <c r="D6416"/>
  <c r="D6414"/>
  <c r="D6412"/>
  <c r="D6410"/>
  <c r="D6408"/>
  <c r="D6406"/>
  <c r="D6404"/>
  <c r="D6402"/>
  <c r="D6400"/>
  <c r="D6398"/>
  <c r="D6396"/>
  <c r="D6394"/>
  <c r="D6392"/>
  <c r="D6390"/>
  <c r="D6388"/>
  <c r="D6386"/>
  <c r="D6384"/>
  <c r="D6382"/>
  <c r="D6380"/>
  <c r="D6378"/>
  <c r="D6376"/>
  <c r="D6374"/>
  <c r="D6372"/>
  <c r="D6370"/>
  <c r="D6368"/>
  <c r="D6366"/>
  <c r="D6364"/>
  <c r="D6362"/>
  <c r="D6360"/>
  <c r="D6358"/>
  <c r="D6356"/>
  <c r="D6354"/>
  <c r="D6352"/>
  <c r="D6350"/>
  <c r="D6348"/>
  <c r="D6346"/>
  <c r="D6344"/>
  <c r="D6342"/>
  <c r="D6340"/>
  <c r="D6338"/>
  <c r="D6336"/>
  <c r="D6334"/>
  <c r="D6332"/>
  <c r="D6330"/>
  <c r="D6328"/>
  <c r="D6326"/>
  <c r="D6324"/>
  <c r="D6322"/>
  <c r="D6320"/>
  <c r="D6318"/>
  <c r="D6316"/>
  <c r="D6314"/>
  <c r="D6312"/>
  <c r="D6310"/>
  <c r="D6308"/>
  <c r="D6306"/>
  <c r="D6304"/>
  <c r="D6302"/>
  <c r="D6300"/>
  <c r="D6298"/>
  <c r="D6296"/>
  <c r="D6294"/>
  <c r="D6292"/>
  <c r="D6290"/>
  <c r="D6288"/>
  <c r="D6286"/>
  <c r="D6284"/>
  <c r="D6282"/>
  <c r="D6280"/>
  <c r="D6278"/>
  <c r="D6276"/>
  <c r="D6274"/>
  <c r="D6272"/>
  <c r="D6270"/>
  <c r="D14595"/>
  <c r="D14593"/>
  <c r="D14591"/>
  <c r="D14589"/>
  <c r="D14587"/>
  <c r="D14585"/>
  <c r="D14583"/>
  <c r="D14581"/>
  <c r="D14579"/>
  <c r="D14577"/>
  <c r="D14575"/>
  <c r="D14573"/>
  <c r="D14571"/>
  <c r="D14569"/>
  <c r="D14567"/>
  <c r="D14565"/>
  <c r="D14563"/>
  <c r="D14561"/>
  <c r="D14559"/>
  <c r="D14557"/>
  <c r="D14555"/>
  <c r="D14553"/>
  <c r="D14551"/>
  <c r="D14549"/>
  <c r="D14547"/>
  <c r="D14545"/>
  <c r="D14543"/>
  <c r="D14541"/>
  <c r="D14539"/>
  <c r="D14537"/>
  <c r="D14535"/>
  <c r="D14533"/>
  <c r="D14531"/>
  <c r="D14529"/>
  <c r="D14527"/>
  <c r="D14525"/>
  <c r="D14523"/>
  <c r="D14521"/>
  <c r="D14519"/>
  <c r="D14517"/>
  <c r="D14515"/>
  <c r="D14513"/>
  <c r="D14511"/>
  <c r="D14509"/>
  <c r="D14507"/>
  <c r="D14505"/>
  <c r="D14503"/>
  <c r="D14501"/>
  <c r="D14499"/>
  <c r="D14497"/>
  <c r="D14495"/>
  <c r="D14493"/>
  <c r="D14491"/>
  <c r="D14489"/>
  <c r="D14487"/>
  <c r="D14485"/>
  <c r="D14483"/>
  <c r="D14481"/>
  <c r="D14479"/>
  <c r="D14477"/>
  <c r="D14475"/>
  <c r="D14473"/>
  <c r="D14471"/>
  <c r="D14469"/>
  <c r="D14467"/>
  <c r="D14465"/>
  <c r="D14463"/>
  <c r="D14461"/>
  <c r="D14459"/>
  <c r="D14457"/>
  <c r="D14455"/>
  <c r="D14453"/>
  <c r="D14451"/>
  <c r="D14449"/>
  <c r="D14447"/>
  <c r="D14445"/>
  <c r="D14443"/>
  <c r="D14441"/>
  <c r="D14439"/>
  <c r="D14437"/>
  <c r="D14435"/>
  <c r="D14433"/>
  <c r="D14431"/>
  <c r="D14429"/>
  <c r="D14427"/>
  <c r="D14425"/>
  <c r="D14423"/>
  <c r="D14421"/>
  <c r="D14419"/>
  <c r="D14417"/>
  <c r="D14415"/>
  <c r="D14413"/>
  <c r="D14411"/>
  <c r="D14409"/>
  <c r="D14407"/>
  <c r="D14405"/>
  <c r="D14403"/>
  <c r="D14401"/>
  <c r="D14399"/>
  <c r="D14397"/>
  <c r="D14395"/>
  <c r="D14393"/>
  <c r="D14391"/>
  <c r="D14389"/>
  <c r="D14387"/>
  <c r="D14385"/>
  <c r="D14383"/>
  <c r="D14381"/>
  <c r="D14379"/>
  <c r="D14377"/>
  <c r="D14375"/>
  <c r="D14373"/>
  <c r="D14371"/>
  <c r="D14369"/>
  <c r="D14367"/>
  <c r="D14365"/>
  <c r="D14363"/>
  <c r="D14361"/>
  <c r="D14359"/>
  <c r="D14357"/>
  <c r="D14355"/>
  <c r="D14353"/>
  <c r="D14351"/>
  <c r="D14349"/>
  <c r="D14347"/>
  <c r="D14345"/>
  <c r="D14343"/>
  <c r="D14341"/>
  <c r="D14339"/>
  <c r="D14337"/>
  <c r="D14335"/>
  <c r="D14333"/>
  <c r="D14331"/>
  <c r="D14329"/>
  <c r="D14327"/>
  <c r="D14325"/>
  <c r="D14323"/>
  <c r="D14321"/>
  <c r="D14319"/>
  <c r="D14317"/>
  <c r="D14315"/>
  <c r="D14313"/>
  <c r="D14311"/>
  <c r="D14309"/>
  <c r="D14307"/>
  <c r="D14305"/>
  <c r="D14303"/>
  <c r="D14301"/>
  <c r="D14299"/>
  <c r="D14297"/>
  <c r="D14295"/>
  <c r="D14293"/>
  <c r="D14291"/>
  <c r="D14289"/>
  <c r="D14287"/>
  <c r="D14285"/>
  <c r="D14283"/>
  <c r="D14281"/>
  <c r="D14279"/>
  <c r="D14277"/>
  <c r="D14275"/>
  <c r="D14273"/>
  <c r="D14271"/>
  <c r="D14269"/>
  <c r="D14267"/>
  <c r="D14265"/>
  <c r="D14263"/>
  <c r="D14261"/>
  <c r="D14259"/>
  <c r="D14257"/>
  <c r="D14255"/>
  <c r="D14253"/>
  <c r="D14251"/>
  <c r="D14249"/>
  <c r="D14247"/>
  <c r="D14245"/>
  <c r="D14243"/>
  <c r="D14241"/>
  <c r="D14239"/>
  <c r="D14237"/>
  <c r="D14235"/>
  <c r="D14233"/>
  <c r="D14231"/>
  <c r="D14229"/>
  <c r="D14227"/>
  <c r="D14225"/>
  <c r="D14223"/>
  <c r="D14221"/>
  <c r="D14219"/>
  <c r="D14217"/>
  <c r="D14215"/>
  <c r="D14213"/>
  <c r="D14211"/>
  <c r="D14209"/>
  <c r="D14207"/>
  <c r="D14205"/>
  <c r="D14203"/>
  <c r="D14201"/>
  <c r="D14199"/>
  <c r="D14197"/>
  <c r="D14195"/>
  <c r="D14193"/>
  <c r="D14191"/>
  <c r="D14189"/>
  <c r="D14187"/>
  <c r="D14185"/>
  <c r="D14183"/>
  <c r="D14181"/>
  <c r="D14179"/>
  <c r="D14177"/>
  <c r="D14175"/>
  <c r="D14173"/>
  <c r="D14171"/>
  <c r="D14169"/>
  <c r="D14167"/>
  <c r="D14165"/>
  <c r="D14163"/>
  <c r="D14161"/>
  <c r="D14159"/>
  <c r="D14157"/>
  <c r="D14155"/>
  <c r="D14153"/>
  <c r="D14151"/>
  <c r="D14149"/>
  <c r="D14147"/>
  <c r="D14145"/>
  <c r="D14143"/>
  <c r="D14141"/>
  <c r="D14139"/>
  <c r="D14137"/>
  <c r="D14135"/>
  <c r="D14133"/>
  <c r="D14131"/>
  <c r="D14129"/>
  <c r="D14127"/>
  <c r="D14125"/>
  <c r="D14123"/>
  <c r="D14121"/>
  <c r="D14119"/>
  <c r="D14117"/>
  <c r="D14115"/>
  <c r="D14113"/>
  <c r="D14111"/>
  <c r="D14109"/>
  <c r="D14107"/>
  <c r="D14105"/>
  <c r="D14103"/>
  <c r="D14101"/>
  <c r="D14099"/>
  <c r="D14097"/>
  <c r="D14095"/>
  <c r="D14093"/>
  <c r="D14091"/>
  <c r="D14089"/>
  <c r="D14087"/>
  <c r="D14085"/>
  <c r="D14083"/>
  <c r="D14081"/>
  <c r="D14079"/>
  <c r="D14077"/>
  <c r="D14075"/>
  <c r="D14073"/>
  <c r="D14071"/>
  <c r="D14069"/>
  <c r="D14067"/>
  <c r="D14065"/>
  <c r="D14063"/>
  <c r="D14061"/>
  <c r="D14059"/>
  <c r="D14057"/>
  <c r="D14055"/>
  <c r="D14053"/>
  <c r="D14051"/>
  <c r="D14049"/>
  <c r="D14047"/>
  <c r="D14045"/>
  <c r="D14043"/>
  <c r="D14041"/>
  <c r="D14039"/>
  <c r="D14037"/>
  <c r="D14035"/>
  <c r="D14033"/>
  <c r="D14031"/>
  <c r="D14029"/>
  <c r="D14027"/>
  <c r="D14025"/>
  <c r="D14023"/>
  <c r="D14021"/>
  <c r="D14019"/>
  <c r="D14017"/>
  <c r="D14015"/>
  <c r="D14013"/>
  <c r="D14011"/>
  <c r="D14009"/>
  <c r="D14007"/>
  <c r="D14005"/>
  <c r="D14003"/>
  <c r="D14001"/>
  <c r="D13999"/>
  <c r="D13997"/>
  <c r="D13995"/>
  <c r="D13993"/>
  <c r="D13991"/>
  <c r="D13989"/>
  <c r="D13987"/>
  <c r="D13985"/>
  <c r="D13983"/>
  <c r="D13981"/>
  <c r="D13979"/>
  <c r="D13977"/>
  <c r="D13975"/>
  <c r="D13973"/>
  <c r="D13971"/>
  <c r="D13969"/>
  <c r="D13967"/>
  <c r="D13965"/>
  <c r="D13963"/>
  <c r="D13961"/>
  <c r="D13959"/>
  <c r="D13957"/>
  <c r="D13955"/>
  <c r="D13953"/>
  <c r="D13951"/>
  <c r="D13949"/>
  <c r="D13947"/>
  <c r="D13945"/>
  <c r="D13943"/>
  <c r="D13941"/>
  <c r="D13939"/>
  <c r="D13937"/>
  <c r="D13935"/>
  <c r="D13933"/>
  <c r="D13931"/>
  <c r="D13929"/>
  <c r="D13927"/>
  <c r="D13925"/>
  <c r="D13923"/>
  <c r="D13921"/>
  <c r="D13919"/>
  <c r="D13917"/>
  <c r="D13915"/>
  <c r="D13913"/>
  <c r="D13911"/>
  <c r="D13909"/>
  <c r="D13907"/>
  <c r="D13905"/>
  <c r="D13903"/>
  <c r="D13901"/>
  <c r="D13899"/>
  <c r="D13897"/>
  <c r="D13895"/>
  <c r="D13893"/>
  <c r="D13891"/>
  <c r="D13889"/>
  <c r="D13887"/>
  <c r="D13885"/>
  <c r="D13883"/>
  <c r="D13881"/>
  <c r="D13879"/>
  <c r="D13877"/>
  <c r="D13875"/>
  <c r="D13873"/>
  <c r="D13871"/>
  <c r="D13869"/>
  <c r="D13867"/>
  <c r="D13865"/>
  <c r="D13863"/>
  <c r="D13861"/>
  <c r="D13859"/>
  <c r="D13857"/>
  <c r="D13855"/>
  <c r="D13853"/>
  <c r="D13851"/>
  <c r="D13849"/>
  <c r="D13847"/>
  <c r="D13845"/>
  <c r="D13843"/>
  <c r="D13841"/>
  <c r="D13839"/>
  <c r="D13837"/>
  <c r="D13835"/>
  <c r="D13833"/>
  <c r="D13831"/>
  <c r="D13829"/>
  <c r="D13827"/>
  <c r="D13825"/>
  <c r="D13823"/>
  <c r="D13821"/>
  <c r="D13819"/>
  <c r="D13817"/>
  <c r="D13815"/>
  <c r="D13813"/>
  <c r="D13811"/>
  <c r="D13809"/>
  <c r="D13807"/>
  <c r="D13805"/>
  <c r="D13803"/>
  <c r="D13801"/>
  <c r="D13799"/>
  <c r="D13797"/>
  <c r="D13795"/>
  <c r="D13793"/>
  <c r="D13791"/>
  <c r="D13789"/>
  <c r="D13787"/>
  <c r="D13785"/>
  <c r="D13783"/>
  <c r="D13781"/>
  <c r="D13779"/>
  <c r="D13777"/>
  <c r="D13775"/>
  <c r="D13773"/>
  <c r="D13771"/>
  <c r="D13769"/>
  <c r="D13767"/>
  <c r="D13765"/>
  <c r="D13763"/>
  <c r="D13761"/>
  <c r="D13759"/>
  <c r="D13757"/>
  <c r="D13755"/>
  <c r="D13753"/>
  <c r="D13751"/>
  <c r="D13749"/>
  <c r="D13747"/>
  <c r="D13745"/>
  <c r="D13743"/>
  <c r="D13741"/>
  <c r="D13739"/>
  <c r="D13737"/>
  <c r="D13735"/>
  <c r="D13733"/>
  <c r="D13731"/>
  <c r="D13729"/>
  <c r="D13727"/>
  <c r="D13725"/>
  <c r="D13723"/>
  <c r="D13721"/>
  <c r="D13719"/>
  <c r="D13717"/>
  <c r="D13715"/>
  <c r="D13713"/>
  <c r="D13711"/>
  <c r="D13709"/>
  <c r="D13707"/>
  <c r="D13705"/>
  <c r="D13703"/>
  <c r="D13701"/>
  <c r="D13699"/>
  <c r="D13697"/>
  <c r="D13695"/>
  <c r="D13693"/>
  <c r="D13691"/>
  <c r="D13689"/>
  <c r="D13687"/>
  <c r="D13685"/>
  <c r="D13683"/>
  <c r="D13681"/>
  <c r="D13679"/>
  <c r="D13677"/>
  <c r="D13675"/>
  <c r="D13673"/>
  <c r="D13671"/>
  <c r="D13669"/>
  <c r="D13667"/>
  <c r="D13665"/>
  <c r="D13663"/>
  <c r="D13661"/>
  <c r="D13659"/>
  <c r="D13657"/>
  <c r="D13655"/>
  <c r="D13653"/>
  <c r="D13651"/>
  <c r="D13649"/>
  <c r="D13647"/>
  <c r="D13645"/>
  <c r="D13643"/>
  <c r="D13641"/>
  <c r="D13639"/>
  <c r="D13637"/>
  <c r="D13635"/>
  <c r="D13633"/>
  <c r="D13631"/>
  <c r="D13629"/>
  <c r="D13627"/>
  <c r="D13625"/>
  <c r="D13623"/>
  <c r="D13621"/>
  <c r="D13619"/>
  <c r="D13617"/>
  <c r="D13615"/>
  <c r="D13613"/>
  <c r="D13611"/>
  <c r="D13609"/>
  <c r="D13607"/>
  <c r="D13605"/>
  <c r="D13603"/>
  <c r="D13601"/>
  <c r="D13599"/>
  <c r="D13597"/>
  <c r="D13595"/>
  <c r="D13593"/>
  <c r="D13591"/>
  <c r="D13589"/>
  <c r="D13587"/>
  <c r="D13585"/>
  <c r="D13583"/>
  <c r="D13581"/>
  <c r="D13579"/>
  <c r="D13577"/>
  <c r="D13575"/>
  <c r="D13573"/>
  <c r="D13571"/>
  <c r="D13569"/>
  <c r="D13567"/>
  <c r="D13565"/>
  <c r="D13563"/>
  <c r="D13561"/>
  <c r="D13559"/>
  <c r="D13557"/>
  <c r="D13555"/>
  <c r="D13553"/>
  <c r="D13551"/>
  <c r="D13549"/>
  <c r="D13547"/>
  <c r="D13545"/>
  <c r="D13543"/>
  <c r="D13541"/>
  <c r="D13539"/>
  <c r="D13537"/>
  <c r="D13535"/>
  <c r="D13533"/>
  <c r="D13531"/>
  <c r="D13529"/>
  <c r="D13527"/>
  <c r="D13525"/>
  <c r="D13523"/>
  <c r="D13521"/>
  <c r="D13519"/>
  <c r="D13517"/>
  <c r="D13515"/>
  <c r="D13513"/>
  <c r="D13511"/>
  <c r="D13509"/>
  <c r="D13507"/>
  <c r="D13505"/>
  <c r="D13503"/>
  <c r="D13501"/>
  <c r="D13499"/>
  <c r="D13497"/>
  <c r="D13495"/>
  <c r="D13493"/>
  <c r="D13491"/>
  <c r="D13489"/>
  <c r="D13487"/>
  <c r="D13485"/>
  <c r="D13483"/>
  <c r="D13481"/>
  <c r="D13479"/>
  <c r="D13477"/>
  <c r="D13475"/>
  <c r="D13473"/>
  <c r="D13471"/>
  <c r="D13469"/>
  <c r="D13467"/>
  <c r="D13465"/>
  <c r="D13463"/>
  <c r="D13461"/>
  <c r="D13459"/>
  <c r="D13457"/>
  <c r="D13455"/>
  <c r="D13453"/>
  <c r="D13451"/>
  <c r="D13449"/>
  <c r="D13447"/>
  <c r="D13445"/>
  <c r="D13443"/>
  <c r="D13441"/>
  <c r="D13439"/>
  <c r="D13437"/>
  <c r="D13435"/>
  <c r="D13433"/>
  <c r="D13431"/>
  <c r="D13429"/>
  <c r="D13427"/>
  <c r="D13425"/>
  <c r="D13423"/>
  <c r="D13421"/>
  <c r="D13419"/>
  <c r="D13417"/>
  <c r="D13415"/>
  <c r="D13413"/>
  <c r="D13411"/>
  <c r="D13409"/>
  <c r="D13407"/>
  <c r="D13405"/>
  <c r="D13403"/>
  <c r="D13401"/>
  <c r="D13399"/>
  <c r="D13397"/>
  <c r="D13395"/>
  <c r="D13393"/>
  <c r="D13391"/>
  <c r="D13389"/>
  <c r="D13387"/>
  <c r="D13385"/>
  <c r="D13383"/>
  <c r="D13381"/>
  <c r="D13379"/>
  <c r="D13377"/>
  <c r="D13375"/>
  <c r="D13373"/>
  <c r="D13371"/>
  <c r="D13369"/>
  <c r="D13367"/>
  <c r="D13365"/>
  <c r="D13363"/>
  <c r="D13361"/>
  <c r="D13359"/>
  <c r="D13357"/>
  <c r="D13355"/>
  <c r="D13353"/>
  <c r="D13351"/>
  <c r="D13349"/>
  <c r="D13347"/>
  <c r="D13345"/>
  <c r="D13343"/>
  <c r="D13341"/>
  <c r="D13339"/>
  <c r="D13337"/>
  <c r="D13335"/>
  <c r="D13333"/>
  <c r="D13331"/>
  <c r="D13329"/>
  <c r="D13327"/>
  <c r="D13325"/>
  <c r="D13323"/>
  <c r="D13321"/>
  <c r="D13319"/>
  <c r="D13317"/>
  <c r="D13315"/>
  <c r="D13313"/>
  <c r="D13311"/>
  <c r="D13309"/>
  <c r="D13307"/>
  <c r="D13305"/>
  <c r="D13303"/>
  <c r="D13301"/>
  <c r="D13299"/>
  <c r="D13297"/>
  <c r="D13295"/>
  <c r="D13293"/>
  <c r="D13291"/>
  <c r="D13289"/>
  <c r="D13287"/>
  <c r="D13285"/>
  <c r="D13283"/>
  <c r="D13281"/>
  <c r="D13279"/>
  <c r="D13277"/>
  <c r="D13275"/>
  <c r="D13273"/>
  <c r="D13271"/>
  <c r="D13269"/>
  <c r="D13267"/>
  <c r="D13265"/>
  <c r="D13263"/>
  <c r="D13261"/>
  <c r="D13259"/>
  <c r="D13257"/>
  <c r="D13255"/>
  <c r="D13253"/>
  <c r="D13251"/>
  <c r="D13249"/>
  <c r="D13247"/>
  <c r="D13245"/>
  <c r="D13243"/>
  <c r="D13241"/>
  <c r="D13239"/>
  <c r="D13237"/>
  <c r="D13235"/>
  <c r="D13233"/>
  <c r="D13231"/>
  <c r="D13229"/>
  <c r="D13227"/>
  <c r="D13225"/>
  <c r="D13223"/>
  <c r="D13221"/>
  <c r="D13219"/>
  <c r="D13217"/>
  <c r="D13215"/>
  <c r="D13213"/>
  <c r="D13211"/>
  <c r="D13209"/>
  <c r="D13207"/>
  <c r="D13205"/>
  <c r="D13203"/>
  <c r="D13201"/>
  <c r="D13199"/>
  <c r="D13197"/>
  <c r="D13195"/>
  <c r="D13193"/>
  <c r="D13191"/>
  <c r="D13189"/>
  <c r="D13187"/>
  <c r="D13185"/>
  <c r="D13183"/>
  <c r="D13181"/>
  <c r="D13179"/>
  <c r="D13177"/>
  <c r="D13175"/>
  <c r="D13173"/>
  <c r="D13171"/>
  <c r="D13169"/>
  <c r="D13167"/>
  <c r="D13165"/>
  <c r="D13163"/>
  <c r="D13161"/>
  <c r="D13159"/>
  <c r="D13157"/>
  <c r="D13155"/>
  <c r="D13153"/>
  <c r="D13151"/>
  <c r="D13149"/>
  <c r="D13147"/>
  <c r="D13145"/>
  <c r="D13143"/>
  <c r="D13141"/>
  <c r="D13139"/>
  <c r="D13137"/>
  <c r="D13135"/>
  <c r="D13133"/>
  <c r="D13131"/>
  <c r="D13129"/>
  <c r="D13127"/>
  <c r="D13125"/>
  <c r="D13123"/>
  <c r="D13121"/>
  <c r="D13119"/>
  <c r="D13117"/>
  <c r="D13115"/>
  <c r="D13113"/>
  <c r="D13111"/>
  <c r="D13109"/>
  <c r="D13107"/>
  <c r="D13105"/>
  <c r="D13103"/>
  <c r="D13101"/>
  <c r="D13099"/>
  <c r="D13097"/>
  <c r="D13095"/>
  <c r="D13093"/>
  <c r="D13091"/>
  <c r="D13089"/>
  <c r="D13087"/>
  <c r="D13085"/>
  <c r="D13083"/>
  <c r="D13081"/>
  <c r="D13079"/>
  <c r="D13077"/>
  <c r="D13075"/>
  <c r="D13073"/>
  <c r="D13071"/>
  <c r="D13069"/>
  <c r="D13067"/>
  <c r="D13065"/>
  <c r="D13063"/>
  <c r="D13061"/>
  <c r="D13059"/>
  <c r="D13057"/>
  <c r="D13055"/>
  <c r="D13053"/>
  <c r="D13051"/>
  <c r="D13049"/>
  <c r="D13047"/>
  <c r="D13045"/>
  <c r="D13043"/>
  <c r="D13041"/>
  <c r="D13039"/>
  <c r="D13037"/>
  <c r="D13035"/>
  <c r="D13033"/>
  <c r="D13031"/>
  <c r="D13029"/>
  <c r="D13027"/>
  <c r="D13025"/>
  <c r="D13023"/>
  <c r="D13021"/>
  <c r="D13019"/>
  <c r="D13017"/>
  <c r="D13015"/>
  <c r="D13013"/>
  <c r="D13011"/>
  <c r="D13009"/>
  <c r="D13007"/>
  <c r="D13005"/>
  <c r="D13003"/>
  <c r="D13001"/>
  <c r="D12999"/>
  <c r="D12997"/>
  <c r="D12995"/>
  <c r="D12993"/>
  <c r="D12991"/>
  <c r="D12989"/>
  <c r="D12987"/>
  <c r="D12985"/>
  <c r="D12983"/>
  <c r="D12981"/>
  <c r="D12979"/>
  <c r="D12977"/>
  <c r="D12975"/>
  <c r="D12973"/>
  <c r="D12971"/>
  <c r="D12969"/>
  <c r="D12967"/>
  <c r="D12965"/>
  <c r="D12963"/>
  <c r="D12961"/>
  <c r="D12959"/>
  <c r="D12957"/>
  <c r="D12955"/>
  <c r="D12953"/>
  <c r="D12951"/>
  <c r="D12949"/>
  <c r="D12947"/>
  <c r="D12945"/>
  <c r="D12943"/>
  <c r="D12941"/>
  <c r="D12939"/>
  <c r="D12937"/>
  <c r="D12935"/>
  <c r="D12933"/>
  <c r="D12931"/>
  <c r="D12929"/>
  <c r="D12927"/>
  <c r="D12925"/>
  <c r="D12923"/>
  <c r="D12921"/>
  <c r="D12919"/>
  <c r="D12917"/>
  <c r="D12915"/>
  <c r="D12913"/>
  <c r="D12911"/>
  <c r="D12909"/>
  <c r="D12907"/>
  <c r="D12905"/>
  <c r="D12903"/>
  <c r="D12901"/>
  <c r="D12899"/>
  <c r="D12897"/>
  <c r="D12895"/>
  <c r="D12893"/>
  <c r="D12891"/>
  <c r="D12889"/>
  <c r="D12887"/>
  <c r="D12885"/>
  <c r="D12883"/>
  <c r="D12881"/>
  <c r="D12879"/>
  <c r="D12877"/>
  <c r="D12875"/>
  <c r="D12873"/>
  <c r="D12871"/>
  <c r="D12869"/>
  <c r="D12867"/>
  <c r="D12865"/>
  <c r="D12863"/>
  <c r="D12861"/>
  <c r="D12859"/>
  <c r="D12857"/>
  <c r="D12855"/>
  <c r="D12853"/>
  <c r="D12851"/>
  <c r="D12849"/>
  <c r="D12847"/>
  <c r="D12845"/>
  <c r="D12843"/>
  <c r="D12841"/>
  <c r="D12839"/>
  <c r="D12837"/>
  <c r="D12835"/>
  <c r="D12833"/>
  <c r="D12831"/>
  <c r="D12829"/>
  <c r="D12827"/>
  <c r="D12825"/>
  <c r="D12823"/>
  <c r="D12821"/>
  <c r="D12819"/>
  <c r="D12817"/>
  <c r="D12815"/>
  <c r="D12813"/>
  <c r="D12811"/>
  <c r="D12809"/>
  <c r="D12807"/>
  <c r="D12805"/>
  <c r="D12803"/>
  <c r="D12801"/>
  <c r="D12799"/>
  <c r="D12797"/>
  <c r="D12795"/>
  <c r="D12793"/>
  <c r="D12791"/>
  <c r="D12789"/>
  <c r="D12787"/>
  <c r="D12785"/>
  <c r="D12783"/>
  <c r="D12781"/>
  <c r="D12779"/>
  <c r="D12777"/>
  <c r="D12775"/>
  <c r="D12773"/>
  <c r="D12771"/>
  <c r="D12769"/>
  <c r="D12767"/>
  <c r="D12765"/>
  <c r="D12763"/>
  <c r="D12761"/>
  <c r="D12759"/>
  <c r="D12757"/>
  <c r="D12755"/>
  <c r="D12753"/>
  <c r="D12751"/>
  <c r="D12749"/>
  <c r="D12747"/>
  <c r="D12745"/>
  <c r="D12743"/>
  <c r="D12741"/>
  <c r="D12739"/>
  <c r="D12737"/>
  <c r="D12735"/>
  <c r="D12733"/>
  <c r="D12731"/>
  <c r="D12729"/>
  <c r="D12727"/>
  <c r="D12725"/>
  <c r="D12723"/>
  <c r="D12721"/>
  <c r="D12719"/>
  <c r="D12717"/>
  <c r="D12715"/>
  <c r="D12713"/>
  <c r="D12711"/>
  <c r="D12709"/>
  <c r="D12707"/>
  <c r="D12705"/>
  <c r="D12703"/>
  <c r="D12701"/>
  <c r="D12699"/>
  <c r="D12697"/>
  <c r="D12695"/>
  <c r="D12693"/>
  <c r="D12691"/>
  <c r="D12689"/>
  <c r="D12687"/>
  <c r="D12685"/>
  <c r="D12683"/>
  <c r="D12681"/>
  <c r="D12679"/>
  <c r="D12677"/>
  <c r="D12675"/>
  <c r="D12673"/>
  <c r="D12671"/>
  <c r="D12669"/>
  <c r="D12667"/>
  <c r="D12665"/>
  <c r="D12663"/>
  <c r="D12661"/>
  <c r="D12659"/>
  <c r="D12657"/>
  <c r="D12655"/>
  <c r="D12653"/>
  <c r="D12651"/>
  <c r="D12649"/>
  <c r="D12647"/>
  <c r="D12645"/>
  <c r="D12643"/>
  <c r="D12641"/>
  <c r="D12639"/>
  <c r="D12637"/>
  <c r="D12635"/>
  <c r="D12633"/>
  <c r="D12631"/>
  <c r="D12629"/>
  <c r="D12627"/>
  <c r="D12625"/>
  <c r="D12623"/>
  <c r="D12621"/>
  <c r="D12619"/>
  <c r="D12617"/>
  <c r="D12615"/>
  <c r="D12613"/>
  <c r="D12611"/>
  <c r="D12609"/>
  <c r="D12607"/>
  <c r="D12605"/>
  <c r="D12603"/>
  <c r="D12601"/>
  <c r="D12599"/>
  <c r="D12597"/>
  <c r="D12595"/>
  <c r="D12593"/>
  <c r="D12591"/>
  <c r="D12589"/>
  <c r="D12587"/>
  <c r="D12585"/>
  <c r="D12583"/>
  <c r="D12581"/>
  <c r="D12579"/>
  <c r="D12577"/>
  <c r="D12575"/>
  <c r="D12573"/>
  <c r="D12571"/>
  <c r="D12569"/>
  <c r="D12567"/>
  <c r="D12565"/>
  <c r="D12563"/>
  <c r="D12561"/>
  <c r="D12559"/>
  <c r="D12557"/>
  <c r="D12555"/>
  <c r="D12553"/>
  <c r="D12551"/>
  <c r="D12549"/>
  <c r="D12547"/>
  <c r="D12545"/>
  <c r="D12543"/>
  <c r="D12541"/>
  <c r="D12539"/>
  <c r="D12537"/>
  <c r="D12535"/>
  <c r="D12533"/>
  <c r="D12531"/>
  <c r="D12529"/>
  <c r="D12527"/>
  <c r="D12525"/>
  <c r="D12523"/>
  <c r="D12521"/>
  <c r="D12519"/>
  <c r="D12517"/>
  <c r="D12515"/>
  <c r="D12513"/>
  <c r="D12511"/>
  <c r="D12509"/>
  <c r="D12507"/>
  <c r="D12505"/>
  <c r="D12503"/>
  <c r="D12501"/>
  <c r="D12499"/>
  <c r="D12497"/>
  <c r="D12495"/>
  <c r="D12493"/>
  <c r="D12491"/>
  <c r="D12489"/>
  <c r="D12487"/>
  <c r="D12485"/>
  <c r="D12483"/>
  <c r="D12481"/>
  <c r="D12479"/>
  <c r="D12477"/>
  <c r="D12475"/>
  <c r="D12473"/>
  <c r="D12471"/>
  <c r="D12469"/>
  <c r="D12467"/>
  <c r="D12465"/>
  <c r="D12463"/>
  <c r="D12461"/>
  <c r="D12459"/>
  <c r="D12457"/>
  <c r="D12455"/>
  <c r="D12453"/>
  <c r="D12451"/>
  <c r="D12449"/>
  <c r="D12447"/>
  <c r="D12445"/>
  <c r="D12443"/>
  <c r="D12441"/>
  <c r="D12439"/>
  <c r="D12437"/>
  <c r="D12435"/>
  <c r="D12433"/>
  <c r="D12431"/>
  <c r="D12429"/>
  <c r="D12427"/>
  <c r="D12425"/>
  <c r="D12423"/>
  <c r="D12421"/>
  <c r="D12419"/>
  <c r="D12417"/>
  <c r="D12415"/>
  <c r="D12413"/>
  <c r="D12411"/>
  <c r="D12409"/>
  <c r="D12407"/>
  <c r="D12405"/>
  <c r="D12403"/>
  <c r="D12401"/>
  <c r="D12399"/>
  <c r="D12397"/>
  <c r="D12395"/>
  <c r="D12393"/>
  <c r="D12391"/>
  <c r="D12389"/>
  <c r="D12387"/>
  <c r="D12385"/>
  <c r="D12383"/>
  <c r="D12381"/>
  <c r="D12379"/>
  <c r="D12377"/>
  <c r="D12375"/>
  <c r="D12373"/>
  <c r="D12371"/>
  <c r="D12369"/>
  <c r="D12367"/>
  <c r="D12365"/>
  <c r="D12363"/>
  <c r="D12361"/>
  <c r="D12359"/>
  <c r="D12357"/>
  <c r="D12355"/>
  <c r="D12353"/>
  <c r="D12351"/>
  <c r="D12349"/>
  <c r="D12347"/>
  <c r="D12345"/>
  <c r="D12343"/>
  <c r="D12341"/>
  <c r="D12339"/>
  <c r="D12337"/>
  <c r="D12335"/>
  <c r="D12333"/>
  <c r="D12331"/>
  <c r="D12329"/>
  <c r="D12327"/>
  <c r="D12325"/>
  <c r="D12323"/>
  <c r="D12321"/>
  <c r="D12319"/>
  <c r="D12317"/>
  <c r="D12315"/>
  <c r="D12313"/>
  <c r="D12311"/>
  <c r="D12309"/>
  <c r="D12307"/>
  <c r="D12305"/>
  <c r="D12303"/>
  <c r="D12301"/>
  <c r="D12299"/>
  <c r="D12297"/>
  <c r="D12295"/>
  <c r="D12293"/>
  <c r="D12291"/>
  <c r="D12289"/>
  <c r="D12287"/>
  <c r="D12285"/>
  <c r="D12283"/>
  <c r="D12281"/>
  <c r="D12279"/>
  <c r="D12277"/>
  <c r="D12275"/>
  <c r="D12273"/>
  <c r="D12271"/>
  <c r="D12269"/>
  <c r="D12267"/>
  <c r="D12265"/>
  <c r="D12263"/>
  <c r="D12261"/>
  <c r="D12259"/>
  <c r="D12257"/>
  <c r="D12255"/>
  <c r="D12253"/>
  <c r="D12251"/>
  <c r="D12249"/>
  <c r="D12247"/>
  <c r="D12245"/>
  <c r="D12243"/>
  <c r="D12241"/>
  <c r="D12239"/>
  <c r="D12237"/>
  <c r="D12235"/>
  <c r="D12233"/>
  <c r="D12231"/>
  <c r="D12229"/>
  <c r="D12227"/>
  <c r="D12225"/>
  <c r="D12223"/>
  <c r="D12221"/>
  <c r="D12219"/>
  <c r="D12217"/>
  <c r="D12215"/>
  <c r="D12213"/>
  <c r="D12211"/>
  <c r="D12209"/>
  <c r="D12207"/>
  <c r="D12205"/>
  <c r="D12203"/>
  <c r="D12201"/>
  <c r="D12199"/>
  <c r="D12197"/>
  <c r="D12195"/>
  <c r="D12193"/>
  <c r="D12191"/>
  <c r="D12189"/>
  <c r="D12187"/>
  <c r="D12185"/>
  <c r="D12183"/>
  <c r="D12181"/>
  <c r="D12179"/>
  <c r="D12177"/>
  <c r="D12175"/>
  <c r="D12173"/>
  <c r="D12171"/>
  <c r="D12169"/>
  <c r="D12167"/>
  <c r="D12165"/>
  <c r="D12163"/>
  <c r="D12161"/>
  <c r="D12159"/>
  <c r="D12157"/>
  <c r="D12155"/>
  <c r="D12153"/>
  <c r="D12151"/>
  <c r="D12149"/>
  <c r="D12147"/>
  <c r="D12145"/>
  <c r="D12143"/>
  <c r="D12141"/>
  <c r="D12139"/>
  <c r="D12137"/>
  <c r="D12135"/>
  <c r="D12133"/>
  <c r="D12131"/>
  <c r="D12129"/>
  <c r="D12127"/>
  <c r="D12125"/>
  <c r="D12123"/>
  <c r="D12121"/>
  <c r="D12119"/>
  <c r="D12117"/>
  <c r="D12115"/>
  <c r="D12113"/>
  <c r="D12111"/>
  <c r="D12109"/>
  <c r="D12107"/>
  <c r="D12105"/>
  <c r="D12103"/>
  <c r="D12101"/>
  <c r="D12099"/>
  <c r="D12097"/>
  <c r="D12095"/>
  <c r="D12093"/>
  <c r="D12091"/>
  <c r="D12089"/>
  <c r="D12087"/>
  <c r="D12085"/>
  <c r="D12083"/>
  <c r="D12081"/>
  <c r="D12079"/>
  <c r="D12077"/>
  <c r="D12075"/>
  <c r="D12073"/>
  <c r="D12071"/>
  <c r="D12069"/>
  <c r="D12067"/>
  <c r="D12065"/>
  <c r="D12063"/>
  <c r="D12061"/>
  <c r="D12059"/>
  <c r="D12057"/>
  <c r="D12055"/>
  <c r="D12053"/>
  <c r="D12051"/>
  <c r="D12049"/>
  <c r="D12047"/>
  <c r="D12045"/>
  <c r="D12043"/>
  <c r="D12041"/>
  <c r="D12039"/>
  <c r="D12037"/>
  <c r="D12035"/>
  <c r="D12033"/>
  <c r="D12031"/>
  <c r="D12029"/>
  <c r="D12027"/>
  <c r="D12025"/>
  <c r="D12023"/>
  <c r="D12021"/>
  <c r="D12019"/>
  <c r="D12017"/>
  <c r="D12015"/>
  <c r="D12013"/>
  <c r="D12011"/>
  <c r="D12009"/>
  <c r="D12007"/>
  <c r="D12005"/>
  <c r="D12003"/>
  <c r="D12001"/>
  <c r="D11999"/>
  <c r="D11997"/>
  <c r="D11995"/>
  <c r="D11993"/>
  <c r="D11991"/>
  <c r="D11989"/>
  <c r="D11987"/>
  <c r="D11985"/>
  <c r="D11983"/>
  <c r="D11981"/>
  <c r="D11979"/>
  <c r="D11977"/>
  <c r="D11975"/>
  <c r="D11973"/>
  <c r="D11971"/>
  <c r="D11969"/>
  <c r="D11967"/>
  <c r="D11965"/>
  <c r="D11963"/>
  <c r="D11961"/>
  <c r="D11959"/>
  <c r="D11957"/>
  <c r="D11955"/>
  <c r="D11953"/>
  <c r="D11951"/>
  <c r="D11949"/>
  <c r="D11947"/>
  <c r="D11945"/>
  <c r="D11943"/>
  <c r="D11941"/>
  <c r="D11939"/>
  <c r="D11937"/>
  <c r="D11935"/>
  <c r="D11933"/>
  <c r="D11931"/>
  <c r="D11929"/>
  <c r="D11927"/>
  <c r="D11925"/>
  <c r="D11923"/>
  <c r="D11921"/>
  <c r="D11919"/>
  <c r="D11917"/>
  <c r="D11915"/>
  <c r="D11913"/>
  <c r="D11911"/>
  <c r="D11909"/>
  <c r="D11907"/>
  <c r="D11905"/>
  <c r="D11903"/>
  <c r="D11901"/>
  <c r="D11899"/>
  <c r="D11897"/>
  <c r="D11895"/>
  <c r="D11893"/>
  <c r="D11891"/>
  <c r="D11889"/>
  <c r="D11887"/>
  <c r="D11885"/>
  <c r="D11883"/>
  <c r="D11881"/>
  <c r="D11879"/>
  <c r="D11877"/>
  <c r="D11875"/>
  <c r="D11873"/>
  <c r="D11871"/>
  <c r="D11869"/>
  <c r="D11867"/>
  <c r="D11865"/>
  <c r="D11863"/>
  <c r="D11861"/>
  <c r="D11859"/>
  <c r="D11857"/>
  <c r="D11855"/>
  <c r="D11853"/>
  <c r="D11851"/>
  <c r="D11849"/>
  <c r="D11847"/>
  <c r="D11845"/>
  <c r="D11843"/>
  <c r="D11841"/>
  <c r="D11839"/>
  <c r="D11837"/>
  <c r="D11835"/>
  <c r="D11833"/>
  <c r="D11831"/>
  <c r="D11829"/>
  <c r="D11827"/>
  <c r="D11825"/>
  <c r="D11823"/>
  <c r="D11821"/>
  <c r="D11819"/>
  <c r="D11817"/>
  <c r="D11815"/>
  <c r="D11813"/>
  <c r="D11811"/>
  <c r="D11809"/>
  <c r="D11807"/>
  <c r="D11805"/>
  <c r="D11803"/>
  <c r="D11801"/>
  <c r="D11799"/>
  <c r="D11797"/>
  <c r="D11795"/>
  <c r="D11793"/>
  <c r="D11791"/>
  <c r="D11789"/>
  <c r="D11787"/>
  <c r="D11785"/>
  <c r="D11783"/>
  <c r="D11781"/>
  <c r="D11779"/>
  <c r="D11777"/>
  <c r="D11775"/>
  <c r="D11773"/>
  <c r="D11771"/>
  <c r="D11769"/>
  <c r="D11767"/>
  <c r="D11765"/>
  <c r="D11763"/>
  <c r="D11761"/>
  <c r="D11759"/>
  <c r="D11757"/>
  <c r="D11755"/>
  <c r="D11753"/>
  <c r="D11751"/>
  <c r="D11749"/>
  <c r="D11747"/>
  <c r="D11745"/>
  <c r="D11743"/>
  <c r="D11741"/>
  <c r="D11739"/>
  <c r="D11737"/>
  <c r="D11735"/>
  <c r="D11733"/>
  <c r="D11731"/>
  <c r="D11729"/>
  <c r="D11727"/>
  <c r="D11725"/>
  <c r="D11723"/>
  <c r="D11721"/>
  <c r="D11719"/>
  <c r="D11717"/>
  <c r="D11715"/>
  <c r="D11713"/>
  <c r="D11711"/>
  <c r="D11709"/>
  <c r="D11707"/>
  <c r="D11705"/>
  <c r="D11703"/>
  <c r="D11701"/>
  <c r="D11699"/>
  <c r="D11697"/>
  <c r="D11695"/>
  <c r="D11693"/>
  <c r="D11691"/>
  <c r="D11689"/>
  <c r="D11687"/>
  <c r="D11685"/>
  <c r="D11683"/>
  <c r="D11681"/>
  <c r="D11679"/>
  <c r="D11677"/>
  <c r="D11675"/>
  <c r="D11673"/>
  <c r="D11671"/>
  <c r="D11669"/>
  <c r="D11667"/>
  <c r="D11665"/>
  <c r="D11663"/>
  <c r="D11661"/>
  <c r="D11659"/>
  <c r="D11657"/>
  <c r="D11655"/>
  <c r="D11653"/>
  <c r="D11651"/>
  <c r="D11649"/>
  <c r="D11647"/>
  <c r="D11645"/>
  <c r="D11643"/>
  <c r="D11641"/>
  <c r="D11639"/>
  <c r="D11637"/>
  <c r="D11635"/>
  <c r="D11633"/>
  <c r="D11631"/>
  <c r="D11629"/>
  <c r="D11627"/>
  <c r="D11625"/>
  <c r="D11623"/>
  <c r="D11621"/>
  <c r="D11619"/>
  <c r="D11617"/>
  <c r="D11615"/>
  <c r="D11613"/>
  <c r="D11611"/>
  <c r="D11609"/>
  <c r="D11607"/>
  <c r="D11605"/>
  <c r="D11603"/>
  <c r="D11601"/>
  <c r="D11599"/>
  <c r="D11597"/>
  <c r="D11595"/>
  <c r="D11593"/>
  <c r="D11591"/>
  <c r="D11589"/>
  <c r="D11587"/>
  <c r="D11585"/>
  <c r="D11583"/>
  <c r="D11581"/>
  <c r="D11579"/>
  <c r="D11577"/>
  <c r="D11575"/>
  <c r="D11573"/>
  <c r="D11571"/>
  <c r="D11569"/>
  <c r="D11567"/>
  <c r="D11565"/>
  <c r="D11563"/>
  <c r="D11561"/>
  <c r="D11559"/>
  <c r="D11557"/>
  <c r="D11555"/>
  <c r="D11553"/>
  <c r="D11551"/>
  <c r="D11549"/>
  <c r="D11547"/>
  <c r="D11545"/>
  <c r="D11543"/>
  <c r="D11541"/>
  <c r="D11539"/>
  <c r="D11537"/>
  <c r="D11535"/>
  <c r="D11533"/>
  <c r="D11531"/>
  <c r="D11529"/>
  <c r="D11527"/>
  <c r="D11525"/>
  <c r="D11523"/>
  <c r="D11521"/>
  <c r="D11519"/>
  <c r="D11517"/>
  <c r="D11515"/>
  <c r="D11513"/>
  <c r="D11511"/>
  <c r="D11509"/>
  <c r="D11507"/>
  <c r="D11505"/>
  <c r="D11503"/>
  <c r="D11501"/>
  <c r="D11499"/>
  <c r="D11497"/>
  <c r="D11495"/>
  <c r="D11493"/>
  <c r="D11491"/>
  <c r="D11489"/>
  <c r="D11487"/>
  <c r="D11485"/>
  <c r="D11483"/>
  <c r="D11481"/>
  <c r="D11479"/>
  <c r="D11477"/>
  <c r="D11475"/>
  <c r="D11473"/>
  <c r="D11471"/>
  <c r="D11469"/>
  <c r="D11467"/>
  <c r="D11465"/>
  <c r="D11463"/>
  <c r="D11461"/>
  <c r="D11459"/>
  <c r="D11457"/>
  <c r="D11455"/>
  <c r="D11453"/>
  <c r="D11451"/>
  <c r="D11449"/>
  <c r="D11447"/>
  <c r="D11445"/>
  <c r="D11443"/>
  <c r="D11441"/>
  <c r="D11439"/>
  <c r="D11437"/>
  <c r="D11435"/>
  <c r="D11433"/>
  <c r="D11431"/>
  <c r="D11429"/>
  <c r="D11427"/>
  <c r="D11425"/>
  <c r="D11423"/>
  <c r="D11421"/>
  <c r="D11419"/>
  <c r="D11417"/>
  <c r="D11415"/>
  <c r="D11413"/>
  <c r="D11411"/>
  <c r="D11409"/>
  <c r="D11407"/>
  <c r="D11405"/>
  <c r="D11403"/>
  <c r="D11401"/>
  <c r="D11399"/>
  <c r="D11397"/>
  <c r="D11395"/>
  <c r="D11393"/>
  <c r="D11391"/>
  <c r="D11389"/>
  <c r="D11387"/>
  <c r="D11385"/>
  <c r="D11383"/>
  <c r="D11381"/>
  <c r="D11379"/>
  <c r="D11377"/>
  <c r="D11375"/>
  <c r="D11373"/>
  <c r="D11371"/>
  <c r="D11369"/>
  <c r="D11367"/>
  <c r="D11365"/>
  <c r="D11363"/>
  <c r="D11361"/>
  <c r="D11359"/>
  <c r="D11357"/>
  <c r="D11355"/>
  <c r="D11353"/>
  <c r="D11351"/>
  <c r="D11349"/>
  <c r="D11347"/>
  <c r="D11345"/>
  <c r="D11343"/>
  <c r="D11341"/>
  <c r="D11339"/>
  <c r="D11337"/>
  <c r="D11335"/>
  <c r="D11333"/>
  <c r="D11331"/>
  <c r="D11329"/>
  <c r="D11327"/>
  <c r="D11325"/>
  <c r="D11323"/>
  <c r="D11321"/>
  <c r="D11319"/>
  <c r="D11317"/>
  <c r="D11315"/>
  <c r="D11313"/>
  <c r="D11311"/>
  <c r="D11309"/>
  <c r="D11307"/>
  <c r="D11305"/>
  <c r="D11303"/>
  <c r="D11301"/>
  <c r="D11299"/>
  <c r="D11297"/>
  <c r="D11295"/>
  <c r="D11293"/>
  <c r="D11291"/>
  <c r="D11289"/>
  <c r="D11287"/>
  <c r="D11285"/>
  <c r="D11283"/>
  <c r="D11281"/>
  <c r="D11279"/>
  <c r="D11277"/>
  <c r="D11275"/>
  <c r="D11273"/>
  <c r="D11271"/>
  <c r="D11269"/>
  <c r="D11267"/>
  <c r="D11265"/>
  <c r="D11263"/>
  <c r="D11261"/>
  <c r="D11259"/>
  <c r="D11257"/>
  <c r="D11255"/>
  <c r="D11253"/>
  <c r="D11251"/>
  <c r="D11249"/>
  <c r="D11247"/>
  <c r="D11245"/>
  <c r="D11243"/>
  <c r="D11241"/>
  <c r="D11239"/>
  <c r="D11237"/>
  <c r="D11235"/>
  <c r="D11233"/>
  <c r="D11231"/>
  <c r="D11229"/>
  <c r="D11227"/>
  <c r="D11225"/>
  <c r="D11223"/>
  <c r="D11221"/>
  <c r="D11219"/>
  <c r="D11217"/>
  <c r="D11215"/>
  <c r="D11213"/>
  <c r="D11211"/>
  <c r="D11209"/>
  <c r="D11207"/>
  <c r="D11205"/>
  <c r="D11203"/>
  <c r="D11201"/>
  <c r="D11199"/>
  <c r="D11197"/>
  <c r="D11195"/>
  <c r="D11193"/>
  <c r="D11191"/>
  <c r="D11189"/>
  <c r="D11187"/>
  <c r="D11185"/>
  <c r="D11183"/>
  <c r="D11181"/>
  <c r="D11179"/>
  <c r="D11177"/>
  <c r="D11175"/>
  <c r="D11173"/>
  <c r="D11171"/>
  <c r="D11169"/>
  <c r="D11167"/>
  <c r="D11165"/>
  <c r="D11163"/>
  <c r="D11161"/>
  <c r="D11159"/>
  <c r="D11157"/>
  <c r="D11155"/>
  <c r="D11153"/>
  <c r="D11151"/>
  <c r="D11149"/>
  <c r="D11147"/>
  <c r="D11145"/>
  <c r="D11143"/>
  <c r="D11141"/>
  <c r="D11139"/>
  <c r="D11137"/>
  <c r="D11135"/>
  <c r="D11133"/>
  <c r="D11131"/>
  <c r="D11129"/>
  <c r="D11127"/>
  <c r="D11125"/>
  <c r="D11123"/>
  <c r="D11121"/>
  <c r="D11119"/>
  <c r="D11117"/>
  <c r="D11115"/>
  <c r="D11113"/>
  <c r="D11111"/>
  <c r="D11109"/>
  <c r="D11107"/>
  <c r="D11105"/>
  <c r="D11103"/>
  <c r="D11101"/>
  <c r="D11099"/>
  <c r="D11097"/>
  <c r="D11095"/>
  <c r="D11093"/>
  <c r="D11091"/>
  <c r="D11089"/>
  <c r="D11087"/>
  <c r="D11085"/>
  <c r="D11083"/>
  <c r="D11081"/>
  <c r="D11079"/>
  <c r="D11077"/>
  <c r="D11075"/>
  <c r="D11073"/>
  <c r="D11071"/>
  <c r="D11069"/>
  <c r="D11067"/>
  <c r="D11065"/>
  <c r="D11063"/>
  <c r="D11061"/>
  <c r="D11059"/>
  <c r="D11057"/>
  <c r="D11055"/>
  <c r="D11053"/>
  <c r="D11051"/>
  <c r="D11049"/>
  <c r="D11047"/>
  <c r="D11045"/>
  <c r="D11043"/>
  <c r="D11041"/>
  <c r="D11039"/>
  <c r="D11037"/>
  <c r="D11035"/>
  <c r="D11033"/>
  <c r="D11031"/>
  <c r="D11029"/>
  <c r="D11027"/>
  <c r="D11025"/>
  <c r="D11023"/>
  <c r="D11021"/>
  <c r="D11019"/>
  <c r="D11017"/>
  <c r="D11015"/>
  <c r="D11013"/>
  <c r="D11011"/>
  <c r="D11009"/>
  <c r="D11007"/>
  <c r="D11005"/>
  <c r="D11003"/>
  <c r="D11001"/>
  <c r="D10999"/>
  <c r="D10997"/>
  <c r="D10995"/>
  <c r="D10993"/>
  <c r="D10991"/>
  <c r="D10989"/>
  <c r="D10987"/>
  <c r="D10985"/>
  <c r="D10983"/>
  <c r="D10981"/>
  <c r="D10979"/>
  <c r="D10977"/>
  <c r="D10975"/>
  <c r="D10973"/>
  <c r="D10971"/>
  <c r="D10969"/>
  <c r="D10967"/>
  <c r="D10965"/>
  <c r="D10963"/>
  <c r="D10961"/>
  <c r="D10959"/>
  <c r="D10957"/>
  <c r="D10955"/>
  <c r="D10953"/>
  <c r="D10951"/>
  <c r="D10949"/>
  <c r="D10947"/>
  <c r="D10945"/>
  <c r="D10943"/>
  <c r="D10941"/>
  <c r="D10939"/>
  <c r="D10937"/>
  <c r="D10935"/>
  <c r="D10933"/>
  <c r="D10931"/>
  <c r="D10929"/>
  <c r="D10927"/>
  <c r="D10925"/>
  <c r="D10923"/>
  <c r="D10921"/>
  <c r="D10919"/>
  <c r="D10917"/>
  <c r="D10915"/>
  <c r="D10913"/>
  <c r="D10911"/>
  <c r="D10909"/>
  <c r="D10907"/>
  <c r="D10905"/>
  <c r="D10903"/>
  <c r="D10901"/>
  <c r="D10899"/>
  <c r="D10897"/>
  <c r="D10895"/>
  <c r="D10893"/>
  <c r="D10891"/>
  <c r="D10889"/>
  <c r="D10887"/>
  <c r="D10885"/>
  <c r="D10883"/>
  <c r="D10881"/>
  <c r="D10879"/>
  <c r="D10877"/>
  <c r="D10875"/>
  <c r="D10873"/>
  <c r="D10871"/>
  <c r="D10869"/>
  <c r="D10867"/>
  <c r="D10865"/>
  <c r="D10863"/>
  <c r="D10861"/>
  <c r="D10859"/>
  <c r="D10857"/>
  <c r="D10855"/>
  <c r="D10853"/>
  <c r="D10851"/>
  <c r="D10849"/>
  <c r="D10847"/>
  <c r="D10845"/>
  <c r="D10843"/>
  <c r="D10841"/>
  <c r="D10839"/>
  <c r="D10837"/>
  <c r="D10835"/>
  <c r="D10833"/>
  <c r="D10831"/>
  <c r="D10829"/>
  <c r="D10827"/>
  <c r="D10825"/>
  <c r="D10823"/>
  <c r="D10821"/>
  <c r="D10819"/>
  <c r="D10817"/>
  <c r="D10815"/>
  <c r="D10813"/>
  <c r="D10811"/>
  <c r="D10809"/>
  <c r="D10807"/>
  <c r="D10805"/>
  <c r="D10803"/>
  <c r="D10801"/>
  <c r="D10799"/>
  <c r="D10797"/>
  <c r="D10795"/>
  <c r="D10793"/>
  <c r="D10791"/>
  <c r="D10789"/>
  <c r="D10787"/>
  <c r="D10785"/>
  <c r="D10783"/>
  <c r="D10781"/>
  <c r="D10779"/>
  <c r="D10777"/>
  <c r="D10775"/>
  <c r="D10773"/>
  <c r="D10771"/>
  <c r="D10769"/>
  <c r="D10767"/>
  <c r="D10765"/>
  <c r="D10763"/>
  <c r="D10761"/>
  <c r="D10759"/>
  <c r="D10757"/>
  <c r="D10755"/>
  <c r="D10753"/>
  <c r="D10751"/>
  <c r="D10749"/>
  <c r="D10747"/>
  <c r="D10745"/>
  <c r="D10743"/>
  <c r="D10741"/>
  <c r="D10739"/>
  <c r="D10737"/>
  <c r="D10735"/>
  <c r="D10733"/>
  <c r="D10731"/>
  <c r="D10729"/>
  <c r="D10727"/>
  <c r="D10725"/>
  <c r="D10723"/>
  <c r="D10721"/>
  <c r="D10719"/>
  <c r="D10717"/>
  <c r="D10715"/>
  <c r="D10713"/>
  <c r="D10711"/>
  <c r="D10709"/>
  <c r="D10707"/>
  <c r="D10705"/>
  <c r="D10703"/>
  <c r="D10701"/>
  <c r="D10699"/>
  <c r="D10697"/>
  <c r="D10695"/>
  <c r="D10693"/>
  <c r="D10691"/>
  <c r="D10689"/>
  <c r="D10687"/>
  <c r="D10685"/>
  <c r="D10683"/>
  <c r="D10681"/>
  <c r="D10679"/>
  <c r="D10677"/>
  <c r="D10675"/>
  <c r="D10673"/>
  <c r="D10671"/>
  <c r="D10669"/>
  <c r="D10667"/>
  <c r="D10665"/>
  <c r="D10663"/>
  <c r="D10661"/>
  <c r="D10659"/>
  <c r="D10657"/>
  <c r="D10655"/>
  <c r="D10653"/>
  <c r="D10651"/>
  <c r="D10649"/>
  <c r="D10647"/>
  <c r="D10645"/>
  <c r="D10643"/>
  <c r="D10641"/>
  <c r="D10639"/>
  <c r="D10637"/>
  <c r="D10635"/>
  <c r="D10633"/>
  <c r="D10631"/>
  <c r="D10629"/>
  <c r="D10627"/>
  <c r="D10625"/>
  <c r="D10623"/>
  <c r="D10621"/>
  <c r="D10619"/>
  <c r="D10617"/>
  <c r="D10615"/>
  <c r="D10613"/>
  <c r="D10611"/>
  <c r="D10609"/>
  <c r="D10607"/>
  <c r="D10605"/>
  <c r="D10603"/>
  <c r="D10601"/>
  <c r="D10599"/>
  <c r="D10597"/>
  <c r="D10595"/>
  <c r="D10593"/>
  <c r="D10591"/>
  <c r="D10589"/>
  <c r="D10587"/>
  <c r="D10585"/>
  <c r="D10583"/>
  <c r="D10581"/>
  <c r="D10579"/>
  <c r="D10577"/>
  <c r="D10575"/>
  <c r="D10573"/>
  <c r="D10571"/>
  <c r="D10569"/>
  <c r="D10567"/>
  <c r="D10565"/>
  <c r="D10563"/>
  <c r="D10561"/>
  <c r="D10559"/>
  <c r="D10557"/>
  <c r="D10555"/>
  <c r="D10553"/>
  <c r="D10551"/>
  <c r="D10549"/>
  <c r="D10547"/>
  <c r="D10545"/>
  <c r="D10543"/>
  <c r="D10541"/>
  <c r="D10539"/>
  <c r="D10537"/>
  <c r="D10535"/>
  <c r="D10533"/>
  <c r="D10531"/>
  <c r="D10529"/>
  <c r="D10527"/>
  <c r="D10525"/>
  <c r="D10523"/>
  <c r="D10521"/>
  <c r="D10519"/>
  <c r="D10517"/>
  <c r="D10515"/>
  <c r="D10513"/>
  <c r="D10511"/>
  <c r="D10509"/>
  <c r="D10507"/>
  <c r="D10505"/>
  <c r="D10503"/>
  <c r="D10501"/>
  <c r="D10499"/>
  <c r="D10497"/>
  <c r="D10495"/>
  <c r="D10493"/>
  <c r="D10491"/>
  <c r="D10489"/>
  <c r="D10487"/>
  <c r="D10485"/>
  <c r="D10483"/>
  <c r="D10481"/>
  <c r="D10479"/>
  <c r="D10477"/>
  <c r="D10475"/>
  <c r="D10473"/>
  <c r="D10471"/>
  <c r="D10469"/>
  <c r="D10467"/>
  <c r="D10465"/>
  <c r="D10463"/>
  <c r="D10461"/>
  <c r="D10459"/>
  <c r="D10457"/>
  <c r="D10455"/>
  <c r="D10453"/>
  <c r="D10451"/>
  <c r="D10449"/>
  <c r="D10447"/>
  <c r="D10445"/>
  <c r="D10443"/>
  <c r="D10441"/>
  <c r="D10439"/>
  <c r="D10437"/>
  <c r="D10435"/>
  <c r="D10433"/>
  <c r="D10431"/>
  <c r="D10429"/>
  <c r="D10427"/>
  <c r="D10425"/>
  <c r="D10423"/>
  <c r="D10421"/>
  <c r="D10419"/>
  <c r="D10417"/>
  <c r="D10415"/>
  <c r="D10413"/>
  <c r="D10411"/>
  <c r="D10409"/>
  <c r="D10407"/>
  <c r="D10405"/>
  <c r="D10403"/>
  <c r="D10401"/>
  <c r="D10399"/>
  <c r="D10397"/>
  <c r="D10395"/>
  <c r="D10393"/>
  <c r="D10391"/>
  <c r="D10389"/>
  <c r="D10387"/>
  <c r="D10385"/>
  <c r="D10383"/>
  <c r="D10381"/>
  <c r="D10379"/>
  <c r="D10377"/>
  <c r="D10375"/>
  <c r="D10373"/>
  <c r="D10371"/>
  <c r="D10369"/>
  <c r="D10367"/>
  <c r="D10365"/>
  <c r="D10363"/>
  <c r="D10361"/>
  <c r="D10359"/>
  <c r="D10357"/>
  <c r="D10355"/>
  <c r="D10353"/>
  <c r="D10351"/>
  <c r="D10349"/>
  <c r="D10347"/>
  <c r="D10345"/>
  <c r="D10343"/>
  <c r="D10341"/>
  <c r="D10339"/>
  <c r="D10337"/>
  <c r="D10335"/>
  <c r="D10333"/>
  <c r="D10331"/>
  <c r="D10329"/>
  <c r="D10327"/>
  <c r="D10325"/>
  <c r="D10323"/>
  <c r="D10321"/>
  <c r="D10319"/>
  <c r="D10317"/>
  <c r="D10315"/>
  <c r="D10313"/>
  <c r="D10311"/>
  <c r="D10309"/>
  <c r="D10307"/>
  <c r="D10305"/>
  <c r="D10303"/>
  <c r="D10301"/>
  <c r="D10299"/>
  <c r="D10297"/>
  <c r="D10295"/>
  <c r="D10293"/>
  <c r="D10291"/>
  <c r="D10289"/>
  <c r="D10287"/>
  <c r="D10285"/>
  <c r="D10283"/>
  <c r="D10281"/>
  <c r="D10279"/>
  <c r="D10277"/>
  <c r="D10275"/>
  <c r="D10273"/>
  <c r="D10271"/>
  <c r="D10269"/>
  <c r="D10267"/>
  <c r="D10265"/>
  <c r="D10263"/>
  <c r="D10261"/>
  <c r="D10259"/>
  <c r="D10257"/>
  <c r="D10255"/>
  <c r="D10253"/>
  <c r="D10251"/>
  <c r="D10249"/>
  <c r="D10247"/>
  <c r="D10245"/>
  <c r="D10243"/>
  <c r="D10241"/>
  <c r="D10239"/>
  <c r="D10237"/>
  <c r="D10235"/>
  <c r="D10233"/>
  <c r="D10231"/>
  <c r="D10229"/>
  <c r="D10227"/>
  <c r="D10225"/>
  <c r="D10223"/>
  <c r="D10221"/>
  <c r="D10219"/>
  <c r="D10217"/>
  <c r="D10215"/>
  <c r="D10213"/>
  <c r="D10211"/>
  <c r="D10209"/>
  <c r="D10207"/>
  <c r="D10205"/>
  <c r="D10203"/>
  <c r="D10201"/>
  <c r="D10199"/>
  <c r="D10197"/>
  <c r="D10195"/>
  <c r="D10193"/>
  <c r="D10191"/>
  <c r="D10189"/>
  <c r="D10187"/>
  <c r="D10185"/>
  <c r="D10183"/>
  <c r="D10181"/>
  <c r="D10179"/>
  <c r="D10177"/>
  <c r="D10175"/>
  <c r="D10173"/>
  <c r="D10171"/>
  <c r="D10169"/>
  <c r="D10167"/>
  <c r="D10165"/>
  <c r="D10163"/>
  <c r="D10161"/>
  <c r="D10159"/>
  <c r="D10157"/>
  <c r="D10155"/>
  <c r="D10153"/>
  <c r="D10151"/>
  <c r="D10149"/>
  <c r="D10147"/>
  <c r="D10145"/>
  <c r="D10143"/>
  <c r="D10141"/>
  <c r="D10139"/>
  <c r="D10137"/>
  <c r="D10135"/>
  <c r="D10133"/>
  <c r="D10131"/>
  <c r="D10129"/>
  <c r="D10127"/>
  <c r="D10125"/>
  <c r="D10123"/>
  <c r="D10121"/>
  <c r="D10119"/>
  <c r="D10117"/>
  <c r="D10115"/>
  <c r="D10113"/>
  <c r="D10111"/>
  <c r="D10109"/>
  <c r="D10107"/>
  <c r="D10105"/>
  <c r="D10103"/>
  <c r="D10101"/>
  <c r="D10099"/>
  <c r="D10097"/>
  <c r="D10095"/>
  <c r="D10093"/>
  <c r="D10091"/>
  <c r="D10089"/>
  <c r="D10087"/>
  <c r="D10085"/>
  <c r="D10083"/>
  <c r="D10081"/>
  <c r="D10079"/>
  <c r="D10077"/>
  <c r="D10075"/>
  <c r="D10073"/>
  <c r="D10071"/>
  <c r="D10069"/>
  <c r="D10067"/>
  <c r="D10065"/>
  <c r="D10063"/>
  <c r="D10061"/>
  <c r="D10059"/>
  <c r="D10057"/>
  <c r="D10055"/>
  <c r="D10053"/>
  <c r="D10051"/>
  <c r="D10049"/>
  <c r="D10047"/>
  <c r="D10045"/>
  <c r="D10043"/>
  <c r="D10041"/>
  <c r="D10039"/>
  <c r="D10037"/>
  <c r="D10035"/>
  <c r="D10033"/>
  <c r="D10031"/>
  <c r="D10029"/>
  <c r="D10027"/>
  <c r="D10025"/>
  <c r="D10023"/>
  <c r="D10021"/>
  <c r="D10019"/>
  <c r="D10017"/>
  <c r="D10015"/>
  <c r="D10013"/>
  <c r="D10011"/>
  <c r="D10009"/>
  <c r="D10007"/>
  <c r="D10005"/>
  <c r="D10003"/>
  <c r="D10001"/>
  <c r="D9999"/>
  <c r="D9997"/>
  <c r="D9995"/>
  <c r="D9993"/>
  <c r="D9991"/>
  <c r="D9989"/>
  <c r="D9987"/>
  <c r="D9985"/>
  <c r="D9983"/>
  <c r="D9981"/>
  <c r="D9979"/>
  <c r="D9977"/>
  <c r="D9975"/>
  <c r="D9973"/>
  <c r="D9971"/>
  <c r="D9969"/>
  <c r="D9967"/>
  <c r="D9965"/>
  <c r="D9963"/>
  <c r="D9961"/>
  <c r="D9959"/>
  <c r="D9957"/>
  <c r="D9955"/>
  <c r="D9953"/>
  <c r="D9951"/>
  <c r="D9949"/>
  <c r="D9947"/>
  <c r="D9945"/>
  <c r="D9943"/>
  <c r="D9941"/>
  <c r="D9939"/>
  <c r="D9937"/>
  <c r="D9935"/>
  <c r="D9933"/>
  <c r="D9931"/>
  <c r="D9929"/>
  <c r="D9927"/>
  <c r="D9925"/>
  <c r="D9923"/>
  <c r="D9921"/>
  <c r="D9919"/>
  <c r="D9917"/>
  <c r="D9915"/>
  <c r="D9913"/>
  <c r="D9911"/>
  <c r="D9909"/>
  <c r="D9907"/>
  <c r="D9905"/>
  <c r="D9903"/>
  <c r="D9901"/>
  <c r="D9899"/>
  <c r="D9897"/>
  <c r="D9895"/>
  <c r="D9893"/>
  <c r="D9891"/>
  <c r="D9889"/>
  <c r="D9887"/>
  <c r="D9885"/>
  <c r="D9883"/>
  <c r="D9881"/>
  <c r="D9879"/>
  <c r="D9877"/>
  <c r="D9875"/>
  <c r="D9873"/>
  <c r="D9871"/>
  <c r="D9869"/>
  <c r="D9867"/>
  <c r="D9865"/>
  <c r="D9863"/>
  <c r="D9861"/>
  <c r="D9859"/>
  <c r="D9857"/>
  <c r="D9855"/>
  <c r="D9853"/>
  <c r="D9851"/>
  <c r="D9849"/>
  <c r="D9847"/>
  <c r="D9845"/>
  <c r="D9843"/>
  <c r="D9841"/>
  <c r="D9839"/>
  <c r="D9837"/>
  <c r="D9835"/>
  <c r="D9833"/>
  <c r="D9831"/>
  <c r="D9829"/>
  <c r="D9827"/>
  <c r="D9825"/>
  <c r="D9823"/>
  <c r="D9821"/>
  <c r="D9819"/>
  <c r="D9817"/>
  <c r="D9815"/>
  <c r="D9813"/>
  <c r="D9811"/>
  <c r="D9809"/>
  <c r="D9807"/>
  <c r="D9805"/>
  <c r="D9803"/>
  <c r="D9801"/>
  <c r="D9799"/>
  <c r="D9797"/>
  <c r="D9795"/>
  <c r="D9793"/>
  <c r="D9791"/>
  <c r="D9789"/>
  <c r="D9787"/>
  <c r="D9785"/>
  <c r="D9783"/>
  <c r="D9781"/>
  <c r="D9779"/>
  <c r="D9777"/>
  <c r="D9775"/>
  <c r="D9773"/>
  <c r="D9771"/>
  <c r="D9769"/>
  <c r="D9767"/>
  <c r="D9765"/>
  <c r="D9763"/>
  <c r="D9761"/>
  <c r="D9759"/>
  <c r="D9757"/>
  <c r="D9755"/>
  <c r="D9753"/>
  <c r="D9751"/>
  <c r="D9749"/>
  <c r="D9747"/>
  <c r="D9745"/>
  <c r="D9743"/>
  <c r="D9741"/>
  <c r="D9739"/>
  <c r="D9737"/>
  <c r="D9735"/>
  <c r="D9733"/>
  <c r="D9731"/>
  <c r="D9729"/>
  <c r="D9727"/>
  <c r="D9725"/>
  <c r="D9723"/>
  <c r="D9721"/>
  <c r="D9719"/>
  <c r="D9717"/>
  <c r="D9715"/>
  <c r="D9713"/>
  <c r="D9711"/>
  <c r="D9709"/>
  <c r="D9707"/>
  <c r="D9705"/>
  <c r="D9703"/>
  <c r="D9701"/>
  <c r="D9699"/>
  <c r="D9697"/>
  <c r="D9695"/>
  <c r="D9693"/>
  <c r="D9691"/>
  <c r="D9689"/>
  <c r="D9687"/>
  <c r="D9685"/>
  <c r="D9683"/>
  <c r="D9681"/>
  <c r="D9679"/>
  <c r="D9677"/>
  <c r="D9675"/>
  <c r="D9673"/>
  <c r="D9671"/>
  <c r="D9669"/>
  <c r="D9667"/>
  <c r="D9665"/>
  <c r="D9663"/>
  <c r="D9661"/>
  <c r="D9659"/>
  <c r="D9657"/>
  <c r="D9655"/>
  <c r="D9653"/>
  <c r="D9651"/>
  <c r="D9649"/>
  <c r="D9647"/>
  <c r="D9645"/>
  <c r="D9643"/>
  <c r="D9641"/>
  <c r="D9639"/>
  <c r="D9637"/>
  <c r="D9635"/>
  <c r="D9633"/>
  <c r="D9631"/>
  <c r="D9629"/>
  <c r="D9627"/>
  <c r="D9625"/>
  <c r="D9623"/>
  <c r="D9621"/>
  <c r="D9619"/>
  <c r="D9617"/>
  <c r="D9615"/>
  <c r="D9613"/>
  <c r="D9611"/>
  <c r="D9609"/>
  <c r="D9607"/>
  <c r="D9605"/>
  <c r="D9603"/>
  <c r="D9601"/>
  <c r="D9599"/>
  <c r="D9597"/>
  <c r="D9595"/>
  <c r="D9593"/>
  <c r="D9591"/>
  <c r="D9589"/>
  <c r="D9587"/>
  <c r="D9585"/>
  <c r="D9583"/>
  <c r="D9581"/>
  <c r="D9579"/>
  <c r="D9577"/>
  <c r="D9575"/>
  <c r="D9573"/>
  <c r="D9571"/>
  <c r="D9569"/>
  <c r="D9567"/>
  <c r="D9565"/>
  <c r="D9563"/>
  <c r="D9561"/>
  <c r="D9559"/>
  <c r="D9557"/>
  <c r="D9555"/>
  <c r="D9553"/>
  <c r="D9551"/>
  <c r="D9549"/>
  <c r="D9547"/>
  <c r="D9545"/>
  <c r="D9543"/>
  <c r="D9541"/>
  <c r="D9539"/>
  <c r="D9537"/>
  <c r="D9535"/>
  <c r="D9533"/>
  <c r="D9531"/>
  <c r="D9529"/>
  <c r="D9527"/>
  <c r="D9525"/>
  <c r="D9523"/>
  <c r="D9521"/>
  <c r="D9519"/>
  <c r="D9517"/>
  <c r="D9515"/>
  <c r="D9513"/>
  <c r="D9511"/>
  <c r="D9509"/>
  <c r="D9507"/>
  <c r="D9505"/>
  <c r="D9503"/>
  <c r="D9501"/>
  <c r="D9499"/>
  <c r="D9497"/>
  <c r="D9495"/>
  <c r="D9493"/>
  <c r="D9491"/>
  <c r="D9489"/>
  <c r="D9487"/>
  <c r="D9485"/>
  <c r="D9483"/>
  <c r="D9481"/>
  <c r="D9479"/>
  <c r="D9477"/>
  <c r="D9475"/>
  <c r="D9473"/>
  <c r="D9471"/>
  <c r="D9469"/>
  <c r="D9467"/>
  <c r="D9465"/>
  <c r="D9463"/>
  <c r="D9461"/>
  <c r="D9459"/>
  <c r="D9457"/>
  <c r="D9455"/>
  <c r="D9453"/>
  <c r="D9451"/>
  <c r="D9449"/>
  <c r="D9447"/>
  <c r="D9445"/>
  <c r="D9443"/>
  <c r="D9441"/>
  <c r="D9439"/>
  <c r="D9437"/>
  <c r="D9435"/>
  <c r="D9433"/>
  <c r="D9431"/>
  <c r="D9429"/>
  <c r="D9427"/>
  <c r="D9425"/>
  <c r="D9423"/>
  <c r="D9421"/>
  <c r="D9419"/>
  <c r="D9417"/>
  <c r="D9415"/>
  <c r="D9413"/>
  <c r="D9411"/>
  <c r="D9409"/>
  <c r="D9407"/>
  <c r="D9405"/>
  <c r="D9403"/>
  <c r="D9401"/>
  <c r="D9399"/>
  <c r="D9397"/>
  <c r="D9395"/>
  <c r="D9393"/>
  <c r="D9391"/>
  <c r="D9389"/>
  <c r="D9387"/>
  <c r="D9385"/>
  <c r="D9383"/>
  <c r="D9381"/>
  <c r="D9379"/>
  <c r="D9377"/>
  <c r="D9375"/>
  <c r="D9373"/>
  <c r="D9371"/>
  <c r="D9369"/>
  <c r="D9367"/>
  <c r="D9365"/>
  <c r="D9363"/>
  <c r="D9361"/>
  <c r="D9359"/>
  <c r="D9357"/>
  <c r="D9355"/>
  <c r="D9353"/>
  <c r="D9351"/>
  <c r="D9349"/>
  <c r="D9347"/>
  <c r="D9345"/>
  <c r="D9343"/>
  <c r="D9341"/>
  <c r="D9339"/>
  <c r="D9337"/>
  <c r="D9335"/>
  <c r="D9333"/>
  <c r="D9331"/>
  <c r="D9329"/>
  <c r="D9327"/>
  <c r="D9325"/>
  <c r="D9323"/>
  <c r="D9321"/>
  <c r="D9319"/>
  <c r="D9317"/>
  <c r="D9315"/>
  <c r="D9313"/>
  <c r="D9311"/>
  <c r="D9309"/>
  <c r="D9307"/>
  <c r="D9305"/>
  <c r="D9303"/>
  <c r="D9301"/>
  <c r="D9299"/>
  <c r="D9297"/>
  <c r="D9295"/>
  <c r="D9293"/>
  <c r="D9291"/>
  <c r="D9289"/>
  <c r="D9287"/>
  <c r="D9285"/>
  <c r="D9283"/>
  <c r="D9281"/>
  <c r="D9279"/>
  <c r="D9277"/>
  <c r="D9275"/>
  <c r="D9273"/>
  <c r="D9271"/>
  <c r="D9269"/>
  <c r="D9267"/>
  <c r="D9265"/>
  <c r="D9263"/>
  <c r="D9261"/>
  <c r="D9259"/>
  <c r="D9257"/>
  <c r="D9255"/>
  <c r="D9253"/>
  <c r="D9251"/>
  <c r="D9249"/>
  <c r="D9247"/>
  <c r="D9245"/>
  <c r="D9243"/>
  <c r="D9241"/>
  <c r="D9239"/>
  <c r="D9237"/>
  <c r="D9235"/>
  <c r="D9233"/>
  <c r="D9231"/>
  <c r="D9229"/>
  <c r="D9227"/>
  <c r="D9225"/>
  <c r="D9223"/>
  <c r="D9221"/>
  <c r="D9219"/>
  <c r="D9217"/>
  <c r="D9215"/>
  <c r="D9213"/>
  <c r="D9211"/>
  <c r="D9209"/>
  <c r="D9207"/>
  <c r="D9205"/>
  <c r="D9203"/>
  <c r="D9201"/>
  <c r="D9199"/>
  <c r="D9197"/>
  <c r="D9195"/>
  <c r="D9193"/>
  <c r="D9191"/>
  <c r="D9189"/>
  <c r="D9187"/>
  <c r="D9185"/>
  <c r="D9183"/>
  <c r="D9181"/>
  <c r="D9179"/>
  <c r="D9177"/>
  <c r="D9175"/>
  <c r="D9173"/>
  <c r="D9171"/>
  <c r="D9169"/>
  <c r="D9167"/>
  <c r="D9165"/>
  <c r="D9163"/>
  <c r="D9161"/>
  <c r="D9159"/>
  <c r="D9157"/>
  <c r="D9155"/>
  <c r="D9153"/>
  <c r="D9151"/>
  <c r="D9149"/>
  <c r="D9147"/>
  <c r="D9145"/>
  <c r="D9143"/>
  <c r="D9141"/>
  <c r="D9139"/>
  <c r="D9137"/>
  <c r="D9135"/>
  <c r="D9133"/>
  <c r="D9131"/>
  <c r="D9129"/>
  <c r="D9127"/>
  <c r="D9125"/>
  <c r="D9123"/>
  <c r="D9121"/>
  <c r="D9119"/>
  <c r="D9117"/>
  <c r="D9115"/>
  <c r="D9113"/>
  <c r="D9111"/>
  <c r="D9109"/>
  <c r="D9107"/>
  <c r="D9105"/>
  <c r="D9103"/>
  <c r="D9101"/>
  <c r="D9099"/>
  <c r="D9097"/>
  <c r="D9095"/>
  <c r="D9093"/>
  <c r="D9091"/>
  <c r="D9089"/>
  <c r="D9087"/>
  <c r="D9085"/>
  <c r="D9083"/>
  <c r="D9081"/>
  <c r="D9079"/>
  <c r="D9077"/>
  <c r="D9075"/>
  <c r="D9073"/>
  <c r="D9071"/>
  <c r="D9069"/>
  <c r="D9067"/>
  <c r="D9065"/>
  <c r="D9063"/>
  <c r="D9061"/>
  <c r="D9059"/>
  <c r="D9057"/>
  <c r="D9055"/>
  <c r="D9053"/>
  <c r="D9051"/>
  <c r="D9049"/>
  <c r="D9047"/>
  <c r="D9045"/>
  <c r="D9043"/>
  <c r="D9041"/>
  <c r="D9039"/>
  <c r="D9037"/>
  <c r="D9035"/>
  <c r="D9033"/>
  <c r="D9031"/>
  <c r="D9029"/>
  <c r="D9027"/>
  <c r="D9025"/>
  <c r="D9023"/>
  <c r="D9021"/>
  <c r="D9019"/>
  <c r="D9017"/>
  <c r="D9015"/>
  <c r="D9013"/>
  <c r="D9011"/>
  <c r="D9009"/>
  <c r="D9007"/>
  <c r="D9005"/>
  <c r="D9003"/>
  <c r="D9001"/>
  <c r="D8999"/>
  <c r="D8997"/>
  <c r="D8995"/>
  <c r="D8993"/>
  <c r="D8991"/>
  <c r="D8989"/>
  <c r="D8987"/>
  <c r="D8985"/>
  <c r="D8983"/>
  <c r="D8981"/>
  <c r="D8979"/>
  <c r="D8977"/>
  <c r="D8975"/>
  <c r="D8973"/>
  <c r="D8971"/>
  <c r="D8969"/>
  <c r="D8967"/>
  <c r="D8965"/>
  <c r="D8963"/>
  <c r="D8961"/>
  <c r="D8959"/>
  <c r="D8957"/>
  <c r="D8955"/>
  <c r="D8953"/>
  <c r="D8951"/>
  <c r="D8949"/>
  <c r="D8947"/>
  <c r="D8945"/>
  <c r="D8943"/>
  <c r="D8941"/>
  <c r="D8939"/>
  <c r="D8937"/>
  <c r="D8935"/>
  <c r="D8933"/>
  <c r="D8931"/>
  <c r="D8929"/>
  <c r="D8927"/>
  <c r="D8925"/>
  <c r="D8923"/>
  <c r="D8921"/>
  <c r="D8919"/>
  <c r="D8917"/>
  <c r="D8915"/>
  <c r="D8913"/>
  <c r="D8911"/>
  <c r="D8909"/>
  <c r="D8907"/>
  <c r="D8905"/>
  <c r="D8903"/>
  <c r="D8901"/>
  <c r="D8899"/>
  <c r="D8897"/>
  <c r="D8895"/>
  <c r="D8893"/>
  <c r="D8891"/>
  <c r="D8889"/>
  <c r="D8887"/>
  <c r="D8885"/>
  <c r="D8883"/>
  <c r="D8881"/>
  <c r="D8879"/>
  <c r="D8877"/>
  <c r="D8875"/>
  <c r="D8873"/>
  <c r="D8871"/>
  <c r="D8869"/>
  <c r="D8867"/>
  <c r="D8865"/>
  <c r="D8863"/>
  <c r="D8861"/>
  <c r="D8859"/>
  <c r="D8857"/>
  <c r="D8855"/>
  <c r="D8853"/>
  <c r="D8851"/>
  <c r="D8849"/>
  <c r="D8847"/>
  <c r="D8845"/>
  <c r="D8843"/>
  <c r="D8841"/>
  <c r="D8839"/>
  <c r="D8837"/>
  <c r="D8835"/>
  <c r="D8833"/>
  <c r="D8831"/>
  <c r="D8829"/>
  <c r="D8827"/>
  <c r="D8825"/>
  <c r="D8823"/>
  <c r="D8821"/>
  <c r="D8819"/>
  <c r="D8817"/>
  <c r="D8815"/>
  <c r="D8813"/>
  <c r="D8811"/>
  <c r="D8809"/>
  <c r="D8807"/>
  <c r="D8805"/>
  <c r="D8803"/>
  <c r="D8801"/>
  <c r="D8799"/>
  <c r="D8797"/>
  <c r="D8795"/>
  <c r="D8793"/>
  <c r="D8791"/>
  <c r="D8789"/>
  <c r="D8787"/>
  <c r="D8785"/>
  <c r="D8783"/>
  <c r="D8781"/>
  <c r="D8779"/>
  <c r="D8777"/>
  <c r="D8775"/>
  <c r="D8773"/>
  <c r="D8771"/>
  <c r="D8769"/>
  <c r="D8767"/>
  <c r="D8765"/>
  <c r="D8763"/>
  <c r="D8761"/>
  <c r="D8759"/>
  <c r="D8757"/>
  <c r="D8755"/>
  <c r="D8753"/>
  <c r="D8751"/>
  <c r="D8749"/>
  <c r="D8747"/>
  <c r="D8745"/>
  <c r="D8743"/>
  <c r="D8741"/>
  <c r="D8739"/>
  <c r="D8737"/>
  <c r="D8735"/>
  <c r="D8733"/>
  <c r="D8731"/>
  <c r="D8729"/>
  <c r="D8727"/>
  <c r="D8725"/>
  <c r="D8723"/>
  <c r="D8721"/>
  <c r="D8719"/>
  <c r="D8717"/>
  <c r="D8715"/>
  <c r="D8713"/>
  <c r="D8711"/>
  <c r="D8709"/>
  <c r="D8707"/>
  <c r="D8705"/>
  <c r="D8703"/>
  <c r="D8701"/>
  <c r="D8699"/>
  <c r="D8697"/>
  <c r="D8695"/>
  <c r="D8693"/>
  <c r="D8691"/>
  <c r="D8689"/>
  <c r="D8687"/>
  <c r="D8685"/>
  <c r="D8683"/>
  <c r="D8681"/>
  <c r="D8679"/>
  <c r="D8677"/>
  <c r="D8675"/>
  <c r="D8673"/>
  <c r="D8671"/>
  <c r="D8669"/>
  <c r="D8667"/>
  <c r="D8665"/>
  <c r="D8663"/>
  <c r="D8661"/>
  <c r="D8659"/>
  <c r="D8657"/>
  <c r="D8655"/>
  <c r="D8653"/>
  <c r="D8651"/>
  <c r="D8649"/>
  <c r="D8647"/>
  <c r="D8645"/>
  <c r="D8643"/>
  <c r="D8641"/>
  <c r="D8639"/>
  <c r="D8637"/>
  <c r="D8635"/>
  <c r="D8633"/>
  <c r="D8631"/>
  <c r="D8629"/>
  <c r="D8627"/>
  <c r="D8625"/>
  <c r="D8623"/>
  <c r="D8621"/>
  <c r="D8619"/>
  <c r="D8617"/>
  <c r="D8615"/>
  <c r="D8613"/>
  <c r="D8611"/>
  <c r="D8609"/>
  <c r="D8607"/>
  <c r="D8605"/>
  <c r="D8603"/>
  <c r="D8601"/>
  <c r="D8599"/>
  <c r="D8597"/>
  <c r="D8595"/>
  <c r="D8593"/>
  <c r="D8591"/>
  <c r="D8589"/>
  <c r="D8587"/>
  <c r="D8585"/>
  <c r="D8583"/>
  <c r="D8581"/>
  <c r="D8579"/>
  <c r="D8577"/>
  <c r="D8575"/>
  <c r="D8573"/>
  <c r="D8571"/>
  <c r="D8569"/>
  <c r="D8567"/>
  <c r="D8565"/>
  <c r="D8563"/>
  <c r="D8561"/>
  <c r="D8559"/>
  <c r="D8557"/>
  <c r="D8555"/>
  <c r="D8553"/>
  <c r="D8551"/>
  <c r="D8549"/>
  <c r="D8547"/>
  <c r="D8545"/>
  <c r="D8543"/>
  <c r="D8541"/>
  <c r="D8539"/>
  <c r="D8537"/>
  <c r="D8535"/>
  <c r="D8533"/>
  <c r="D8531"/>
  <c r="D8529"/>
  <c r="D8527"/>
  <c r="D8525"/>
  <c r="D8523"/>
  <c r="D8521"/>
  <c r="D8519"/>
  <c r="D8517"/>
  <c r="D8515"/>
  <c r="D8513"/>
  <c r="D8511"/>
  <c r="D8509"/>
  <c r="D8507"/>
  <c r="D8505"/>
  <c r="D8503"/>
  <c r="D8501"/>
  <c r="D8499"/>
  <c r="D8497"/>
  <c r="D8495"/>
  <c r="D8493"/>
  <c r="D8491"/>
  <c r="D8489"/>
  <c r="D8487"/>
  <c r="D8485"/>
  <c r="D8483"/>
  <c r="D8481"/>
  <c r="D8479"/>
  <c r="D8477"/>
  <c r="D8475"/>
  <c r="D8473"/>
  <c r="D8471"/>
  <c r="D8469"/>
  <c r="D8467"/>
  <c r="D8465"/>
  <c r="D8463"/>
  <c r="D8461"/>
  <c r="D8459"/>
  <c r="D8457"/>
  <c r="D8455"/>
  <c r="D8453"/>
  <c r="D8451"/>
  <c r="D8449"/>
  <c r="D8447"/>
  <c r="D8445"/>
  <c r="D8443"/>
  <c r="D8441"/>
  <c r="D8439"/>
  <c r="D8437"/>
  <c r="D8435"/>
  <c r="D8433"/>
  <c r="D8431"/>
  <c r="D8429"/>
  <c r="D8427"/>
  <c r="D8425"/>
  <c r="D8423"/>
  <c r="D8421"/>
  <c r="D8419"/>
  <c r="D8417"/>
  <c r="D8415"/>
  <c r="D8413"/>
  <c r="D8411"/>
  <c r="D8409"/>
  <c r="D8407"/>
  <c r="D8405"/>
  <c r="D8403"/>
  <c r="D8401"/>
  <c r="D8399"/>
  <c r="D8397"/>
  <c r="D8395"/>
  <c r="D8393"/>
  <c r="D8391"/>
  <c r="D8389"/>
  <c r="D8387"/>
  <c r="D8385"/>
  <c r="D8383"/>
  <c r="D8381"/>
  <c r="D8379"/>
  <c r="D8377"/>
  <c r="D8375"/>
  <c r="D8373"/>
  <c r="D8371"/>
  <c r="D8369"/>
  <c r="D8367"/>
  <c r="D8365"/>
  <c r="D8363"/>
  <c r="D8361"/>
  <c r="D8359"/>
  <c r="D8357"/>
  <c r="D8355"/>
  <c r="D8353"/>
  <c r="D8351"/>
  <c r="D8349"/>
  <c r="D8347"/>
  <c r="D8345"/>
  <c r="D8343"/>
  <c r="D8341"/>
  <c r="D8339"/>
  <c r="D8337"/>
  <c r="D8335"/>
  <c r="D8333"/>
  <c r="D8331"/>
  <c r="D8329"/>
  <c r="D8327"/>
  <c r="D8325"/>
  <c r="D8323"/>
  <c r="D8321"/>
  <c r="D8319"/>
  <c r="D8317"/>
  <c r="D8315"/>
  <c r="D8313"/>
  <c r="D8311"/>
  <c r="D8309"/>
  <c r="D8307"/>
  <c r="D8305"/>
  <c r="D8303"/>
  <c r="D8301"/>
  <c r="D8299"/>
  <c r="D8297"/>
  <c r="D8295"/>
  <c r="D8293"/>
  <c r="D8291"/>
  <c r="D8289"/>
  <c r="D8287"/>
  <c r="D8285"/>
  <c r="D8283"/>
  <c r="D8281"/>
  <c r="D8279"/>
  <c r="D8277"/>
  <c r="D8275"/>
  <c r="D8273"/>
  <c r="D8271"/>
  <c r="D8269"/>
  <c r="D8267"/>
  <c r="D8265"/>
  <c r="D8263"/>
  <c r="D8261"/>
  <c r="D8259"/>
  <c r="D8257"/>
  <c r="D8255"/>
  <c r="D8253"/>
  <c r="D8251"/>
  <c r="D8249"/>
  <c r="D8247"/>
  <c r="D8245"/>
  <c r="D8243"/>
  <c r="D8241"/>
  <c r="D8239"/>
  <c r="D8237"/>
  <c r="D8235"/>
  <c r="D8233"/>
  <c r="D8231"/>
  <c r="D8229"/>
  <c r="D8227"/>
  <c r="D8225"/>
  <c r="D8223"/>
  <c r="D8221"/>
  <c r="D8219"/>
  <c r="D8217"/>
  <c r="D8215"/>
  <c r="D8213"/>
  <c r="D8211"/>
  <c r="D8209"/>
  <c r="D8207"/>
  <c r="D8205"/>
  <c r="D8203"/>
  <c r="D8201"/>
  <c r="D8199"/>
  <c r="D8197"/>
  <c r="D8195"/>
  <c r="D8193"/>
  <c r="D8191"/>
  <c r="D8189"/>
  <c r="D8187"/>
  <c r="D8185"/>
  <c r="D8183"/>
  <c r="D8181"/>
  <c r="D8179"/>
  <c r="D8177"/>
  <c r="D8175"/>
  <c r="D8173"/>
  <c r="D8171"/>
  <c r="D8169"/>
  <c r="D8167"/>
  <c r="D8165"/>
  <c r="D8163"/>
  <c r="D8161"/>
  <c r="D8159"/>
  <c r="D8157"/>
  <c r="D8155"/>
  <c r="D8153"/>
  <c r="D8151"/>
  <c r="D8149"/>
  <c r="D8147"/>
  <c r="D8145"/>
  <c r="D8143"/>
  <c r="D8141"/>
  <c r="D8139"/>
  <c r="D8137"/>
  <c r="D8135"/>
  <c r="D8133"/>
  <c r="D8131"/>
  <c r="D8129"/>
  <c r="D8127"/>
  <c r="D8125"/>
  <c r="D8123"/>
  <c r="D8121"/>
  <c r="D8119"/>
  <c r="D8117"/>
  <c r="D8115"/>
  <c r="D8113"/>
  <c r="D8111"/>
  <c r="D8109"/>
  <c r="D8107"/>
  <c r="D8105"/>
  <c r="D8103"/>
  <c r="D8101"/>
  <c r="D8099"/>
  <c r="D8097"/>
  <c r="D8095"/>
  <c r="D8093"/>
  <c r="D8091"/>
  <c r="D8089"/>
  <c r="D8087"/>
  <c r="D8085"/>
  <c r="D8083"/>
  <c r="D8081"/>
  <c r="D8079"/>
  <c r="D8077"/>
  <c r="D8075"/>
  <c r="D8073"/>
  <c r="D8071"/>
  <c r="D8069"/>
  <c r="D8067"/>
  <c r="D8065"/>
  <c r="D8063"/>
  <c r="D8061"/>
  <c r="D8059"/>
  <c r="D8057"/>
  <c r="D8055"/>
  <c r="D8053"/>
  <c r="D8051"/>
  <c r="D8049"/>
  <c r="D8047"/>
  <c r="D8045"/>
  <c r="D8043"/>
  <c r="D8041"/>
  <c r="D8039"/>
  <c r="D8037"/>
  <c r="D8035"/>
  <c r="D8033"/>
  <c r="D8031"/>
  <c r="D8029"/>
  <c r="D8027"/>
  <c r="D8025"/>
  <c r="D8023"/>
  <c r="D8021"/>
  <c r="D8019"/>
  <c r="D8017"/>
  <c r="D8015"/>
  <c r="D8013"/>
  <c r="D8011"/>
  <c r="D8009"/>
  <c r="D8007"/>
  <c r="D8005"/>
  <c r="D8003"/>
  <c r="D8001"/>
  <c r="D7999"/>
  <c r="D7997"/>
  <c r="D7995"/>
  <c r="D7993"/>
  <c r="D7991"/>
  <c r="D7989"/>
  <c r="D7987"/>
  <c r="D7985"/>
  <c r="D7983"/>
  <c r="D7981"/>
  <c r="D7979"/>
  <c r="D7977"/>
  <c r="D7975"/>
  <c r="D7973"/>
  <c r="D7971"/>
  <c r="D7969"/>
  <c r="D7967"/>
  <c r="D7965"/>
  <c r="D7963"/>
  <c r="D7961"/>
  <c r="D7959"/>
  <c r="D7957"/>
  <c r="D7955"/>
  <c r="D7953"/>
  <c r="D7951"/>
  <c r="D7949"/>
  <c r="D7947"/>
  <c r="D7945"/>
  <c r="D7943"/>
  <c r="D7941"/>
  <c r="D7939"/>
  <c r="D7937"/>
  <c r="D7935"/>
  <c r="D7933"/>
  <c r="D7931"/>
  <c r="D7929"/>
  <c r="D7927"/>
  <c r="D7925"/>
  <c r="D7923"/>
  <c r="D7921"/>
  <c r="D7919"/>
  <c r="D7917"/>
  <c r="D7915"/>
  <c r="D7913"/>
  <c r="D7911"/>
  <c r="D7909"/>
  <c r="D7907"/>
  <c r="D7905"/>
  <c r="D7903"/>
  <c r="D7901"/>
  <c r="D7899"/>
  <c r="D7897"/>
  <c r="D7895"/>
  <c r="D7893"/>
  <c r="D7891"/>
  <c r="D7889"/>
  <c r="D7887"/>
  <c r="D7885"/>
  <c r="D7883"/>
  <c r="D7881"/>
  <c r="D7879"/>
  <c r="D7877"/>
  <c r="D7875"/>
  <c r="D7873"/>
  <c r="D7871"/>
  <c r="D7869"/>
  <c r="D7867"/>
  <c r="D7865"/>
  <c r="D7863"/>
  <c r="D7861"/>
  <c r="D7859"/>
  <c r="D7857"/>
  <c r="D7855"/>
  <c r="D7853"/>
  <c r="D7851"/>
  <c r="D7849"/>
  <c r="D7847"/>
  <c r="D7845"/>
  <c r="D7843"/>
  <c r="D7841"/>
  <c r="D7839"/>
  <c r="D7837"/>
  <c r="D7835"/>
  <c r="D7833"/>
  <c r="D7831"/>
  <c r="D7829"/>
  <c r="D7827"/>
  <c r="D7825"/>
  <c r="D7823"/>
  <c r="D7821"/>
  <c r="D7819"/>
  <c r="D7817"/>
  <c r="D7815"/>
  <c r="D7813"/>
  <c r="D7811"/>
  <c r="D7809"/>
  <c r="D7807"/>
  <c r="D7805"/>
  <c r="D7803"/>
  <c r="D7801"/>
  <c r="D7799"/>
  <c r="D7797"/>
  <c r="D7795"/>
  <c r="D7793"/>
  <c r="D7791"/>
  <c r="D7789"/>
  <c r="D7787"/>
  <c r="D7785"/>
  <c r="D7783"/>
  <c r="D7781"/>
  <c r="D7779"/>
  <c r="D7777"/>
  <c r="D7775"/>
  <c r="D7773"/>
  <c r="D7771"/>
  <c r="D7769"/>
  <c r="D7767"/>
  <c r="D7765"/>
  <c r="D7763"/>
  <c r="D7761"/>
  <c r="D7759"/>
  <c r="D7757"/>
  <c r="D7755"/>
  <c r="D7753"/>
  <c r="D7751"/>
  <c r="D7749"/>
  <c r="D7747"/>
  <c r="D7745"/>
  <c r="D7743"/>
  <c r="D7741"/>
  <c r="D7739"/>
  <c r="D7737"/>
  <c r="D7735"/>
  <c r="D7733"/>
  <c r="D7731"/>
  <c r="D7729"/>
  <c r="D7727"/>
  <c r="D7725"/>
  <c r="D7723"/>
  <c r="D7721"/>
  <c r="D7719"/>
  <c r="D7717"/>
  <c r="D7715"/>
  <c r="D7713"/>
  <c r="D7711"/>
  <c r="D7709"/>
  <c r="D7707"/>
  <c r="D7705"/>
  <c r="D7703"/>
  <c r="D7701"/>
  <c r="D7699"/>
  <c r="D7697"/>
  <c r="D7695"/>
  <c r="D7693"/>
  <c r="D7691"/>
  <c r="D7689"/>
  <c r="D7687"/>
  <c r="D7685"/>
  <c r="D7683"/>
  <c r="D7681"/>
  <c r="D7679"/>
  <c r="D7677"/>
  <c r="D7675"/>
  <c r="D7673"/>
  <c r="D7671"/>
  <c r="D7669"/>
  <c r="D7667"/>
  <c r="D7665"/>
  <c r="D7663"/>
  <c r="D7661"/>
  <c r="D7659"/>
  <c r="D7657"/>
  <c r="D7655"/>
  <c r="D7653"/>
  <c r="D7651"/>
  <c r="D7649"/>
  <c r="D7647"/>
  <c r="D7645"/>
  <c r="D7643"/>
  <c r="D7641"/>
  <c r="D7639"/>
  <c r="D7637"/>
  <c r="D7635"/>
  <c r="D7633"/>
  <c r="D7631"/>
  <c r="D7629"/>
  <c r="D7627"/>
  <c r="D7625"/>
  <c r="D7623"/>
  <c r="D7621"/>
  <c r="D7619"/>
  <c r="D7617"/>
  <c r="D7615"/>
  <c r="D7613"/>
  <c r="D7611"/>
  <c r="D7609"/>
  <c r="D7607"/>
  <c r="D7605"/>
  <c r="D7603"/>
  <c r="D7601"/>
  <c r="D7599"/>
  <c r="D7597"/>
  <c r="D7595"/>
  <c r="D7593"/>
  <c r="D7591"/>
  <c r="D7589"/>
  <c r="D7587"/>
  <c r="D7585"/>
  <c r="D7583"/>
  <c r="D7581"/>
  <c r="D7579"/>
  <c r="D7577"/>
  <c r="D7575"/>
  <c r="D7573"/>
  <c r="D7571"/>
  <c r="D7569"/>
  <c r="D7567"/>
  <c r="D7565"/>
  <c r="D7563"/>
  <c r="D7561"/>
  <c r="D7559"/>
  <c r="D7557"/>
  <c r="D7555"/>
  <c r="D7553"/>
  <c r="D7551"/>
  <c r="D7549"/>
  <c r="D7547"/>
  <c r="D7545"/>
  <c r="D7543"/>
  <c r="D7541"/>
  <c r="D7539"/>
  <c r="D7537"/>
  <c r="D7535"/>
  <c r="D7533"/>
  <c r="D7531"/>
  <c r="D7529"/>
  <c r="D7527"/>
  <c r="D7525"/>
  <c r="D7523"/>
  <c r="D7521"/>
  <c r="D7519"/>
  <c r="D7517"/>
  <c r="D7515"/>
  <c r="D7513"/>
  <c r="D7511"/>
  <c r="D7509"/>
  <c r="D7507"/>
  <c r="D7505"/>
  <c r="D7503"/>
  <c r="D7501"/>
  <c r="D7499"/>
  <c r="D7497"/>
  <c r="D7495"/>
  <c r="D7493"/>
  <c r="D7491"/>
  <c r="D7489"/>
  <c r="D7487"/>
  <c r="D7485"/>
  <c r="D7483"/>
  <c r="D7481"/>
  <c r="D7479"/>
  <c r="D7477"/>
  <c r="D7475"/>
  <c r="D7473"/>
  <c r="D7471"/>
  <c r="D7469"/>
  <c r="D7467"/>
  <c r="D7465"/>
  <c r="D7463"/>
  <c r="D7461"/>
  <c r="D7459"/>
  <c r="D7457"/>
  <c r="D7455"/>
  <c r="D7453"/>
  <c r="D7451"/>
  <c r="D7449"/>
  <c r="D7447"/>
  <c r="D7445"/>
  <c r="D7443"/>
  <c r="D7441"/>
  <c r="D7439"/>
  <c r="D7437"/>
  <c r="D7435"/>
  <c r="D7433"/>
  <c r="D7431"/>
  <c r="D7429"/>
  <c r="D7427"/>
  <c r="D7425"/>
  <c r="D7423"/>
  <c r="D7421"/>
  <c r="D7419"/>
  <c r="D7417"/>
  <c r="D7415"/>
  <c r="D7413"/>
  <c r="D7411"/>
  <c r="D7409"/>
  <c r="D7407"/>
  <c r="D7405"/>
  <c r="D7403"/>
  <c r="D7401"/>
  <c r="D7399"/>
  <c r="D7397"/>
  <c r="D7395"/>
  <c r="D7393"/>
  <c r="D7391"/>
  <c r="D7389"/>
  <c r="D7387"/>
  <c r="D7385"/>
  <c r="D7383"/>
  <c r="D7381"/>
  <c r="D7379"/>
  <c r="D7377"/>
  <c r="D7375"/>
  <c r="D7373"/>
  <c r="D7371"/>
  <c r="D7369"/>
  <c r="D7367"/>
  <c r="D7365"/>
  <c r="D7363"/>
  <c r="D7361"/>
  <c r="D7359"/>
  <c r="D7357"/>
  <c r="D7355"/>
  <c r="D7353"/>
  <c r="D7351"/>
  <c r="D7349"/>
  <c r="D7347"/>
  <c r="D7345"/>
  <c r="D7343"/>
  <c r="D7341"/>
  <c r="D7339"/>
  <c r="D7337"/>
  <c r="D7335"/>
  <c r="D7333"/>
  <c r="D7331"/>
  <c r="D7329"/>
  <c r="D7327"/>
  <c r="D7325"/>
  <c r="D7323"/>
  <c r="D7321"/>
  <c r="D7319"/>
  <c r="D7317"/>
  <c r="D7315"/>
  <c r="D7313"/>
  <c r="D7311"/>
  <c r="D7309"/>
  <c r="D7307"/>
  <c r="D7305"/>
  <c r="D7303"/>
  <c r="D7301"/>
  <c r="D7299"/>
  <c r="D7297"/>
  <c r="D7295"/>
  <c r="D7293"/>
  <c r="D7291"/>
  <c r="D7289"/>
  <c r="D7287"/>
  <c r="D7285"/>
  <c r="D7283"/>
  <c r="D7281"/>
  <c r="D7279"/>
  <c r="D7277"/>
  <c r="D7275"/>
  <c r="D7273"/>
  <c r="D7271"/>
  <c r="D7269"/>
  <c r="D7267"/>
  <c r="D7265"/>
  <c r="D7263"/>
  <c r="D7261"/>
  <c r="D7259"/>
  <c r="D7257"/>
  <c r="D7255"/>
  <c r="D7253"/>
  <c r="D7251"/>
  <c r="D7249"/>
  <c r="D7247"/>
  <c r="D7245"/>
  <c r="D7243"/>
  <c r="D7241"/>
  <c r="D7239"/>
  <c r="D7237"/>
  <c r="D7235"/>
  <c r="D7233"/>
  <c r="D7231"/>
  <c r="D7229"/>
  <c r="D7227"/>
  <c r="D7225"/>
  <c r="D7223"/>
  <c r="D7221"/>
  <c r="D7219"/>
  <c r="D7217"/>
  <c r="D7215"/>
  <c r="D7213"/>
  <c r="D7211"/>
  <c r="D7209"/>
  <c r="D7207"/>
  <c r="D7205"/>
  <c r="D7203"/>
  <c r="D7201"/>
  <c r="D7199"/>
  <c r="D7197"/>
  <c r="D7195"/>
  <c r="D7193"/>
  <c r="D7191"/>
  <c r="D7189"/>
  <c r="D7187"/>
  <c r="D7185"/>
  <c r="D7183"/>
  <c r="D7181"/>
  <c r="D7179"/>
  <c r="D7177"/>
  <c r="D7175"/>
  <c r="D7173"/>
  <c r="D7171"/>
  <c r="D7169"/>
  <c r="D7167"/>
  <c r="D7165"/>
  <c r="D7163"/>
  <c r="D7161"/>
  <c r="D7159"/>
  <c r="D7157"/>
  <c r="D7155"/>
  <c r="D7153"/>
  <c r="D7151"/>
  <c r="D7149"/>
  <c r="D7147"/>
  <c r="D7145"/>
  <c r="D7143"/>
  <c r="D7141"/>
  <c r="D7139"/>
  <c r="D7137"/>
  <c r="D7135"/>
  <c r="D7133"/>
  <c r="D7131"/>
  <c r="D7129"/>
  <c r="D7127"/>
  <c r="D7125"/>
  <c r="D7123"/>
  <c r="D7121"/>
  <c r="D7119"/>
  <c r="D7117"/>
  <c r="D7115"/>
  <c r="D7113"/>
  <c r="D7111"/>
  <c r="D7109"/>
  <c r="D7107"/>
  <c r="D7105"/>
  <c r="D7103"/>
  <c r="D7101"/>
  <c r="D7099"/>
  <c r="D7097"/>
  <c r="D7095"/>
  <c r="D7093"/>
  <c r="D7091"/>
  <c r="D7089"/>
  <c r="D7087"/>
  <c r="D7085"/>
  <c r="D7083"/>
  <c r="D7081"/>
  <c r="D7079"/>
  <c r="D7077"/>
  <c r="D7075"/>
  <c r="D7073"/>
  <c r="D7071"/>
  <c r="D7069"/>
  <c r="D7067"/>
  <c r="D7065"/>
  <c r="D7063"/>
  <c r="D7061"/>
  <c r="D7059"/>
  <c r="D7057"/>
  <c r="D7055"/>
  <c r="D7053"/>
  <c r="D7051"/>
  <c r="D7049"/>
  <c r="D7047"/>
  <c r="D7045"/>
  <c r="D7043"/>
  <c r="D7041"/>
  <c r="D7039"/>
  <c r="D7037"/>
  <c r="D7035"/>
  <c r="D7033"/>
  <c r="D7031"/>
  <c r="D7029"/>
  <c r="D7027"/>
  <c r="D7025"/>
  <c r="D7023"/>
  <c r="D7021"/>
  <c r="D7019"/>
  <c r="D7017"/>
  <c r="D7015"/>
  <c r="D7013"/>
  <c r="D7011"/>
  <c r="D7009"/>
  <c r="D7007"/>
  <c r="D7005"/>
  <c r="D7003"/>
  <c r="D7001"/>
  <c r="D6999"/>
  <c r="D6997"/>
  <c r="D6995"/>
  <c r="D6993"/>
  <c r="D6991"/>
  <c r="D6989"/>
  <c r="D6987"/>
  <c r="D6985"/>
  <c r="D6983"/>
  <c r="D6981"/>
  <c r="D6979"/>
  <c r="D6977"/>
  <c r="D6975"/>
  <c r="D6973"/>
  <c r="D6971"/>
  <c r="D6969"/>
  <c r="D6967"/>
  <c r="D6965"/>
  <c r="D6963"/>
  <c r="D6961"/>
  <c r="D6959"/>
  <c r="D6957"/>
  <c r="D6955"/>
  <c r="D6953"/>
  <c r="D6951"/>
  <c r="D6949"/>
  <c r="D6947"/>
  <c r="D6945"/>
  <c r="D6943"/>
  <c r="D6941"/>
  <c r="D6939"/>
  <c r="D6937"/>
  <c r="D6935"/>
  <c r="D6933"/>
  <c r="D6931"/>
  <c r="D6929"/>
  <c r="D6927"/>
  <c r="D6925"/>
  <c r="D6923"/>
  <c r="D6921"/>
  <c r="D6919"/>
  <c r="D6917"/>
  <c r="D6915"/>
  <c r="D6913"/>
  <c r="D6911"/>
  <c r="D6909"/>
  <c r="D6907"/>
  <c r="D6905"/>
  <c r="D6903"/>
  <c r="D6901"/>
  <c r="D6899"/>
  <c r="D6897"/>
  <c r="D6895"/>
  <c r="D6893"/>
  <c r="D6891"/>
  <c r="D6889"/>
  <c r="D6887"/>
  <c r="D6885"/>
  <c r="D6883"/>
  <c r="D6881"/>
  <c r="D6879"/>
  <c r="D6877"/>
  <c r="D6875"/>
  <c r="D6873"/>
  <c r="D6871"/>
  <c r="D6869"/>
  <c r="D6867"/>
  <c r="D6865"/>
  <c r="D6863"/>
  <c r="D6861"/>
  <c r="D6859"/>
  <c r="D6857"/>
  <c r="D6855"/>
  <c r="D6853"/>
  <c r="D6851"/>
  <c r="D6849"/>
  <c r="D6847"/>
  <c r="D6845"/>
  <c r="D6843"/>
  <c r="D6841"/>
  <c r="D6839"/>
  <c r="D6837"/>
  <c r="D6835"/>
  <c r="D6833"/>
  <c r="D6831"/>
  <c r="D6829"/>
  <c r="D6827"/>
  <c r="D6825"/>
  <c r="D6823"/>
  <c r="D6821"/>
  <c r="D6819"/>
  <c r="D6817"/>
  <c r="D6815"/>
  <c r="D6813"/>
  <c r="D6811"/>
  <c r="D6809"/>
  <c r="D6807"/>
  <c r="D6805"/>
  <c r="D6803"/>
  <c r="D6801"/>
  <c r="D6799"/>
  <c r="D6797"/>
  <c r="D6795"/>
  <c r="D6793"/>
  <c r="D6791"/>
  <c r="D6789"/>
  <c r="D6787"/>
  <c r="D6785"/>
  <c r="D6783"/>
  <c r="D6781"/>
  <c r="D6779"/>
  <c r="D6777"/>
  <c r="D6775"/>
  <c r="D6773"/>
  <c r="D6771"/>
  <c r="D6769"/>
  <c r="D6767"/>
  <c r="D6765"/>
  <c r="D6763"/>
  <c r="D6761"/>
  <c r="D6759"/>
  <c r="D6757"/>
  <c r="D6755"/>
  <c r="D6753"/>
  <c r="D6751"/>
  <c r="D6749"/>
  <c r="D6747"/>
  <c r="D6745"/>
  <c r="D6743"/>
  <c r="D6741"/>
  <c r="D6739"/>
  <c r="D6737"/>
  <c r="D6735"/>
  <c r="D6733"/>
  <c r="D6731"/>
  <c r="D6729"/>
  <c r="D6727"/>
  <c r="D6725"/>
  <c r="D6723"/>
  <c r="D6721"/>
  <c r="D6719"/>
  <c r="D6717"/>
  <c r="D6715"/>
  <c r="D6713"/>
  <c r="D6711"/>
  <c r="D6709"/>
  <c r="D6707"/>
  <c r="D6705"/>
  <c r="D6703"/>
  <c r="D6701"/>
  <c r="D6699"/>
  <c r="D6697"/>
  <c r="D6695"/>
  <c r="D6693"/>
  <c r="D6691"/>
  <c r="D6689"/>
  <c r="D6687"/>
  <c r="D6685"/>
  <c r="D6683"/>
  <c r="D6681"/>
  <c r="D6679"/>
  <c r="D6677"/>
  <c r="D6675"/>
  <c r="D6673"/>
  <c r="D6671"/>
  <c r="D6669"/>
  <c r="D6667"/>
  <c r="D6665"/>
  <c r="D6663"/>
  <c r="D6661"/>
  <c r="D6659"/>
  <c r="D6657"/>
  <c r="D6655"/>
  <c r="D6653"/>
  <c r="D6651"/>
  <c r="D6649"/>
  <c r="D6647"/>
  <c r="D6645"/>
  <c r="D6643"/>
  <c r="D6641"/>
  <c r="D6639"/>
  <c r="D6637"/>
  <c r="D6635"/>
  <c r="D6633"/>
  <c r="D6631"/>
  <c r="D6629"/>
  <c r="D6627"/>
  <c r="D6625"/>
  <c r="D6623"/>
  <c r="D6621"/>
  <c r="D6619"/>
  <c r="D6617"/>
  <c r="D6615"/>
  <c r="D6613"/>
  <c r="D6611"/>
  <c r="D6609"/>
  <c r="D6607"/>
  <c r="D6605"/>
  <c r="D6603"/>
  <c r="D6601"/>
  <c r="D6599"/>
  <c r="D6597"/>
  <c r="D6595"/>
  <c r="D6593"/>
  <c r="D6591"/>
  <c r="D6589"/>
  <c r="D6587"/>
  <c r="D6585"/>
  <c r="D6583"/>
  <c r="D6581"/>
  <c r="D6579"/>
  <c r="D6577"/>
  <c r="D6575"/>
  <c r="D6573"/>
  <c r="D6571"/>
  <c r="D6569"/>
  <c r="D6567"/>
  <c r="D6565"/>
  <c r="D6563"/>
  <c r="D6561"/>
  <c r="D6559"/>
  <c r="D6557"/>
  <c r="D6555"/>
  <c r="D6553"/>
  <c r="D6551"/>
  <c r="D6549"/>
  <c r="D6547"/>
  <c r="D6545"/>
  <c r="D6543"/>
  <c r="D6541"/>
  <c r="D6539"/>
  <c r="D6537"/>
  <c r="D6535"/>
  <c r="D6533"/>
  <c r="D6531"/>
  <c r="D6529"/>
  <c r="D6527"/>
  <c r="D6525"/>
  <c r="D6523"/>
  <c r="D6521"/>
  <c r="D6519"/>
  <c r="D6517"/>
  <c r="D6515"/>
  <c r="D6513"/>
  <c r="D6511"/>
  <c r="D6509"/>
  <c r="D6507"/>
  <c r="D6505"/>
  <c r="D6503"/>
  <c r="D6501"/>
  <c r="D6499"/>
  <c r="D6497"/>
  <c r="D6495"/>
  <c r="D6493"/>
  <c r="D6491"/>
  <c r="D6489"/>
  <c r="D6487"/>
  <c r="D6485"/>
  <c r="D6483"/>
  <c r="D6481"/>
  <c r="D6479"/>
  <c r="D6477"/>
  <c r="D6475"/>
  <c r="D6473"/>
  <c r="D6471"/>
  <c r="D6469"/>
  <c r="D6467"/>
  <c r="D6465"/>
  <c r="D6463"/>
  <c r="D6461"/>
  <c r="D6459"/>
  <c r="D6457"/>
  <c r="D6455"/>
  <c r="D6453"/>
  <c r="D6451"/>
  <c r="D6449"/>
  <c r="D6447"/>
  <c r="D6445"/>
  <c r="D6443"/>
  <c r="D6441"/>
  <c r="D6439"/>
  <c r="D6437"/>
  <c r="D6435"/>
  <c r="D6433"/>
  <c r="D6431"/>
  <c r="D6429"/>
  <c r="D6427"/>
  <c r="D6425"/>
  <c r="D6423"/>
  <c r="D6421"/>
  <c r="D6419"/>
  <c r="D6417"/>
  <c r="D6415"/>
  <c r="D6413"/>
  <c r="D6411"/>
  <c r="D6409"/>
  <c r="D6407"/>
  <c r="D6405"/>
  <c r="D6403"/>
  <c r="D6401"/>
  <c r="D6268"/>
  <c r="D6266"/>
  <c r="D6264"/>
  <c r="D6262"/>
  <c r="D6260"/>
  <c r="D6258"/>
  <c r="D6256"/>
  <c r="D6254"/>
  <c r="D6252"/>
  <c r="D6250"/>
  <c r="D6248"/>
  <c r="D6246"/>
  <c r="D6244"/>
  <c r="D6242"/>
  <c r="D6240"/>
  <c r="D6238"/>
  <c r="D6236"/>
  <c r="D6234"/>
  <c r="D6232"/>
  <c r="D6230"/>
  <c r="D6228"/>
  <c r="D6226"/>
  <c r="D6224"/>
  <c r="D6222"/>
  <c r="D6220"/>
  <c r="D6218"/>
  <c r="D6216"/>
  <c r="D6214"/>
  <c r="D6212"/>
  <c r="D6210"/>
  <c r="D6208"/>
  <c r="D6206"/>
  <c r="D6204"/>
  <c r="D6202"/>
  <c r="D6200"/>
  <c r="D6198"/>
  <c r="D6196"/>
  <c r="D6194"/>
  <c r="D6192"/>
  <c r="D6190"/>
  <c r="D6188"/>
  <c r="D6186"/>
  <c r="D6184"/>
  <c r="D6182"/>
  <c r="D6180"/>
  <c r="D6178"/>
  <c r="D6176"/>
  <c r="D6174"/>
  <c r="D6172"/>
  <c r="D6170"/>
  <c r="D6168"/>
  <c r="D6166"/>
  <c r="D6164"/>
  <c r="D6162"/>
  <c r="D6160"/>
  <c r="D6158"/>
  <c r="D6156"/>
  <c r="D6154"/>
  <c r="D6152"/>
  <c r="D6150"/>
  <c r="D6148"/>
  <c r="D6146"/>
  <c r="D6144"/>
  <c r="D6142"/>
  <c r="D6140"/>
  <c r="D6138"/>
  <c r="D6136"/>
  <c r="D6134"/>
  <c r="D6132"/>
  <c r="D6130"/>
  <c r="D6128"/>
  <c r="D6126"/>
  <c r="D6124"/>
  <c r="D6122"/>
  <c r="D6120"/>
  <c r="D6118"/>
  <c r="D6116"/>
  <c r="D6114"/>
  <c r="D6112"/>
  <c r="D6110"/>
  <c r="D6108"/>
  <c r="D6106"/>
  <c r="D6104"/>
  <c r="D6102"/>
  <c r="D6100"/>
  <c r="D6098"/>
  <c r="D6096"/>
  <c r="D6094"/>
  <c r="D6092"/>
  <c r="D6090"/>
  <c r="D6088"/>
  <c r="D6086"/>
  <c r="D6084"/>
  <c r="D6082"/>
  <c r="D6080"/>
  <c r="D6078"/>
  <c r="D6076"/>
  <c r="D6074"/>
  <c r="D6072"/>
  <c r="D6070"/>
  <c r="D6068"/>
  <c r="D6066"/>
  <c r="D6064"/>
  <c r="D6062"/>
  <c r="D6060"/>
  <c r="D6058"/>
  <c r="D6056"/>
  <c r="D6054"/>
  <c r="D6052"/>
  <c r="D6050"/>
  <c r="D6048"/>
  <c r="D6046"/>
  <c r="D6044"/>
  <c r="D6042"/>
  <c r="D6040"/>
  <c r="D6038"/>
  <c r="D6036"/>
  <c r="D6034"/>
  <c r="D6032"/>
  <c r="D6030"/>
  <c r="D6028"/>
  <c r="D6026"/>
  <c r="D6024"/>
  <c r="D6022"/>
  <c r="D6020"/>
  <c r="D6018"/>
  <c r="D6016"/>
  <c r="D6014"/>
  <c r="D6012"/>
  <c r="D6010"/>
  <c r="D6008"/>
  <c r="D6006"/>
  <c r="D6004"/>
  <c r="D6002"/>
  <c r="D6000"/>
  <c r="D5998"/>
  <c r="D5996"/>
  <c r="D5994"/>
  <c r="D5992"/>
  <c r="D5990"/>
  <c r="D5988"/>
  <c r="D5986"/>
  <c r="D5984"/>
  <c r="D5982"/>
  <c r="D5980"/>
  <c r="D5978"/>
  <c r="D5976"/>
  <c r="D5974"/>
  <c r="D5972"/>
  <c r="D5970"/>
  <c r="D5968"/>
  <c r="D5966"/>
  <c r="D5964"/>
  <c r="D5962"/>
  <c r="D5960"/>
  <c r="D5958"/>
  <c r="D5956"/>
  <c r="D5954"/>
  <c r="D5952"/>
  <c r="D5950"/>
  <c r="D5948"/>
  <c r="D5946"/>
  <c r="D5944"/>
  <c r="D5942"/>
  <c r="D5940"/>
  <c r="D5938"/>
  <c r="D5936"/>
  <c r="D5934"/>
  <c r="D5932"/>
  <c r="D5930"/>
  <c r="D5928"/>
  <c r="D5926"/>
  <c r="D5924"/>
  <c r="D5922"/>
  <c r="D5920"/>
  <c r="D5918"/>
  <c r="D5916"/>
  <c r="D5914"/>
  <c r="D5912"/>
  <c r="D5910"/>
  <c r="D5908"/>
  <c r="D5906"/>
  <c r="D5904"/>
  <c r="D5902"/>
  <c r="D5900"/>
  <c r="D5898"/>
  <c r="D5896"/>
  <c r="D5894"/>
  <c r="D5892"/>
  <c r="D5890"/>
  <c r="D5888"/>
  <c r="D5886"/>
  <c r="D5884"/>
  <c r="D5882"/>
  <c r="D5880"/>
  <c r="D5878"/>
  <c r="D5876"/>
  <c r="D5874"/>
  <c r="D5872"/>
  <c r="D5870"/>
  <c r="D5868"/>
  <c r="D5866"/>
  <c r="D5864"/>
  <c r="D5862"/>
  <c r="D5860"/>
  <c r="D5858"/>
  <c r="D5856"/>
  <c r="D5854"/>
  <c r="D5852"/>
  <c r="D5850"/>
  <c r="D5848"/>
  <c r="D5846"/>
  <c r="D5844"/>
  <c r="D5842"/>
  <c r="D5840"/>
  <c r="D5838"/>
  <c r="D5836"/>
  <c r="D5834"/>
  <c r="D5832"/>
  <c r="D5830"/>
  <c r="D5828"/>
  <c r="D5826"/>
  <c r="D5824"/>
  <c r="D5822"/>
  <c r="D5820"/>
  <c r="D5818"/>
  <c r="D5816"/>
  <c r="D5814"/>
  <c r="D5812"/>
  <c r="D5810"/>
  <c r="D5808"/>
  <c r="D5806"/>
  <c r="D5804"/>
  <c r="D5802"/>
  <c r="D5800"/>
  <c r="D5798"/>
  <c r="D5796"/>
  <c r="D5794"/>
  <c r="D5792"/>
  <c r="D5790"/>
  <c r="D5788"/>
  <c r="D5786"/>
  <c r="D5784"/>
  <c r="D5782"/>
  <c r="D5780"/>
  <c r="D5778"/>
  <c r="D5776"/>
  <c r="D5774"/>
  <c r="D5772"/>
  <c r="D5770"/>
  <c r="D5768"/>
  <c r="D5766"/>
  <c r="D5764"/>
  <c r="D5762"/>
  <c r="D5760"/>
  <c r="D5758"/>
  <c r="D5756"/>
  <c r="D5754"/>
  <c r="D5752"/>
  <c r="D5750"/>
  <c r="D5748"/>
  <c r="D5746"/>
  <c r="D5744"/>
  <c r="D5742"/>
  <c r="D5740"/>
  <c r="D5738"/>
  <c r="D5736"/>
  <c r="D5734"/>
  <c r="D5732"/>
  <c r="D5730"/>
  <c r="D5728"/>
  <c r="D5726"/>
  <c r="D5724"/>
  <c r="D5722"/>
  <c r="D5720"/>
  <c r="D5718"/>
  <c r="D5716"/>
  <c r="D5714"/>
  <c r="D5712"/>
  <c r="D5710"/>
  <c r="D5708"/>
  <c r="D5706"/>
  <c r="D5704"/>
  <c r="D5702"/>
  <c r="D5700"/>
  <c r="D5698"/>
  <c r="D5696"/>
  <c r="D5694"/>
  <c r="D5692"/>
  <c r="D5690"/>
  <c r="D5688"/>
  <c r="D5686"/>
  <c r="D5684"/>
  <c r="D5682"/>
  <c r="D5680"/>
  <c r="D5678"/>
  <c r="D5676"/>
  <c r="D5674"/>
  <c r="D5672"/>
  <c r="D5670"/>
  <c r="D5668"/>
  <c r="D5666"/>
  <c r="D5664"/>
  <c r="D5662"/>
  <c r="D5660"/>
  <c r="D5658"/>
  <c r="D5656"/>
  <c r="D5654"/>
  <c r="D5652"/>
  <c r="D5650"/>
  <c r="D5648"/>
  <c r="D5646"/>
  <c r="D5644"/>
  <c r="D5642"/>
  <c r="D5640"/>
  <c r="D5638"/>
  <c r="D5636"/>
  <c r="D5634"/>
  <c r="D5632"/>
  <c r="D5630"/>
  <c r="D5628"/>
  <c r="D5626"/>
  <c r="D5624"/>
  <c r="D5622"/>
  <c r="D5620"/>
  <c r="D5618"/>
  <c r="D5616"/>
  <c r="D5614"/>
  <c r="D5612"/>
  <c r="D5610"/>
  <c r="D5608"/>
  <c r="D5606"/>
  <c r="D5604"/>
  <c r="D5602"/>
  <c r="D5600"/>
  <c r="D5598"/>
  <c r="D5596"/>
  <c r="D5594"/>
  <c r="D5592"/>
  <c r="D5590"/>
  <c r="D5588"/>
  <c r="D5586"/>
  <c r="D5584"/>
  <c r="D5582"/>
  <c r="D5580"/>
  <c r="D5578"/>
  <c r="D5576"/>
  <c r="D5574"/>
  <c r="D5572"/>
  <c r="D5570"/>
  <c r="D5568"/>
  <c r="D5566"/>
  <c r="D5564"/>
  <c r="D5562"/>
  <c r="D5560"/>
  <c r="D5558"/>
  <c r="D5556"/>
  <c r="D5554"/>
  <c r="D5552"/>
  <c r="D5550"/>
  <c r="D5548"/>
  <c r="D5546"/>
  <c r="D5544"/>
  <c r="D5542"/>
  <c r="D5540"/>
  <c r="D5538"/>
  <c r="D5536"/>
  <c r="D5534"/>
  <c r="D5532"/>
  <c r="D5530"/>
  <c r="D5528"/>
  <c r="D5526"/>
  <c r="D5524"/>
  <c r="D5522"/>
  <c r="D5520"/>
  <c r="D5518"/>
  <c r="D5516"/>
  <c r="D5514"/>
  <c r="D5512"/>
  <c r="D5510"/>
  <c r="D5508"/>
  <c r="D5506"/>
  <c r="D5504"/>
  <c r="D5502"/>
  <c r="D5500"/>
  <c r="D5498"/>
  <c r="D5496"/>
  <c r="D5494"/>
  <c r="D5492"/>
  <c r="D5490"/>
  <c r="D5488"/>
  <c r="D5486"/>
  <c r="D5484"/>
  <c r="D5482"/>
  <c r="D5480"/>
  <c r="D5478"/>
  <c r="D5476"/>
  <c r="D5474"/>
  <c r="D5472"/>
  <c r="D5470"/>
  <c r="D5468"/>
  <c r="D5466"/>
  <c r="D5464"/>
  <c r="D5462"/>
  <c r="D5460"/>
  <c r="D5458"/>
  <c r="D5456"/>
  <c r="D5454"/>
  <c r="D5452"/>
  <c r="D5450"/>
  <c r="D5448"/>
  <c r="D5446"/>
  <c r="D5444"/>
  <c r="D5442"/>
  <c r="D5440"/>
  <c r="D5438"/>
  <c r="D5436"/>
  <c r="D5434"/>
  <c r="D5432"/>
  <c r="D5430"/>
  <c r="D5428"/>
  <c r="D5426"/>
  <c r="D5424"/>
  <c r="D5422"/>
  <c r="D5420"/>
  <c r="D5418"/>
  <c r="D5416"/>
  <c r="D5414"/>
  <c r="D5412"/>
  <c r="D5410"/>
  <c r="D5408"/>
  <c r="D5406"/>
  <c r="D5404"/>
  <c r="D5402"/>
  <c r="D5400"/>
  <c r="D5398"/>
  <c r="D5396"/>
  <c r="D5394"/>
  <c r="D5392"/>
  <c r="D5390"/>
  <c r="D5388"/>
  <c r="D5386"/>
  <c r="D5384"/>
  <c r="D5382"/>
  <c r="D5380"/>
  <c r="D5378"/>
  <c r="D5376"/>
  <c r="D5374"/>
  <c r="D5372"/>
  <c r="D5370"/>
  <c r="D5368"/>
  <c r="D5366"/>
  <c r="D5364"/>
  <c r="D5362"/>
  <c r="D5360"/>
  <c r="D5358"/>
  <c r="D5356"/>
  <c r="D5354"/>
  <c r="D5352"/>
  <c r="D5350"/>
  <c r="D5348"/>
  <c r="D5346"/>
  <c r="D5344"/>
  <c r="D5342"/>
  <c r="D5340"/>
  <c r="D5338"/>
  <c r="D5336"/>
  <c r="D5334"/>
  <c r="D5332"/>
  <c r="D5330"/>
  <c r="D5328"/>
  <c r="D5326"/>
  <c r="D5324"/>
  <c r="D5322"/>
  <c r="D5320"/>
  <c r="D5318"/>
  <c r="D5316"/>
  <c r="D5314"/>
  <c r="D5312"/>
  <c r="D5310"/>
  <c r="D5308"/>
  <c r="D5306"/>
  <c r="D5304"/>
  <c r="D5302"/>
  <c r="D5300"/>
  <c r="D5298"/>
  <c r="D5296"/>
  <c r="D5294"/>
  <c r="D5292"/>
  <c r="D5290"/>
  <c r="D5288"/>
  <c r="D5286"/>
  <c r="D5284"/>
  <c r="D5282"/>
  <c r="D5280"/>
  <c r="D5278"/>
  <c r="D5276"/>
  <c r="D5274"/>
  <c r="D5272"/>
  <c r="D5270"/>
  <c r="D5268"/>
  <c r="D5266"/>
  <c r="D5264"/>
  <c r="D5262"/>
  <c r="D5260"/>
  <c r="D5258"/>
  <c r="D5256"/>
  <c r="D5254"/>
  <c r="D5252"/>
  <c r="D5250"/>
  <c r="D5248"/>
  <c r="D5246"/>
  <c r="D5244"/>
  <c r="D5242"/>
  <c r="D5240"/>
  <c r="D5238"/>
  <c r="D5236"/>
  <c r="D5234"/>
  <c r="D5232"/>
  <c r="D5230"/>
  <c r="D5228"/>
  <c r="D5226"/>
  <c r="D5224"/>
  <c r="D5222"/>
  <c r="D5220"/>
  <c r="D5218"/>
  <c r="D5216"/>
  <c r="D5214"/>
  <c r="D5212"/>
  <c r="D5210"/>
  <c r="D5208"/>
  <c r="D5206"/>
  <c r="D5204"/>
  <c r="D5202"/>
  <c r="D5200"/>
  <c r="D5198"/>
  <c r="D5196"/>
  <c r="D5194"/>
  <c r="D5192"/>
  <c r="D5190"/>
  <c r="D5188"/>
  <c r="D5186"/>
  <c r="D5184"/>
  <c r="D5182"/>
  <c r="D5180"/>
  <c r="D5178"/>
  <c r="D5176"/>
  <c r="D5174"/>
  <c r="D5172"/>
  <c r="D5170"/>
  <c r="D5168"/>
  <c r="D5166"/>
  <c r="D5164"/>
  <c r="D5162"/>
  <c r="D5160"/>
  <c r="D5158"/>
  <c r="D5156"/>
  <c r="D5154"/>
  <c r="D5152"/>
  <c r="D5150"/>
  <c r="D5148"/>
  <c r="D5146"/>
  <c r="D5144"/>
  <c r="D5142"/>
  <c r="D5140"/>
  <c r="D5138"/>
  <c r="D5136"/>
  <c r="D5134"/>
  <c r="D5132"/>
  <c r="D5130"/>
  <c r="D5128"/>
  <c r="D5126"/>
  <c r="D5124"/>
  <c r="D5122"/>
  <c r="D5120"/>
  <c r="D5118"/>
  <c r="D5116"/>
  <c r="D5114"/>
  <c r="D5112"/>
  <c r="D5110"/>
  <c r="D5108"/>
  <c r="D5106"/>
  <c r="D5104"/>
  <c r="D5102"/>
  <c r="D5100"/>
  <c r="D5098"/>
  <c r="D5096"/>
  <c r="D5094"/>
  <c r="D5092"/>
  <c r="D5090"/>
  <c r="D5088"/>
  <c r="D5086"/>
  <c r="D5084"/>
  <c r="D5082"/>
  <c r="D5080"/>
  <c r="D5078"/>
  <c r="D5076"/>
  <c r="D5074"/>
  <c r="D5072"/>
  <c r="D5070"/>
  <c r="D5068"/>
  <c r="D5066"/>
  <c r="D5064"/>
  <c r="D5062"/>
  <c r="D5060"/>
  <c r="D5058"/>
  <c r="D5056"/>
  <c r="D5054"/>
  <c r="D5052"/>
  <c r="D5050"/>
  <c r="D5048"/>
  <c r="D5046"/>
  <c r="D5044"/>
  <c r="D5042"/>
  <c r="D5040"/>
  <c r="D5038"/>
  <c r="D5036"/>
  <c r="D5034"/>
  <c r="D5032"/>
  <c r="D5030"/>
  <c r="D5028"/>
  <c r="D5026"/>
  <c r="D5024"/>
  <c r="D5022"/>
  <c r="D5020"/>
  <c r="D5018"/>
  <c r="D5016"/>
  <c r="D5014"/>
  <c r="D5012"/>
  <c r="D5010"/>
  <c r="D5008"/>
  <c r="D5006"/>
  <c r="D5004"/>
  <c r="D5002"/>
  <c r="D5000"/>
  <c r="D4998"/>
  <c r="D4996"/>
  <c r="D4994"/>
  <c r="D4992"/>
  <c r="D4990"/>
  <c r="D4988"/>
  <c r="D4986"/>
  <c r="D4984"/>
  <c r="D4982"/>
  <c r="D4980"/>
  <c r="D4978"/>
  <c r="D4976"/>
  <c r="D4974"/>
  <c r="D4972"/>
  <c r="D4970"/>
  <c r="D4968"/>
  <c r="D4966"/>
  <c r="D4964"/>
  <c r="D4962"/>
  <c r="D4960"/>
  <c r="D4958"/>
  <c r="D4956"/>
  <c r="D4954"/>
  <c r="D4952"/>
  <c r="D4950"/>
  <c r="D4948"/>
  <c r="D4946"/>
  <c r="D4944"/>
  <c r="D4942"/>
  <c r="D4940"/>
  <c r="D4938"/>
  <c r="D4936"/>
  <c r="D4934"/>
  <c r="D4932"/>
  <c r="D4930"/>
  <c r="D4928"/>
  <c r="D4926"/>
  <c r="D4924"/>
  <c r="D4922"/>
  <c r="D4920"/>
  <c r="D4918"/>
  <c r="D4916"/>
  <c r="D4914"/>
  <c r="D4912"/>
  <c r="D4910"/>
  <c r="D4908"/>
  <c r="D4906"/>
  <c r="D4904"/>
  <c r="D4902"/>
  <c r="D4900"/>
  <c r="D4898"/>
  <c r="D4896"/>
  <c r="D4894"/>
  <c r="D4892"/>
  <c r="D4890"/>
  <c r="D4888"/>
  <c r="D4886"/>
  <c r="D4884"/>
  <c r="D4882"/>
  <c r="D4880"/>
  <c r="D4878"/>
  <c r="D4876"/>
  <c r="D4874"/>
  <c r="D4872"/>
  <c r="D4870"/>
  <c r="D4868"/>
  <c r="D4866"/>
  <c r="D4864"/>
  <c r="D4862"/>
  <c r="D4860"/>
  <c r="D4858"/>
  <c r="D4856"/>
  <c r="D4854"/>
  <c r="D4852"/>
  <c r="D4850"/>
  <c r="D4848"/>
  <c r="D4846"/>
  <c r="D4844"/>
  <c r="D4842"/>
  <c r="D4840"/>
  <c r="D4838"/>
  <c r="D4836"/>
  <c r="D4834"/>
  <c r="D4832"/>
  <c r="D4830"/>
  <c r="D4828"/>
  <c r="D4826"/>
  <c r="D4824"/>
  <c r="D4822"/>
  <c r="D4820"/>
  <c r="D4818"/>
  <c r="D4816"/>
  <c r="D4814"/>
  <c r="D4812"/>
  <c r="D4810"/>
  <c r="D4808"/>
  <c r="D4806"/>
  <c r="D4804"/>
  <c r="D4802"/>
  <c r="D4800"/>
  <c r="D4798"/>
  <c r="D4796"/>
  <c r="D4794"/>
  <c r="D4792"/>
  <c r="D4790"/>
  <c r="D4788"/>
  <c r="D4786"/>
  <c r="D4784"/>
  <c r="D4782"/>
  <c r="D4780"/>
  <c r="D4778"/>
  <c r="D4776"/>
  <c r="D4774"/>
  <c r="D4772"/>
  <c r="D4770"/>
  <c r="D4768"/>
  <c r="D4766"/>
  <c r="D4764"/>
  <c r="D4762"/>
  <c r="D4760"/>
  <c r="D4758"/>
  <c r="D4756"/>
  <c r="D4754"/>
  <c r="D4752"/>
  <c r="D4750"/>
  <c r="D4748"/>
  <c r="D4746"/>
  <c r="D4744"/>
  <c r="D4742"/>
  <c r="D4740"/>
  <c r="D4738"/>
  <c r="D4736"/>
  <c r="D4734"/>
  <c r="D4732"/>
  <c r="D4730"/>
  <c r="D4728"/>
  <c r="D4726"/>
  <c r="D4724"/>
  <c r="D4722"/>
  <c r="D4720"/>
  <c r="D4718"/>
  <c r="D4716"/>
  <c r="D4714"/>
  <c r="D4712"/>
  <c r="D4710"/>
  <c r="D4708"/>
  <c r="D4706"/>
  <c r="D4704"/>
  <c r="D4702"/>
  <c r="D4700"/>
  <c r="D4698"/>
  <c r="D4696"/>
  <c r="D4694"/>
  <c r="D4692"/>
  <c r="D4690"/>
  <c r="D4688"/>
  <c r="D4686"/>
  <c r="D4684"/>
  <c r="D4682"/>
  <c r="D4680"/>
  <c r="D4678"/>
  <c r="D4676"/>
  <c r="D4674"/>
  <c r="D4672"/>
  <c r="D4670"/>
  <c r="D4668"/>
  <c r="D4666"/>
  <c r="D4664"/>
  <c r="D4662"/>
  <c r="D4660"/>
  <c r="D4658"/>
  <c r="D4656"/>
  <c r="D4654"/>
  <c r="D4652"/>
  <c r="D4650"/>
  <c r="D4648"/>
  <c r="D4646"/>
  <c r="D4644"/>
  <c r="D4642"/>
  <c r="D4640"/>
  <c r="D4638"/>
  <c r="D4636"/>
  <c r="D4634"/>
  <c r="D4632"/>
  <c r="D4630"/>
  <c r="D4628"/>
  <c r="D4626"/>
  <c r="D4624"/>
  <c r="D4622"/>
  <c r="D4620"/>
  <c r="D4618"/>
  <c r="D4616"/>
  <c r="D4614"/>
  <c r="D4612"/>
  <c r="D4610"/>
  <c r="D4608"/>
  <c r="D4606"/>
  <c r="D4604"/>
  <c r="D4602"/>
  <c r="D4600"/>
  <c r="D4598"/>
  <c r="D4596"/>
  <c r="D4594"/>
  <c r="D4592"/>
  <c r="D4590"/>
  <c r="D4588"/>
  <c r="D4586"/>
  <c r="D4584"/>
  <c r="D4582"/>
  <c r="D4580"/>
  <c r="D4578"/>
  <c r="D4576"/>
  <c r="D4574"/>
  <c r="D4572"/>
  <c r="D4570"/>
  <c r="D4568"/>
  <c r="D4566"/>
  <c r="D4564"/>
  <c r="D4562"/>
  <c r="D4560"/>
  <c r="D4558"/>
  <c r="D4556"/>
  <c r="D4554"/>
  <c r="D4552"/>
  <c r="D4550"/>
  <c r="D4548"/>
  <c r="D4546"/>
  <c r="D4544"/>
  <c r="D4542"/>
  <c r="D4540"/>
  <c r="D4538"/>
  <c r="D4536"/>
  <c r="D4534"/>
  <c r="D4532"/>
  <c r="D4530"/>
  <c r="D4528"/>
  <c r="D4526"/>
  <c r="D4524"/>
  <c r="D4522"/>
  <c r="D4520"/>
  <c r="D4518"/>
  <c r="D4516"/>
  <c r="D4514"/>
  <c r="D4512"/>
  <c r="D4510"/>
  <c r="D4508"/>
  <c r="D4506"/>
  <c r="D4504"/>
  <c r="D4502"/>
  <c r="D4500"/>
  <c r="D4498"/>
  <c r="D4496"/>
  <c r="D4494"/>
  <c r="D4492"/>
  <c r="D4490"/>
  <c r="D4488"/>
  <c r="D4486"/>
  <c r="D4484"/>
  <c r="D4482"/>
  <c r="D4480"/>
  <c r="D4478"/>
  <c r="D4476"/>
  <c r="D4474"/>
  <c r="D4472"/>
  <c r="D4470"/>
  <c r="D4468"/>
  <c r="D4466"/>
  <c r="D4464"/>
  <c r="D4462"/>
  <c r="D4460"/>
  <c r="D4458"/>
  <c r="D4456"/>
  <c r="D4454"/>
  <c r="D4452"/>
  <c r="D4450"/>
  <c r="D4448"/>
  <c r="D4446"/>
  <c r="D4444"/>
  <c r="D4442"/>
  <c r="D4440"/>
  <c r="D4438"/>
  <c r="D4436"/>
  <c r="D4434"/>
  <c r="D4432"/>
  <c r="D4430"/>
  <c r="D4428"/>
  <c r="D4426"/>
  <c r="D4424"/>
  <c r="D4422"/>
  <c r="D4420"/>
  <c r="D4418"/>
  <c r="D4416"/>
  <c r="D4414"/>
  <c r="D4412"/>
  <c r="D4410"/>
  <c r="D4408"/>
  <c r="D4406"/>
  <c r="D4404"/>
  <c r="D4402"/>
  <c r="D4400"/>
  <c r="D4398"/>
  <c r="D4396"/>
  <c r="D4394"/>
  <c r="D4392"/>
  <c r="D4390"/>
  <c r="D4388"/>
  <c r="D4386"/>
  <c r="D4384"/>
  <c r="D4382"/>
  <c r="D4380"/>
  <c r="D4378"/>
  <c r="D4376"/>
  <c r="D4374"/>
  <c r="D4372"/>
  <c r="D4370"/>
  <c r="D4368"/>
  <c r="D4366"/>
  <c r="D4364"/>
  <c r="D4362"/>
  <c r="D4360"/>
  <c r="D4358"/>
  <c r="D4356"/>
  <c r="D4354"/>
  <c r="D4352"/>
  <c r="D4350"/>
  <c r="D4348"/>
  <c r="D4346"/>
  <c r="D4344"/>
  <c r="D4342"/>
  <c r="D4340"/>
  <c r="D4338"/>
  <c r="D4336"/>
  <c r="D4334"/>
  <c r="D4332"/>
  <c r="D4330"/>
  <c r="D4328"/>
  <c r="D4326"/>
  <c r="D4324"/>
  <c r="D4322"/>
  <c r="D4320"/>
  <c r="D4318"/>
  <c r="D4316"/>
  <c r="D4314"/>
  <c r="D4312"/>
  <c r="D4310"/>
  <c r="D4308"/>
  <c r="D4306"/>
  <c r="D4304"/>
  <c r="D4302"/>
  <c r="D4300"/>
  <c r="D4298"/>
  <c r="D4296"/>
  <c r="D4294"/>
  <c r="D4292"/>
  <c r="D4290"/>
  <c r="D4288"/>
  <c r="D4286"/>
  <c r="D4284"/>
  <c r="D4282"/>
  <c r="D4280"/>
  <c r="D4278"/>
  <c r="D4276"/>
  <c r="D4274"/>
  <c r="D4272"/>
  <c r="D4270"/>
  <c r="D4268"/>
  <c r="D4266"/>
  <c r="D4264"/>
  <c r="D4262"/>
  <c r="D4260"/>
  <c r="D4258"/>
  <c r="D4256"/>
  <c r="D4254"/>
  <c r="D4252"/>
  <c r="D4250"/>
  <c r="D4248"/>
  <c r="D4246"/>
  <c r="D4244"/>
  <c r="D4242"/>
  <c r="D4240"/>
  <c r="D4238"/>
  <c r="D4236"/>
  <c r="D4234"/>
  <c r="D4232"/>
  <c r="D4230"/>
  <c r="D4228"/>
  <c r="D4226"/>
  <c r="D4224"/>
  <c r="D4222"/>
  <c r="D4220"/>
  <c r="D4218"/>
  <c r="D4216"/>
  <c r="D4214"/>
  <c r="D4212"/>
  <c r="D4210"/>
  <c r="D4208"/>
  <c r="D4206"/>
  <c r="D4204"/>
  <c r="D4202"/>
  <c r="D4200"/>
  <c r="D4198"/>
  <c r="D4196"/>
  <c r="D4194"/>
  <c r="D4192"/>
  <c r="D4190"/>
  <c r="D4188"/>
  <c r="D4186"/>
  <c r="D4184"/>
  <c r="D4182"/>
  <c r="D4180"/>
  <c r="D4178"/>
  <c r="D4176"/>
  <c r="D4174"/>
  <c r="D4172"/>
  <c r="D4170"/>
  <c r="D4168"/>
  <c r="D4166"/>
  <c r="D4164"/>
  <c r="D4162"/>
  <c r="D4160"/>
  <c r="D4158"/>
  <c r="D4156"/>
  <c r="D4154"/>
  <c r="D4152"/>
  <c r="D4150"/>
  <c r="D4148"/>
  <c r="D4146"/>
  <c r="D4144"/>
  <c r="D4142"/>
  <c r="D4140"/>
  <c r="D4138"/>
  <c r="D4136"/>
  <c r="D4134"/>
  <c r="D4132"/>
  <c r="D4130"/>
  <c r="D4128"/>
  <c r="D4126"/>
  <c r="D4124"/>
  <c r="D4122"/>
  <c r="D4120"/>
  <c r="D4118"/>
  <c r="D4116"/>
  <c r="D4114"/>
  <c r="D4112"/>
  <c r="D4110"/>
  <c r="D4108"/>
  <c r="D4106"/>
  <c r="D4104"/>
  <c r="D4102"/>
  <c r="D4100"/>
  <c r="D4098"/>
  <c r="D4096"/>
  <c r="D4094"/>
  <c r="D4092"/>
  <c r="D4090"/>
  <c r="D4088"/>
  <c r="D4086"/>
  <c r="D4084"/>
  <c r="D4082"/>
  <c r="D4080"/>
  <c r="D4078"/>
  <c r="D4076"/>
  <c r="D4074"/>
  <c r="D4072"/>
  <c r="D4070"/>
  <c r="D4068"/>
  <c r="D4066"/>
  <c r="D4064"/>
  <c r="D4062"/>
  <c r="D4060"/>
  <c r="D4058"/>
  <c r="D4056"/>
  <c r="D4054"/>
  <c r="D4052"/>
  <c r="D4050"/>
  <c r="D4048"/>
  <c r="D4046"/>
  <c r="D4044"/>
  <c r="D4042"/>
  <c r="D4040"/>
  <c r="D4038"/>
  <c r="D4036"/>
  <c r="D4034"/>
  <c r="D4032"/>
  <c r="D4030"/>
  <c r="D4028"/>
  <c r="D4026"/>
  <c r="D4024"/>
  <c r="D4022"/>
  <c r="D4020"/>
  <c r="D4018"/>
  <c r="D4016"/>
  <c r="D4014"/>
  <c r="D4012"/>
  <c r="D4010"/>
  <c r="D4008"/>
  <c r="D4006"/>
  <c r="D4004"/>
  <c r="D4002"/>
  <c r="D4000"/>
  <c r="D3998"/>
  <c r="D3996"/>
  <c r="D3994"/>
  <c r="D3992"/>
  <c r="D3990"/>
  <c r="D3988"/>
  <c r="D3986"/>
  <c r="D3984"/>
  <c r="D3982"/>
  <c r="D3980"/>
  <c r="D3978"/>
  <c r="D3976"/>
  <c r="D3974"/>
  <c r="D3972"/>
  <c r="D3970"/>
  <c r="D3968"/>
  <c r="D3966"/>
  <c r="D3964"/>
  <c r="D3962"/>
  <c r="D3960"/>
  <c r="D3958"/>
  <c r="D3956"/>
  <c r="D3954"/>
  <c r="D3952"/>
  <c r="D3950"/>
  <c r="D3948"/>
  <c r="D3946"/>
  <c r="D3944"/>
  <c r="D3942"/>
  <c r="D3940"/>
  <c r="D3938"/>
  <c r="D3936"/>
  <c r="D3934"/>
  <c r="D3932"/>
  <c r="D3930"/>
  <c r="D3928"/>
  <c r="D3926"/>
  <c r="D3924"/>
  <c r="D3922"/>
  <c r="D3920"/>
  <c r="D3918"/>
  <c r="D3916"/>
  <c r="D3914"/>
  <c r="D3912"/>
  <c r="D3910"/>
  <c r="D3908"/>
  <c r="D3906"/>
  <c r="D3904"/>
  <c r="D3902"/>
  <c r="D3900"/>
  <c r="D3898"/>
  <c r="D3896"/>
  <c r="D3894"/>
  <c r="D3892"/>
  <c r="D3890"/>
  <c r="D3888"/>
  <c r="D3886"/>
  <c r="D3884"/>
  <c r="D3882"/>
  <c r="D3880"/>
  <c r="D3878"/>
  <c r="D3876"/>
  <c r="D3874"/>
  <c r="D3872"/>
  <c r="D3870"/>
  <c r="D3868"/>
  <c r="D3866"/>
  <c r="D3864"/>
  <c r="D3862"/>
  <c r="D3860"/>
  <c r="D3858"/>
  <c r="D3856"/>
  <c r="D3854"/>
  <c r="D3852"/>
  <c r="D3850"/>
  <c r="D3848"/>
  <c r="D3846"/>
  <c r="D3844"/>
  <c r="D3842"/>
  <c r="D3840"/>
  <c r="D3838"/>
  <c r="D3836"/>
  <c r="D3834"/>
  <c r="D3832"/>
  <c r="D3830"/>
  <c r="D3828"/>
  <c r="D3826"/>
  <c r="D3824"/>
  <c r="D3822"/>
  <c r="D3820"/>
  <c r="D3818"/>
  <c r="D3816"/>
  <c r="D3814"/>
  <c r="D3812"/>
  <c r="D3810"/>
  <c r="D3808"/>
  <c r="D3806"/>
  <c r="D3804"/>
  <c r="D3802"/>
  <c r="D3800"/>
  <c r="D3798"/>
  <c r="D3796"/>
  <c r="D3794"/>
  <c r="D3792"/>
  <c r="D3790"/>
  <c r="D3788"/>
  <c r="D3786"/>
  <c r="D3784"/>
  <c r="D3782"/>
  <c r="D3780"/>
  <c r="D3778"/>
  <c r="D3776"/>
  <c r="D3774"/>
  <c r="D3772"/>
  <c r="D3770"/>
  <c r="D3768"/>
  <c r="D3766"/>
  <c r="D3764"/>
  <c r="D3762"/>
  <c r="D3760"/>
  <c r="D3758"/>
  <c r="D3756"/>
  <c r="D3754"/>
  <c r="D3752"/>
  <c r="D3750"/>
  <c r="D3748"/>
  <c r="D3746"/>
  <c r="D3744"/>
  <c r="D3742"/>
  <c r="D3740"/>
  <c r="D3738"/>
  <c r="D3736"/>
  <c r="D3734"/>
  <c r="D3732"/>
  <c r="D3730"/>
  <c r="D3728"/>
  <c r="D3726"/>
  <c r="D3724"/>
  <c r="D3722"/>
  <c r="D3720"/>
  <c r="D3718"/>
  <c r="D3716"/>
  <c r="D3714"/>
  <c r="D3712"/>
  <c r="D3710"/>
  <c r="D3708"/>
  <c r="D3706"/>
  <c r="D3704"/>
  <c r="D3702"/>
  <c r="D3700"/>
  <c r="D3698"/>
  <c r="D3696"/>
  <c r="D3694"/>
  <c r="D3692"/>
  <c r="D3690"/>
  <c r="D3688"/>
  <c r="D3686"/>
  <c r="D3684"/>
  <c r="D3682"/>
  <c r="D3680"/>
  <c r="D3678"/>
  <c r="D3676"/>
  <c r="D3674"/>
  <c r="D3672"/>
  <c r="D3670"/>
  <c r="D3668"/>
  <c r="D3666"/>
  <c r="D3664"/>
  <c r="D3662"/>
  <c r="D3660"/>
  <c r="D3658"/>
  <c r="D3656"/>
  <c r="D3654"/>
  <c r="D3652"/>
  <c r="D3650"/>
  <c r="D3648"/>
  <c r="D3646"/>
  <c r="D3644"/>
  <c r="D3642"/>
  <c r="D3640"/>
  <c r="D3638"/>
  <c r="D3636"/>
  <c r="D3634"/>
  <c r="D3632"/>
  <c r="D3630"/>
  <c r="D3628"/>
  <c r="D3626"/>
  <c r="D3624"/>
  <c r="D3622"/>
  <c r="D3620"/>
  <c r="D3618"/>
  <c r="D3616"/>
  <c r="D3614"/>
  <c r="D3612"/>
  <c r="D3610"/>
  <c r="D3608"/>
  <c r="D3606"/>
  <c r="D3604"/>
  <c r="D3602"/>
  <c r="D3600"/>
  <c r="D3598"/>
  <c r="D3596"/>
  <c r="D3594"/>
  <c r="D3592"/>
  <c r="D3590"/>
  <c r="D3588"/>
  <c r="D3586"/>
  <c r="D3584"/>
  <c r="D3582"/>
  <c r="D3580"/>
  <c r="D3578"/>
  <c r="D3576"/>
  <c r="D3574"/>
  <c r="D3572"/>
  <c r="D3570"/>
  <c r="D3568"/>
  <c r="D3566"/>
  <c r="D3564"/>
  <c r="D3562"/>
  <c r="D3560"/>
  <c r="D3558"/>
  <c r="D3556"/>
  <c r="D3554"/>
  <c r="D3552"/>
  <c r="D3550"/>
  <c r="D3548"/>
  <c r="D3546"/>
  <c r="D3544"/>
  <c r="D3542"/>
  <c r="D3540"/>
  <c r="D3538"/>
  <c r="D3536"/>
  <c r="D3534"/>
  <c r="D3532"/>
  <c r="D3530"/>
  <c r="D3528"/>
  <c r="D3526"/>
  <c r="D3524"/>
  <c r="D3522"/>
  <c r="D3520"/>
  <c r="D3518"/>
  <c r="D3516"/>
  <c r="D3514"/>
  <c r="D3512"/>
  <c r="D3510"/>
  <c r="D3508"/>
  <c r="D3506"/>
  <c r="D3504"/>
  <c r="D3502"/>
  <c r="D3500"/>
  <c r="D3498"/>
  <c r="D3496"/>
  <c r="D3494"/>
  <c r="D3492"/>
  <c r="D3490"/>
  <c r="D3488"/>
  <c r="D3486"/>
  <c r="D3484"/>
  <c r="D3482"/>
  <c r="D3480"/>
  <c r="D3478"/>
  <c r="D3476"/>
  <c r="D3474"/>
  <c r="D3472"/>
  <c r="D3470"/>
  <c r="D3468"/>
  <c r="D3466"/>
  <c r="D3464"/>
  <c r="D3462"/>
  <c r="D3460"/>
  <c r="D3458"/>
  <c r="D3456"/>
  <c r="D3454"/>
  <c r="D3452"/>
  <c r="D3450"/>
  <c r="D3448"/>
  <c r="D3446"/>
  <c r="D3444"/>
  <c r="D3442"/>
  <c r="D3440"/>
  <c r="D3438"/>
  <c r="D3436"/>
  <c r="D3434"/>
  <c r="D3432"/>
  <c r="D3430"/>
  <c r="D3428"/>
  <c r="D3426"/>
  <c r="D3424"/>
  <c r="D3422"/>
  <c r="D3420"/>
  <c r="D3418"/>
  <c r="D3416"/>
  <c r="D3414"/>
  <c r="D3412"/>
  <c r="D3410"/>
  <c r="D3408"/>
  <c r="D3406"/>
  <c r="D3404"/>
  <c r="D3402"/>
  <c r="D3400"/>
  <c r="D3398"/>
  <c r="D3396"/>
  <c r="D3394"/>
  <c r="D3392"/>
  <c r="D3390"/>
  <c r="D3388"/>
  <c r="D3386"/>
  <c r="D3384"/>
  <c r="D3382"/>
  <c r="D3380"/>
  <c r="D3378"/>
  <c r="D3376"/>
  <c r="D3374"/>
  <c r="D3372"/>
  <c r="D3370"/>
  <c r="D3368"/>
  <c r="D3366"/>
  <c r="D3364"/>
  <c r="D3362"/>
  <c r="D3360"/>
  <c r="D3358"/>
  <c r="D3356"/>
  <c r="D3354"/>
  <c r="D3352"/>
  <c r="D3350"/>
  <c r="D3348"/>
  <c r="D3346"/>
  <c r="D3344"/>
  <c r="D3342"/>
  <c r="D3340"/>
  <c r="D3338"/>
  <c r="D3336"/>
  <c r="D3334"/>
  <c r="D3332"/>
  <c r="D3330"/>
  <c r="D3328"/>
  <c r="D3326"/>
  <c r="D3324"/>
  <c r="D3322"/>
  <c r="D3320"/>
  <c r="D3318"/>
  <c r="D3316"/>
  <c r="D3314"/>
  <c r="D3312"/>
  <c r="D3310"/>
  <c r="D3308"/>
  <c r="D3306"/>
  <c r="D3304"/>
  <c r="D3302"/>
  <c r="D3300"/>
  <c r="D3298"/>
  <c r="D3296"/>
  <c r="D3294"/>
  <c r="D3292"/>
  <c r="D3290"/>
  <c r="D3288"/>
  <c r="D3286"/>
  <c r="D3284"/>
  <c r="D3282"/>
  <c r="D3280"/>
  <c r="D3278"/>
  <c r="D3276"/>
  <c r="D3274"/>
  <c r="D3272"/>
  <c r="D3270"/>
  <c r="D3268"/>
  <c r="D3266"/>
  <c r="D3264"/>
  <c r="D3262"/>
  <c r="D3260"/>
  <c r="D3258"/>
  <c r="D3256"/>
  <c r="D3254"/>
  <c r="D3252"/>
  <c r="D3250"/>
  <c r="D3248"/>
  <c r="D3246"/>
  <c r="D3244"/>
  <c r="D3242"/>
  <c r="D3240"/>
  <c r="D3238"/>
  <c r="D3236"/>
  <c r="D3234"/>
  <c r="D3232"/>
  <c r="D3230"/>
  <c r="D3228"/>
  <c r="D3226"/>
  <c r="D3224"/>
  <c r="D3222"/>
  <c r="D3220"/>
  <c r="D3218"/>
  <c r="D3216"/>
  <c r="D3214"/>
  <c r="D3212"/>
  <c r="D3210"/>
  <c r="D3208"/>
  <c r="D3206"/>
  <c r="D3204"/>
  <c r="D3202"/>
  <c r="D3200"/>
  <c r="D3198"/>
  <c r="D3196"/>
  <c r="D3194"/>
  <c r="D3192"/>
  <c r="D3190"/>
  <c r="D3188"/>
  <c r="D3186"/>
  <c r="D3184"/>
  <c r="D3182"/>
  <c r="D3180"/>
  <c r="D3178"/>
  <c r="D3176"/>
  <c r="D3174"/>
  <c r="D3172"/>
  <c r="D3170"/>
  <c r="D3168"/>
  <c r="D3166"/>
  <c r="D3164"/>
  <c r="D3162"/>
  <c r="D3160"/>
  <c r="D3158"/>
  <c r="D3156"/>
  <c r="D3154"/>
  <c r="D3152"/>
  <c r="D3150"/>
  <c r="D3148"/>
  <c r="D3146"/>
  <c r="D3144"/>
  <c r="D3142"/>
  <c r="D3140"/>
  <c r="D3138"/>
  <c r="D3136"/>
  <c r="D3134"/>
  <c r="D3132"/>
  <c r="D3130"/>
  <c r="D3128"/>
  <c r="D3126"/>
  <c r="D3124"/>
  <c r="D3122"/>
  <c r="D3120"/>
  <c r="D3118"/>
  <c r="D3116"/>
  <c r="D3114"/>
  <c r="D3112"/>
  <c r="D3110"/>
  <c r="D3108"/>
  <c r="D3106"/>
  <c r="D3104"/>
  <c r="D3102"/>
  <c r="D3100"/>
  <c r="D3098"/>
  <c r="D3096"/>
  <c r="D3094"/>
  <c r="D3092"/>
  <c r="D3090"/>
  <c r="D3088"/>
  <c r="D3086"/>
  <c r="D3084"/>
  <c r="D3082"/>
  <c r="D3080"/>
  <c r="D3078"/>
  <c r="D3076"/>
  <c r="D3074"/>
  <c r="D3072"/>
  <c r="D3070"/>
  <c r="D3068"/>
  <c r="D3066"/>
  <c r="D3064"/>
  <c r="D3062"/>
  <c r="D3060"/>
  <c r="D3058"/>
  <c r="D3056"/>
  <c r="D3054"/>
  <c r="D3052"/>
  <c r="D3050"/>
  <c r="D3048"/>
  <c r="D3046"/>
  <c r="D3044"/>
  <c r="D3042"/>
  <c r="D3040"/>
  <c r="D3038"/>
  <c r="D3036"/>
  <c r="D3034"/>
  <c r="D3032"/>
  <c r="D3030"/>
  <c r="D3028"/>
  <c r="D3026"/>
  <c r="D3024"/>
  <c r="D3022"/>
  <c r="D3020"/>
  <c r="D3018"/>
  <c r="D3016"/>
  <c r="D3014"/>
  <c r="D3012"/>
  <c r="D3010"/>
  <c r="D3008"/>
  <c r="D3006"/>
  <c r="D3004"/>
  <c r="D3002"/>
  <c r="D3000"/>
  <c r="D2998"/>
  <c r="D2996"/>
  <c r="D2994"/>
  <c r="D2992"/>
  <c r="D2990"/>
  <c r="D2988"/>
  <c r="D2986"/>
  <c r="D2984"/>
  <c r="D2982"/>
  <c r="D2980"/>
  <c r="D2978"/>
  <c r="D2976"/>
  <c r="D2974"/>
  <c r="D2972"/>
  <c r="D2970"/>
  <c r="D2968"/>
  <c r="D2966"/>
  <c r="D2964"/>
  <c r="D2962"/>
  <c r="D2960"/>
  <c r="D2958"/>
  <c r="D2956"/>
  <c r="D2954"/>
  <c r="D2952"/>
  <c r="D2950"/>
  <c r="D2948"/>
  <c r="D2946"/>
  <c r="D2944"/>
  <c r="D2942"/>
  <c r="D2940"/>
  <c r="D2938"/>
  <c r="D2936"/>
  <c r="D2934"/>
  <c r="D2932"/>
  <c r="D2930"/>
  <c r="D2928"/>
  <c r="D2926"/>
  <c r="D2924"/>
  <c r="D2922"/>
  <c r="D2920"/>
  <c r="D2918"/>
  <c r="D2916"/>
  <c r="D2914"/>
  <c r="D2912"/>
  <c r="D2910"/>
  <c r="D2908"/>
  <c r="D2906"/>
  <c r="D2904"/>
  <c r="D2902"/>
  <c r="D2900"/>
  <c r="D2898"/>
  <c r="D2896"/>
  <c r="D2894"/>
  <c r="D2892"/>
  <c r="D2890"/>
  <c r="D2888"/>
  <c r="D2886"/>
  <c r="D2884"/>
  <c r="D2882"/>
  <c r="D2880"/>
  <c r="D2878"/>
  <c r="D2876"/>
  <c r="D2874"/>
  <c r="D2872"/>
  <c r="D2870"/>
  <c r="D2868"/>
  <c r="D2866"/>
  <c r="D2864"/>
  <c r="D2862"/>
  <c r="D2860"/>
  <c r="D2858"/>
  <c r="D2856"/>
  <c r="D2854"/>
  <c r="D2852"/>
  <c r="D2850"/>
  <c r="D2848"/>
  <c r="D2846"/>
  <c r="D2844"/>
  <c r="D2842"/>
  <c r="D2840"/>
  <c r="D2838"/>
  <c r="D2836"/>
  <c r="D2834"/>
  <c r="D2832"/>
  <c r="D2830"/>
  <c r="D2828"/>
  <c r="D2826"/>
  <c r="D2824"/>
  <c r="D2822"/>
  <c r="D2820"/>
  <c r="D2818"/>
  <c r="D2816"/>
  <c r="D2814"/>
  <c r="D2812"/>
  <c r="D2810"/>
  <c r="D2808"/>
  <c r="D2806"/>
  <c r="D2804"/>
  <c r="D2802"/>
  <c r="D2800"/>
  <c r="D2798"/>
  <c r="D2796"/>
  <c r="D2794"/>
  <c r="D2792"/>
  <c r="D2790"/>
  <c r="D2788"/>
  <c r="D2786"/>
  <c r="D2784"/>
  <c r="D2782"/>
  <c r="D2780"/>
  <c r="D2778"/>
  <c r="D2776"/>
  <c r="D2774"/>
  <c r="D2772"/>
  <c r="D2770"/>
  <c r="D2768"/>
  <c r="D2766"/>
  <c r="D2764"/>
  <c r="D2762"/>
  <c r="D2760"/>
  <c r="D2758"/>
  <c r="D2756"/>
  <c r="D2754"/>
  <c r="D2752"/>
  <c r="D2750"/>
  <c r="D2748"/>
  <c r="D2746"/>
  <c r="D2744"/>
  <c r="D2742"/>
  <c r="D2740"/>
  <c r="D2738"/>
  <c r="D2736"/>
  <c r="D2734"/>
  <c r="D2732"/>
  <c r="D2730"/>
  <c r="D2728"/>
  <c r="D2726"/>
  <c r="D2724"/>
  <c r="D2722"/>
  <c r="D2720"/>
  <c r="D2718"/>
  <c r="D2716"/>
  <c r="D2714"/>
  <c r="D2712"/>
  <c r="D2710"/>
  <c r="D2708"/>
  <c r="D2706"/>
  <c r="D2704"/>
  <c r="D2702"/>
  <c r="D2700"/>
  <c r="D2698"/>
  <c r="D2696"/>
  <c r="D2694"/>
  <c r="D2692"/>
  <c r="D2690"/>
  <c r="D2688"/>
  <c r="D2686"/>
  <c r="D2684"/>
  <c r="D2682"/>
  <c r="D2680"/>
  <c r="D2678"/>
  <c r="D2676"/>
  <c r="D2674"/>
  <c r="D2672"/>
  <c r="D2670"/>
  <c r="D2668"/>
  <c r="D2666"/>
  <c r="D2664"/>
  <c r="D2662"/>
  <c r="D2660"/>
  <c r="D2658"/>
  <c r="D2656"/>
  <c r="D2654"/>
  <c r="D2652"/>
  <c r="D2650"/>
  <c r="D2648"/>
  <c r="D2646"/>
  <c r="D2644"/>
  <c r="D2642"/>
  <c r="D2640"/>
  <c r="D2638"/>
  <c r="D2636"/>
  <c r="D2634"/>
  <c r="D2632"/>
  <c r="D2630"/>
  <c r="D2628"/>
  <c r="D2626"/>
  <c r="D2624"/>
  <c r="D2622"/>
  <c r="D2620"/>
  <c r="D2618"/>
  <c r="D2616"/>
  <c r="D2614"/>
  <c r="D2612"/>
  <c r="D2610"/>
  <c r="D2608"/>
  <c r="D2606"/>
  <c r="D2604"/>
  <c r="D2602"/>
  <c r="D2600"/>
  <c r="D2598"/>
  <c r="D2596"/>
  <c r="D2594"/>
  <c r="D2592"/>
  <c r="D2590"/>
  <c r="D2588"/>
  <c r="D2586"/>
  <c r="D2584"/>
  <c r="D2582"/>
  <c r="D2580"/>
  <c r="D2578"/>
  <c r="D2576"/>
  <c r="D2574"/>
  <c r="D2572"/>
  <c r="D2570"/>
  <c r="D2568"/>
  <c r="D2566"/>
  <c r="D2564"/>
  <c r="D2562"/>
  <c r="D2560"/>
  <c r="D2558"/>
  <c r="D2556"/>
  <c r="D2554"/>
  <c r="D2552"/>
  <c r="D2550"/>
  <c r="D2548"/>
  <c r="D2546"/>
  <c r="D2544"/>
  <c r="D2542"/>
  <c r="D2540"/>
  <c r="D2538"/>
  <c r="D2536"/>
  <c r="D2534"/>
  <c r="D2532"/>
  <c r="D2530"/>
  <c r="D2528"/>
  <c r="D2526"/>
  <c r="D2524"/>
  <c r="D2522"/>
  <c r="D2520"/>
  <c r="D2518"/>
  <c r="D2516"/>
  <c r="D2514"/>
  <c r="D2512"/>
  <c r="D2510"/>
  <c r="D2508"/>
  <c r="D2506"/>
  <c r="D2504"/>
  <c r="D2502"/>
  <c r="D2500"/>
  <c r="D2498"/>
  <c r="D2496"/>
  <c r="D2494"/>
  <c r="D2492"/>
  <c r="D2490"/>
  <c r="D2488"/>
  <c r="D2486"/>
  <c r="D2484"/>
  <c r="D2482"/>
  <c r="D2480"/>
  <c r="D2478"/>
  <c r="D2476"/>
  <c r="D2474"/>
  <c r="D2472"/>
  <c r="D2470"/>
  <c r="D2468"/>
  <c r="D2466"/>
  <c r="D2464"/>
  <c r="D2462"/>
  <c r="D2460"/>
  <c r="D2458"/>
  <c r="D2456"/>
  <c r="D2454"/>
  <c r="D2452"/>
  <c r="D2450"/>
  <c r="D2448"/>
  <c r="D2446"/>
  <c r="D2444"/>
  <c r="D2442"/>
  <c r="D2440"/>
  <c r="D2438"/>
  <c r="D2436"/>
  <c r="D2434"/>
  <c r="D2432"/>
  <c r="D2430"/>
  <c r="D2428"/>
  <c r="D2426"/>
  <c r="D2424"/>
  <c r="D2422"/>
  <c r="D2420"/>
  <c r="D2418"/>
  <c r="D2416"/>
  <c r="D2414"/>
  <c r="D2412"/>
  <c r="D2410"/>
  <c r="D2408"/>
  <c r="D2406"/>
  <c r="D2404"/>
  <c r="D2402"/>
  <c r="D2400"/>
  <c r="D2398"/>
  <c r="D2396"/>
  <c r="D2394"/>
  <c r="D2392"/>
  <c r="D2390"/>
  <c r="D2388"/>
  <c r="D2386"/>
  <c r="D2384"/>
  <c r="D2382"/>
  <c r="D2380"/>
  <c r="D2378"/>
  <c r="D2376"/>
  <c r="D2374"/>
  <c r="D2372"/>
  <c r="D2370"/>
  <c r="D2368"/>
  <c r="D2366"/>
  <c r="D2364"/>
  <c r="D2362"/>
  <c r="D2360"/>
  <c r="D2358"/>
  <c r="D2356"/>
  <c r="D2354"/>
  <c r="D2352"/>
  <c r="D2350"/>
  <c r="D2348"/>
  <c r="D2346"/>
  <c r="D2344"/>
  <c r="D2342"/>
  <c r="D2340"/>
  <c r="D2338"/>
  <c r="D2336"/>
  <c r="D2334"/>
  <c r="D2332"/>
  <c r="D2330"/>
  <c r="D2328"/>
  <c r="D2326"/>
  <c r="D2324"/>
  <c r="D2322"/>
  <c r="D2320"/>
  <c r="D2318"/>
  <c r="D2316"/>
  <c r="D2314"/>
  <c r="D2312"/>
  <c r="D2310"/>
  <c r="D2308"/>
  <c r="D2306"/>
  <c r="D2304"/>
  <c r="D2302"/>
  <c r="D2300"/>
  <c r="D2298"/>
  <c r="D2296"/>
  <c r="D2294"/>
  <c r="D2292"/>
  <c r="D2290"/>
  <c r="D2288"/>
  <c r="D2286"/>
  <c r="D2284"/>
  <c r="D2282"/>
  <c r="D2280"/>
  <c r="D2278"/>
  <c r="D2276"/>
  <c r="D2274"/>
  <c r="D2272"/>
  <c r="D2270"/>
  <c r="D2268"/>
  <c r="D2266"/>
  <c r="D2264"/>
  <c r="D2262"/>
  <c r="D2260"/>
  <c r="D2258"/>
  <c r="D2256"/>
  <c r="D2254"/>
  <c r="D2252"/>
  <c r="D2250"/>
  <c r="D2248"/>
  <c r="D2246"/>
  <c r="D2244"/>
  <c r="D2242"/>
  <c r="D2240"/>
  <c r="D2238"/>
  <c r="D2236"/>
  <c r="D2234"/>
  <c r="D2232"/>
  <c r="D2230"/>
  <c r="D2228"/>
  <c r="D2226"/>
  <c r="D2224"/>
  <c r="D2222"/>
  <c r="D2220"/>
  <c r="D2218"/>
  <c r="D2216"/>
  <c r="D2214"/>
  <c r="D2212"/>
  <c r="D2210"/>
  <c r="D2208"/>
  <c r="D2206"/>
  <c r="D2204"/>
  <c r="D2202"/>
  <c r="D2200"/>
  <c r="D2198"/>
  <c r="D2196"/>
  <c r="D2194"/>
  <c r="D2192"/>
  <c r="D2190"/>
  <c r="D2188"/>
  <c r="D2186"/>
  <c r="D2184"/>
  <c r="D2182"/>
  <c r="D2180"/>
  <c r="D2178"/>
  <c r="D2176"/>
  <c r="D2174"/>
  <c r="D2172"/>
  <c r="D2170"/>
  <c r="D2168"/>
  <c r="D2166"/>
  <c r="D2164"/>
  <c r="D2162"/>
  <c r="D2160"/>
  <c r="D2158"/>
  <c r="D2156"/>
  <c r="D2154"/>
  <c r="D2152"/>
  <c r="D2150"/>
  <c r="D2148"/>
  <c r="D2146"/>
  <c r="D2144"/>
  <c r="D2142"/>
  <c r="D2140"/>
  <c r="D2138"/>
  <c r="D2136"/>
  <c r="D2134"/>
  <c r="D2132"/>
  <c r="D2130"/>
  <c r="D2128"/>
  <c r="D2126"/>
  <c r="D2124"/>
  <c r="D2122"/>
  <c r="D2120"/>
  <c r="D2118"/>
  <c r="D2116"/>
  <c r="D2114"/>
  <c r="D2112"/>
  <c r="D2110"/>
  <c r="D2108"/>
  <c r="D2106"/>
  <c r="D2104"/>
  <c r="D2102"/>
  <c r="D2100"/>
  <c r="D2098"/>
  <c r="D2096"/>
  <c r="D2094"/>
  <c r="D2092"/>
  <c r="D2090"/>
  <c r="D2088"/>
  <c r="D2086"/>
  <c r="D2084"/>
  <c r="D2082"/>
  <c r="D2080"/>
  <c r="D2078"/>
  <c r="D2076"/>
  <c r="D2074"/>
  <c r="D2072"/>
  <c r="D2070"/>
  <c r="D2068"/>
  <c r="D2066"/>
  <c r="D2064"/>
  <c r="D2062"/>
  <c r="D2060"/>
  <c r="D2058"/>
  <c r="D2056"/>
  <c r="D2054"/>
  <c r="D2052"/>
  <c r="D2050"/>
  <c r="D2048"/>
  <c r="D2046"/>
  <c r="D2044"/>
  <c r="D2042"/>
  <c r="D2040"/>
  <c r="D2038"/>
  <c r="D2036"/>
  <c r="D2034"/>
  <c r="D2032"/>
  <c r="D2030"/>
  <c r="D2028"/>
  <c r="D2026"/>
  <c r="D2024"/>
  <c r="D2022"/>
  <c r="D2020"/>
  <c r="D2018"/>
  <c r="D2016"/>
  <c r="D2014"/>
  <c r="D2012"/>
  <c r="D2010"/>
  <c r="D2008"/>
  <c r="D2006"/>
  <c r="D2004"/>
  <c r="D2002"/>
  <c r="D2000"/>
  <c r="D1998"/>
  <c r="D1996"/>
  <c r="D1994"/>
  <c r="D1992"/>
  <c r="D1990"/>
  <c r="D1988"/>
  <c r="D1986"/>
  <c r="D1984"/>
  <c r="D1982"/>
  <c r="D1980"/>
  <c r="D1978"/>
  <c r="D1976"/>
  <c r="D1974"/>
  <c r="D1972"/>
  <c r="D1970"/>
  <c r="D1968"/>
  <c r="D1966"/>
  <c r="D1964"/>
  <c r="D1962"/>
  <c r="D1960"/>
  <c r="D1958"/>
  <c r="D1956"/>
  <c r="D1954"/>
  <c r="D1952"/>
  <c r="D1950"/>
  <c r="D1948"/>
  <c r="D1946"/>
  <c r="D1944"/>
  <c r="D1942"/>
  <c r="D1940"/>
  <c r="D1938"/>
  <c r="D1936"/>
  <c r="D1934"/>
  <c r="D1932"/>
  <c r="D1930"/>
  <c r="D1928"/>
  <c r="D1926"/>
  <c r="D1924"/>
  <c r="D1922"/>
  <c r="D1920"/>
  <c r="D1918"/>
  <c r="D1916"/>
  <c r="D1914"/>
  <c r="D1912"/>
  <c r="D1910"/>
  <c r="D1908"/>
  <c r="D1906"/>
  <c r="D1904"/>
  <c r="D1902"/>
  <c r="D1900"/>
  <c r="D1898"/>
  <c r="D1896"/>
  <c r="D1894"/>
  <c r="D1892"/>
  <c r="D1890"/>
  <c r="D1888"/>
  <c r="D1886"/>
  <c r="D1884"/>
  <c r="D1882"/>
  <c r="D1880"/>
  <c r="D1878"/>
  <c r="D1876"/>
  <c r="D1874"/>
  <c r="D1872"/>
  <c r="D1870"/>
  <c r="D1868"/>
  <c r="D1866"/>
  <c r="D1864"/>
  <c r="D1862"/>
  <c r="D1860"/>
  <c r="D1858"/>
  <c r="D1856"/>
  <c r="D1854"/>
  <c r="D1852"/>
  <c r="D1850"/>
  <c r="D1848"/>
  <c r="D1846"/>
  <c r="D1844"/>
  <c r="D1842"/>
  <c r="D1840"/>
  <c r="D1838"/>
  <c r="D1836"/>
  <c r="D1834"/>
  <c r="D1832"/>
  <c r="D1830"/>
  <c r="D1828"/>
  <c r="D1826"/>
  <c r="D1824"/>
  <c r="D1822"/>
  <c r="D1820"/>
  <c r="D1818"/>
  <c r="D1816"/>
  <c r="D1814"/>
  <c r="D1812"/>
  <c r="D1810"/>
  <c r="D1808"/>
  <c r="D1806"/>
  <c r="D1804"/>
  <c r="D1802"/>
  <c r="D1800"/>
  <c r="D1798"/>
  <c r="D1796"/>
  <c r="D1794"/>
  <c r="D1792"/>
  <c r="D1790"/>
  <c r="D1788"/>
  <c r="D1786"/>
  <c r="D1784"/>
  <c r="D1782"/>
  <c r="D1780"/>
  <c r="D1778"/>
  <c r="D1776"/>
  <c r="D1774"/>
  <c r="D1772"/>
  <c r="D1770"/>
  <c r="D1768"/>
  <c r="D1766"/>
  <c r="D1764"/>
  <c r="D1762"/>
  <c r="D1760"/>
  <c r="D1758"/>
  <c r="D1756"/>
  <c r="D1754"/>
  <c r="D1752"/>
  <c r="D1750"/>
  <c r="D1748"/>
  <c r="D1746"/>
  <c r="D1744"/>
  <c r="D1742"/>
  <c r="D1740"/>
  <c r="D1738"/>
  <c r="D1736"/>
  <c r="D1734"/>
  <c r="D1732"/>
  <c r="D1730"/>
  <c r="D1728"/>
  <c r="D1726"/>
  <c r="D1724"/>
  <c r="D1722"/>
  <c r="D1720"/>
  <c r="D1718"/>
  <c r="D1716"/>
  <c r="D1714"/>
  <c r="D1712"/>
  <c r="D1710"/>
  <c r="D1708"/>
  <c r="D1706"/>
  <c r="D1704"/>
  <c r="D1702"/>
  <c r="D1700"/>
  <c r="D1698"/>
  <c r="D1696"/>
  <c r="D1694"/>
  <c r="D1692"/>
  <c r="D1690"/>
  <c r="D1688"/>
  <c r="D1686"/>
  <c r="D1684"/>
  <c r="D1682"/>
  <c r="D1680"/>
  <c r="D1678"/>
  <c r="D1676"/>
  <c r="D1674"/>
  <c r="D1672"/>
  <c r="D1670"/>
  <c r="D1668"/>
  <c r="D1666"/>
  <c r="D1664"/>
  <c r="D1662"/>
  <c r="D1660"/>
  <c r="D1658"/>
  <c r="D1656"/>
  <c r="D1654"/>
  <c r="D1652"/>
  <c r="D1650"/>
  <c r="D1648"/>
  <c r="D1646"/>
  <c r="D1644"/>
  <c r="D1642"/>
  <c r="D1640"/>
  <c r="D1638"/>
  <c r="D1636"/>
  <c r="D1634"/>
  <c r="D1632"/>
  <c r="D1630"/>
  <c r="D1628"/>
  <c r="D1626"/>
  <c r="D1624"/>
  <c r="D1622"/>
  <c r="D1620"/>
  <c r="D1618"/>
  <c r="D1616"/>
  <c r="D1614"/>
  <c r="D1612"/>
  <c r="D1610"/>
  <c r="D1608"/>
  <c r="D1606"/>
  <c r="D1604"/>
  <c r="D1602"/>
  <c r="D1600"/>
  <c r="D1598"/>
  <c r="D1596"/>
  <c r="D1594"/>
  <c r="D1592"/>
  <c r="D1590"/>
  <c r="D1588"/>
  <c r="D1586"/>
  <c r="D1584"/>
  <c r="D1582"/>
  <c r="D1580"/>
  <c r="D1578"/>
  <c r="D1576"/>
  <c r="D1574"/>
  <c r="D1572"/>
  <c r="D1570"/>
  <c r="D1568"/>
  <c r="D1566"/>
  <c r="D1564"/>
  <c r="D1562"/>
  <c r="D1560"/>
  <c r="D1558"/>
  <c r="D1556"/>
  <c r="D1554"/>
  <c r="D1552"/>
  <c r="D1550"/>
  <c r="D1548"/>
  <c r="D1546"/>
  <c r="D1544"/>
  <c r="D1542"/>
  <c r="D1540"/>
  <c r="D1538"/>
  <c r="D1536"/>
  <c r="D1534"/>
  <c r="D1532"/>
  <c r="D1530"/>
  <c r="D1528"/>
  <c r="D1526"/>
  <c r="D1524"/>
  <c r="D1522"/>
  <c r="D1520"/>
  <c r="D1518"/>
  <c r="D1516"/>
  <c r="D1514"/>
  <c r="D1512"/>
  <c r="D1510"/>
  <c r="D1508"/>
  <c r="D1506"/>
  <c r="D1504"/>
  <c r="D1502"/>
  <c r="D1500"/>
  <c r="D1498"/>
  <c r="D1496"/>
  <c r="D1494"/>
  <c r="D1492"/>
  <c r="D1490"/>
  <c r="D1488"/>
  <c r="D1486"/>
  <c r="D1484"/>
  <c r="D1482"/>
  <c r="D1480"/>
  <c r="D1478"/>
  <c r="D1476"/>
  <c r="D1474"/>
  <c r="D1472"/>
  <c r="D1470"/>
  <c r="D1468"/>
  <c r="D1466"/>
  <c r="D1464"/>
  <c r="D1462"/>
  <c r="D1460"/>
  <c r="D1458"/>
  <c r="D1456"/>
  <c r="D1454"/>
  <c r="D1452"/>
  <c r="D1450"/>
  <c r="D1448"/>
  <c r="D1446"/>
  <c r="D1444"/>
  <c r="D1442"/>
  <c r="D1440"/>
  <c r="D1438"/>
  <c r="D1436"/>
  <c r="D1434"/>
  <c r="D1432"/>
  <c r="D1430"/>
  <c r="D1428"/>
  <c r="D1426"/>
  <c r="D1424"/>
  <c r="D1422"/>
  <c r="D1420"/>
  <c r="D1418"/>
  <c r="D1416"/>
  <c r="D1414"/>
  <c r="D1412"/>
  <c r="D1410"/>
  <c r="D1408"/>
  <c r="D1406"/>
  <c r="D1404"/>
  <c r="D1402"/>
  <c r="D1400"/>
  <c r="D1398"/>
  <c r="D1396"/>
  <c r="D1394"/>
  <c r="D1392"/>
  <c r="D1390"/>
  <c r="D1388"/>
  <c r="D1386"/>
  <c r="D1384"/>
  <c r="D1382"/>
  <c r="D1380"/>
  <c r="D1378"/>
  <c r="D1376"/>
  <c r="D1374"/>
  <c r="D1372"/>
  <c r="D1370"/>
  <c r="D1368"/>
  <c r="D1366"/>
  <c r="D1364"/>
  <c r="D1362"/>
  <c r="D1360"/>
  <c r="D1358"/>
  <c r="D1356"/>
  <c r="D1354"/>
  <c r="D1352"/>
  <c r="D1350"/>
  <c r="D1348"/>
  <c r="D1346"/>
  <c r="D1344"/>
  <c r="D1342"/>
  <c r="D1340"/>
  <c r="D1338"/>
  <c r="D1336"/>
  <c r="D1334"/>
  <c r="D1332"/>
  <c r="D1330"/>
  <c r="D1328"/>
  <c r="D1326"/>
  <c r="D1324"/>
  <c r="D1322"/>
  <c r="D1320"/>
  <c r="D1318"/>
  <c r="D1316"/>
  <c r="D1314"/>
  <c r="D1312"/>
  <c r="D1310"/>
  <c r="D1308"/>
  <c r="D1306"/>
  <c r="D1304"/>
  <c r="D1302"/>
  <c r="D1300"/>
  <c r="D1298"/>
  <c r="D1296"/>
  <c r="D1294"/>
  <c r="D1292"/>
  <c r="D1290"/>
  <c r="D1288"/>
  <c r="D1286"/>
  <c r="D1284"/>
  <c r="D1282"/>
  <c r="D1280"/>
  <c r="D1278"/>
  <c r="D1276"/>
  <c r="D1274"/>
  <c r="D1272"/>
  <c r="D1270"/>
  <c r="D1268"/>
  <c r="D1266"/>
  <c r="D1264"/>
  <c r="D1262"/>
  <c r="D1260"/>
  <c r="D1258"/>
  <c r="D1256"/>
  <c r="D1254"/>
  <c r="D1252"/>
  <c r="D1250"/>
  <c r="D1248"/>
  <c r="D1246"/>
  <c r="D1244"/>
  <c r="D1242"/>
  <c r="D1240"/>
  <c r="D1238"/>
  <c r="D1236"/>
  <c r="D1234"/>
  <c r="D1232"/>
  <c r="D1230"/>
  <c r="D1228"/>
  <c r="D1226"/>
  <c r="D1224"/>
  <c r="D1222"/>
  <c r="D1220"/>
  <c r="D1218"/>
  <c r="D1216"/>
  <c r="D1214"/>
  <c r="D1212"/>
  <c r="D1210"/>
  <c r="D1208"/>
  <c r="D1206"/>
  <c r="D1204"/>
  <c r="D1202"/>
  <c r="D1200"/>
  <c r="D1198"/>
  <c r="D1196"/>
  <c r="D1194"/>
  <c r="D1192"/>
  <c r="D1190"/>
  <c r="D1188"/>
  <c r="D1186"/>
  <c r="D1184"/>
  <c r="D1182"/>
  <c r="D1180"/>
  <c r="D1178"/>
  <c r="D1176"/>
  <c r="D1174"/>
  <c r="D1172"/>
  <c r="D1170"/>
  <c r="D1168"/>
  <c r="D1166"/>
  <c r="D1164"/>
  <c r="D1162"/>
  <c r="D1160"/>
  <c r="D1158"/>
  <c r="D1156"/>
  <c r="D1154"/>
  <c r="D1152"/>
  <c r="D1150"/>
  <c r="D1148"/>
  <c r="D1146"/>
  <c r="D1144"/>
  <c r="D1142"/>
  <c r="D1140"/>
  <c r="D1138"/>
  <c r="D1136"/>
  <c r="D1134"/>
  <c r="D1132"/>
  <c r="D1130"/>
  <c r="D1128"/>
  <c r="D1126"/>
  <c r="D1124"/>
  <c r="D1122"/>
  <c r="D1120"/>
  <c r="D1118"/>
  <c r="D1116"/>
  <c r="D1114"/>
  <c r="D1112"/>
  <c r="D1110"/>
  <c r="D1108"/>
  <c r="D1106"/>
  <c r="D1104"/>
  <c r="D1102"/>
  <c r="D1100"/>
  <c r="D1098"/>
  <c r="D1096"/>
  <c r="D1094"/>
  <c r="D1092"/>
  <c r="D1090"/>
  <c r="D1088"/>
  <c r="D1086"/>
  <c r="D1084"/>
  <c r="D1082"/>
  <c r="D1080"/>
  <c r="D1078"/>
  <c r="D1076"/>
  <c r="D1074"/>
  <c r="D1072"/>
  <c r="D1070"/>
  <c r="D1068"/>
  <c r="D1066"/>
  <c r="D1064"/>
  <c r="D1062"/>
  <c r="D1060"/>
  <c r="D1058"/>
  <c r="D1056"/>
  <c r="D1054"/>
  <c r="D1052"/>
  <c r="D1050"/>
  <c r="D1048"/>
  <c r="D1046"/>
  <c r="D1044"/>
  <c r="D1042"/>
  <c r="D1040"/>
  <c r="D1038"/>
  <c r="D1036"/>
  <c r="D1034"/>
  <c r="D1032"/>
  <c r="D1030"/>
  <c r="D1028"/>
  <c r="D1026"/>
  <c r="D1024"/>
  <c r="D1022"/>
  <c r="D1020"/>
  <c r="D1018"/>
  <c r="D1016"/>
  <c r="D1014"/>
  <c r="D1012"/>
  <c r="D1010"/>
  <c r="D1008"/>
  <c r="D1006"/>
  <c r="D1004"/>
  <c r="D1002"/>
  <c r="D1000"/>
  <c r="D998"/>
  <c r="D996"/>
  <c r="D994"/>
  <c r="D992"/>
  <c r="D990"/>
  <c r="D988"/>
  <c r="D986"/>
  <c r="D984"/>
  <c r="D982"/>
  <c r="D980"/>
  <c r="D978"/>
  <c r="D976"/>
  <c r="D974"/>
  <c r="D972"/>
  <c r="D970"/>
  <c r="D968"/>
  <c r="D966"/>
  <c r="D964"/>
  <c r="D962"/>
  <c r="D960"/>
  <c r="D958"/>
  <c r="D956"/>
  <c r="D954"/>
  <c r="D952"/>
  <c r="D950"/>
  <c r="D948"/>
  <c r="D946"/>
  <c r="D944"/>
  <c r="D942"/>
  <c r="D940"/>
  <c r="D938"/>
  <c r="D936"/>
  <c r="D934"/>
  <c r="D932"/>
  <c r="D930"/>
  <c r="D928"/>
  <c r="D926"/>
  <c r="D924"/>
  <c r="D922"/>
  <c r="D920"/>
  <c r="D918"/>
  <c r="D916"/>
  <c r="D914"/>
  <c r="D912"/>
  <c r="D910"/>
  <c r="D908"/>
  <c r="D906"/>
  <c r="D904"/>
  <c r="D902"/>
  <c r="D900"/>
  <c r="D898"/>
  <c r="D896"/>
  <c r="D894"/>
  <c r="D892"/>
  <c r="D890"/>
  <c r="D888"/>
  <c r="D886"/>
  <c r="D884"/>
  <c r="D882"/>
  <c r="D880"/>
  <c r="D878"/>
  <c r="D876"/>
  <c r="D874"/>
  <c r="D872"/>
  <c r="D870"/>
  <c r="D868"/>
  <c r="D866"/>
  <c r="D864"/>
  <c r="D862"/>
  <c r="D860"/>
  <c r="D858"/>
  <c r="D856"/>
  <c r="D854"/>
  <c r="D852"/>
  <c r="D850"/>
  <c r="D848"/>
  <c r="D846"/>
  <c r="D844"/>
  <c r="D842"/>
  <c r="D840"/>
  <c r="D838"/>
  <c r="D836"/>
  <c r="D834"/>
  <c r="D832"/>
  <c r="D830"/>
  <c r="D828"/>
  <c r="D826"/>
  <c r="D824"/>
  <c r="D822"/>
  <c r="D820"/>
  <c r="D818"/>
  <c r="D816"/>
  <c r="D814"/>
  <c r="D812"/>
  <c r="D810"/>
  <c r="D808"/>
  <c r="D806"/>
  <c r="D804"/>
  <c r="D802"/>
  <c r="D800"/>
  <c r="D798"/>
  <c r="D796"/>
  <c r="D794"/>
  <c r="D792"/>
  <c r="D790"/>
  <c r="D788"/>
  <c r="D786"/>
  <c r="D784"/>
  <c r="D782"/>
  <c r="D780"/>
  <c r="D778"/>
  <c r="D776"/>
  <c r="D774"/>
  <c r="D772"/>
  <c r="D770"/>
  <c r="D768"/>
  <c r="D766"/>
  <c r="D764"/>
  <c r="D762"/>
  <c r="D760"/>
  <c r="D758"/>
  <c r="D756"/>
  <c r="D754"/>
  <c r="D752"/>
  <c r="D750"/>
  <c r="D748"/>
  <c r="D746"/>
  <c r="D744"/>
  <c r="D742"/>
  <c r="D740"/>
  <c r="D738"/>
  <c r="D736"/>
  <c r="D734"/>
  <c r="D732"/>
  <c r="D730"/>
  <c r="D728"/>
  <c r="D726"/>
  <c r="D724"/>
  <c r="D722"/>
  <c r="D720"/>
  <c r="D718"/>
  <c r="D716"/>
  <c r="D714"/>
  <c r="D712"/>
  <c r="D710"/>
  <c r="D708"/>
  <c r="D706"/>
  <c r="D704"/>
  <c r="D702"/>
  <c r="D700"/>
  <c r="D698"/>
  <c r="D696"/>
  <c r="D694"/>
  <c r="D692"/>
  <c r="D690"/>
  <c r="D688"/>
  <c r="D686"/>
  <c r="D684"/>
  <c r="D682"/>
  <c r="D680"/>
  <c r="D678"/>
  <c r="D676"/>
  <c r="D674"/>
  <c r="D672"/>
  <c r="D670"/>
  <c r="D668"/>
  <c r="D666"/>
  <c r="D664"/>
  <c r="D662"/>
  <c r="D660"/>
  <c r="D658"/>
  <c r="D656"/>
  <c r="D654"/>
  <c r="D652"/>
  <c r="D650"/>
  <c r="D648"/>
  <c r="D646"/>
  <c r="D644"/>
  <c r="D642"/>
  <c r="D640"/>
  <c r="D638"/>
  <c r="D636"/>
  <c r="D634"/>
  <c r="D632"/>
  <c r="D630"/>
  <c r="D628"/>
  <c r="D626"/>
  <c r="D624"/>
  <c r="D622"/>
  <c r="D620"/>
  <c r="D618"/>
  <c r="D616"/>
  <c r="D614"/>
  <c r="D612"/>
  <c r="D610"/>
  <c r="D608"/>
  <c r="D606"/>
  <c r="D604"/>
  <c r="D602"/>
  <c r="D600"/>
  <c r="D598"/>
  <c r="D596"/>
  <c r="D594"/>
  <c r="D592"/>
  <c r="D590"/>
  <c r="D588"/>
  <c r="D586"/>
  <c r="D584"/>
  <c r="D582"/>
  <c r="D580"/>
  <c r="D578"/>
  <c r="D576"/>
  <c r="D574"/>
  <c r="D572"/>
  <c r="D570"/>
  <c r="D568"/>
  <c r="D566"/>
  <c r="D564"/>
  <c r="D562"/>
  <c r="D560"/>
  <c r="D558"/>
  <c r="D556"/>
  <c r="D554"/>
  <c r="D552"/>
  <c r="D550"/>
  <c r="D548"/>
  <c r="D546"/>
  <c r="D544"/>
  <c r="D542"/>
  <c r="D540"/>
  <c r="D538"/>
  <c r="D536"/>
  <c r="D534"/>
  <c r="D532"/>
  <c r="D530"/>
  <c r="D528"/>
  <c r="D526"/>
  <c r="D524"/>
  <c r="D522"/>
  <c r="D520"/>
  <c r="D518"/>
  <c r="D516"/>
  <c r="D514"/>
  <c r="D512"/>
  <c r="D510"/>
  <c r="D508"/>
  <c r="D506"/>
  <c r="D504"/>
  <c r="D502"/>
  <c r="D500"/>
  <c r="D498"/>
  <c r="D496"/>
  <c r="D494"/>
  <c r="D492"/>
  <c r="D490"/>
  <c r="D488"/>
  <c r="D486"/>
  <c r="D484"/>
  <c r="D482"/>
  <c r="D480"/>
  <c r="D478"/>
  <c r="D476"/>
  <c r="D474"/>
  <c r="D472"/>
  <c r="D470"/>
  <c r="D468"/>
  <c r="D466"/>
  <c r="D464"/>
  <c r="D462"/>
  <c r="D460"/>
  <c r="D458"/>
  <c r="D456"/>
  <c r="D454"/>
  <c r="D452"/>
  <c r="D450"/>
  <c r="D448"/>
  <c r="D446"/>
  <c r="D444"/>
  <c r="D442"/>
  <c r="D440"/>
  <c r="D438"/>
  <c r="D436"/>
  <c r="D434"/>
  <c r="D432"/>
  <c r="D430"/>
  <c r="D428"/>
  <c r="D426"/>
  <c r="D424"/>
  <c r="D422"/>
  <c r="D420"/>
  <c r="D418"/>
  <c r="D416"/>
  <c r="D414"/>
  <c r="D412"/>
  <c r="D410"/>
  <c r="D408"/>
  <c r="D406"/>
  <c r="D404"/>
  <c r="D402"/>
  <c r="D400"/>
  <c r="D398"/>
  <c r="D396"/>
  <c r="D394"/>
  <c r="D392"/>
  <c r="D390"/>
  <c r="D388"/>
  <c r="D386"/>
  <c r="D384"/>
  <c r="D382"/>
  <c r="D380"/>
  <c r="D378"/>
  <c r="D376"/>
  <c r="D374"/>
  <c r="D372"/>
  <c r="D370"/>
  <c r="D368"/>
  <c r="D366"/>
  <c r="D364"/>
  <c r="D362"/>
  <c r="D360"/>
  <c r="D358"/>
  <c r="D356"/>
  <c r="D354"/>
  <c r="D352"/>
  <c r="D350"/>
  <c r="D348"/>
  <c r="D346"/>
  <c r="D344"/>
  <c r="D342"/>
  <c r="D340"/>
  <c r="D338"/>
  <c r="D336"/>
  <c r="D334"/>
  <c r="D332"/>
  <c r="D330"/>
  <c r="D328"/>
  <c r="D326"/>
  <c r="D324"/>
  <c r="D322"/>
  <c r="D320"/>
  <c r="D318"/>
  <c r="D316"/>
  <c r="D314"/>
  <c r="D312"/>
  <c r="D310"/>
  <c r="D308"/>
  <c r="D306"/>
  <c r="D304"/>
  <c r="D302"/>
  <c r="D300"/>
  <c r="D298"/>
  <c r="D296"/>
  <c r="D294"/>
  <c r="D292"/>
  <c r="D290"/>
  <c r="D288"/>
  <c r="D286"/>
  <c r="D284"/>
  <c r="D282"/>
  <c r="D280"/>
  <c r="D278"/>
  <c r="D276"/>
  <c r="D274"/>
  <c r="D272"/>
  <c r="D270"/>
  <c r="D268"/>
  <c r="D266"/>
  <c r="D264"/>
  <c r="D262"/>
  <c r="D260"/>
  <c r="D258"/>
  <c r="D256"/>
  <c r="D254"/>
  <c r="D252"/>
  <c r="D250"/>
  <c r="D248"/>
  <c r="D246"/>
  <c r="D244"/>
  <c r="D242"/>
  <c r="D240"/>
  <c r="D238"/>
  <c r="D236"/>
  <c r="D234"/>
  <c r="D232"/>
  <c r="D230"/>
  <c r="D228"/>
  <c r="D226"/>
  <c r="D224"/>
  <c r="D222"/>
  <c r="D220"/>
  <c r="D218"/>
  <c r="D216"/>
  <c r="D214"/>
  <c r="D212"/>
  <c r="D210"/>
  <c r="D208"/>
  <c r="D206"/>
  <c r="D204"/>
  <c r="D202"/>
  <c r="D200"/>
  <c r="D198"/>
  <c r="D196"/>
  <c r="D194"/>
  <c r="D192"/>
  <c r="D190"/>
  <c r="D188"/>
  <c r="D186"/>
  <c r="D184"/>
  <c r="D182"/>
  <c r="D180"/>
  <c r="D178"/>
  <c r="D176"/>
  <c r="D174"/>
  <c r="D172"/>
  <c r="D170"/>
  <c r="D168"/>
  <c r="D166"/>
  <c r="D164"/>
  <c r="D162"/>
  <c r="D160"/>
  <c r="D158"/>
  <c r="D156"/>
  <c r="D154"/>
  <c r="D152"/>
  <c r="D150"/>
  <c r="D148"/>
  <c r="D146"/>
  <c r="D144"/>
  <c r="D142"/>
  <c r="D140"/>
  <c r="D138"/>
  <c r="D136"/>
  <c r="D134"/>
  <c r="D132"/>
  <c r="D130"/>
  <c r="D128"/>
  <c r="D126"/>
  <c r="D124"/>
  <c r="D122"/>
  <c r="D120"/>
  <c r="D118"/>
  <c r="D116"/>
  <c r="D114"/>
  <c r="D112"/>
  <c r="D110"/>
  <c r="D108"/>
  <c r="D106"/>
  <c r="D104"/>
  <c r="D102"/>
  <c r="D100"/>
  <c r="D98"/>
  <c r="D96"/>
  <c r="D94"/>
  <c r="D92"/>
  <c r="D90"/>
  <c r="D88"/>
  <c r="D86"/>
  <c r="D84"/>
  <c r="D82"/>
  <c r="D80"/>
  <c r="D78"/>
  <c r="D76"/>
  <c r="D74"/>
  <c r="D72"/>
  <c r="D70"/>
  <c r="D68"/>
  <c r="D66"/>
  <c r="D64"/>
  <c r="D62"/>
  <c r="D60"/>
  <c r="D58"/>
  <c r="D56"/>
  <c r="D54"/>
  <c r="D52"/>
  <c r="D50"/>
  <c r="D48"/>
  <c r="D46"/>
  <c r="D44"/>
  <c r="D42"/>
  <c r="D40"/>
  <c r="D38"/>
  <c r="D36"/>
  <c r="D34"/>
  <c r="D32"/>
  <c r="D30"/>
  <c r="D28"/>
  <c r="D26"/>
  <c r="D24"/>
  <c r="D22"/>
  <c r="D20"/>
  <c r="D18"/>
  <c r="D16"/>
  <c r="D14"/>
  <c r="D12"/>
  <c r="D10"/>
  <c r="D8"/>
  <c r="D6"/>
  <c r="D4"/>
  <c r="D6399"/>
  <c r="D6397"/>
  <c r="D6395"/>
  <c r="D6393"/>
  <c r="D6391"/>
  <c r="D6389"/>
  <c r="D6387"/>
  <c r="D6385"/>
  <c r="D6383"/>
  <c r="D6381"/>
  <c r="D6379"/>
  <c r="D6377"/>
  <c r="D6375"/>
  <c r="D6373"/>
  <c r="D6371"/>
  <c r="D6369"/>
  <c r="D6367"/>
  <c r="D6365"/>
  <c r="D6363"/>
  <c r="D6361"/>
  <c r="D6359"/>
  <c r="D6357"/>
  <c r="D6355"/>
  <c r="D6353"/>
  <c r="D6351"/>
  <c r="D6349"/>
  <c r="D6347"/>
  <c r="D6345"/>
  <c r="D6343"/>
  <c r="D6341"/>
  <c r="D6339"/>
  <c r="D6337"/>
  <c r="D6335"/>
  <c r="D6333"/>
  <c r="D6331"/>
  <c r="D6329"/>
  <c r="D6327"/>
  <c r="D6325"/>
  <c r="D6323"/>
  <c r="D6321"/>
  <c r="D6319"/>
  <c r="D6317"/>
  <c r="D6315"/>
  <c r="D6313"/>
  <c r="D6311"/>
  <c r="D6309"/>
  <c r="D6307"/>
  <c r="D6305"/>
  <c r="D6303"/>
  <c r="D6301"/>
  <c r="D6299"/>
  <c r="D6297"/>
  <c r="D6295"/>
  <c r="D6293"/>
  <c r="D6291"/>
  <c r="D6289"/>
  <c r="D6287"/>
  <c r="D6285"/>
  <c r="D6283"/>
  <c r="D6281"/>
  <c r="D6279"/>
  <c r="D6277"/>
  <c r="D6275"/>
  <c r="D6273"/>
  <c r="D6271"/>
  <c r="D6269"/>
  <c r="D6267"/>
  <c r="D6265"/>
  <c r="D6263"/>
  <c r="D6261"/>
  <c r="D6259"/>
  <c r="D6257"/>
  <c r="D6255"/>
  <c r="D6253"/>
  <c r="D6251"/>
  <c r="D6249"/>
  <c r="D6247"/>
  <c r="D6245"/>
  <c r="D6243"/>
  <c r="D6241"/>
  <c r="D6239"/>
  <c r="D6237"/>
  <c r="D6235"/>
  <c r="D6233"/>
  <c r="D6231"/>
  <c r="D6229"/>
  <c r="D6227"/>
  <c r="D6225"/>
  <c r="D6223"/>
  <c r="D6221"/>
  <c r="D6219"/>
  <c r="D6217"/>
  <c r="D6215"/>
  <c r="D6213"/>
  <c r="D6211"/>
  <c r="D6209"/>
  <c r="D6207"/>
  <c r="D6205"/>
  <c r="D6203"/>
  <c r="D6201"/>
  <c r="D6199"/>
  <c r="D6197"/>
  <c r="D6195"/>
  <c r="D6193"/>
  <c r="D6191"/>
  <c r="D6189"/>
  <c r="D6187"/>
  <c r="D6185"/>
  <c r="D6183"/>
  <c r="D6181"/>
  <c r="D6179"/>
  <c r="D6177"/>
  <c r="D6175"/>
  <c r="D6173"/>
  <c r="D6171"/>
  <c r="D6169"/>
  <c r="D6167"/>
  <c r="D6165"/>
  <c r="D6163"/>
  <c r="D6161"/>
  <c r="D6159"/>
  <c r="D6157"/>
  <c r="D6155"/>
  <c r="D6153"/>
  <c r="D6151"/>
  <c r="D6149"/>
  <c r="D6147"/>
  <c r="D6145"/>
  <c r="D6143"/>
  <c r="D6141"/>
  <c r="D6139"/>
  <c r="D6137"/>
  <c r="D6135"/>
  <c r="D6133"/>
  <c r="D6131"/>
  <c r="D6129"/>
  <c r="D6127"/>
  <c r="D6125"/>
  <c r="D6123"/>
  <c r="D6121"/>
  <c r="D6119"/>
  <c r="D6117"/>
  <c r="D6115"/>
  <c r="D6113"/>
  <c r="D6111"/>
  <c r="D6109"/>
  <c r="D6107"/>
  <c r="D6105"/>
  <c r="D6103"/>
  <c r="D6101"/>
  <c r="D6099"/>
  <c r="D6097"/>
  <c r="D6095"/>
  <c r="D6093"/>
  <c r="D6091"/>
  <c r="D6089"/>
  <c r="D6087"/>
  <c r="D6085"/>
  <c r="D6083"/>
  <c r="D6081"/>
  <c r="D6079"/>
  <c r="D6077"/>
  <c r="D6075"/>
  <c r="D6073"/>
  <c r="D6071"/>
  <c r="D6069"/>
  <c r="D6067"/>
  <c r="D6065"/>
  <c r="D6063"/>
  <c r="D6061"/>
  <c r="D6059"/>
  <c r="D6057"/>
  <c r="D6055"/>
  <c r="D6053"/>
  <c r="D6051"/>
  <c r="D6049"/>
  <c r="D6047"/>
  <c r="D6045"/>
  <c r="D6043"/>
  <c r="D6041"/>
  <c r="D6039"/>
  <c r="D6037"/>
  <c r="D6035"/>
  <c r="D6033"/>
  <c r="D6031"/>
  <c r="D6029"/>
  <c r="D6027"/>
  <c r="D6025"/>
  <c r="D6023"/>
  <c r="D6021"/>
  <c r="D6019"/>
  <c r="D6017"/>
  <c r="D6015"/>
  <c r="D6013"/>
  <c r="D6011"/>
  <c r="D6009"/>
  <c r="D6007"/>
  <c r="D6005"/>
  <c r="D6003"/>
  <c r="D6001"/>
  <c r="D5999"/>
  <c r="D5997"/>
  <c r="D5995"/>
  <c r="D5993"/>
  <c r="D5991"/>
  <c r="D5989"/>
  <c r="D5987"/>
  <c r="D5985"/>
  <c r="D5983"/>
  <c r="D5981"/>
  <c r="D5979"/>
  <c r="D5977"/>
  <c r="D5975"/>
  <c r="D5973"/>
  <c r="D5971"/>
  <c r="D5969"/>
  <c r="D5967"/>
  <c r="D5965"/>
  <c r="D5963"/>
  <c r="D5961"/>
  <c r="D5959"/>
  <c r="D5957"/>
  <c r="D5955"/>
  <c r="D5953"/>
  <c r="D5951"/>
  <c r="D5949"/>
  <c r="D5947"/>
  <c r="D5945"/>
  <c r="D5943"/>
  <c r="D5941"/>
  <c r="D5939"/>
  <c r="D5937"/>
  <c r="D5935"/>
  <c r="D5933"/>
  <c r="D5931"/>
  <c r="D5929"/>
  <c r="D5927"/>
  <c r="D5925"/>
  <c r="D5923"/>
  <c r="D5921"/>
  <c r="D5919"/>
  <c r="D5917"/>
  <c r="D5915"/>
  <c r="D5913"/>
  <c r="D5911"/>
  <c r="D5909"/>
  <c r="D5907"/>
  <c r="D5905"/>
  <c r="D5903"/>
  <c r="D5901"/>
  <c r="D5899"/>
  <c r="D5897"/>
  <c r="D5895"/>
  <c r="D5893"/>
  <c r="D5891"/>
  <c r="D5889"/>
  <c r="D5887"/>
  <c r="D5885"/>
  <c r="D5883"/>
  <c r="D5881"/>
  <c r="D5879"/>
  <c r="D5877"/>
  <c r="D5875"/>
  <c r="D5873"/>
  <c r="D5871"/>
  <c r="D5869"/>
  <c r="D5867"/>
  <c r="D5865"/>
  <c r="D5863"/>
  <c r="D5861"/>
  <c r="D5859"/>
  <c r="D5857"/>
  <c r="D5855"/>
  <c r="D5853"/>
  <c r="D5851"/>
  <c r="D5849"/>
  <c r="D5847"/>
  <c r="D5845"/>
  <c r="D5843"/>
  <c r="D5841"/>
  <c r="D5839"/>
  <c r="D5837"/>
  <c r="D5835"/>
  <c r="D5833"/>
  <c r="D5831"/>
  <c r="D5829"/>
  <c r="D5827"/>
  <c r="D5825"/>
  <c r="D5823"/>
  <c r="D5821"/>
  <c r="D5819"/>
  <c r="D5817"/>
  <c r="D5815"/>
  <c r="D5813"/>
  <c r="D5811"/>
  <c r="D5809"/>
  <c r="D5807"/>
  <c r="D5805"/>
  <c r="D5803"/>
  <c r="D5801"/>
  <c r="D5799"/>
  <c r="D5797"/>
  <c r="D5795"/>
  <c r="D5793"/>
  <c r="D5791"/>
  <c r="D5789"/>
  <c r="D5787"/>
  <c r="D5785"/>
  <c r="D5783"/>
  <c r="D5781"/>
  <c r="D5779"/>
  <c r="D5777"/>
  <c r="D5775"/>
  <c r="D5773"/>
  <c r="D5771"/>
  <c r="D5769"/>
  <c r="D5767"/>
  <c r="D5765"/>
  <c r="D5763"/>
  <c r="D5761"/>
  <c r="D5759"/>
  <c r="D5757"/>
  <c r="D5755"/>
  <c r="D5753"/>
  <c r="D5751"/>
  <c r="D5749"/>
  <c r="D5747"/>
  <c r="D5745"/>
  <c r="D5743"/>
  <c r="D5741"/>
  <c r="D5739"/>
  <c r="D5737"/>
  <c r="D5735"/>
  <c r="D5733"/>
  <c r="D5731"/>
  <c r="D5729"/>
  <c r="D5727"/>
  <c r="D5725"/>
  <c r="D5723"/>
  <c r="D5721"/>
  <c r="D5719"/>
  <c r="D5717"/>
  <c r="D5715"/>
  <c r="D5713"/>
  <c r="D5711"/>
  <c r="D5709"/>
  <c r="D5707"/>
  <c r="D5705"/>
  <c r="D5703"/>
  <c r="D5701"/>
  <c r="D5699"/>
  <c r="D5697"/>
  <c r="D5695"/>
  <c r="D5693"/>
  <c r="D5691"/>
  <c r="D5689"/>
  <c r="D5687"/>
  <c r="D5685"/>
  <c r="D5683"/>
  <c r="D5681"/>
  <c r="D5679"/>
  <c r="D5677"/>
  <c r="D5675"/>
  <c r="D5673"/>
  <c r="D5671"/>
  <c r="D5669"/>
  <c r="D5667"/>
  <c r="D5665"/>
  <c r="D5663"/>
  <c r="D5661"/>
  <c r="D5659"/>
  <c r="D5657"/>
  <c r="D5655"/>
  <c r="D5653"/>
  <c r="D5651"/>
  <c r="D5649"/>
  <c r="D5647"/>
  <c r="D5645"/>
  <c r="D5643"/>
  <c r="D5641"/>
  <c r="D5639"/>
  <c r="D5637"/>
  <c r="D5635"/>
  <c r="D5633"/>
  <c r="D5631"/>
  <c r="D5629"/>
  <c r="D5627"/>
  <c r="D5625"/>
  <c r="D5623"/>
  <c r="D5621"/>
  <c r="D5619"/>
  <c r="D5617"/>
  <c r="D5615"/>
  <c r="D5613"/>
  <c r="D5611"/>
  <c r="D5609"/>
  <c r="D5607"/>
  <c r="D5605"/>
  <c r="D5603"/>
  <c r="D5601"/>
  <c r="D5599"/>
  <c r="D5597"/>
  <c r="D5595"/>
  <c r="D5593"/>
  <c r="D5591"/>
  <c r="D5589"/>
  <c r="D5587"/>
  <c r="D5585"/>
  <c r="D5583"/>
  <c r="D5581"/>
  <c r="D5579"/>
  <c r="D5577"/>
  <c r="D5575"/>
  <c r="D5573"/>
  <c r="D5571"/>
  <c r="D5569"/>
  <c r="D5567"/>
  <c r="D5565"/>
  <c r="D5563"/>
  <c r="D5561"/>
  <c r="D5559"/>
  <c r="D5557"/>
  <c r="D5555"/>
  <c r="D5553"/>
  <c r="D5551"/>
  <c r="D5549"/>
  <c r="D5547"/>
  <c r="D5545"/>
  <c r="D5543"/>
  <c r="D5541"/>
  <c r="D5539"/>
  <c r="D5537"/>
  <c r="D5535"/>
  <c r="D5533"/>
  <c r="D5531"/>
  <c r="D5529"/>
  <c r="D5527"/>
  <c r="D5525"/>
  <c r="D5523"/>
  <c r="D5521"/>
  <c r="D5519"/>
  <c r="D5517"/>
  <c r="D5515"/>
  <c r="D5513"/>
  <c r="D5511"/>
  <c r="D5509"/>
  <c r="D5507"/>
  <c r="D5505"/>
  <c r="D5503"/>
  <c r="D5501"/>
  <c r="D5499"/>
  <c r="D5497"/>
  <c r="D5495"/>
  <c r="D5493"/>
  <c r="D5491"/>
  <c r="D5489"/>
  <c r="D5487"/>
  <c r="D5485"/>
  <c r="D5483"/>
  <c r="D5481"/>
  <c r="D5479"/>
  <c r="D5477"/>
  <c r="D5475"/>
  <c r="D5473"/>
  <c r="D5471"/>
  <c r="D5469"/>
  <c r="D5467"/>
  <c r="D5465"/>
  <c r="D5463"/>
  <c r="D5461"/>
  <c r="D5459"/>
  <c r="D5457"/>
  <c r="D5455"/>
  <c r="D5453"/>
  <c r="D5451"/>
  <c r="D5449"/>
  <c r="D5447"/>
  <c r="D5445"/>
  <c r="D5443"/>
  <c r="D5441"/>
  <c r="D5439"/>
  <c r="D5437"/>
  <c r="D5435"/>
  <c r="D5433"/>
  <c r="D5431"/>
  <c r="D5429"/>
  <c r="D5427"/>
  <c r="D5425"/>
  <c r="D5423"/>
  <c r="D5421"/>
  <c r="D5419"/>
  <c r="D5417"/>
  <c r="D5415"/>
  <c r="D5413"/>
  <c r="D5411"/>
  <c r="D5409"/>
  <c r="D5407"/>
  <c r="D5405"/>
  <c r="D5403"/>
  <c r="D5401"/>
  <c r="D5399"/>
  <c r="D5397"/>
  <c r="D5395"/>
  <c r="D5393"/>
  <c r="D5391"/>
  <c r="D5389"/>
  <c r="D5387"/>
  <c r="D5385"/>
  <c r="D5383"/>
  <c r="D5381"/>
  <c r="D5379"/>
  <c r="D5377"/>
  <c r="D5375"/>
  <c r="D5373"/>
  <c r="D5371"/>
  <c r="D5369"/>
  <c r="D5367"/>
  <c r="D5365"/>
  <c r="D5363"/>
  <c r="D5361"/>
  <c r="D5359"/>
  <c r="D5357"/>
  <c r="D5355"/>
  <c r="D5353"/>
  <c r="D5351"/>
  <c r="D5349"/>
  <c r="D5347"/>
  <c r="D5345"/>
  <c r="D5343"/>
  <c r="D5341"/>
  <c r="D5339"/>
  <c r="D5337"/>
  <c r="D5335"/>
  <c r="D5333"/>
  <c r="D5331"/>
  <c r="D5329"/>
  <c r="D5327"/>
  <c r="D5325"/>
  <c r="D5323"/>
  <c r="D5321"/>
  <c r="D5319"/>
  <c r="D5317"/>
  <c r="D5315"/>
  <c r="D5313"/>
  <c r="D5311"/>
  <c r="D5309"/>
  <c r="D5307"/>
  <c r="D5305"/>
  <c r="D5303"/>
  <c r="D5301"/>
  <c r="D5299"/>
  <c r="D5297"/>
  <c r="D5295"/>
  <c r="D5293"/>
  <c r="D5291"/>
  <c r="D5289"/>
  <c r="D5287"/>
  <c r="D5285"/>
  <c r="D5283"/>
  <c r="D5281"/>
  <c r="D5279"/>
  <c r="D5277"/>
  <c r="D5275"/>
  <c r="D5273"/>
  <c r="D5271"/>
  <c r="D5269"/>
  <c r="D5267"/>
  <c r="D5265"/>
  <c r="D5263"/>
  <c r="D5261"/>
  <c r="D5259"/>
  <c r="D5257"/>
  <c r="D5255"/>
  <c r="D5253"/>
  <c r="D5251"/>
  <c r="D5249"/>
  <c r="D5247"/>
  <c r="D5245"/>
  <c r="D5243"/>
  <c r="D5241"/>
  <c r="D5239"/>
  <c r="D5237"/>
  <c r="D5235"/>
  <c r="D5233"/>
  <c r="D5231"/>
  <c r="D5229"/>
  <c r="D5227"/>
  <c r="D5225"/>
  <c r="D5223"/>
  <c r="D5221"/>
  <c r="D5219"/>
  <c r="D5217"/>
  <c r="D5215"/>
  <c r="D5213"/>
  <c r="D5211"/>
  <c r="D5209"/>
  <c r="D5207"/>
  <c r="D5205"/>
  <c r="D5203"/>
  <c r="D5201"/>
  <c r="D5199"/>
  <c r="D5197"/>
  <c r="D5195"/>
  <c r="D5193"/>
  <c r="D5191"/>
  <c r="D5189"/>
  <c r="D5187"/>
  <c r="D5185"/>
  <c r="D5183"/>
  <c r="D5181"/>
  <c r="D5179"/>
  <c r="D5177"/>
  <c r="D5175"/>
  <c r="D5173"/>
  <c r="D5171"/>
  <c r="D5169"/>
  <c r="D5167"/>
  <c r="D5165"/>
  <c r="D5163"/>
  <c r="D5161"/>
  <c r="D5159"/>
  <c r="D5157"/>
  <c r="D5155"/>
  <c r="D5153"/>
  <c r="D5151"/>
  <c r="D5149"/>
  <c r="D5147"/>
  <c r="D5145"/>
  <c r="D5143"/>
  <c r="D5141"/>
  <c r="D5139"/>
  <c r="D5137"/>
  <c r="D5135"/>
  <c r="D5133"/>
  <c r="D5131"/>
  <c r="D5129"/>
  <c r="D5127"/>
  <c r="D5125"/>
  <c r="D5123"/>
  <c r="D5121"/>
  <c r="D5119"/>
  <c r="D5117"/>
  <c r="D5115"/>
  <c r="D5113"/>
  <c r="D5111"/>
  <c r="D5109"/>
  <c r="D5107"/>
  <c r="D5105"/>
  <c r="D5103"/>
  <c r="D5101"/>
  <c r="D5099"/>
  <c r="D5097"/>
  <c r="D5095"/>
  <c r="D5093"/>
  <c r="D5091"/>
  <c r="D5089"/>
  <c r="D5087"/>
  <c r="D5085"/>
  <c r="D5083"/>
  <c r="D5081"/>
  <c r="D5079"/>
  <c r="D5077"/>
  <c r="D5075"/>
  <c r="D5073"/>
  <c r="D5071"/>
  <c r="D5069"/>
  <c r="D5067"/>
  <c r="D5065"/>
  <c r="D5063"/>
  <c r="D5061"/>
  <c r="D5059"/>
  <c r="D5057"/>
  <c r="D5055"/>
  <c r="D5053"/>
  <c r="D5051"/>
  <c r="D5049"/>
  <c r="D5047"/>
  <c r="D5045"/>
  <c r="D5043"/>
  <c r="D5041"/>
  <c r="D5039"/>
  <c r="D5037"/>
  <c r="D5035"/>
  <c r="D5033"/>
  <c r="D5031"/>
  <c r="D5029"/>
  <c r="D5027"/>
  <c r="D5025"/>
  <c r="D5023"/>
  <c r="D5021"/>
  <c r="D5019"/>
  <c r="D5017"/>
  <c r="D5015"/>
  <c r="D5013"/>
  <c r="D5011"/>
  <c r="D5009"/>
  <c r="D5007"/>
  <c r="D5005"/>
  <c r="D5003"/>
  <c r="D5001"/>
  <c r="D4999"/>
  <c r="D4997"/>
  <c r="D4995"/>
  <c r="D4993"/>
  <c r="D4991"/>
  <c r="D4989"/>
  <c r="D4987"/>
  <c r="D4985"/>
  <c r="D4983"/>
  <c r="D4981"/>
  <c r="D4979"/>
  <c r="D4977"/>
  <c r="D4975"/>
  <c r="D4973"/>
  <c r="D4971"/>
  <c r="D4969"/>
  <c r="D4967"/>
  <c r="D4965"/>
  <c r="D4963"/>
  <c r="D4961"/>
  <c r="D4959"/>
  <c r="D4957"/>
  <c r="D4955"/>
  <c r="D4953"/>
  <c r="D4951"/>
  <c r="D4949"/>
  <c r="D4947"/>
  <c r="D4945"/>
  <c r="D4943"/>
  <c r="D4941"/>
  <c r="D4939"/>
  <c r="D4937"/>
  <c r="D4935"/>
  <c r="D4933"/>
  <c r="D4931"/>
  <c r="D4929"/>
  <c r="D4927"/>
  <c r="D4925"/>
  <c r="D4923"/>
  <c r="D4921"/>
  <c r="D4919"/>
  <c r="D4917"/>
  <c r="D4915"/>
  <c r="D4913"/>
  <c r="D4911"/>
  <c r="D4909"/>
  <c r="D4907"/>
  <c r="D4905"/>
  <c r="D4903"/>
  <c r="D4901"/>
  <c r="D4899"/>
  <c r="D4897"/>
  <c r="D4895"/>
  <c r="D4893"/>
  <c r="D4891"/>
  <c r="D4889"/>
  <c r="D4887"/>
  <c r="D4885"/>
  <c r="D4883"/>
  <c r="D4881"/>
  <c r="D4879"/>
  <c r="D4877"/>
  <c r="D4875"/>
  <c r="D4873"/>
  <c r="D4871"/>
  <c r="D4869"/>
  <c r="D4867"/>
  <c r="D4865"/>
  <c r="D4863"/>
  <c r="D4861"/>
  <c r="D4859"/>
  <c r="D4857"/>
  <c r="D4855"/>
  <c r="D4853"/>
  <c r="D4851"/>
  <c r="D4849"/>
  <c r="D4847"/>
  <c r="D4845"/>
  <c r="D4843"/>
  <c r="D4841"/>
  <c r="D4839"/>
  <c r="D4837"/>
  <c r="D4835"/>
  <c r="D4833"/>
  <c r="D4831"/>
  <c r="D4829"/>
  <c r="D4827"/>
  <c r="D4825"/>
  <c r="D4823"/>
  <c r="D4821"/>
  <c r="D4819"/>
  <c r="D4817"/>
  <c r="D4815"/>
  <c r="D4813"/>
  <c r="D4811"/>
  <c r="D4809"/>
  <c r="D4807"/>
  <c r="D4805"/>
  <c r="D4803"/>
  <c r="D4801"/>
  <c r="D4799"/>
  <c r="D4797"/>
  <c r="D4795"/>
  <c r="D4793"/>
  <c r="D4791"/>
  <c r="D4789"/>
  <c r="D4787"/>
  <c r="D4785"/>
  <c r="D4783"/>
  <c r="D4781"/>
  <c r="D4779"/>
  <c r="D4777"/>
  <c r="D4775"/>
  <c r="D4773"/>
  <c r="D4771"/>
  <c r="D4769"/>
  <c r="D4767"/>
  <c r="D4765"/>
  <c r="D4763"/>
  <c r="D4761"/>
  <c r="D4759"/>
  <c r="D4757"/>
  <c r="D4755"/>
  <c r="D4753"/>
  <c r="D4751"/>
  <c r="D4749"/>
  <c r="D4747"/>
  <c r="D4745"/>
  <c r="D4743"/>
  <c r="D4741"/>
  <c r="D4739"/>
  <c r="D4737"/>
  <c r="D4735"/>
  <c r="D4733"/>
  <c r="D4731"/>
  <c r="D4729"/>
  <c r="D4727"/>
  <c r="D4725"/>
  <c r="D4723"/>
  <c r="D4721"/>
  <c r="D4719"/>
  <c r="D4717"/>
  <c r="D4715"/>
  <c r="D4713"/>
  <c r="D4711"/>
  <c r="D4709"/>
  <c r="D4707"/>
  <c r="D4705"/>
  <c r="D4703"/>
  <c r="D4701"/>
  <c r="D4699"/>
  <c r="D4697"/>
  <c r="D4695"/>
  <c r="D4693"/>
  <c r="D4691"/>
  <c r="D4689"/>
  <c r="D4687"/>
  <c r="D4685"/>
  <c r="D4683"/>
  <c r="D4681"/>
  <c r="D4679"/>
  <c r="D4677"/>
  <c r="D4675"/>
  <c r="D4673"/>
  <c r="D4671"/>
  <c r="D4669"/>
  <c r="D4667"/>
  <c r="D4665"/>
  <c r="D4663"/>
  <c r="D4661"/>
  <c r="D4659"/>
  <c r="D4657"/>
  <c r="D4655"/>
  <c r="D4653"/>
  <c r="D4651"/>
  <c r="D4649"/>
  <c r="D4647"/>
  <c r="D4645"/>
  <c r="D4643"/>
  <c r="D4641"/>
  <c r="D4639"/>
  <c r="D4637"/>
  <c r="D4635"/>
  <c r="D4633"/>
  <c r="D4631"/>
  <c r="D4629"/>
  <c r="D4627"/>
  <c r="D4625"/>
  <c r="D4623"/>
  <c r="D4621"/>
  <c r="D4619"/>
  <c r="D4617"/>
  <c r="D4615"/>
  <c r="D4613"/>
  <c r="D4611"/>
  <c r="D4609"/>
  <c r="D4607"/>
  <c r="D4605"/>
  <c r="D4603"/>
  <c r="D4601"/>
  <c r="D4599"/>
  <c r="D4597"/>
  <c r="D4595"/>
  <c r="D4593"/>
  <c r="D4591"/>
  <c r="D4589"/>
  <c r="D4587"/>
  <c r="D4585"/>
  <c r="D4583"/>
  <c r="D4581"/>
  <c r="D4579"/>
  <c r="D4577"/>
  <c r="D4575"/>
  <c r="D4573"/>
  <c r="D4571"/>
  <c r="D4569"/>
  <c r="D4567"/>
  <c r="D4565"/>
  <c r="D4563"/>
  <c r="D4561"/>
  <c r="D4559"/>
  <c r="D4557"/>
  <c r="D4555"/>
  <c r="D4553"/>
  <c r="D4551"/>
  <c r="D4549"/>
  <c r="D4547"/>
  <c r="D4545"/>
  <c r="D4543"/>
  <c r="D4541"/>
  <c r="D4539"/>
  <c r="D4537"/>
  <c r="D4535"/>
  <c r="D4533"/>
  <c r="D4531"/>
  <c r="D4529"/>
  <c r="D4527"/>
  <c r="D4525"/>
  <c r="D4523"/>
  <c r="D4521"/>
  <c r="D4519"/>
  <c r="D4517"/>
  <c r="D4515"/>
  <c r="D4513"/>
  <c r="D4511"/>
  <c r="D4509"/>
  <c r="D4507"/>
  <c r="D4505"/>
  <c r="D4503"/>
  <c r="D4501"/>
  <c r="D4499"/>
  <c r="D4497"/>
  <c r="D4495"/>
  <c r="D4493"/>
  <c r="D4491"/>
  <c r="D4489"/>
  <c r="D4487"/>
  <c r="D4485"/>
  <c r="D4483"/>
  <c r="D4481"/>
  <c r="D4479"/>
  <c r="D4477"/>
  <c r="D4475"/>
  <c r="D4473"/>
  <c r="D4471"/>
  <c r="D4469"/>
  <c r="D4467"/>
  <c r="D4465"/>
  <c r="D4463"/>
  <c r="D4461"/>
  <c r="D4459"/>
  <c r="D4457"/>
  <c r="D4455"/>
  <c r="D4453"/>
  <c r="D4451"/>
  <c r="D4449"/>
  <c r="D4447"/>
  <c r="D4445"/>
  <c r="D4443"/>
  <c r="D4441"/>
  <c r="D4439"/>
  <c r="D4437"/>
  <c r="D4435"/>
  <c r="D4433"/>
  <c r="D4431"/>
  <c r="D4429"/>
  <c r="D4427"/>
  <c r="D4425"/>
  <c r="D4423"/>
  <c r="D4421"/>
  <c r="D4419"/>
  <c r="D4417"/>
  <c r="D4415"/>
  <c r="D4413"/>
  <c r="D4411"/>
  <c r="D4409"/>
  <c r="D4407"/>
  <c r="D4405"/>
  <c r="D4403"/>
  <c r="D4401"/>
  <c r="D4399"/>
  <c r="D4397"/>
  <c r="D4395"/>
  <c r="D4393"/>
  <c r="D4391"/>
  <c r="D4389"/>
  <c r="D4387"/>
  <c r="D4385"/>
  <c r="D4383"/>
  <c r="D4381"/>
  <c r="D4379"/>
  <c r="D4377"/>
  <c r="D4375"/>
  <c r="D4373"/>
  <c r="D4371"/>
  <c r="D4369"/>
  <c r="D4367"/>
  <c r="D4365"/>
  <c r="D4363"/>
  <c r="D4361"/>
  <c r="D4359"/>
  <c r="D4357"/>
  <c r="D4355"/>
  <c r="D4353"/>
  <c r="D4351"/>
  <c r="D4349"/>
  <c r="D4347"/>
  <c r="D4345"/>
  <c r="D4343"/>
  <c r="D4341"/>
  <c r="D4339"/>
  <c r="D4337"/>
  <c r="D4335"/>
  <c r="D4333"/>
  <c r="D4331"/>
  <c r="D4329"/>
  <c r="D4327"/>
  <c r="D4325"/>
  <c r="D4323"/>
  <c r="D4321"/>
  <c r="D4319"/>
  <c r="D4317"/>
  <c r="D4315"/>
  <c r="D4313"/>
  <c r="D4311"/>
  <c r="D4309"/>
  <c r="D4307"/>
  <c r="D4305"/>
  <c r="D4303"/>
  <c r="D4301"/>
  <c r="D4299"/>
  <c r="D4297"/>
  <c r="D4295"/>
  <c r="D4293"/>
  <c r="D4291"/>
  <c r="D4289"/>
  <c r="D4287"/>
  <c r="D4285"/>
  <c r="D4283"/>
  <c r="D4281"/>
  <c r="D4279"/>
  <c r="D4277"/>
  <c r="D4275"/>
  <c r="D4273"/>
  <c r="D4271"/>
  <c r="D4269"/>
  <c r="D4267"/>
  <c r="D4265"/>
  <c r="D4263"/>
  <c r="D4261"/>
  <c r="D4259"/>
  <c r="D4257"/>
  <c r="D4255"/>
  <c r="D4253"/>
  <c r="D4251"/>
  <c r="D4249"/>
  <c r="D4247"/>
  <c r="D4245"/>
  <c r="D4243"/>
  <c r="D4241"/>
  <c r="D4239"/>
  <c r="D4237"/>
  <c r="D4235"/>
  <c r="D4233"/>
  <c r="D4231"/>
  <c r="D4229"/>
  <c r="D4227"/>
  <c r="D4225"/>
  <c r="D4223"/>
  <c r="D4221"/>
  <c r="D4219"/>
  <c r="D4217"/>
  <c r="D4215"/>
  <c r="D4213"/>
  <c r="D4211"/>
  <c r="D4209"/>
  <c r="D4207"/>
  <c r="D4205"/>
  <c r="D4203"/>
  <c r="D4201"/>
  <c r="D4199"/>
  <c r="D4197"/>
  <c r="D4195"/>
  <c r="D4193"/>
  <c r="D4191"/>
  <c r="D4189"/>
  <c r="D4187"/>
  <c r="D4185"/>
  <c r="D4183"/>
  <c r="D4181"/>
  <c r="D4179"/>
  <c r="D4177"/>
  <c r="D4175"/>
  <c r="D4173"/>
  <c r="D4171"/>
  <c r="D4169"/>
  <c r="D4167"/>
  <c r="D4165"/>
  <c r="D4163"/>
  <c r="D4161"/>
  <c r="D4159"/>
  <c r="D4157"/>
  <c r="D4155"/>
  <c r="D4153"/>
  <c r="D4151"/>
  <c r="D4149"/>
  <c r="D4147"/>
  <c r="D4145"/>
  <c r="D4143"/>
  <c r="D4141"/>
  <c r="D4139"/>
  <c r="D4137"/>
  <c r="D4135"/>
  <c r="D4133"/>
  <c r="D4131"/>
  <c r="D4129"/>
  <c r="D4127"/>
  <c r="D4125"/>
  <c r="D4123"/>
  <c r="D4121"/>
  <c r="D4119"/>
  <c r="D4117"/>
  <c r="D4115"/>
  <c r="D4113"/>
  <c r="D4111"/>
  <c r="D4109"/>
  <c r="D4107"/>
  <c r="D4105"/>
  <c r="D4103"/>
  <c r="D4101"/>
  <c r="D4099"/>
  <c r="D4097"/>
  <c r="D4095"/>
  <c r="D4093"/>
  <c r="D4091"/>
  <c r="D4089"/>
  <c r="D4087"/>
  <c r="D4085"/>
  <c r="D4083"/>
  <c r="D4081"/>
  <c r="D4079"/>
  <c r="D4077"/>
  <c r="D4075"/>
  <c r="D4073"/>
  <c r="D4071"/>
  <c r="D4069"/>
  <c r="D4067"/>
  <c r="D4065"/>
  <c r="D4063"/>
  <c r="D4061"/>
  <c r="D4059"/>
  <c r="D4057"/>
  <c r="D4055"/>
  <c r="D4053"/>
  <c r="D4051"/>
  <c r="D4049"/>
  <c r="D4047"/>
  <c r="D4045"/>
  <c r="D4043"/>
  <c r="D4041"/>
  <c r="D4039"/>
  <c r="D4037"/>
  <c r="D4035"/>
  <c r="D4033"/>
  <c r="D4031"/>
  <c r="D4029"/>
  <c r="D4027"/>
  <c r="D4025"/>
  <c r="D4023"/>
  <c r="D4021"/>
  <c r="D4019"/>
  <c r="D4017"/>
  <c r="D4015"/>
  <c r="D4013"/>
  <c r="D4011"/>
  <c r="D4009"/>
  <c r="D4007"/>
  <c r="D4005"/>
  <c r="D4003"/>
  <c r="D4001"/>
  <c r="D3999"/>
  <c r="D3997"/>
  <c r="D3995"/>
  <c r="D3993"/>
  <c r="D3991"/>
  <c r="D3989"/>
  <c r="D3987"/>
  <c r="D3985"/>
  <c r="D3983"/>
  <c r="D3981"/>
  <c r="D3979"/>
  <c r="D3977"/>
  <c r="D3975"/>
  <c r="D3973"/>
  <c r="D3971"/>
  <c r="D3969"/>
  <c r="D3967"/>
  <c r="D3965"/>
  <c r="D3963"/>
  <c r="D3961"/>
  <c r="D3959"/>
  <c r="D3957"/>
  <c r="D3955"/>
  <c r="D3953"/>
  <c r="D3951"/>
  <c r="D3949"/>
  <c r="D3947"/>
  <c r="D3945"/>
  <c r="D3943"/>
  <c r="D3941"/>
  <c r="D3939"/>
  <c r="D3937"/>
  <c r="D3935"/>
  <c r="D3933"/>
  <c r="D3931"/>
  <c r="D3929"/>
  <c r="D3927"/>
  <c r="D3925"/>
  <c r="D3923"/>
  <c r="D3921"/>
  <c r="D3919"/>
  <c r="D3917"/>
  <c r="D3915"/>
  <c r="D3913"/>
  <c r="D3911"/>
  <c r="D3909"/>
  <c r="D3907"/>
  <c r="D3905"/>
  <c r="D3903"/>
  <c r="D3901"/>
  <c r="D3899"/>
  <c r="D3897"/>
  <c r="D3895"/>
  <c r="D3893"/>
  <c r="D3891"/>
  <c r="D3889"/>
  <c r="D3887"/>
  <c r="D3885"/>
  <c r="D3883"/>
  <c r="D3881"/>
  <c r="D3879"/>
  <c r="D3877"/>
  <c r="D3875"/>
  <c r="D3873"/>
  <c r="D3871"/>
  <c r="D3869"/>
  <c r="D3867"/>
  <c r="D3865"/>
  <c r="D3863"/>
  <c r="D3861"/>
  <c r="D3859"/>
  <c r="D3857"/>
  <c r="D3855"/>
  <c r="D3853"/>
  <c r="D3851"/>
  <c r="D3849"/>
  <c r="D3847"/>
  <c r="D3845"/>
  <c r="D3843"/>
  <c r="D3841"/>
  <c r="D3839"/>
  <c r="D3837"/>
  <c r="D3835"/>
  <c r="D3833"/>
  <c r="D3831"/>
  <c r="D3829"/>
  <c r="D3827"/>
  <c r="D3825"/>
  <c r="D3823"/>
  <c r="D3821"/>
  <c r="D3819"/>
  <c r="D3817"/>
  <c r="D3815"/>
  <c r="D3813"/>
  <c r="D3811"/>
  <c r="D3809"/>
  <c r="D3807"/>
  <c r="D3805"/>
  <c r="D3803"/>
  <c r="D3801"/>
  <c r="D3799"/>
  <c r="D3797"/>
  <c r="D3795"/>
  <c r="D3793"/>
  <c r="D3791"/>
  <c r="D3789"/>
  <c r="D3787"/>
  <c r="D3785"/>
  <c r="D3783"/>
  <c r="D3781"/>
  <c r="D3779"/>
  <c r="D3777"/>
  <c r="D3775"/>
  <c r="D3773"/>
  <c r="D3771"/>
  <c r="D3769"/>
  <c r="D3767"/>
  <c r="D3765"/>
  <c r="D3763"/>
  <c r="D3761"/>
  <c r="D3759"/>
  <c r="D3757"/>
  <c r="D3755"/>
  <c r="D3753"/>
  <c r="D3751"/>
  <c r="D3749"/>
  <c r="D3747"/>
  <c r="D3745"/>
  <c r="D3743"/>
  <c r="D3741"/>
  <c r="D3739"/>
  <c r="D3737"/>
  <c r="D3735"/>
  <c r="D3733"/>
  <c r="D3731"/>
  <c r="D3729"/>
  <c r="D3727"/>
  <c r="D3725"/>
  <c r="D3723"/>
  <c r="D3721"/>
  <c r="D3719"/>
  <c r="D3717"/>
  <c r="D3715"/>
  <c r="D3713"/>
  <c r="D3711"/>
  <c r="D3709"/>
  <c r="D3707"/>
  <c r="D3705"/>
  <c r="D3703"/>
  <c r="D3701"/>
  <c r="D3699"/>
  <c r="D3697"/>
  <c r="D3695"/>
  <c r="D3693"/>
  <c r="D3691"/>
  <c r="D3689"/>
  <c r="D3687"/>
  <c r="D3685"/>
  <c r="D3683"/>
  <c r="D3681"/>
  <c r="D3679"/>
  <c r="D3677"/>
  <c r="D3675"/>
  <c r="D3673"/>
  <c r="D3671"/>
  <c r="D3669"/>
  <c r="D3667"/>
  <c r="D3665"/>
  <c r="D3663"/>
  <c r="D3661"/>
  <c r="D3659"/>
  <c r="D3657"/>
  <c r="D3655"/>
  <c r="D3653"/>
  <c r="D3651"/>
  <c r="D3649"/>
  <c r="D3647"/>
  <c r="D3645"/>
  <c r="D3643"/>
  <c r="D3641"/>
  <c r="D3639"/>
  <c r="D3637"/>
  <c r="D3635"/>
  <c r="D3633"/>
  <c r="D3631"/>
  <c r="D3629"/>
  <c r="D3627"/>
  <c r="D3625"/>
  <c r="D3623"/>
  <c r="D3621"/>
  <c r="D3619"/>
  <c r="D3617"/>
  <c r="D3615"/>
  <c r="D3613"/>
  <c r="D3611"/>
  <c r="D3609"/>
  <c r="D3607"/>
  <c r="D3605"/>
  <c r="D3603"/>
  <c r="D3601"/>
  <c r="D3599"/>
  <c r="D3597"/>
  <c r="D3595"/>
  <c r="D3593"/>
  <c r="D3591"/>
  <c r="D3589"/>
  <c r="D3587"/>
  <c r="D3585"/>
  <c r="D3583"/>
  <c r="D3581"/>
  <c r="D3579"/>
  <c r="D3577"/>
  <c r="D3575"/>
  <c r="D3573"/>
  <c r="D3571"/>
  <c r="D3569"/>
  <c r="D3567"/>
  <c r="D3565"/>
  <c r="D3563"/>
  <c r="D3561"/>
  <c r="D3559"/>
  <c r="D3557"/>
  <c r="D3555"/>
  <c r="D3553"/>
  <c r="D3551"/>
  <c r="D3549"/>
  <c r="D3547"/>
  <c r="D3545"/>
  <c r="D3543"/>
  <c r="D3541"/>
  <c r="D3539"/>
  <c r="D3537"/>
  <c r="D3535"/>
  <c r="D3533"/>
  <c r="D3531"/>
  <c r="D3529"/>
  <c r="D3527"/>
  <c r="D3525"/>
  <c r="D3523"/>
  <c r="D3521"/>
  <c r="D3519"/>
  <c r="D3517"/>
  <c r="D3515"/>
  <c r="D3513"/>
  <c r="D3511"/>
  <c r="D3509"/>
  <c r="D3507"/>
  <c r="D3505"/>
  <c r="D3503"/>
  <c r="D3501"/>
  <c r="D3499"/>
  <c r="D3497"/>
  <c r="D3495"/>
  <c r="D3493"/>
  <c r="D3491"/>
  <c r="D3489"/>
  <c r="D3487"/>
  <c r="D3485"/>
  <c r="D3483"/>
  <c r="D3481"/>
  <c r="D3479"/>
  <c r="D3477"/>
  <c r="D3475"/>
  <c r="D3473"/>
  <c r="D3471"/>
  <c r="D3469"/>
  <c r="D3467"/>
  <c r="D3465"/>
  <c r="D3463"/>
  <c r="D3461"/>
  <c r="D3459"/>
  <c r="D3457"/>
  <c r="D3455"/>
  <c r="D3453"/>
  <c r="D3451"/>
  <c r="D3449"/>
  <c r="D3447"/>
  <c r="D3445"/>
  <c r="D3443"/>
  <c r="D3441"/>
  <c r="D3439"/>
  <c r="D3437"/>
  <c r="D3435"/>
  <c r="D3433"/>
  <c r="D3431"/>
  <c r="D3429"/>
  <c r="D3427"/>
  <c r="D3425"/>
  <c r="D3423"/>
  <c r="D3421"/>
  <c r="D3419"/>
  <c r="D3417"/>
  <c r="D3415"/>
  <c r="D3413"/>
  <c r="D3411"/>
  <c r="D3409"/>
  <c r="D3407"/>
  <c r="D3405"/>
  <c r="D3403"/>
  <c r="D3401"/>
  <c r="D3399"/>
  <c r="D3397"/>
  <c r="D3395"/>
  <c r="D3393"/>
  <c r="D3391"/>
  <c r="D3389"/>
  <c r="D3387"/>
  <c r="D3385"/>
  <c r="D3383"/>
  <c r="D3381"/>
  <c r="D3379"/>
  <c r="D3377"/>
  <c r="D3375"/>
  <c r="D3373"/>
  <c r="D3371"/>
  <c r="D3369"/>
  <c r="D3367"/>
  <c r="D3365"/>
  <c r="D3363"/>
  <c r="D3361"/>
  <c r="D3359"/>
  <c r="D3357"/>
  <c r="D3355"/>
  <c r="D3353"/>
  <c r="D3351"/>
  <c r="D3349"/>
  <c r="D3347"/>
  <c r="D3345"/>
  <c r="D3343"/>
  <c r="D3341"/>
  <c r="D3339"/>
  <c r="D3337"/>
  <c r="D3335"/>
  <c r="D3333"/>
  <c r="D3331"/>
  <c r="D3329"/>
  <c r="D3327"/>
  <c r="D3325"/>
  <c r="D3323"/>
  <c r="D3321"/>
  <c r="D3319"/>
  <c r="D3317"/>
  <c r="D3315"/>
  <c r="D3313"/>
  <c r="D3311"/>
  <c r="D3309"/>
  <c r="D3307"/>
  <c r="D3305"/>
  <c r="D3303"/>
  <c r="D3301"/>
  <c r="D3299"/>
  <c r="D3297"/>
  <c r="D3295"/>
  <c r="D3293"/>
  <c r="D3291"/>
  <c r="D3289"/>
  <c r="D3287"/>
  <c r="D3285"/>
  <c r="D3283"/>
  <c r="D3281"/>
  <c r="D3279"/>
  <c r="D3277"/>
  <c r="D3275"/>
  <c r="D3273"/>
  <c r="D3271"/>
  <c r="D3269"/>
  <c r="D3267"/>
  <c r="D3265"/>
  <c r="D3263"/>
  <c r="D3261"/>
  <c r="D3259"/>
  <c r="D3257"/>
  <c r="D3255"/>
  <c r="D3253"/>
  <c r="D3251"/>
  <c r="D3249"/>
  <c r="D3247"/>
  <c r="D3245"/>
  <c r="D3243"/>
  <c r="D3241"/>
  <c r="D3239"/>
  <c r="D3237"/>
  <c r="D3235"/>
  <c r="D3233"/>
  <c r="D3231"/>
  <c r="D3229"/>
  <c r="D3227"/>
  <c r="D3225"/>
  <c r="D3223"/>
  <c r="D3221"/>
  <c r="D3219"/>
  <c r="D3217"/>
  <c r="D3215"/>
  <c r="D3213"/>
  <c r="D3211"/>
  <c r="D3209"/>
  <c r="D3207"/>
  <c r="D3205"/>
  <c r="D3203"/>
  <c r="D3201"/>
  <c r="D3199"/>
  <c r="D3197"/>
  <c r="D3195"/>
  <c r="D3193"/>
  <c r="D3191"/>
  <c r="D3189"/>
  <c r="D3187"/>
  <c r="D3185"/>
  <c r="D3183"/>
  <c r="D3181"/>
  <c r="D3179"/>
  <c r="D3177"/>
  <c r="D3175"/>
  <c r="D3173"/>
  <c r="D3171"/>
  <c r="D3169"/>
  <c r="D3167"/>
  <c r="D3165"/>
  <c r="D3163"/>
  <c r="D3161"/>
  <c r="D3159"/>
  <c r="D3157"/>
  <c r="D3155"/>
  <c r="D3153"/>
  <c r="D3151"/>
  <c r="D3149"/>
  <c r="D3147"/>
  <c r="D3145"/>
  <c r="D3143"/>
  <c r="D3141"/>
  <c r="D3139"/>
  <c r="D3137"/>
  <c r="D3135"/>
  <c r="D3133"/>
  <c r="D3131"/>
  <c r="D3129"/>
  <c r="D3127"/>
  <c r="D3125"/>
  <c r="D3123"/>
  <c r="D3121"/>
  <c r="D3119"/>
  <c r="D3117"/>
  <c r="D3115"/>
  <c r="D3113"/>
  <c r="D3111"/>
  <c r="D3109"/>
  <c r="D3107"/>
  <c r="D3105"/>
  <c r="D3103"/>
  <c r="D3101"/>
  <c r="D3099"/>
  <c r="D3097"/>
  <c r="D3095"/>
  <c r="D3093"/>
  <c r="D3091"/>
  <c r="D3089"/>
  <c r="D3087"/>
  <c r="D3085"/>
  <c r="D3083"/>
  <c r="D3081"/>
  <c r="D3079"/>
  <c r="D3077"/>
  <c r="D3075"/>
  <c r="D3073"/>
  <c r="D3071"/>
  <c r="D3069"/>
  <c r="D3067"/>
  <c r="D3065"/>
  <c r="D3063"/>
  <c r="D3061"/>
  <c r="D3059"/>
  <c r="D3057"/>
  <c r="D3055"/>
  <c r="D3053"/>
  <c r="D3051"/>
  <c r="D3049"/>
  <c r="D3047"/>
  <c r="D3045"/>
  <c r="D3043"/>
  <c r="D3041"/>
  <c r="D3039"/>
  <c r="D3037"/>
  <c r="D3035"/>
  <c r="D3033"/>
  <c r="D3031"/>
  <c r="D3029"/>
  <c r="D3027"/>
  <c r="D3025"/>
  <c r="D3023"/>
  <c r="D3021"/>
  <c r="D3019"/>
  <c r="D3017"/>
  <c r="D3015"/>
  <c r="D3013"/>
  <c r="D3011"/>
  <c r="D3009"/>
  <c r="D3007"/>
  <c r="D3005"/>
  <c r="D3003"/>
  <c r="D3001"/>
  <c r="D2999"/>
  <c r="D2997"/>
  <c r="D2995"/>
  <c r="D2993"/>
  <c r="D2991"/>
  <c r="D2989"/>
  <c r="D2987"/>
  <c r="D2985"/>
  <c r="D2983"/>
  <c r="D2981"/>
  <c r="D2979"/>
  <c r="D2977"/>
  <c r="D2975"/>
  <c r="D2973"/>
  <c r="D2971"/>
  <c r="D2969"/>
  <c r="D2967"/>
  <c r="D2965"/>
  <c r="D2963"/>
  <c r="D2961"/>
  <c r="D2959"/>
  <c r="D2957"/>
  <c r="D2955"/>
  <c r="D2953"/>
  <c r="D2951"/>
  <c r="D2949"/>
  <c r="D2947"/>
  <c r="D2945"/>
  <c r="D2943"/>
  <c r="D2941"/>
  <c r="D2939"/>
  <c r="D2937"/>
  <c r="D2935"/>
  <c r="D2933"/>
  <c r="D2931"/>
  <c r="D2929"/>
  <c r="D2927"/>
  <c r="D2925"/>
  <c r="D2923"/>
  <c r="D2921"/>
  <c r="D2919"/>
  <c r="D2917"/>
  <c r="D2915"/>
  <c r="D2913"/>
  <c r="D2911"/>
  <c r="D2909"/>
  <c r="D2907"/>
  <c r="D2905"/>
  <c r="D2903"/>
  <c r="D2901"/>
  <c r="D2899"/>
  <c r="D2897"/>
  <c r="D2895"/>
  <c r="D2893"/>
  <c r="D2891"/>
  <c r="D2889"/>
  <c r="D2887"/>
  <c r="D2885"/>
  <c r="D2883"/>
  <c r="D2881"/>
  <c r="D2879"/>
  <c r="D2877"/>
  <c r="D2875"/>
  <c r="D2873"/>
  <c r="D2871"/>
  <c r="D2869"/>
  <c r="D2867"/>
  <c r="D2865"/>
  <c r="D2863"/>
  <c r="D2861"/>
  <c r="D2859"/>
  <c r="D2857"/>
  <c r="D2855"/>
  <c r="D2853"/>
  <c r="D2851"/>
  <c r="D2849"/>
  <c r="D2847"/>
  <c r="D2845"/>
  <c r="D2843"/>
  <c r="D2841"/>
  <c r="D2839"/>
  <c r="D2837"/>
  <c r="D2835"/>
  <c r="D2833"/>
  <c r="D2831"/>
  <c r="D2829"/>
  <c r="D2827"/>
  <c r="D2825"/>
  <c r="D2823"/>
  <c r="D2821"/>
  <c r="D2819"/>
  <c r="D2817"/>
  <c r="D2815"/>
  <c r="D2813"/>
  <c r="D2811"/>
  <c r="D2809"/>
  <c r="D2807"/>
  <c r="D2805"/>
  <c r="D2803"/>
  <c r="D2801"/>
  <c r="D2799"/>
  <c r="D2797"/>
  <c r="D2795"/>
  <c r="D2793"/>
  <c r="D2791"/>
  <c r="D2789"/>
  <c r="D2787"/>
  <c r="D2785"/>
  <c r="D2783"/>
  <c r="D2781"/>
  <c r="D2779"/>
  <c r="D2777"/>
  <c r="D2775"/>
  <c r="D2773"/>
  <c r="D2771"/>
  <c r="D2769"/>
  <c r="D2767"/>
  <c r="D2765"/>
  <c r="D2763"/>
  <c r="D2761"/>
  <c r="D2759"/>
  <c r="D2757"/>
  <c r="D2755"/>
  <c r="D2753"/>
  <c r="D2751"/>
  <c r="D2749"/>
  <c r="D2747"/>
  <c r="D2745"/>
  <c r="D2743"/>
  <c r="D2741"/>
  <c r="D2739"/>
  <c r="D2737"/>
  <c r="D2735"/>
  <c r="D2733"/>
  <c r="D2731"/>
  <c r="D2729"/>
  <c r="D2727"/>
  <c r="D2725"/>
  <c r="D2723"/>
  <c r="D2721"/>
  <c r="D2719"/>
  <c r="D2717"/>
  <c r="D2715"/>
  <c r="D2713"/>
  <c r="D2711"/>
  <c r="D2709"/>
  <c r="D2707"/>
  <c r="D2705"/>
  <c r="D2703"/>
  <c r="D2701"/>
  <c r="D2699"/>
  <c r="D2697"/>
  <c r="D2695"/>
  <c r="D2693"/>
  <c r="D2691"/>
  <c r="D2689"/>
  <c r="D2687"/>
  <c r="D2685"/>
  <c r="D2683"/>
  <c r="D2681"/>
  <c r="D2679"/>
  <c r="D2677"/>
  <c r="D2675"/>
  <c r="D2673"/>
  <c r="D2671"/>
  <c r="D2669"/>
  <c r="D2667"/>
  <c r="D2665"/>
  <c r="D2663"/>
  <c r="D2661"/>
  <c r="D2659"/>
  <c r="D2657"/>
  <c r="D2655"/>
  <c r="D2653"/>
  <c r="D2651"/>
  <c r="D2649"/>
  <c r="D2647"/>
  <c r="D2645"/>
  <c r="D2643"/>
  <c r="D2641"/>
  <c r="D2639"/>
  <c r="D2637"/>
  <c r="D2635"/>
  <c r="D2633"/>
  <c r="D2631"/>
  <c r="D2629"/>
  <c r="D2627"/>
  <c r="D2625"/>
  <c r="D2623"/>
  <c r="D2621"/>
  <c r="D2619"/>
  <c r="D2617"/>
  <c r="D2615"/>
  <c r="D2613"/>
  <c r="D2611"/>
  <c r="D2609"/>
  <c r="D2607"/>
  <c r="D2605"/>
  <c r="D2603"/>
  <c r="D2601"/>
  <c r="D2599"/>
  <c r="D2597"/>
  <c r="D2595"/>
  <c r="D2593"/>
  <c r="D2591"/>
  <c r="D2589"/>
  <c r="D2587"/>
  <c r="D2585"/>
  <c r="D2583"/>
  <c r="D2581"/>
  <c r="D2579"/>
  <c r="D2577"/>
  <c r="D2575"/>
  <c r="D2573"/>
  <c r="D2571"/>
  <c r="D2569"/>
  <c r="D2567"/>
  <c r="D2565"/>
  <c r="D2563"/>
  <c r="D2561"/>
  <c r="D2559"/>
  <c r="D2557"/>
  <c r="D2555"/>
  <c r="D2553"/>
  <c r="D2551"/>
  <c r="D2549"/>
  <c r="D2547"/>
  <c r="D2545"/>
  <c r="D2543"/>
  <c r="D2541"/>
  <c r="D2539"/>
  <c r="D2537"/>
  <c r="D2535"/>
  <c r="D2533"/>
  <c r="D2531"/>
  <c r="D2529"/>
  <c r="D2527"/>
  <c r="D2525"/>
  <c r="D2523"/>
  <c r="D2521"/>
  <c r="D2519"/>
  <c r="D2517"/>
  <c r="D2515"/>
  <c r="D2513"/>
  <c r="D2511"/>
  <c r="D2509"/>
  <c r="D2507"/>
  <c r="D2505"/>
  <c r="D2503"/>
  <c r="D2501"/>
  <c r="D2499"/>
  <c r="D2497"/>
  <c r="D2495"/>
  <c r="D2493"/>
  <c r="D2491"/>
  <c r="D2489"/>
  <c r="D2487"/>
  <c r="D2485"/>
  <c r="D2483"/>
  <c r="D2481"/>
  <c r="D2479"/>
  <c r="D2477"/>
  <c r="D2475"/>
  <c r="D2473"/>
  <c r="D2471"/>
  <c r="D2469"/>
  <c r="D2467"/>
  <c r="D2465"/>
  <c r="D2463"/>
  <c r="D2461"/>
  <c r="D2459"/>
  <c r="D2457"/>
  <c r="D2455"/>
  <c r="D2453"/>
  <c r="D2451"/>
  <c r="D2449"/>
  <c r="D2447"/>
  <c r="D2445"/>
  <c r="D2443"/>
  <c r="D2441"/>
  <c r="D2439"/>
  <c r="D2437"/>
  <c r="D2435"/>
  <c r="D2433"/>
  <c r="D2431"/>
  <c r="D2429"/>
  <c r="D2427"/>
  <c r="D2425"/>
  <c r="D2423"/>
  <c r="D2421"/>
  <c r="D2419"/>
  <c r="D2417"/>
  <c r="D2415"/>
  <c r="D2413"/>
  <c r="D2411"/>
  <c r="D2409"/>
  <c r="D2407"/>
  <c r="D2405"/>
  <c r="D2403"/>
  <c r="D2401"/>
  <c r="D2399"/>
  <c r="D2397"/>
  <c r="D2395"/>
  <c r="D2393"/>
  <c r="D2391"/>
  <c r="D2389"/>
  <c r="D2387"/>
  <c r="D2385"/>
  <c r="D2383"/>
  <c r="D2381"/>
  <c r="D2379"/>
  <c r="D2377"/>
  <c r="D2375"/>
  <c r="D2373"/>
  <c r="D2371"/>
  <c r="D2369"/>
  <c r="D2367"/>
  <c r="D2365"/>
  <c r="D2363"/>
  <c r="D2361"/>
  <c r="D2359"/>
  <c r="D2357"/>
  <c r="D2355"/>
  <c r="D2353"/>
  <c r="D2351"/>
  <c r="D2349"/>
  <c r="D2347"/>
  <c r="D2345"/>
  <c r="D2343"/>
  <c r="D2341"/>
  <c r="D2339"/>
  <c r="D2337"/>
  <c r="D2335"/>
  <c r="D2333"/>
  <c r="D2331"/>
  <c r="D2329"/>
  <c r="D2327"/>
  <c r="D2325"/>
  <c r="D2323"/>
  <c r="D2321"/>
  <c r="D2319"/>
  <c r="D2317"/>
  <c r="D2315"/>
  <c r="D2313"/>
  <c r="D2311"/>
  <c r="D2309"/>
  <c r="D2307"/>
  <c r="D2305"/>
  <c r="D2303"/>
  <c r="D2301"/>
  <c r="D2299"/>
  <c r="D2297"/>
  <c r="D2295"/>
  <c r="D2293"/>
  <c r="D2291"/>
  <c r="D2289"/>
  <c r="D2287"/>
  <c r="D2285"/>
  <c r="D2283"/>
  <c r="D2281"/>
  <c r="D2279"/>
  <c r="D2277"/>
  <c r="D2275"/>
  <c r="D2273"/>
  <c r="D2271"/>
  <c r="D2269"/>
  <c r="D2267"/>
  <c r="D2265"/>
  <c r="D2263"/>
  <c r="D2261"/>
  <c r="D2259"/>
  <c r="D2257"/>
  <c r="D2255"/>
  <c r="D2253"/>
  <c r="D2251"/>
  <c r="D2249"/>
  <c r="D2247"/>
  <c r="D2245"/>
  <c r="D2243"/>
  <c r="D2241"/>
  <c r="D2239"/>
  <c r="D2237"/>
  <c r="D2235"/>
  <c r="D2233"/>
  <c r="D2231"/>
  <c r="D2229"/>
  <c r="D2227"/>
  <c r="D2225"/>
  <c r="D2223"/>
  <c r="D2221"/>
  <c r="D2219"/>
  <c r="D2217"/>
  <c r="D2215"/>
  <c r="D2213"/>
  <c r="D2211"/>
  <c r="D2209"/>
  <c r="D2207"/>
  <c r="D2205"/>
  <c r="D2203"/>
  <c r="D2201"/>
  <c r="D2199"/>
  <c r="D2197"/>
  <c r="D2195"/>
  <c r="D2193"/>
  <c r="D2191"/>
  <c r="D2189"/>
  <c r="D2187"/>
  <c r="D2185"/>
  <c r="D2183"/>
  <c r="D2181"/>
  <c r="D2179"/>
  <c r="D2177"/>
  <c r="D2175"/>
  <c r="D2173"/>
  <c r="D2171"/>
  <c r="D2169"/>
  <c r="D2167"/>
  <c r="D2165"/>
  <c r="D2163"/>
  <c r="D2161"/>
  <c r="D2159"/>
  <c r="D2157"/>
  <c r="D2155"/>
  <c r="D2153"/>
  <c r="D2151"/>
  <c r="D2149"/>
  <c r="D2147"/>
  <c r="D2145"/>
  <c r="D2143"/>
  <c r="D2141"/>
  <c r="D2139"/>
  <c r="D2137"/>
  <c r="D2135"/>
  <c r="D2133"/>
  <c r="D2131"/>
  <c r="D2129"/>
  <c r="D2127"/>
  <c r="D2125"/>
  <c r="D2123"/>
  <c r="D2121"/>
  <c r="D2119"/>
  <c r="D2117"/>
  <c r="D2115"/>
  <c r="D2113"/>
  <c r="D2111"/>
  <c r="D2109"/>
  <c r="D2107"/>
  <c r="D2105"/>
  <c r="D2103"/>
  <c r="D2101"/>
  <c r="D2099"/>
  <c r="D2097"/>
  <c r="D2095"/>
  <c r="D2093"/>
  <c r="D2091"/>
  <c r="D2089"/>
  <c r="D2087"/>
  <c r="D2085"/>
  <c r="D2083"/>
  <c r="D2081"/>
  <c r="D2079"/>
  <c r="D2077"/>
  <c r="D2075"/>
  <c r="D2073"/>
  <c r="D2071"/>
  <c r="D2069"/>
  <c r="D2067"/>
  <c r="D2065"/>
  <c r="D2063"/>
  <c r="D2061"/>
  <c r="D2059"/>
  <c r="D2057"/>
  <c r="D2055"/>
  <c r="D2053"/>
  <c r="D2051"/>
  <c r="D2049"/>
  <c r="D2047"/>
  <c r="D2045"/>
  <c r="D2043"/>
  <c r="D2041"/>
  <c r="D2039"/>
  <c r="D2037"/>
  <c r="D2035"/>
  <c r="D2033"/>
  <c r="D2031"/>
  <c r="D2029"/>
  <c r="D2027"/>
  <c r="D2025"/>
  <c r="D2023"/>
  <c r="D2021"/>
  <c r="D2019"/>
  <c r="D2017"/>
  <c r="D2015"/>
  <c r="D2013"/>
  <c r="D2011"/>
  <c r="D2009"/>
  <c r="D2007"/>
  <c r="D2005"/>
  <c r="D2003"/>
  <c r="D2001"/>
  <c r="D1999"/>
  <c r="D1997"/>
  <c r="D1995"/>
  <c r="D1993"/>
  <c r="D1991"/>
  <c r="D1989"/>
  <c r="D1987"/>
  <c r="D1985"/>
  <c r="D1983"/>
  <c r="D1981"/>
  <c r="D1979"/>
  <c r="D1977"/>
  <c r="D1975"/>
  <c r="D1973"/>
  <c r="D1971"/>
  <c r="D1969"/>
  <c r="D1967"/>
  <c r="D1965"/>
  <c r="D1963"/>
  <c r="D1961"/>
  <c r="D1959"/>
  <c r="D1957"/>
  <c r="D1955"/>
  <c r="D1953"/>
  <c r="D1951"/>
  <c r="D1949"/>
  <c r="D1947"/>
  <c r="D1945"/>
  <c r="D1943"/>
  <c r="D1941"/>
  <c r="D1939"/>
  <c r="D1937"/>
  <c r="D1935"/>
  <c r="D1933"/>
  <c r="D1931"/>
  <c r="D1929"/>
  <c r="D1927"/>
  <c r="D1925"/>
  <c r="D1923"/>
  <c r="D1921"/>
  <c r="D1919"/>
  <c r="D1917"/>
  <c r="D1915"/>
  <c r="D1913"/>
  <c r="D1911"/>
  <c r="D1909"/>
  <c r="D1907"/>
  <c r="D1905"/>
  <c r="D1903"/>
  <c r="D1901"/>
  <c r="D1899"/>
  <c r="D1897"/>
  <c r="D1895"/>
  <c r="D1893"/>
  <c r="D1891"/>
  <c r="D1889"/>
  <c r="D1887"/>
  <c r="D1885"/>
  <c r="D1883"/>
  <c r="D1881"/>
  <c r="D1879"/>
  <c r="D1877"/>
  <c r="D1875"/>
  <c r="D1873"/>
  <c r="D1871"/>
  <c r="D1869"/>
  <c r="D1867"/>
  <c r="D1865"/>
  <c r="D1863"/>
  <c r="D1861"/>
  <c r="D1859"/>
  <c r="D1857"/>
  <c r="D1855"/>
  <c r="D1853"/>
  <c r="D1851"/>
  <c r="D1849"/>
  <c r="D1847"/>
  <c r="D1845"/>
  <c r="D1843"/>
  <c r="D1841"/>
  <c r="D1839"/>
  <c r="D1837"/>
  <c r="D1835"/>
  <c r="D1833"/>
  <c r="D1831"/>
  <c r="D1829"/>
  <c r="D1827"/>
  <c r="D1825"/>
  <c r="D1823"/>
  <c r="D1821"/>
  <c r="D1819"/>
  <c r="D1817"/>
  <c r="D1815"/>
  <c r="D1813"/>
  <c r="D1811"/>
  <c r="D1809"/>
  <c r="D1807"/>
  <c r="D1805"/>
  <c r="D1803"/>
  <c r="D1801"/>
  <c r="D1799"/>
  <c r="D1797"/>
  <c r="D1795"/>
  <c r="D1793"/>
  <c r="D1791"/>
  <c r="D1789"/>
  <c r="D1787"/>
  <c r="D1785"/>
  <c r="D1783"/>
  <c r="D1781"/>
  <c r="D1779"/>
  <c r="D1777"/>
  <c r="D1775"/>
  <c r="D1773"/>
  <c r="D1771"/>
  <c r="D1769"/>
  <c r="D1767"/>
  <c r="D1765"/>
  <c r="D1763"/>
  <c r="D1761"/>
  <c r="D1759"/>
  <c r="D1757"/>
  <c r="D1755"/>
  <c r="D1753"/>
  <c r="D1751"/>
  <c r="D1749"/>
  <c r="D1747"/>
  <c r="D1745"/>
  <c r="D1743"/>
  <c r="D1741"/>
  <c r="D1739"/>
  <c r="D1737"/>
  <c r="D1735"/>
  <c r="D1733"/>
  <c r="D1731"/>
  <c r="D1729"/>
  <c r="D1727"/>
  <c r="D1725"/>
  <c r="D1723"/>
  <c r="D1721"/>
  <c r="D1719"/>
  <c r="D1717"/>
  <c r="D1715"/>
  <c r="D1713"/>
  <c r="D1711"/>
  <c r="D1709"/>
  <c r="D1707"/>
  <c r="D1705"/>
  <c r="D1703"/>
  <c r="D1701"/>
  <c r="D1699"/>
  <c r="D1697"/>
  <c r="D1695"/>
  <c r="D1693"/>
  <c r="D1691"/>
  <c r="D1689"/>
  <c r="D1687"/>
  <c r="D1685"/>
  <c r="D1683"/>
  <c r="D1681"/>
  <c r="D1679"/>
  <c r="D1677"/>
  <c r="D1675"/>
  <c r="D1673"/>
  <c r="D1671"/>
  <c r="D1669"/>
  <c r="D1667"/>
  <c r="D1665"/>
  <c r="D1663"/>
  <c r="D1661"/>
  <c r="D1659"/>
  <c r="D1657"/>
  <c r="D1655"/>
  <c r="D1653"/>
  <c r="D1651"/>
  <c r="D1649"/>
  <c r="D1647"/>
  <c r="D1645"/>
  <c r="D1643"/>
  <c r="D1641"/>
  <c r="D1639"/>
  <c r="D1637"/>
  <c r="D1635"/>
  <c r="D1633"/>
  <c r="D1631"/>
  <c r="D1629"/>
  <c r="D1627"/>
  <c r="D1625"/>
  <c r="D1623"/>
  <c r="D1621"/>
  <c r="D1619"/>
  <c r="D1617"/>
  <c r="D1615"/>
  <c r="D1613"/>
  <c r="D1611"/>
  <c r="D1609"/>
  <c r="D1607"/>
  <c r="D1605"/>
  <c r="D1603"/>
  <c r="D1601"/>
  <c r="D1599"/>
  <c r="D1597"/>
  <c r="D1595"/>
  <c r="D1593"/>
  <c r="D1591"/>
  <c r="D1589"/>
  <c r="D1587"/>
  <c r="D1585"/>
  <c r="D1583"/>
  <c r="D1581"/>
  <c r="D1579"/>
  <c r="D1577"/>
  <c r="D1575"/>
  <c r="D1573"/>
  <c r="D1571"/>
  <c r="D1569"/>
  <c r="D1567"/>
  <c r="D1565"/>
  <c r="D1563"/>
  <c r="D1561"/>
  <c r="D1559"/>
  <c r="D1557"/>
  <c r="D1555"/>
  <c r="D1553"/>
  <c r="D1551"/>
  <c r="D1549"/>
  <c r="D1547"/>
  <c r="D1545"/>
  <c r="D1543"/>
  <c r="D1541"/>
  <c r="D1539"/>
  <c r="D1537"/>
  <c r="D1535"/>
  <c r="D1533"/>
  <c r="D1531"/>
  <c r="D1529"/>
  <c r="D1527"/>
  <c r="D1525"/>
  <c r="D1523"/>
  <c r="D1521"/>
  <c r="D1519"/>
  <c r="D1517"/>
  <c r="D1515"/>
  <c r="D1513"/>
  <c r="D1511"/>
  <c r="D1509"/>
  <c r="D1507"/>
  <c r="D1505"/>
  <c r="D1503"/>
  <c r="D1501"/>
  <c r="D1499"/>
  <c r="D1497"/>
  <c r="D1495"/>
  <c r="D1493"/>
  <c r="D1491"/>
  <c r="D1489"/>
  <c r="D1487"/>
  <c r="D1485"/>
  <c r="D1483"/>
  <c r="D1481"/>
  <c r="D1479"/>
  <c r="D1477"/>
  <c r="D1475"/>
  <c r="D1473"/>
  <c r="D1471"/>
  <c r="D1469"/>
  <c r="D1467"/>
  <c r="D1465"/>
  <c r="D1463"/>
  <c r="D1461"/>
  <c r="D1459"/>
  <c r="D1457"/>
  <c r="D1455"/>
  <c r="D1453"/>
  <c r="D1451"/>
  <c r="D1449"/>
  <c r="D1447"/>
  <c r="D1445"/>
  <c r="D1443"/>
  <c r="D1441"/>
  <c r="D1439"/>
  <c r="D1437"/>
  <c r="D1435"/>
  <c r="D1433"/>
  <c r="D1431"/>
  <c r="D1429"/>
  <c r="D1427"/>
  <c r="D1425"/>
  <c r="D1423"/>
  <c r="D1421"/>
  <c r="D1419"/>
  <c r="D1417"/>
  <c r="D1415"/>
  <c r="D1413"/>
  <c r="D1411"/>
  <c r="D1409"/>
  <c r="D1407"/>
  <c r="D1405"/>
  <c r="D1403"/>
  <c r="D1401"/>
  <c r="D1399"/>
  <c r="D1397"/>
  <c r="D1395"/>
  <c r="D1393"/>
  <c r="D1391"/>
  <c r="D1389"/>
  <c r="D1387"/>
  <c r="D1385"/>
  <c r="D1383"/>
  <c r="D1381"/>
  <c r="D1379"/>
  <c r="D1377"/>
  <c r="D1375"/>
  <c r="D1373"/>
  <c r="D1371"/>
  <c r="D1369"/>
  <c r="D1367"/>
  <c r="D1365"/>
  <c r="D1363"/>
  <c r="D1361"/>
  <c r="D1359"/>
  <c r="D1357"/>
  <c r="D1355"/>
  <c r="D1353"/>
  <c r="D1351"/>
  <c r="D1349"/>
  <c r="D1347"/>
  <c r="D1345"/>
  <c r="D1343"/>
  <c r="D1341"/>
  <c r="D1339"/>
  <c r="D1337"/>
  <c r="D1335"/>
  <c r="D1333"/>
  <c r="D1331"/>
  <c r="D1329"/>
  <c r="D1327"/>
  <c r="D1325"/>
  <c r="D1323"/>
  <c r="D1321"/>
  <c r="D1319"/>
  <c r="D1317"/>
  <c r="D1315"/>
  <c r="D1313"/>
  <c r="D1311"/>
  <c r="D1309"/>
  <c r="D1307"/>
  <c r="D1305"/>
  <c r="D1303"/>
  <c r="D1301"/>
  <c r="D1299"/>
  <c r="D1297"/>
  <c r="D1295"/>
  <c r="D1293"/>
  <c r="D1291"/>
  <c r="D1289"/>
  <c r="D1287"/>
  <c r="D1285"/>
  <c r="D1283"/>
  <c r="D1281"/>
  <c r="D1279"/>
  <c r="D1277"/>
  <c r="D1275"/>
  <c r="D1273"/>
  <c r="D1271"/>
  <c r="D1269"/>
  <c r="D1267"/>
  <c r="D1265"/>
  <c r="D1263"/>
  <c r="D1261"/>
  <c r="D1259"/>
  <c r="D1257"/>
  <c r="D1255"/>
  <c r="D1253"/>
  <c r="D1251"/>
  <c r="D1249"/>
  <c r="D1247"/>
  <c r="D1245"/>
  <c r="D1243"/>
  <c r="D1241"/>
  <c r="D1239"/>
  <c r="D1237"/>
  <c r="D1235"/>
  <c r="D1233"/>
  <c r="D1231"/>
  <c r="D1229"/>
  <c r="D1227"/>
  <c r="D1225"/>
  <c r="D1223"/>
  <c r="D1221"/>
  <c r="D1219"/>
  <c r="D1217"/>
  <c r="D1215"/>
  <c r="D1213"/>
  <c r="D1211"/>
  <c r="D1209"/>
  <c r="D1207"/>
  <c r="D1205"/>
  <c r="D1203"/>
  <c r="D1201"/>
  <c r="D1199"/>
  <c r="D1197"/>
  <c r="D1195"/>
  <c r="D1193"/>
  <c r="D1191"/>
  <c r="D1189"/>
  <c r="D1187"/>
  <c r="D1185"/>
  <c r="D1183"/>
  <c r="D1181"/>
  <c r="D1179"/>
  <c r="D1177"/>
  <c r="D1175"/>
  <c r="D1173"/>
  <c r="D1171"/>
  <c r="D1169"/>
  <c r="D1167"/>
  <c r="D1165"/>
  <c r="D1163"/>
  <c r="D1161"/>
  <c r="D1159"/>
  <c r="D1157"/>
  <c r="D1155"/>
  <c r="D1153"/>
  <c r="D1151"/>
  <c r="D1149"/>
  <c r="D1147"/>
  <c r="D1145"/>
  <c r="D1143"/>
  <c r="D1141"/>
  <c r="D1139"/>
  <c r="D1137"/>
  <c r="D1135"/>
  <c r="D1133"/>
  <c r="D1131"/>
  <c r="D1129"/>
  <c r="D1127"/>
  <c r="D1125"/>
  <c r="D1123"/>
  <c r="D1121"/>
  <c r="D1119"/>
  <c r="D1117"/>
  <c r="D1115"/>
  <c r="D1113"/>
  <c r="D1111"/>
  <c r="D1109"/>
  <c r="D1107"/>
  <c r="D1105"/>
  <c r="D1103"/>
  <c r="D1101"/>
  <c r="D1099"/>
  <c r="D1097"/>
  <c r="D1095"/>
  <c r="D1093"/>
  <c r="D1091"/>
  <c r="D1089"/>
  <c r="D1087"/>
  <c r="D1085"/>
  <c r="D1083"/>
  <c r="D1081"/>
  <c r="D1079"/>
  <c r="D1077"/>
  <c r="D1075"/>
  <c r="D1073"/>
  <c r="D1071"/>
  <c r="D1069"/>
  <c r="D1067"/>
  <c r="D1065"/>
  <c r="D1063"/>
  <c r="D1061"/>
  <c r="D1059"/>
  <c r="D1057"/>
  <c r="D1055"/>
  <c r="D1053"/>
  <c r="D1051"/>
  <c r="D1049"/>
  <c r="D1047"/>
  <c r="D1045"/>
  <c r="D1043"/>
  <c r="D1041"/>
  <c r="D1039"/>
  <c r="D1037"/>
  <c r="D1035"/>
  <c r="D1033"/>
  <c r="D1031"/>
  <c r="D1029"/>
  <c r="D1027"/>
  <c r="D1025"/>
  <c r="D1023"/>
  <c r="D1021"/>
  <c r="D1019"/>
  <c r="D1017"/>
  <c r="D1015"/>
  <c r="D1013"/>
  <c r="D1011"/>
  <c r="D1009"/>
  <c r="D1007"/>
  <c r="D1005"/>
  <c r="D1003"/>
  <c r="D1001"/>
  <c r="D999"/>
  <c r="D997"/>
  <c r="D995"/>
  <c r="D993"/>
  <c r="D991"/>
  <c r="D989"/>
  <c r="D987"/>
  <c r="D985"/>
  <c r="D983"/>
  <c r="D981"/>
  <c r="D979"/>
  <c r="D977"/>
  <c r="D975"/>
  <c r="D973"/>
  <c r="D971"/>
  <c r="D969"/>
  <c r="D967"/>
  <c r="D965"/>
  <c r="D963"/>
  <c r="D961"/>
  <c r="D959"/>
  <c r="D957"/>
  <c r="D955"/>
  <c r="D953"/>
  <c r="D951"/>
  <c r="D949"/>
  <c r="D947"/>
  <c r="D945"/>
  <c r="D943"/>
  <c r="D941"/>
  <c r="D939"/>
  <c r="D937"/>
  <c r="D935"/>
  <c r="D933"/>
  <c r="D931"/>
  <c r="D929"/>
  <c r="D927"/>
  <c r="D925"/>
  <c r="D923"/>
  <c r="D921"/>
  <c r="D919"/>
  <c r="D917"/>
  <c r="D915"/>
  <c r="D913"/>
  <c r="D911"/>
  <c r="D909"/>
  <c r="D907"/>
  <c r="D905"/>
  <c r="D903"/>
  <c r="D901"/>
  <c r="D899"/>
  <c r="D897"/>
  <c r="D895"/>
  <c r="D893"/>
  <c r="D891"/>
  <c r="D889"/>
  <c r="D887"/>
  <c r="D885"/>
  <c r="D883"/>
  <c r="D881"/>
  <c r="D879"/>
  <c r="D877"/>
  <c r="D875"/>
  <c r="D873"/>
  <c r="D871"/>
  <c r="D869"/>
  <c r="D867"/>
  <c r="D865"/>
  <c r="D863"/>
  <c r="D861"/>
  <c r="D859"/>
  <c r="D857"/>
  <c r="D855"/>
  <c r="D853"/>
  <c r="D851"/>
  <c r="D849"/>
  <c r="D847"/>
  <c r="D845"/>
  <c r="D843"/>
  <c r="D841"/>
  <c r="D839"/>
  <c r="D837"/>
  <c r="D835"/>
  <c r="D833"/>
  <c r="D831"/>
  <c r="D829"/>
  <c r="D827"/>
  <c r="D825"/>
  <c r="D823"/>
  <c r="D821"/>
  <c r="D819"/>
  <c r="D817"/>
  <c r="D815"/>
  <c r="D813"/>
  <c r="D811"/>
  <c r="D809"/>
  <c r="D807"/>
  <c r="D805"/>
  <c r="D803"/>
  <c r="D801"/>
  <c r="D799"/>
  <c r="D797"/>
  <c r="D795"/>
  <c r="D793"/>
  <c r="D791"/>
  <c r="D789"/>
  <c r="D787"/>
  <c r="D785"/>
  <c r="D783"/>
  <c r="D781"/>
  <c r="D779"/>
  <c r="D777"/>
  <c r="D775"/>
  <c r="D773"/>
  <c r="D771"/>
  <c r="D769"/>
  <c r="D767"/>
  <c r="D765"/>
  <c r="D763"/>
  <c r="D761"/>
  <c r="D759"/>
  <c r="D757"/>
  <c r="D755"/>
  <c r="D753"/>
  <c r="D751"/>
  <c r="D749"/>
  <c r="D747"/>
  <c r="D745"/>
  <c r="D743"/>
  <c r="D741"/>
  <c r="D739"/>
  <c r="D737"/>
  <c r="D735"/>
  <c r="D733"/>
  <c r="D731"/>
  <c r="D729"/>
  <c r="D727"/>
  <c r="D725"/>
  <c r="D723"/>
  <c r="D721"/>
  <c r="D719"/>
  <c r="D717"/>
  <c r="D715"/>
  <c r="D713"/>
  <c r="D711"/>
  <c r="D709"/>
  <c r="D707"/>
  <c r="D705"/>
  <c r="D703"/>
  <c r="D701"/>
  <c r="D699"/>
  <c r="D697"/>
  <c r="D695"/>
  <c r="D693"/>
  <c r="D691"/>
  <c r="D689"/>
  <c r="D687"/>
  <c r="D685"/>
  <c r="D683"/>
  <c r="D681"/>
  <c r="D679"/>
  <c r="D677"/>
  <c r="D675"/>
  <c r="D673"/>
  <c r="D671"/>
  <c r="D669"/>
  <c r="D667"/>
  <c r="D665"/>
  <c r="D663"/>
  <c r="D661"/>
  <c r="D659"/>
  <c r="D657"/>
  <c r="D655"/>
  <c r="D653"/>
  <c r="D651"/>
  <c r="D649"/>
  <c r="D647"/>
  <c r="D645"/>
  <c r="D643"/>
  <c r="D641"/>
  <c r="D639"/>
  <c r="D637"/>
  <c r="D635"/>
  <c r="D633"/>
  <c r="D631"/>
  <c r="D629"/>
  <c r="D627"/>
  <c r="D625"/>
  <c r="D623"/>
  <c r="D621"/>
  <c r="D619"/>
  <c r="D617"/>
  <c r="D615"/>
  <c r="D613"/>
  <c r="D611"/>
  <c r="D609"/>
  <c r="D607"/>
  <c r="D605"/>
  <c r="D603"/>
  <c r="D601"/>
  <c r="D599"/>
  <c r="D597"/>
  <c r="D595"/>
  <c r="D593"/>
  <c r="D591"/>
  <c r="D589"/>
  <c r="D587"/>
  <c r="D585"/>
  <c r="D583"/>
  <c r="D581"/>
  <c r="D579"/>
  <c r="D577"/>
  <c r="D575"/>
  <c r="D573"/>
  <c r="D571"/>
  <c r="D569"/>
  <c r="D567"/>
  <c r="D565"/>
  <c r="D563"/>
  <c r="D561"/>
  <c r="D559"/>
  <c r="D557"/>
  <c r="D555"/>
  <c r="D553"/>
  <c r="D551"/>
  <c r="D549"/>
  <c r="D547"/>
  <c r="D545"/>
  <c r="D543"/>
  <c r="D541"/>
  <c r="D539"/>
  <c r="D537"/>
  <c r="D535"/>
  <c r="D533"/>
  <c r="D531"/>
  <c r="D529"/>
  <c r="D527"/>
  <c r="D525"/>
  <c r="D523"/>
  <c r="D521"/>
  <c r="D519"/>
  <c r="D517"/>
  <c r="D515"/>
  <c r="D513"/>
  <c r="D511"/>
  <c r="D509"/>
  <c r="D507"/>
  <c r="D505"/>
  <c r="D503"/>
  <c r="D501"/>
  <c r="D499"/>
  <c r="D497"/>
  <c r="D495"/>
  <c r="D493"/>
  <c r="D491"/>
  <c r="D489"/>
  <c r="D487"/>
  <c r="D485"/>
  <c r="D483"/>
  <c r="D481"/>
  <c r="D479"/>
  <c r="D477"/>
  <c r="D475"/>
  <c r="D473"/>
  <c r="D471"/>
  <c r="D469"/>
  <c r="D467"/>
  <c r="D465"/>
  <c r="D463"/>
  <c r="D461"/>
  <c r="D459"/>
  <c r="D457"/>
  <c r="D455"/>
  <c r="D453"/>
  <c r="D451"/>
  <c r="D449"/>
  <c r="D447"/>
  <c r="D445"/>
  <c r="D443"/>
  <c r="D441"/>
  <c r="D439"/>
  <c r="D437"/>
  <c r="D435"/>
  <c r="D433"/>
  <c r="D431"/>
  <c r="D429"/>
  <c r="D427"/>
  <c r="D425"/>
  <c r="D423"/>
  <c r="D421"/>
  <c r="D419"/>
  <c r="D417"/>
  <c r="D415"/>
  <c r="D413"/>
  <c r="D411"/>
  <c r="D409"/>
  <c r="D407"/>
  <c r="D405"/>
  <c r="D403"/>
  <c r="D401"/>
  <c r="D399"/>
  <c r="D397"/>
  <c r="D395"/>
  <c r="D393"/>
  <c r="D391"/>
  <c r="D389"/>
  <c r="D387"/>
  <c r="D385"/>
  <c r="D383"/>
  <c r="D381"/>
  <c r="D379"/>
  <c r="D377"/>
  <c r="D375"/>
  <c r="D373"/>
  <c r="D371"/>
  <c r="D369"/>
  <c r="D367"/>
  <c r="D365"/>
  <c r="D363"/>
  <c r="D361"/>
  <c r="D359"/>
  <c r="D357"/>
  <c r="D355"/>
  <c r="D353"/>
  <c r="D351"/>
  <c r="D349"/>
  <c r="D347"/>
  <c r="D345"/>
  <c r="D343"/>
  <c r="D341"/>
  <c r="D339"/>
  <c r="D337"/>
  <c r="D335"/>
  <c r="D333"/>
  <c r="D331"/>
  <c r="D329"/>
  <c r="D327"/>
  <c r="D325"/>
  <c r="D323"/>
  <c r="D321"/>
  <c r="D319"/>
  <c r="D317"/>
  <c r="D315"/>
  <c r="D313"/>
  <c r="D311"/>
  <c r="D309"/>
  <c r="D307"/>
  <c r="D305"/>
  <c r="D303"/>
  <c r="D301"/>
  <c r="D299"/>
  <c r="D297"/>
  <c r="D295"/>
  <c r="D293"/>
  <c r="D291"/>
  <c r="D289"/>
  <c r="D287"/>
  <c r="D285"/>
  <c r="D283"/>
  <c r="D281"/>
  <c r="D279"/>
  <c r="D277"/>
  <c r="D275"/>
  <c r="D273"/>
  <c r="D271"/>
  <c r="D269"/>
  <c r="D267"/>
  <c r="D265"/>
  <c r="D263"/>
  <c r="D261"/>
  <c r="D259"/>
  <c r="D257"/>
  <c r="D255"/>
  <c r="D253"/>
  <c r="D251"/>
  <c r="D249"/>
  <c r="D247"/>
  <c r="D245"/>
  <c r="D243"/>
  <c r="D241"/>
  <c r="D239"/>
  <c r="D237"/>
  <c r="D235"/>
  <c r="D233"/>
  <c r="D231"/>
  <c r="D229"/>
  <c r="D227"/>
  <c r="D225"/>
  <c r="D223"/>
  <c r="D221"/>
  <c r="D219"/>
  <c r="D217"/>
  <c r="D215"/>
  <c r="D213"/>
  <c r="D211"/>
  <c r="D209"/>
  <c r="D207"/>
  <c r="D205"/>
  <c r="D203"/>
  <c r="D201"/>
  <c r="D199"/>
  <c r="D197"/>
  <c r="D195"/>
  <c r="D193"/>
  <c r="D191"/>
  <c r="D189"/>
  <c r="D187"/>
  <c r="D185"/>
  <c r="D183"/>
  <c r="D181"/>
  <c r="D179"/>
  <c r="D177"/>
  <c r="D175"/>
  <c r="D173"/>
  <c r="D171"/>
  <c r="D169"/>
  <c r="D167"/>
  <c r="D165"/>
  <c r="D163"/>
  <c r="D161"/>
  <c r="D159"/>
  <c r="D157"/>
  <c r="D155"/>
  <c r="D153"/>
  <c r="D151"/>
  <c r="D149"/>
  <c r="D147"/>
  <c r="D145"/>
  <c r="D143"/>
  <c r="D141"/>
  <c r="D139"/>
  <c r="D137"/>
  <c r="D135"/>
  <c r="D133"/>
  <c r="D131"/>
  <c r="D129"/>
  <c r="D127"/>
  <c r="D125"/>
  <c r="D123"/>
  <c r="D121"/>
  <c r="D119"/>
  <c r="D117"/>
  <c r="D115"/>
  <c r="D113"/>
  <c r="D111"/>
  <c r="D109"/>
  <c r="D107"/>
  <c r="D105"/>
  <c r="D103"/>
  <c r="D101"/>
  <c r="D99"/>
  <c r="D97"/>
  <c r="D95"/>
  <c r="D93"/>
  <c r="D91"/>
  <c r="D89"/>
  <c r="D87"/>
  <c r="D85"/>
  <c r="D83"/>
  <c r="D81"/>
  <c r="D79"/>
  <c r="D77"/>
  <c r="D75"/>
  <c r="D73"/>
  <c r="D71"/>
  <c r="D69"/>
  <c r="D67"/>
  <c r="D65"/>
  <c r="D63"/>
  <c r="D61"/>
  <c r="D59"/>
  <c r="D57"/>
  <c r="D55"/>
  <c r="D53"/>
  <c r="D51"/>
  <c r="D49"/>
  <c r="D47"/>
  <c r="D45"/>
  <c r="D43"/>
  <c r="D41"/>
  <c r="D39"/>
  <c r="D37"/>
  <c r="D35"/>
  <c r="D33"/>
  <c r="D31"/>
  <c r="D29"/>
  <c r="D27"/>
  <c r="D25"/>
  <c r="D23"/>
  <c r="D21"/>
  <c r="D19"/>
  <c r="D17"/>
  <c r="D15"/>
  <c r="D13"/>
  <c r="D11"/>
  <c r="D9"/>
  <c r="D7"/>
  <c r="D5"/>
  <c r="D14294" l="1"/>
  <c r="D14298"/>
  <c r="G7" s="1"/>
  <c r="D14302"/>
  <c r="D14306"/>
  <c r="G4" s="1"/>
  <c r="F9" s="1"/>
  <c r="D14310"/>
  <c r="D14314"/>
  <c r="D14318"/>
  <c r="D14322"/>
  <c r="D14326"/>
  <c r="D14330"/>
  <c r="D14334"/>
  <c r="D14338"/>
  <c r="D14342"/>
  <c r="D14346"/>
  <c r="D14350"/>
  <c r="D14354"/>
  <c r="D14358"/>
  <c r="D14362"/>
  <c r="D14366"/>
  <c r="D14370"/>
  <c r="D14374"/>
  <c r="D14378"/>
  <c r="D14382"/>
  <c r="D14386"/>
  <c r="D14390"/>
  <c r="D14394"/>
  <c r="D14398"/>
  <c r="D14402"/>
  <c r="D14406"/>
  <c r="D14410"/>
  <c r="D14414"/>
  <c r="D14418"/>
  <c r="D14422"/>
  <c r="D14426"/>
  <c r="D14430"/>
  <c r="D14434"/>
  <c r="D14438"/>
  <c r="D14442"/>
  <c r="D14446"/>
  <c r="D14450"/>
  <c r="D14454"/>
  <c r="D14458"/>
  <c r="D14597"/>
  <c r="D14464"/>
  <c r="D14468"/>
  <c r="D14472"/>
  <c r="D14476"/>
  <c r="D14480"/>
  <c r="D14484"/>
  <c r="D14488"/>
  <c r="D14492"/>
  <c r="D14496"/>
  <c r="D14500"/>
  <c r="D14504"/>
  <c r="D14508"/>
  <c r="D14512"/>
  <c r="D14516"/>
  <c r="D14520"/>
  <c r="D14524"/>
  <c r="D14528"/>
  <c r="D14532"/>
  <c r="D14536"/>
  <c r="D14540"/>
  <c r="D14544"/>
  <c r="D14548"/>
  <c r="D14552"/>
  <c r="D14556"/>
  <c r="D14560"/>
  <c r="D14564"/>
  <c r="D14568"/>
  <c r="D14572"/>
  <c r="D14576"/>
  <c r="D14580"/>
  <c r="D14584"/>
  <c r="D14588"/>
  <c r="D14592"/>
  <c r="D14596"/>
  <c r="D14600"/>
  <c r="D14604"/>
  <c r="D14608"/>
  <c r="D14612"/>
  <c r="D14616"/>
  <c r="D14620"/>
  <c r="D14624"/>
  <c r="D14628"/>
  <c r="D14632"/>
  <c r="D14636"/>
  <c r="D14640"/>
  <c r="D14644"/>
  <c r="D14648"/>
  <c r="D14652"/>
  <c r="D14656"/>
  <c r="D14660"/>
  <c r="D14664"/>
  <c r="D14668"/>
  <c r="D14672"/>
  <c r="D14676"/>
  <c r="D14680"/>
  <c r="D14684"/>
  <c r="D14688"/>
  <c r="D14692"/>
  <c r="D14696"/>
  <c r="D14700"/>
  <c r="D14704"/>
  <c r="D14708"/>
  <c r="D14712"/>
  <c r="D14716"/>
  <c r="D14720"/>
  <c r="D14724"/>
  <c r="D14728"/>
  <c r="D14732"/>
  <c r="D14736"/>
  <c r="D14740"/>
  <c r="D14744"/>
  <c r="D14748"/>
  <c r="D14752"/>
  <c r="D14756"/>
  <c r="D14760"/>
  <c r="D14764"/>
  <c r="D14768"/>
  <c r="D14772"/>
  <c r="D14776"/>
  <c r="D14780"/>
  <c r="D14784"/>
  <c r="D14788"/>
  <c r="D14792"/>
  <c r="D14796"/>
  <c r="D14800"/>
  <c r="D14804"/>
  <c r="D14808"/>
  <c r="D14812"/>
  <c r="D14816"/>
  <c r="D14820"/>
  <c r="D14824"/>
  <c r="D14828"/>
  <c r="D14832"/>
  <c r="D14836"/>
  <c r="D14840"/>
  <c r="D14844"/>
  <c r="D14601"/>
  <c r="D14605"/>
  <c r="D14609"/>
  <c r="D14613"/>
  <c r="D14617"/>
  <c r="D14621"/>
  <c r="D14625"/>
  <c r="D14629"/>
  <c r="D14633"/>
  <c r="D14637"/>
  <c r="D14641"/>
  <c r="D14645"/>
  <c r="D14649"/>
  <c r="D14653"/>
  <c r="D14657"/>
  <c r="D14661"/>
  <c r="D14665"/>
  <c r="D14669"/>
  <c r="D14673"/>
  <c r="D14677"/>
  <c r="D14681"/>
  <c r="D14685"/>
  <c r="D14689"/>
  <c r="D14693"/>
  <c r="D14697"/>
  <c r="D14701"/>
  <c r="D14705"/>
  <c r="D14709"/>
  <c r="D14713"/>
  <c r="D14717"/>
  <c r="D14721"/>
  <c r="D14725"/>
  <c r="D14729"/>
  <c r="D14733"/>
  <c r="D14737"/>
  <c r="D14741"/>
  <c r="D14745"/>
  <c r="D14749"/>
  <c r="D14753"/>
  <c r="D14757"/>
  <c r="D14761"/>
  <c r="D14765"/>
  <c r="D14769"/>
  <c r="D14773"/>
  <c r="D14777"/>
  <c r="D14781"/>
  <c r="D14785"/>
  <c r="D14789"/>
  <c r="D14793"/>
  <c r="D14797"/>
  <c r="D14801"/>
  <c r="D14805"/>
  <c r="D14809"/>
  <c r="D14813"/>
  <c r="D14817"/>
  <c r="D14821"/>
  <c r="D14825"/>
  <c r="D14829"/>
  <c r="D14833"/>
  <c r="D14837"/>
  <c r="D14841"/>
  <c r="G5" l="1"/>
  <c r="G6" s="1"/>
  <c r="H210" s="1"/>
  <c r="J210" s="1"/>
  <c r="F10" l="1"/>
  <c r="H9"/>
  <c r="J9" s="1"/>
  <c r="H10"/>
  <c r="J10" s="1"/>
  <c r="F11"/>
  <c r="H11" l="1"/>
  <c r="J11" s="1"/>
  <c r="F12"/>
  <c r="H12" l="1"/>
  <c r="J12" s="1"/>
  <c r="F13"/>
  <c r="H13" l="1"/>
  <c r="J13" s="1"/>
  <c r="F14"/>
  <c r="H14" l="1"/>
  <c r="J14" s="1"/>
  <c r="F15"/>
  <c r="H15" l="1"/>
  <c r="J15" s="1"/>
  <c r="F16"/>
  <c r="H16" l="1"/>
  <c r="J16" s="1"/>
  <c r="F17"/>
  <c r="H17" l="1"/>
  <c r="J17" s="1"/>
  <c r="F18"/>
  <c r="H18" l="1"/>
  <c r="J18" s="1"/>
  <c r="F19"/>
  <c r="H19" l="1"/>
  <c r="J19" s="1"/>
  <c r="F20"/>
  <c r="H20" l="1"/>
  <c r="J20" s="1"/>
  <c r="F21"/>
  <c r="H21" l="1"/>
  <c r="J21" s="1"/>
  <c r="F22"/>
  <c r="H22" l="1"/>
  <c r="J22" s="1"/>
  <c r="F23"/>
  <c r="H23" l="1"/>
  <c r="J23" s="1"/>
  <c r="F24"/>
  <c r="H24" l="1"/>
  <c r="J24" s="1"/>
  <c r="F25"/>
  <c r="H25" l="1"/>
  <c r="J25" s="1"/>
  <c r="F26"/>
  <c r="H26" l="1"/>
  <c r="J26" s="1"/>
  <c r="F27"/>
  <c r="H27" l="1"/>
  <c r="J27" s="1"/>
  <c r="F28"/>
  <c r="H28" l="1"/>
  <c r="J28" s="1"/>
  <c r="F29"/>
  <c r="H29" l="1"/>
  <c r="J29" s="1"/>
  <c r="F30"/>
  <c r="H30" l="1"/>
  <c r="J30" s="1"/>
  <c r="F31"/>
  <c r="H31" l="1"/>
  <c r="J31" s="1"/>
  <c r="F32"/>
  <c r="H32" l="1"/>
  <c r="J32" s="1"/>
  <c r="F33"/>
  <c r="H33" l="1"/>
  <c r="J33" s="1"/>
  <c r="F34"/>
  <c r="H34" l="1"/>
  <c r="J34" s="1"/>
  <c r="F35"/>
  <c r="H35" l="1"/>
  <c r="J35" s="1"/>
  <c r="F36"/>
  <c r="H36" l="1"/>
  <c r="J36" s="1"/>
  <c r="F37"/>
  <c r="H37" l="1"/>
  <c r="J37" s="1"/>
  <c r="F38"/>
  <c r="H38" l="1"/>
  <c r="J38" s="1"/>
  <c r="F39"/>
  <c r="H39" l="1"/>
  <c r="J39" s="1"/>
  <c r="F40"/>
  <c r="H40" l="1"/>
  <c r="J40" s="1"/>
  <c r="F41"/>
  <c r="H41" l="1"/>
  <c r="J41" s="1"/>
  <c r="F42"/>
  <c r="H42" l="1"/>
  <c r="J42" s="1"/>
  <c r="F43"/>
  <c r="H43" l="1"/>
  <c r="J43" s="1"/>
  <c r="F44"/>
  <c r="H44" l="1"/>
  <c r="J44" s="1"/>
  <c r="F45"/>
  <c r="H45" l="1"/>
  <c r="J45" s="1"/>
  <c r="F46"/>
  <c r="H46" l="1"/>
  <c r="J46" s="1"/>
  <c r="F47"/>
  <c r="H47" l="1"/>
  <c r="J47" s="1"/>
  <c r="F48"/>
  <c r="H48" l="1"/>
  <c r="J48" s="1"/>
  <c r="F49"/>
  <c r="H49" l="1"/>
  <c r="J49" s="1"/>
  <c r="F50"/>
  <c r="H50" l="1"/>
  <c r="J50" s="1"/>
  <c r="F51"/>
  <c r="H51" l="1"/>
  <c r="J51" s="1"/>
  <c r="F52"/>
  <c r="H52" l="1"/>
  <c r="J52" s="1"/>
  <c r="F53"/>
  <c r="H53" l="1"/>
  <c r="J53" s="1"/>
  <c r="F54"/>
  <c r="H54" l="1"/>
  <c r="J54" s="1"/>
  <c r="F55"/>
  <c r="H55" l="1"/>
  <c r="J55" s="1"/>
  <c r="F56"/>
  <c r="H56" l="1"/>
  <c r="J56" s="1"/>
  <c r="F57"/>
  <c r="H57" l="1"/>
  <c r="J57" s="1"/>
  <c r="F58"/>
  <c r="H58" l="1"/>
  <c r="J58" s="1"/>
  <c r="F59"/>
  <c r="H59" l="1"/>
  <c r="J59" s="1"/>
  <c r="F60"/>
  <c r="H60" l="1"/>
  <c r="J60" s="1"/>
  <c r="F61"/>
  <c r="H61" l="1"/>
  <c r="J61" s="1"/>
  <c r="F62"/>
  <c r="H62" l="1"/>
  <c r="J62" s="1"/>
  <c r="F63"/>
  <c r="H63" l="1"/>
  <c r="J63" s="1"/>
  <c r="F64"/>
  <c r="H64" l="1"/>
  <c r="J64" s="1"/>
  <c r="F65"/>
  <c r="H65" l="1"/>
  <c r="J65" s="1"/>
  <c r="F66"/>
  <c r="H66" l="1"/>
  <c r="J66" s="1"/>
  <c r="F67"/>
  <c r="H67" l="1"/>
  <c r="J67" s="1"/>
  <c r="F68"/>
  <c r="H68" l="1"/>
  <c r="J68" s="1"/>
  <c r="F69"/>
  <c r="H69" l="1"/>
  <c r="J69" s="1"/>
  <c r="F70"/>
  <c r="H70" l="1"/>
  <c r="J70" s="1"/>
  <c r="F71"/>
  <c r="H71" l="1"/>
  <c r="J71" s="1"/>
  <c r="F72"/>
  <c r="H72" l="1"/>
  <c r="J72" s="1"/>
  <c r="F73"/>
  <c r="H73" l="1"/>
  <c r="J73" s="1"/>
  <c r="F74"/>
  <c r="F75" l="1"/>
  <c r="H74"/>
  <c r="J74" s="1"/>
  <c r="H75" l="1"/>
  <c r="J75" s="1"/>
  <c r="F76"/>
  <c r="H76" l="1"/>
  <c r="J76" s="1"/>
  <c r="F77"/>
  <c r="H77" l="1"/>
  <c r="J77" s="1"/>
  <c r="F78"/>
  <c r="F79" l="1"/>
  <c r="H78"/>
  <c r="J78" s="1"/>
  <c r="H79" l="1"/>
  <c r="J79" s="1"/>
  <c r="F80"/>
  <c r="H80" l="1"/>
  <c r="J80" s="1"/>
  <c r="F81"/>
  <c r="H81" l="1"/>
  <c r="J81" s="1"/>
  <c r="F82"/>
  <c r="F83" l="1"/>
  <c r="H82"/>
  <c r="J82" s="1"/>
  <c r="H83" l="1"/>
  <c r="J83" s="1"/>
  <c r="F84"/>
  <c r="H84" l="1"/>
  <c r="J84" s="1"/>
  <c r="F85"/>
  <c r="H85" l="1"/>
  <c r="J85" s="1"/>
  <c r="F86"/>
  <c r="F87" l="1"/>
  <c r="H86"/>
  <c r="J86" s="1"/>
  <c r="H87" l="1"/>
  <c r="J87" s="1"/>
  <c r="F88"/>
  <c r="H88" l="1"/>
  <c r="J88" s="1"/>
  <c r="F89"/>
  <c r="H89" l="1"/>
  <c r="J89" s="1"/>
  <c r="F90"/>
  <c r="F91" l="1"/>
  <c r="H90"/>
  <c r="J90" s="1"/>
  <c r="H91" l="1"/>
  <c r="J91" s="1"/>
  <c r="F92"/>
  <c r="H92" l="1"/>
  <c r="J92" s="1"/>
  <c r="F93"/>
  <c r="H93" l="1"/>
  <c r="J93" s="1"/>
  <c r="F94"/>
  <c r="F95" l="1"/>
  <c r="H94"/>
  <c r="J94" s="1"/>
  <c r="H95" l="1"/>
  <c r="J95" s="1"/>
  <c r="F96"/>
  <c r="H96" l="1"/>
  <c r="J96" s="1"/>
  <c r="F97"/>
  <c r="H97" l="1"/>
  <c r="J97" s="1"/>
  <c r="F98"/>
  <c r="F99" l="1"/>
  <c r="H98"/>
  <c r="J98" s="1"/>
  <c r="H99" l="1"/>
  <c r="J99" s="1"/>
  <c r="F100"/>
  <c r="H100" l="1"/>
  <c r="J100" s="1"/>
  <c r="F101"/>
  <c r="H101" l="1"/>
  <c r="J101" s="1"/>
  <c r="F102"/>
  <c r="F103" l="1"/>
  <c r="H102"/>
  <c r="J102" s="1"/>
  <c r="H103" l="1"/>
  <c r="J103" s="1"/>
  <c r="F104"/>
  <c r="H104" l="1"/>
  <c r="J104" s="1"/>
  <c r="F105"/>
  <c r="H105" l="1"/>
  <c r="J105" s="1"/>
  <c r="F106"/>
  <c r="F107" l="1"/>
  <c r="H106"/>
  <c r="J106" s="1"/>
  <c r="H107" l="1"/>
  <c r="J107" s="1"/>
  <c r="F108"/>
  <c r="H108" l="1"/>
  <c r="J108" s="1"/>
  <c r="F109"/>
  <c r="H109" l="1"/>
  <c r="J109" s="1"/>
  <c r="F110"/>
  <c r="F111" l="1"/>
  <c r="H110"/>
  <c r="J110" s="1"/>
  <c r="H111" l="1"/>
  <c r="J111" s="1"/>
  <c r="F112"/>
  <c r="H112" l="1"/>
  <c r="J112" s="1"/>
  <c r="F113"/>
  <c r="H113" l="1"/>
  <c r="J113" s="1"/>
  <c r="F114"/>
  <c r="F115" l="1"/>
  <c r="H114"/>
  <c r="J114" s="1"/>
  <c r="H115" l="1"/>
  <c r="J115" s="1"/>
  <c r="F116"/>
  <c r="H116" l="1"/>
  <c r="J116" s="1"/>
  <c r="F117"/>
  <c r="H117" l="1"/>
  <c r="J117" s="1"/>
  <c r="F118"/>
  <c r="H118" l="1"/>
  <c r="J118" s="1"/>
  <c r="F119"/>
  <c r="H119" l="1"/>
  <c r="J119" s="1"/>
  <c r="F120"/>
  <c r="H120" l="1"/>
  <c r="J120" s="1"/>
  <c r="F121"/>
  <c r="H121" l="1"/>
  <c r="J121" s="1"/>
  <c r="F122"/>
  <c r="H122" l="1"/>
  <c r="J122" s="1"/>
  <c r="F123"/>
  <c r="H123" l="1"/>
  <c r="J123" s="1"/>
  <c r="F124"/>
  <c r="H124" l="1"/>
  <c r="J124" s="1"/>
  <c r="F125"/>
  <c r="H125" l="1"/>
  <c r="J125" s="1"/>
  <c r="F126"/>
  <c r="H126" l="1"/>
  <c r="J126" s="1"/>
  <c r="F127"/>
  <c r="H127" l="1"/>
  <c r="J127" s="1"/>
  <c r="F128"/>
  <c r="H128" l="1"/>
  <c r="J128" s="1"/>
  <c r="F129"/>
  <c r="H129" l="1"/>
  <c r="J129" s="1"/>
  <c r="F130"/>
  <c r="H130" l="1"/>
  <c r="J130" s="1"/>
  <c r="F131"/>
  <c r="H131" l="1"/>
  <c r="J131" s="1"/>
  <c r="F132"/>
  <c r="H132" l="1"/>
  <c r="J132" s="1"/>
  <c r="F133"/>
  <c r="H133" l="1"/>
  <c r="J133" s="1"/>
  <c r="F134"/>
  <c r="H134" l="1"/>
  <c r="J134" s="1"/>
  <c r="F135"/>
  <c r="H135" l="1"/>
  <c r="J135" s="1"/>
  <c r="F136"/>
  <c r="H136" l="1"/>
  <c r="J136" s="1"/>
  <c r="F137"/>
  <c r="H137" l="1"/>
  <c r="J137" s="1"/>
  <c r="F138"/>
  <c r="H138" l="1"/>
  <c r="J138" s="1"/>
  <c r="F139"/>
  <c r="H139" l="1"/>
  <c r="J139" s="1"/>
  <c r="F140"/>
  <c r="F141" l="1"/>
  <c r="H140"/>
  <c r="J140" s="1"/>
  <c r="H141" l="1"/>
  <c r="J141" s="1"/>
  <c r="F142"/>
  <c r="F143" l="1"/>
  <c r="H142"/>
  <c r="J142" s="1"/>
  <c r="H143" l="1"/>
  <c r="J143" s="1"/>
  <c r="F144"/>
  <c r="F145" l="1"/>
  <c r="H144"/>
  <c r="J144" s="1"/>
  <c r="H145" l="1"/>
  <c r="J145" s="1"/>
  <c r="F146"/>
  <c r="F147" l="1"/>
  <c r="H146"/>
  <c r="J146" s="1"/>
  <c r="H147" l="1"/>
  <c r="J147" s="1"/>
  <c r="F148"/>
  <c r="F149" l="1"/>
  <c r="H148"/>
  <c r="J148" s="1"/>
  <c r="H149" l="1"/>
  <c r="J149" s="1"/>
  <c r="F150"/>
  <c r="F151" l="1"/>
  <c r="H150"/>
  <c r="J150" s="1"/>
  <c r="H151" l="1"/>
  <c r="J151" s="1"/>
  <c r="F152"/>
  <c r="F153" l="1"/>
  <c r="H152"/>
  <c r="J152" s="1"/>
  <c r="H153" l="1"/>
  <c r="J153" s="1"/>
  <c r="F154"/>
  <c r="F155" l="1"/>
  <c r="H154"/>
  <c r="J154" s="1"/>
  <c r="H155" l="1"/>
  <c r="J155" s="1"/>
  <c r="F156"/>
  <c r="F157" l="1"/>
  <c r="H156"/>
  <c r="J156" s="1"/>
  <c r="H157" l="1"/>
  <c r="J157" s="1"/>
  <c r="F158"/>
  <c r="F159" l="1"/>
  <c r="H158"/>
  <c r="J158" s="1"/>
  <c r="H159" l="1"/>
  <c r="J159" s="1"/>
  <c r="F160"/>
  <c r="F161" l="1"/>
  <c r="H160"/>
  <c r="J160" s="1"/>
  <c r="H161" l="1"/>
  <c r="J161" s="1"/>
  <c r="F162"/>
  <c r="F163" l="1"/>
  <c r="H162"/>
  <c r="J162" s="1"/>
  <c r="H163" l="1"/>
  <c r="J163" s="1"/>
  <c r="F164"/>
  <c r="F165" l="1"/>
  <c r="H164"/>
  <c r="J164" s="1"/>
  <c r="H165" l="1"/>
  <c r="J165" s="1"/>
  <c r="F166"/>
  <c r="F167" l="1"/>
  <c r="H166"/>
  <c r="J166" s="1"/>
  <c r="H167" l="1"/>
  <c r="J167" s="1"/>
  <c r="F168"/>
  <c r="F169" l="1"/>
  <c r="H168"/>
  <c r="J168" s="1"/>
  <c r="H169" l="1"/>
  <c r="J169" s="1"/>
  <c r="F170"/>
  <c r="F171" l="1"/>
  <c r="H170"/>
  <c r="J170" s="1"/>
  <c r="H171" l="1"/>
  <c r="J171" s="1"/>
  <c r="F172"/>
  <c r="F173" l="1"/>
  <c r="H172"/>
  <c r="J172" s="1"/>
  <c r="H173" l="1"/>
  <c r="J173" s="1"/>
  <c r="F174"/>
  <c r="F175" l="1"/>
  <c r="H174"/>
  <c r="J174" s="1"/>
  <c r="H175" l="1"/>
  <c r="J175" s="1"/>
  <c r="F176"/>
  <c r="F177" l="1"/>
  <c r="H176"/>
  <c r="J176" s="1"/>
  <c r="H177" l="1"/>
  <c r="J177" s="1"/>
  <c r="F178"/>
  <c r="F179" l="1"/>
  <c r="H178"/>
  <c r="J178" s="1"/>
  <c r="H179" l="1"/>
  <c r="J179" s="1"/>
  <c r="F180"/>
  <c r="F181" l="1"/>
  <c r="H180"/>
  <c r="J180" s="1"/>
  <c r="H181" l="1"/>
  <c r="J181" s="1"/>
  <c r="F182"/>
  <c r="F183" l="1"/>
  <c r="H182"/>
  <c r="J182" s="1"/>
  <c r="H183" l="1"/>
  <c r="J183" s="1"/>
  <c r="F184"/>
  <c r="F185" l="1"/>
  <c r="H184"/>
  <c r="J184" s="1"/>
  <c r="H185" l="1"/>
  <c r="J185" s="1"/>
  <c r="F186"/>
  <c r="F187" l="1"/>
  <c r="H186"/>
  <c r="J186" s="1"/>
  <c r="H187" l="1"/>
  <c r="J187" s="1"/>
  <c r="F188"/>
  <c r="F189" l="1"/>
  <c r="H188"/>
  <c r="J188" s="1"/>
  <c r="H189" l="1"/>
  <c r="J189" s="1"/>
  <c r="F190"/>
  <c r="F191" l="1"/>
  <c r="H190"/>
  <c r="J190" s="1"/>
  <c r="H191" l="1"/>
  <c r="J191" s="1"/>
  <c r="F192"/>
  <c r="F193" l="1"/>
  <c r="H192"/>
  <c r="J192" s="1"/>
  <c r="H193" l="1"/>
  <c r="J193" s="1"/>
  <c r="F194"/>
  <c r="F195" l="1"/>
  <c r="H194"/>
  <c r="J194" s="1"/>
  <c r="H195" l="1"/>
  <c r="J195" s="1"/>
  <c r="F196"/>
  <c r="F197" l="1"/>
  <c r="H196"/>
  <c r="J196" s="1"/>
  <c r="H197" l="1"/>
  <c r="J197" s="1"/>
  <c r="F198"/>
  <c r="F199" l="1"/>
  <c r="H198"/>
  <c r="J198" s="1"/>
  <c r="H199" l="1"/>
  <c r="J199" s="1"/>
  <c r="F200"/>
  <c r="F201" l="1"/>
  <c r="H200"/>
  <c r="J200" s="1"/>
  <c r="H201" l="1"/>
  <c r="J201" s="1"/>
  <c r="F202"/>
  <c r="F203" l="1"/>
  <c r="H202"/>
  <c r="J202" s="1"/>
  <c r="H203" l="1"/>
  <c r="J203" s="1"/>
  <c r="F204"/>
  <c r="F205" l="1"/>
  <c r="H204"/>
  <c r="J204" s="1"/>
  <c r="H205" l="1"/>
  <c r="J205" s="1"/>
  <c r="F206"/>
  <c r="F207" l="1"/>
  <c r="H206"/>
  <c r="J206" s="1"/>
  <c r="H207" l="1"/>
  <c r="J207" s="1"/>
  <c r="F208"/>
  <c r="F209" l="1"/>
  <c r="H208"/>
  <c r="J208" s="1"/>
  <c r="H209" l="1"/>
  <c r="J209" s="1"/>
  <c r="G9" a="1"/>
  <c r="G9" l="1"/>
  <c r="I9" s="1"/>
  <c r="G11"/>
  <c r="I11" s="1"/>
  <c r="G13"/>
  <c r="I13" s="1"/>
  <c r="G15"/>
  <c r="I15" s="1"/>
  <c r="G17"/>
  <c r="I17" s="1"/>
  <c r="G19"/>
  <c r="I19" s="1"/>
  <c r="G21"/>
  <c r="I21" s="1"/>
  <c r="G23"/>
  <c r="I23" s="1"/>
  <c r="G25"/>
  <c r="I25" s="1"/>
  <c r="G27"/>
  <c r="I27" s="1"/>
  <c r="G29"/>
  <c r="I29" s="1"/>
  <c r="G31"/>
  <c r="I31" s="1"/>
  <c r="G33"/>
  <c r="I33" s="1"/>
  <c r="G35"/>
  <c r="I35" s="1"/>
  <c r="G37"/>
  <c r="I37" s="1"/>
  <c r="G39"/>
  <c r="I39" s="1"/>
  <c r="G41"/>
  <c r="I41" s="1"/>
  <c r="G43"/>
  <c r="I43" s="1"/>
  <c r="G45"/>
  <c r="I45" s="1"/>
  <c r="G47"/>
  <c r="I47" s="1"/>
  <c r="G49"/>
  <c r="I49" s="1"/>
  <c r="G51"/>
  <c r="I51" s="1"/>
  <c r="G53"/>
  <c r="I53" s="1"/>
  <c r="G55"/>
  <c r="I55" s="1"/>
  <c r="G57"/>
  <c r="I57" s="1"/>
  <c r="G59"/>
  <c r="I59" s="1"/>
  <c r="G61"/>
  <c r="I61" s="1"/>
  <c r="G63"/>
  <c r="I63" s="1"/>
  <c r="G65"/>
  <c r="I65" s="1"/>
  <c r="G67"/>
  <c r="I67" s="1"/>
  <c r="G69"/>
  <c r="I69" s="1"/>
  <c r="G71"/>
  <c r="I71" s="1"/>
  <c r="G73"/>
  <c r="I73" s="1"/>
  <c r="G75"/>
  <c r="I75" s="1"/>
  <c r="G77"/>
  <c r="I77" s="1"/>
  <c r="G79"/>
  <c r="I79" s="1"/>
  <c r="G81"/>
  <c r="I81" s="1"/>
  <c r="G83"/>
  <c r="I83" s="1"/>
  <c r="G85"/>
  <c r="I85" s="1"/>
  <c r="G87"/>
  <c r="I87" s="1"/>
  <c r="G89"/>
  <c r="I89" s="1"/>
  <c r="G91"/>
  <c r="I91" s="1"/>
  <c r="G93"/>
  <c r="I93" s="1"/>
  <c r="G95"/>
  <c r="I95" s="1"/>
  <c r="G97"/>
  <c r="I97" s="1"/>
  <c r="G99"/>
  <c r="I99" s="1"/>
  <c r="G101"/>
  <c r="I101" s="1"/>
  <c r="G103"/>
  <c r="I103" s="1"/>
  <c r="G105"/>
  <c r="I105" s="1"/>
  <c r="G107"/>
  <c r="I107" s="1"/>
  <c r="G109"/>
  <c r="I109" s="1"/>
  <c r="G111"/>
  <c r="I111" s="1"/>
  <c r="G113"/>
  <c r="I113" s="1"/>
  <c r="G115"/>
  <c r="I115" s="1"/>
  <c r="G117"/>
  <c r="I117" s="1"/>
  <c r="G119"/>
  <c r="I119" s="1"/>
  <c r="G121"/>
  <c r="I121" s="1"/>
  <c r="G123"/>
  <c r="I123" s="1"/>
  <c r="G125"/>
  <c r="I125" s="1"/>
  <c r="G127"/>
  <c r="I127" s="1"/>
  <c r="G129"/>
  <c r="I129" s="1"/>
  <c r="G131"/>
  <c r="I131" s="1"/>
  <c r="G133"/>
  <c r="I133" s="1"/>
  <c r="G135"/>
  <c r="I135" s="1"/>
  <c r="G137"/>
  <c r="I137" s="1"/>
  <c r="G139"/>
  <c r="I139" s="1"/>
  <c r="G141"/>
  <c r="I141" s="1"/>
  <c r="G143"/>
  <c r="I143" s="1"/>
  <c r="G145"/>
  <c r="I145" s="1"/>
  <c r="G147"/>
  <c r="I147" s="1"/>
  <c r="G149"/>
  <c r="I149" s="1"/>
  <c r="G151"/>
  <c r="I151" s="1"/>
  <c r="G153"/>
  <c r="I153" s="1"/>
  <c r="G155"/>
  <c r="I155" s="1"/>
  <c r="G157"/>
  <c r="I157" s="1"/>
  <c r="G159"/>
  <c r="I159" s="1"/>
  <c r="G161"/>
  <c r="I161" s="1"/>
  <c r="G163"/>
  <c r="I163" s="1"/>
  <c r="G165"/>
  <c r="I165" s="1"/>
  <c r="G167"/>
  <c r="I167" s="1"/>
  <c r="G169"/>
  <c r="I169" s="1"/>
  <c r="G171"/>
  <c r="I171" s="1"/>
  <c r="G173"/>
  <c r="I173" s="1"/>
  <c r="G175"/>
  <c r="I175" s="1"/>
  <c r="G177"/>
  <c r="I177" s="1"/>
  <c r="G179"/>
  <c r="I179" s="1"/>
  <c r="G181"/>
  <c r="I181" s="1"/>
  <c r="G183"/>
  <c r="I183" s="1"/>
  <c r="G185"/>
  <c r="I185" s="1"/>
  <c r="G187"/>
  <c r="I187" s="1"/>
  <c r="G189"/>
  <c r="I189" s="1"/>
  <c r="G191"/>
  <c r="I191" s="1"/>
  <c r="G193"/>
  <c r="I193" s="1"/>
  <c r="G195"/>
  <c r="I195" s="1"/>
  <c r="G197"/>
  <c r="I197" s="1"/>
  <c r="G199"/>
  <c r="I199" s="1"/>
  <c r="G201"/>
  <c r="I201" s="1"/>
  <c r="G203"/>
  <c r="I203" s="1"/>
  <c r="G205"/>
  <c r="I205" s="1"/>
  <c r="G207"/>
  <c r="I207" s="1"/>
  <c r="G209"/>
  <c r="I209" s="1"/>
  <c r="G10"/>
  <c r="I10" s="1"/>
  <c r="G14"/>
  <c r="I14" s="1"/>
  <c r="G18"/>
  <c r="I18" s="1"/>
  <c r="G22"/>
  <c r="I22" s="1"/>
  <c r="G26"/>
  <c r="I26" s="1"/>
  <c r="G30"/>
  <c r="I30" s="1"/>
  <c r="G34"/>
  <c r="I34" s="1"/>
  <c r="G38"/>
  <c r="I38" s="1"/>
  <c r="G42"/>
  <c r="I42" s="1"/>
  <c r="G46"/>
  <c r="I46" s="1"/>
  <c r="G50"/>
  <c r="I50" s="1"/>
  <c r="G54"/>
  <c r="I54" s="1"/>
  <c r="G58"/>
  <c r="I58" s="1"/>
  <c r="G62"/>
  <c r="I62" s="1"/>
  <c r="G66"/>
  <c r="I66" s="1"/>
  <c r="G70"/>
  <c r="I70" s="1"/>
  <c r="G74"/>
  <c r="I74" s="1"/>
  <c r="G78"/>
  <c r="I78" s="1"/>
  <c r="G82"/>
  <c r="I82" s="1"/>
  <c r="G86"/>
  <c r="I86" s="1"/>
  <c r="G90"/>
  <c r="I90" s="1"/>
  <c r="G94"/>
  <c r="I94" s="1"/>
  <c r="G98"/>
  <c r="I98" s="1"/>
  <c r="G102"/>
  <c r="I102" s="1"/>
  <c r="G106"/>
  <c r="I106" s="1"/>
  <c r="G110"/>
  <c r="I110" s="1"/>
  <c r="G114"/>
  <c r="I114" s="1"/>
  <c r="G118"/>
  <c r="I118" s="1"/>
  <c r="G122"/>
  <c r="I122" s="1"/>
  <c r="G126"/>
  <c r="I126" s="1"/>
  <c r="G130"/>
  <c r="I130" s="1"/>
  <c r="G134"/>
  <c r="I134" s="1"/>
  <c r="G138"/>
  <c r="I138" s="1"/>
  <c r="G142"/>
  <c r="I142" s="1"/>
  <c r="G146"/>
  <c r="I146" s="1"/>
  <c r="G150"/>
  <c r="I150" s="1"/>
  <c r="G154"/>
  <c r="I154" s="1"/>
  <c r="G158"/>
  <c r="I158" s="1"/>
  <c r="G162"/>
  <c r="I162" s="1"/>
  <c r="G166"/>
  <c r="I166" s="1"/>
  <c r="G170"/>
  <c r="I170" s="1"/>
  <c r="G174"/>
  <c r="I174" s="1"/>
  <c r="G178"/>
  <c r="I178" s="1"/>
  <c r="G182"/>
  <c r="I182" s="1"/>
  <c r="G186"/>
  <c r="I186" s="1"/>
  <c r="G190"/>
  <c r="I190" s="1"/>
  <c r="G194"/>
  <c r="I194" s="1"/>
  <c r="G198"/>
  <c r="I198" s="1"/>
  <c r="G202"/>
  <c r="I202" s="1"/>
  <c r="G206"/>
  <c r="I206" s="1"/>
  <c r="G210"/>
  <c r="I210" s="1"/>
  <c r="G16"/>
  <c r="I16" s="1"/>
  <c r="G24"/>
  <c r="I24" s="1"/>
  <c r="G32"/>
  <c r="I32" s="1"/>
  <c r="G40"/>
  <c r="I40" s="1"/>
  <c r="G48"/>
  <c r="I48" s="1"/>
  <c r="G56"/>
  <c r="I56" s="1"/>
  <c r="G64"/>
  <c r="I64" s="1"/>
  <c r="G72"/>
  <c r="I72" s="1"/>
  <c r="G80"/>
  <c r="I80" s="1"/>
  <c r="G88"/>
  <c r="I88" s="1"/>
  <c r="G96"/>
  <c r="I96" s="1"/>
  <c r="G104"/>
  <c r="I104" s="1"/>
  <c r="G112"/>
  <c r="I112" s="1"/>
  <c r="G120"/>
  <c r="I120" s="1"/>
  <c r="G128"/>
  <c r="I128" s="1"/>
  <c r="G136"/>
  <c r="I136" s="1"/>
  <c r="G144"/>
  <c r="I144" s="1"/>
  <c r="G152"/>
  <c r="I152" s="1"/>
  <c r="G160"/>
  <c r="I160" s="1"/>
  <c r="G168"/>
  <c r="I168" s="1"/>
  <c r="G176"/>
  <c r="I176" s="1"/>
  <c r="G184"/>
  <c r="I184" s="1"/>
  <c r="G192"/>
  <c r="I192" s="1"/>
  <c r="G200"/>
  <c r="I200" s="1"/>
  <c r="G208"/>
  <c r="I208" s="1"/>
  <c r="G12"/>
  <c r="I12" s="1"/>
  <c r="G20"/>
  <c r="I20" s="1"/>
  <c r="G28"/>
  <c r="I28" s="1"/>
  <c r="G36"/>
  <c r="I36" s="1"/>
  <c r="G44"/>
  <c r="I44" s="1"/>
  <c r="G52"/>
  <c r="I52" s="1"/>
  <c r="G60"/>
  <c r="I60" s="1"/>
  <c r="G68"/>
  <c r="I68" s="1"/>
  <c r="G76"/>
  <c r="I76" s="1"/>
  <c r="G84"/>
  <c r="I84" s="1"/>
  <c r="G92"/>
  <c r="I92" s="1"/>
  <c r="G100"/>
  <c r="I100" s="1"/>
  <c r="G108"/>
  <c r="I108" s="1"/>
  <c r="G116"/>
  <c r="I116" s="1"/>
  <c r="G124"/>
  <c r="I124" s="1"/>
  <c r="G132"/>
  <c r="I132" s="1"/>
  <c r="G140"/>
  <c r="I140" s="1"/>
  <c r="G148"/>
  <c r="I148" s="1"/>
  <c r="G156"/>
  <c r="I156" s="1"/>
  <c r="G164"/>
  <c r="I164" s="1"/>
  <c r="G172"/>
  <c r="I172" s="1"/>
  <c r="G180"/>
  <c r="I180" s="1"/>
  <c r="G188"/>
  <c r="I188" s="1"/>
  <c r="G196"/>
  <c r="I196" s="1"/>
  <c r="G204"/>
  <c r="I204" s="1"/>
</calcChain>
</file>

<file path=xl/comments1.xml><?xml version="1.0" encoding="utf-8"?>
<comments xmlns="http://schemas.openxmlformats.org/spreadsheetml/2006/main">
  <authors>
    <author>7city</author>
  </authors>
  <commentList>
    <comment ref="G1" authorId="0">
      <text>
        <r>
          <rPr>
            <sz val="8"/>
            <color indexed="81"/>
            <rFont val="Tahoma"/>
          </rPr>
          <t>=AVERAGE(C:C)</t>
        </r>
      </text>
    </comment>
    <comment ref="G2" authorId="0">
      <text>
        <r>
          <rPr>
            <sz val="8"/>
            <color indexed="81"/>
            <rFont val="Tahoma"/>
          </rPr>
          <t>=STDEV(C:C)</t>
        </r>
      </text>
    </comment>
    <comment ref="C3" authorId="0">
      <text>
        <r>
          <rPr>
            <sz val="8"/>
            <color indexed="81"/>
            <rFont val="Tahoma"/>
          </rPr>
          <t>=(B3-B2)/B2</t>
        </r>
      </text>
    </comment>
    <comment ref="D3" authorId="0">
      <text>
        <r>
          <rPr>
            <sz val="8"/>
            <color indexed="81"/>
            <rFont val="Tahoma"/>
          </rPr>
          <t>=(C3-avg)/sd</t>
        </r>
      </text>
    </comment>
    <comment ref="G4" authorId="0">
      <text>
        <r>
          <rPr>
            <sz val="8"/>
            <color indexed="81"/>
            <rFont val="Tahoma"/>
          </rPr>
          <t>=MIN(D:D)</t>
        </r>
      </text>
    </comment>
    <comment ref="G5" authorId="0">
      <text>
        <r>
          <rPr>
            <sz val="8"/>
            <color indexed="81"/>
            <rFont val="Tahoma"/>
          </rPr>
          <t>=MAX(D:D)</t>
        </r>
      </text>
    </comment>
    <comment ref="G6" authorId="0">
      <text>
        <r>
          <rPr>
            <sz val="8"/>
            <color indexed="81"/>
            <rFont val="Tahoma"/>
          </rPr>
          <t>=(G5-G4)/200</t>
        </r>
      </text>
    </comment>
    <comment ref="G7" authorId="0">
      <text>
        <r>
          <rPr>
            <sz val="8"/>
            <color indexed="81"/>
            <rFont val="Tahoma"/>
          </rPr>
          <t>=COUNT(D:D)</t>
        </r>
      </text>
    </comment>
    <comment ref="F9" authorId="0">
      <text>
        <r>
          <rPr>
            <sz val="8"/>
            <color indexed="81"/>
            <rFont val="Tahoma"/>
          </rPr>
          <t>=G4</t>
        </r>
      </text>
    </comment>
    <comment ref="G9" authorId="0">
      <text>
        <r>
          <rPr>
            <sz val="8"/>
            <color indexed="81"/>
            <rFont val="Tahoma"/>
          </rPr>
          <t>=FREQUENCY(D3:D14844,F9:F209)</t>
        </r>
      </text>
    </comment>
    <comment ref="H9" authorId="0">
      <text>
        <r>
          <rPr>
            <sz val="8"/>
            <color indexed="81"/>
            <rFont val="Tahoma"/>
          </rPr>
          <t>=F9-0.5*bucketwidth</t>
        </r>
      </text>
    </comment>
    <comment ref="I9" authorId="0">
      <text>
        <r>
          <rPr>
            <sz val="8"/>
            <color indexed="81"/>
            <rFont val="Tahoma"/>
          </rPr>
          <t>=G9/num/bucketwidth</t>
        </r>
      </text>
    </comment>
    <comment ref="J9" authorId="0">
      <text>
        <r>
          <rPr>
            <sz val="8"/>
            <color indexed="81"/>
            <rFont val="Tahoma"/>
          </rPr>
          <t>=1/SQRT(2*PI())*EXP(-0.5*H9*H9)</t>
        </r>
      </text>
    </comment>
    <comment ref="F10" authorId="0">
      <text>
        <r>
          <rPr>
            <sz val="8"/>
            <color indexed="81"/>
            <rFont val="Tahoma"/>
          </rPr>
          <t>=F9+bucketwidth</t>
        </r>
      </text>
    </comment>
  </commentList>
</comments>
</file>

<file path=xl/sharedStrings.xml><?xml version="1.0" encoding="utf-8"?>
<sst xmlns="http://schemas.openxmlformats.org/spreadsheetml/2006/main" count="15" uniqueCount="15">
  <si>
    <t>Date</t>
  </si>
  <si>
    <t>Adj Close</t>
  </si>
  <si>
    <t>Rtns</t>
  </si>
  <si>
    <t>Average</t>
  </si>
  <si>
    <t>Std Dev</t>
  </si>
  <si>
    <t>Std'ized Rtns</t>
  </si>
  <si>
    <t>Min</t>
  </si>
  <si>
    <t>Max</t>
  </si>
  <si>
    <t>Buckets</t>
  </si>
  <si>
    <t>Freq</t>
  </si>
  <si>
    <t>Bucket</t>
  </si>
  <si>
    <t>Shifted bucket</t>
  </si>
  <si>
    <t>PDF</t>
  </si>
  <si>
    <t>Data pts</t>
  </si>
  <si>
    <t>Normal</t>
  </si>
</sst>
</file>

<file path=xl/styles.xml><?xml version="1.0" encoding="utf-8"?>
<styleSheet xmlns="http://schemas.openxmlformats.org/spreadsheetml/2006/main">
  <numFmts count="1">
    <numFmt numFmtId="166" formatCode="0.00000000"/>
  </numFmts>
  <fonts count="3">
    <font>
      <sz val="10"/>
      <name val="Arial"/>
    </font>
    <font>
      <sz val="8"/>
      <name val="Arial"/>
    </font>
    <font>
      <sz val="8"/>
      <color indexed="81"/>
      <name val="Tahom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1895654283006163E-2"/>
          <c:y val="7.6923462156761602E-2"/>
          <c:w val="0.8921597099663946"/>
          <c:h val="0.71282408265265751"/>
        </c:manualLayout>
      </c:layout>
      <c:scatterChart>
        <c:scatterStyle val="lineMarker"/>
        <c:ser>
          <c:idx val="0"/>
          <c:order val="0"/>
          <c:tx>
            <c:v>Empirical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SPX!$H$9:$H$209</c:f>
              <c:numCache>
                <c:formatCode>General</c:formatCode>
                <c:ptCount val="201"/>
                <c:pt idx="0">
                  <c:v>-21.730511564049635</c:v>
                </c:pt>
                <c:pt idx="1">
                  <c:v>-21.561304148819534</c:v>
                </c:pt>
                <c:pt idx="2">
                  <c:v>-21.392096733589433</c:v>
                </c:pt>
                <c:pt idx="3">
                  <c:v>-21.222889318359332</c:v>
                </c:pt>
                <c:pt idx="4">
                  <c:v>-21.053681903129231</c:v>
                </c:pt>
                <c:pt idx="5">
                  <c:v>-20.88447448789913</c:v>
                </c:pt>
                <c:pt idx="6">
                  <c:v>-20.715267072669029</c:v>
                </c:pt>
                <c:pt idx="7">
                  <c:v>-20.546059657438928</c:v>
                </c:pt>
                <c:pt idx="8">
                  <c:v>-20.376852242208827</c:v>
                </c:pt>
                <c:pt idx="9">
                  <c:v>-20.207644826978726</c:v>
                </c:pt>
                <c:pt idx="10">
                  <c:v>-20.038437411748625</c:v>
                </c:pt>
                <c:pt idx="11">
                  <c:v>-19.869229996518524</c:v>
                </c:pt>
                <c:pt idx="12">
                  <c:v>-19.700022581288422</c:v>
                </c:pt>
                <c:pt idx="13">
                  <c:v>-19.530815166058321</c:v>
                </c:pt>
                <c:pt idx="14">
                  <c:v>-19.36160775082822</c:v>
                </c:pt>
                <c:pt idx="15">
                  <c:v>-19.192400335598119</c:v>
                </c:pt>
                <c:pt idx="16">
                  <c:v>-19.023192920368018</c:v>
                </c:pt>
                <c:pt idx="17">
                  <c:v>-18.853985505137917</c:v>
                </c:pt>
                <c:pt idx="18">
                  <c:v>-18.684778089907816</c:v>
                </c:pt>
                <c:pt idx="19">
                  <c:v>-18.515570674677715</c:v>
                </c:pt>
                <c:pt idx="20">
                  <c:v>-18.346363259447614</c:v>
                </c:pt>
                <c:pt idx="21">
                  <c:v>-18.177155844217513</c:v>
                </c:pt>
                <c:pt idx="22">
                  <c:v>-18.007948428987412</c:v>
                </c:pt>
                <c:pt idx="23">
                  <c:v>-17.838741013757311</c:v>
                </c:pt>
                <c:pt idx="24">
                  <c:v>-17.66953359852721</c:v>
                </c:pt>
                <c:pt idx="25">
                  <c:v>-17.500326183297108</c:v>
                </c:pt>
                <c:pt idx="26">
                  <c:v>-17.331118768067007</c:v>
                </c:pt>
                <c:pt idx="27">
                  <c:v>-17.161911352836906</c:v>
                </c:pt>
                <c:pt idx="28">
                  <c:v>-16.992703937606805</c:v>
                </c:pt>
                <c:pt idx="29">
                  <c:v>-16.823496522376704</c:v>
                </c:pt>
                <c:pt idx="30">
                  <c:v>-16.654289107146603</c:v>
                </c:pt>
                <c:pt idx="31">
                  <c:v>-16.485081691916502</c:v>
                </c:pt>
                <c:pt idx="32">
                  <c:v>-16.315874276686401</c:v>
                </c:pt>
                <c:pt idx="33">
                  <c:v>-16.1466668614563</c:v>
                </c:pt>
                <c:pt idx="34">
                  <c:v>-15.977459446226202</c:v>
                </c:pt>
                <c:pt idx="35">
                  <c:v>-15.808252030996103</c:v>
                </c:pt>
                <c:pt idx="36">
                  <c:v>-15.639044615766004</c:v>
                </c:pt>
                <c:pt idx="37">
                  <c:v>-15.469837200535904</c:v>
                </c:pt>
                <c:pt idx="38">
                  <c:v>-15.300629785305805</c:v>
                </c:pt>
                <c:pt idx="39">
                  <c:v>-15.131422370075706</c:v>
                </c:pt>
                <c:pt idx="40">
                  <c:v>-14.962214954845606</c:v>
                </c:pt>
                <c:pt idx="41">
                  <c:v>-14.793007539615507</c:v>
                </c:pt>
                <c:pt idx="42">
                  <c:v>-14.623800124385408</c:v>
                </c:pt>
                <c:pt idx="43">
                  <c:v>-14.454592709155309</c:v>
                </c:pt>
                <c:pt idx="44">
                  <c:v>-14.285385293925209</c:v>
                </c:pt>
                <c:pt idx="45">
                  <c:v>-14.11617787869511</c:v>
                </c:pt>
                <c:pt idx="46">
                  <c:v>-13.946970463465011</c:v>
                </c:pt>
                <c:pt idx="47">
                  <c:v>-13.777763048234911</c:v>
                </c:pt>
                <c:pt idx="48">
                  <c:v>-13.608555633004812</c:v>
                </c:pt>
                <c:pt idx="49">
                  <c:v>-13.439348217774713</c:v>
                </c:pt>
                <c:pt idx="50">
                  <c:v>-13.270140802544613</c:v>
                </c:pt>
                <c:pt idx="51">
                  <c:v>-13.100933387314514</c:v>
                </c:pt>
                <c:pt idx="52">
                  <c:v>-12.931725972084415</c:v>
                </c:pt>
                <c:pt idx="53">
                  <c:v>-12.762518556854316</c:v>
                </c:pt>
                <c:pt idx="54">
                  <c:v>-12.593311141624216</c:v>
                </c:pt>
                <c:pt idx="55">
                  <c:v>-12.424103726394117</c:v>
                </c:pt>
                <c:pt idx="56">
                  <c:v>-12.254896311164018</c:v>
                </c:pt>
                <c:pt idx="57">
                  <c:v>-12.085688895933918</c:v>
                </c:pt>
                <c:pt idx="58">
                  <c:v>-11.916481480703819</c:v>
                </c:pt>
                <c:pt idx="59">
                  <c:v>-11.74727406547372</c:v>
                </c:pt>
                <c:pt idx="60">
                  <c:v>-11.57806665024362</c:v>
                </c:pt>
                <c:pt idx="61">
                  <c:v>-11.408859235013521</c:v>
                </c:pt>
                <c:pt idx="62">
                  <c:v>-11.239651819783422</c:v>
                </c:pt>
                <c:pt idx="63">
                  <c:v>-11.070444404553323</c:v>
                </c:pt>
                <c:pt idx="64">
                  <c:v>-10.901236989323223</c:v>
                </c:pt>
                <c:pt idx="65">
                  <c:v>-10.732029574093124</c:v>
                </c:pt>
                <c:pt idx="66">
                  <c:v>-10.562822158863025</c:v>
                </c:pt>
                <c:pt idx="67">
                  <c:v>-10.393614743632925</c:v>
                </c:pt>
                <c:pt idx="68">
                  <c:v>-10.224407328402826</c:v>
                </c:pt>
                <c:pt idx="69">
                  <c:v>-10.055199913172727</c:v>
                </c:pt>
                <c:pt idx="70">
                  <c:v>-9.8859924979426275</c:v>
                </c:pt>
                <c:pt idx="71">
                  <c:v>-9.7167850827125282</c:v>
                </c:pt>
                <c:pt idx="72">
                  <c:v>-9.5475776674824289</c:v>
                </c:pt>
                <c:pt idx="73">
                  <c:v>-9.3783702522523296</c:v>
                </c:pt>
                <c:pt idx="74">
                  <c:v>-9.2091628370222303</c:v>
                </c:pt>
                <c:pt idx="75">
                  <c:v>-9.039955421792131</c:v>
                </c:pt>
                <c:pt idx="76">
                  <c:v>-8.8707480065620317</c:v>
                </c:pt>
                <c:pt idx="77">
                  <c:v>-8.7015405913319324</c:v>
                </c:pt>
                <c:pt idx="78">
                  <c:v>-8.5323331761018331</c:v>
                </c:pt>
                <c:pt idx="79">
                  <c:v>-8.3631257608717338</c:v>
                </c:pt>
                <c:pt idx="80">
                  <c:v>-8.1939183456416345</c:v>
                </c:pt>
                <c:pt idx="81">
                  <c:v>-8.0247109304115352</c:v>
                </c:pt>
                <c:pt idx="82">
                  <c:v>-7.855503515181435</c:v>
                </c:pt>
                <c:pt idx="83">
                  <c:v>-7.6862960999513357</c:v>
                </c:pt>
                <c:pt idx="84">
                  <c:v>-7.5170886847212364</c:v>
                </c:pt>
                <c:pt idx="85">
                  <c:v>-7.3478812694911371</c:v>
                </c:pt>
                <c:pt idx="86">
                  <c:v>-7.1786738542610378</c:v>
                </c:pt>
                <c:pt idx="87">
                  <c:v>-7.0094664390309385</c:v>
                </c:pt>
                <c:pt idx="88">
                  <c:v>-6.8402590238008392</c:v>
                </c:pt>
                <c:pt idx="89">
                  <c:v>-6.6710516085707399</c:v>
                </c:pt>
                <c:pt idx="90">
                  <c:v>-6.5018441933406406</c:v>
                </c:pt>
                <c:pt idx="91">
                  <c:v>-6.3326367781105413</c:v>
                </c:pt>
                <c:pt idx="92">
                  <c:v>-6.163429362880442</c:v>
                </c:pt>
                <c:pt idx="93">
                  <c:v>-5.9942219476503427</c:v>
                </c:pt>
                <c:pt idx="94">
                  <c:v>-5.8250145324202434</c:v>
                </c:pt>
                <c:pt idx="95">
                  <c:v>-5.6558071171901441</c:v>
                </c:pt>
                <c:pt idx="96">
                  <c:v>-5.4865997019600448</c:v>
                </c:pt>
                <c:pt idx="97">
                  <c:v>-5.3173922867299455</c:v>
                </c:pt>
                <c:pt idx="98">
                  <c:v>-5.1481848714998462</c:v>
                </c:pt>
                <c:pt idx="99">
                  <c:v>-4.9789774562697469</c:v>
                </c:pt>
                <c:pt idx="100">
                  <c:v>-4.8097700410396476</c:v>
                </c:pt>
                <c:pt idx="101">
                  <c:v>-4.6405626258095483</c:v>
                </c:pt>
                <c:pt idx="102">
                  <c:v>-4.471355210579449</c:v>
                </c:pt>
                <c:pt idx="103">
                  <c:v>-4.3021477953493497</c:v>
                </c:pt>
                <c:pt idx="104">
                  <c:v>-4.1329403801192504</c:v>
                </c:pt>
                <c:pt idx="105">
                  <c:v>-3.9637329648891511</c:v>
                </c:pt>
                <c:pt idx="106">
                  <c:v>-3.7945255496590518</c:v>
                </c:pt>
                <c:pt idx="107">
                  <c:v>-3.6253181344289525</c:v>
                </c:pt>
                <c:pt idx="108">
                  <c:v>-3.4561107191988532</c:v>
                </c:pt>
                <c:pt idx="109">
                  <c:v>-3.2869033039687539</c:v>
                </c:pt>
                <c:pt idx="110">
                  <c:v>-3.1176958887386546</c:v>
                </c:pt>
                <c:pt idx="111">
                  <c:v>-2.9484884735085553</c:v>
                </c:pt>
                <c:pt idx="112">
                  <c:v>-2.779281058278456</c:v>
                </c:pt>
                <c:pt idx="113">
                  <c:v>-2.6100736430483567</c:v>
                </c:pt>
                <c:pt idx="114">
                  <c:v>-2.4408662278182574</c:v>
                </c:pt>
                <c:pt idx="115">
                  <c:v>-2.271658812588158</c:v>
                </c:pt>
                <c:pt idx="116">
                  <c:v>-2.1024513973580587</c:v>
                </c:pt>
                <c:pt idx="117">
                  <c:v>-1.9332439821279594</c:v>
                </c:pt>
                <c:pt idx="118">
                  <c:v>-1.7640365668978597</c:v>
                </c:pt>
                <c:pt idx="119">
                  <c:v>-1.5948291516677604</c:v>
                </c:pt>
                <c:pt idx="120">
                  <c:v>-1.4256217364376607</c:v>
                </c:pt>
                <c:pt idx="121">
                  <c:v>-1.2564143212075614</c:v>
                </c:pt>
                <c:pt idx="122">
                  <c:v>-1.0872069059774616</c:v>
                </c:pt>
                <c:pt idx="123">
                  <c:v>-0.9179994907473622</c:v>
                </c:pt>
                <c:pt idx="124">
                  <c:v>-0.74879207551726268</c:v>
                </c:pt>
                <c:pt idx="125">
                  <c:v>-0.57958466028716316</c:v>
                </c:pt>
                <c:pt idx="126">
                  <c:v>-0.41037724505706363</c:v>
                </c:pt>
                <c:pt idx="127">
                  <c:v>-0.24116982982696411</c:v>
                </c:pt>
                <c:pt idx="128">
                  <c:v>-7.1962414596864588E-2</c:v>
                </c:pt>
                <c:pt idx="129">
                  <c:v>9.7245000633234935E-2</c:v>
                </c:pt>
                <c:pt idx="130">
                  <c:v>0.26645241586333446</c:v>
                </c:pt>
                <c:pt idx="131">
                  <c:v>0.43565983109343398</c:v>
                </c:pt>
                <c:pt idx="132">
                  <c:v>0.6048672463235335</c:v>
                </c:pt>
                <c:pt idx="133">
                  <c:v>0.77407466155363303</c:v>
                </c:pt>
                <c:pt idx="134">
                  <c:v>0.94328207678373255</c:v>
                </c:pt>
                <c:pt idx="135">
                  <c:v>1.112489492013832</c:v>
                </c:pt>
                <c:pt idx="136">
                  <c:v>1.2816969072439317</c:v>
                </c:pt>
                <c:pt idx="137">
                  <c:v>1.450904322474031</c:v>
                </c:pt>
                <c:pt idx="138">
                  <c:v>1.6201117377041307</c:v>
                </c:pt>
                <c:pt idx="139">
                  <c:v>1.7893191529342301</c:v>
                </c:pt>
                <c:pt idx="140">
                  <c:v>1.9585265681643298</c:v>
                </c:pt>
                <c:pt idx="141">
                  <c:v>2.1277339833944291</c:v>
                </c:pt>
                <c:pt idx="142">
                  <c:v>2.2969413986245284</c:v>
                </c:pt>
                <c:pt idx="143">
                  <c:v>2.4661488138546277</c:v>
                </c:pt>
                <c:pt idx="144">
                  <c:v>2.635356229084727</c:v>
                </c:pt>
                <c:pt idx="145">
                  <c:v>2.8045636443148263</c:v>
                </c:pt>
                <c:pt idx="146">
                  <c:v>2.9737710595449256</c:v>
                </c:pt>
                <c:pt idx="147">
                  <c:v>3.1429784747750249</c:v>
                </c:pt>
                <c:pt idx="148">
                  <c:v>3.3121858900051242</c:v>
                </c:pt>
                <c:pt idx="149">
                  <c:v>3.4813933052352235</c:v>
                </c:pt>
                <c:pt idx="150">
                  <c:v>3.6506007204653228</c:v>
                </c:pt>
                <c:pt idx="151">
                  <c:v>3.8198081356954221</c:v>
                </c:pt>
                <c:pt idx="152">
                  <c:v>3.9890155509255214</c:v>
                </c:pt>
                <c:pt idx="153">
                  <c:v>4.1582229661556207</c:v>
                </c:pt>
                <c:pt idx="154">
                  <c:v>4.32743038138572</c:v>
                </c:pt>
                <c:pt idx="155">
                  <c:v>4.4966377966158193</c:v>
                </c:pt>
                <c:pt idx="156">
                  <c:v>4.6658452118459186</c:v>
                </c:pt>
                <c:pt idx="157">
                  <c:v>4.8350526270760179</c:v>
                </c:pt>
                <c:pt idx="158">
                  <c:v>5.0042600423061172</c:v>
                </c:pt>
                <c:pt idx="159">
                  <c:v>5.1734674575362165</c:v>
                </c:pt>
                <c:pt idx="160">
                  <c:v>5.3426748727663158</c:v>
                </c:pt>
                <c:pt idx="161">
                  <c:v>5.5118822879964151</c:v>
                </c:pt>
                <c:pt idx="162">
                  <c:v>5.6810897032265144</c:v>
                </c:pt>
                <c:pt idx="163">
                  <c:v>5.8502971184566137</c:v>
                </c:pt>
                <c:pt idx="164">
                  <c:v>6.019504533686713</c:v>
                </c:pt>
                <c:pt idx="165">
                  <c:v>6.1887119489168123</c:v>
                </c:pt>
                <c:pt idx="166">
                  <c:v>6.3579193641469116</c:v>
                </c:pt>
                <c:pt idx="167">
                  <c:v>6.5271267793770109</c:v>
                </c:pt>
                <c:pt idx="168">
                  <c:v>6.6963341946071102</c:v>
                </c:pt>
                <c:pt idx="169">
                  <c:v>6.8655416098372095</c:v>
                </c:pt>
                <c:pt idx="170">
                  <c:v>7.0347490250673088</c:v>
                </c:pt>
                <c:pt idx="171">
                  <c:v>7.2039564402974081</c:v>
                </c:pt>
                <c:pt idx="172">
                  <c:v>7.3731638555275074</c:v>
                </c:pt>
                <c:pt idx="173">
                  <c:v>7.5423712707576067</c:v>
                </c:pt>
                <c:pt idx="174">
                  <c:v>7.711578685987706</c:v>
                </c:pt>
                <c:pt idx="175">
                  <c:v>7.8807861012178053</c:v>
                </c:pt>
                <c:pt idx="176">
                  <c:v>8.0499935164479037</c:v>
                </c:pt>
                <c:pt idx="177">
                  <c:v>8.219200931678003</c:v>
                </c:pt>
                <c:pt idx="178">
                  <c:v>8.3884083469081023</c:v>
                </c:pt>
                <c:pt idx="179">
                  <c:v>8.5576157621382016</c:v>
                </c:pt>
                <c:pt idx="180">
                  <c:v>8.7268231773683009</c:v>
                </c:pt>
                <c:pt idx="181">
                  <c:v>8.8960305925984002</c:v>
                </c:pt>
                <c:pt idx="182">
                  <c:v>9.0652380078284995</c:v>
                </c:pt>
                <c:pt idx="183">
                  <c:v>9.2344454230585988</c:v>
                </c:pt>
                <c:pt idx="184">
                  <c:v>9.4036528382886981</c:v>
                </c:pt>
                <c:pt idx="185">
                  <c:v>9.5728602535187974</c:v>
                </c:pt>
                <c:pt idx="186">
                  <c:v>9.7420676687488967</c:v>
                </c:pt>
                <c:pt idx="187">
                  <c:v>9.911275083978996</c:v>
                </c:pt>
                <c:pt idx="188">
                  <c:v>10.080482499209095</c:v>
                </c:pt>
                <c:pt idx="189">
                  <c:v>10.249689914439195</c:v>
                </c:pt>
                <c:pt idx="190">
                  <c:v>10.418897329669294</c:v>
                </c:pt>
                <c:pt idx="191">
                  <c:v>10.588104744899393</c:v>
                </c:pt>
                <c:pt idx="192">
                  <c:v>10.757312160129493</c:v>
                </c:pt>
                <c:pt idx="193">
                  <c:v>10.926519575359592</c:v>
                </c:pt>
                <c:pt idx="194">
                  <c:v>11.095726990589691</c:v>
                </c:pt>
                <c:pt idx="195">
                  <c:v>11.26493440581979</c:v>
                </c:pt>
                <c:pt idx="196">
                  <c:v>11.43414182104989</c:v>
                </c:pt>
                <c:pt idx="197">
                  <c:v>11.603349236279989</c:v>
                </c:pt>
                <c:pt idx="198">
                  <c:v>11.772556651510088</c:v>
                </c:pt>
                <c:pt idx="199">
                  <c:v>11.941764066740188</c:v>
                </c:pt>
                <c:pt idx="200">
                  <c:v>12.110971481970287</c:v>
                </c:pt>
              </c:numCache>
            </c:numRef>
          </c:xVal>
          <c:yVal>
            <c:numRef>
              <c:f>SPX!$I$9:$I$209</c:f>
              <c:numCache>
                <c:formatCode>General</c:formatCode>
                <c:ptCount val="201"/>
                <c:pt idx="0">
                  <c:v>3.9818801250379981E-4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3.9818801250379981E-4</c:v>
                </c:pt>
                <c:pt idx="73">
                  <c:v>7.9637602500759962E-4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3.9818801250379981E-4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3.9818801250379981E-4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3.9818801250379981E-4</c:v>
                </c:pt>
                <c:pt idx="86">
                  <c:v>1.1945640375113995E-3</c:v>
                </c:pt>
                <c:pt idx="87">
                  <c:v>7.9637602500759962E-4</c:v>
                </c:pt>
                <c:pt idx="88">
                  <c:v>0</c:v>
                </c:pt>
                <c:pt idx="89">
                  <c:v>0</c:v>
                </c:pt>
                <c:pt idx="90">
                  <c:v>1.1945640375113995E-3</c:v>
                </c:pt>
                <c:pt idx="91">
                  <c:v>0</c:v>
                </c:pt>
                <c:pt idx="92">
                  <c:v>7.9637602500759962E-4</c:v>
                </c:pt>
                <c:pt idx="93">
                  <c:v>0</c:v>
                </c:pt>
                <c:pt idx="94">
                  <c:v>0</c:v>
                </c:pt>
                <c:pt idx="95">
                  <c:v>7.9637602500759962E-4</c:v>
                </c:pt>
                <c:pt idx="96">
                  <c:v>7.9637602500759962E-4</c:v>
                </c:pt>
                <c:pt idx="97">
                  <c:v>3.9818801250379981E-4</c:v>
                </c:pt>
                <c:pt idx="98">
                  <c:v>7.9637602500759962E-4</c:v>
                </c:pt>
                <c:pt idx="99">
                  <c:v>7.9637602500759962E-4</c:v>
                </c:pt>
                <c:pt idx="100">
                  <c:v>0</c:v>
                </c:pt>
                <c:pt idx="101">
                  <c:v>7.9637602500759962E-4</c:v>
                </c:pt>
                <c:pt idx="102">
                  <c:v>1.1945640375113995E-3</c:v>
                </c:pt>
                <c:pt idx="103">
                  <c:v>7.9637602500759962E-4</c:v>
                </c:pt>
                <c:pt idx="104">
                  <c:v>2.3891280750227991E-3</c:v>
                </c:pt>
                <c:pt idx="105">
                  <c:v>1.1945640375113995E-3</c:v>
                </c:pt>
                <c:pt idx="106">
                  <c:v>1.9909400625189992E-3</c:v>
                </c:pt>
                <c:pt idx="107">
                  <c:v>2.787316087526599E-3</c:v>
                </c:pt>
                <c:pt idx="108">
                  <c:v>1.5927520500151992E-3</c:v>
                </c:pt>
                <c:pt idx="109">
                  <c:v>6.371008200060797E-3</c:v>
                </c:pt>
                <c:pt idx="110">
                  <c:v>8.3619482625797974E-3</c:v>
                </c:pt>
                <c:pt idx="111">
                  <c:v>7.5655722375721967E-3</c:v>
                </c:pt>
                <c:pt idx="112">
                  <c:v>1.1149264350106396E-2</c:v>
                </c:pt>
                <c:pt idx="113">
                  <c:v>1.2343828387617797E-2</c:v>
                </c:pt>
                <c:pt idx="114">
                  <c:v>1.9113024600182393E-2</c:v>
                </c:pt>
                <c:pt idx="115">
                  <c:v>1.7122084537663392E-2</c:v>
                </c:pt>
                <c:pt idx="116">
                  <c:v>2.6280408825250789E-2</c:v>
                </c:pt>
                <c:pt idx="117">
                  <c:v>4.2606117337906584E-2</c:v>
                </c:pt>
                <c:pt idx="118">
                  <c:v>5.0968065600486376E-2</c:v>
                </c:pt>
                <c:pt idx="119">
                  <c:v>7.1275654238180178E-2</c:v>
                </c:pt>
                <c:pt idx="120">
                  <c:v>9.3175994925889169E-2</c:v>
                </c:pt>
                <c:pt idx="121">
                  <c:v>0.10273250722598036</c:v>
                </c:pt>
                <c:pt idx="122">
                  <c:v>0.14693137661390213</c:v>
                </c:pt>
                <c:pt idx="123">
                  <c:v>0.20028857028941133</c:v>
                </c:pt>
                <c:pt idx="124">
                  <c:v>0.25603489203994328</c:v>
                </c:pt>
                <c:pt idx="125">
                  <c:v>0.32332866615308548</c:v>
                </c:pt>
                <c:pt idx="126">
                  <c:v>0.41331915697894428</c:v>
                </c:pt>
                <c:pt idx="127">
                  <c:v>0.51206978407988657</c:v>
                </c:pt>
                <c:pt idx="128">
                  <c:v>0.60604215503078329</c:v>
                </c:pt>
                <c:pt idx="129">
                  <c:v>0.60763490708079859</c:v>
                </c:pt>
                <c:pt idx="130">
                  <c:v>0.51525528817991706</c:v>
                </c:pt>
                <c:pt idx="131">
                  <c:v>0.44039594182920261</c:v>
                </c:pt>
                <c:pt idx="132">
                  <c:v>0.35239639106586285</c:v>
                </c:pt>
                <c:pt idx="133">
                  <c:v>0.26479502831502688</c:v>
                </c:pt>
                <c:pt idx="134">
                  <c:v>0.19869581823939611</c:v>
                </c:pt>
                <c:pt idx="135">
                  <c:v>0.13856942835132235</c:v>
                </c:pt>
                <c:pt idx="136">
                  <c:v>9.715787505092717E-2</c:v>
                </c:pt>
                <c:pt idx="137">
                  <c:v>8.0832166538271369E-2</c:v>
                </c:pt>
                <c:pt idx="138">
                  <c:v>6.0126389888073783E-2</c:v>
                </c:pt>
                <c:pt idx="139">
                  <c:v>4.8578937525463585E-2</c:v>
                </c:pt>
                <c:pt idx="140">
                  <c:v>3.1456852987800189E-2</c:v>
                </c:pt>
                <c:pt idx="141">
                  <c:v>2.2696716712716589E-2</c:v>
                </c:pt>
                <c:pt idx="142">
                  <c:v>2.3493092737724191E-2</c:v>
                </c:pt>
                <c:pt idx="143">
                  <c:v>1.4732956462640594E-2</c:v>
                </c:pt>
                <c:pt idx="144">
                  <c:v>1.2343828387617797E-2</c:v>
                </c:pt>
                <c:pt idx="145">
                  <c:v>7.5655722375721967E-3</c:v>
                </c:pt>
                <c:pt idx="146">
                  <c:v>8.3619482625797974E-3</c:v>
                </c:pt>
                <c:pt idx="147">
                  <c:v>2.3891280750227991E-3</c:v>
                </c:pt>
                <c:pt idx="148">
                  <c:v>2.787316087526599E-3</c:v>
                </c:pt>
                <c:pt idx="149">
                  <c:v>2.787316087526599E-3</c:v>
                </c:pt>
                <c:pt idx="150">
                  <c:v>5.1764441625493981E-3</c:v>
                </c:pt>
                <c:pt idx="151">
                  <c:v>2.787316087526599E-3</c:v>
                </c:pt>
                <c:pt idx="152">
                  <c:v>1.5927520500151992E-3</c:v>
                </c:pt>
                <c:pt idx="153">
                  <c:v>4.7782561500455982E-3</c:v>
                </c:pt>
                <c:pt idx="154">
                  <c:v>1.5927520500151992E-3</c:v>
                </c:pt>
                <c:pt idx="155">
                  <c:v>1.5927520500151992E-3</c:v>
                </c:pt>
                <c:pt idx="156">
                  <c:v>3.9818801250379981E-4</c:v>
                </c:pt>
                <c:pt idx="157">
                  <c:v>7.9637602500759962E-4</c:v>
                </c:pt>
                <c:pt idx="158">
                  <c:v>1.5927520500151992E-3</c:v>
                </c:pt>
                <c:pt idx="159">
                  <c:v>7.9637602500759962E-4</c:v>
                </c:pt>
                <c:pt idx="160">
                  <c:v>1.5927520500151992E-3</c:v>
                </c:pt>
                <c:pt idx="161">
                  <c:v>3.9818801250379981E-4</c:v>
                </c:pt>
                <c:pt idx="162">
                  <c:v>7.9637602500759962E-4</c:v>
                </c:pt>
                <c:pt idx="163">
                  <c:v>0</c:v>
                </c:pt>
                <c:pt idx="164">
                  <c:v>3.9818801250379981E-4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3.9818801250379981E-4</c:v>
                </c:pt>
                <c:pt idx="169">
                  <c:v>3.9818801250379981E-4</c:v>
                </c:pt>
                <c:pt idx="170">
                  <c:v>0</c:v>
                </c:pt>
                <c:pt idx="171">
                  <c:v>3.9818801250379981E-4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3.9818801250379981E-4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3.9818801250379981E-4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3.9818801250379981E-4</c:v>
                </c:pt>
              </c:numCache>
            </c:numRef>
          </c:yVal>
        </c:ser>
        <c:ser>
          <c:idx val="1"/>
          <c:order val="1"/>
          <c:tx>
            <c:strRef>
              <c:f>SPX!$J$8</c:f>
              <c:strCache>
                <c:ptCount val="1"/>
                <c:pt idx="0">
                  <c:v>Normal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SPX!$H$9:$H$209</c:f>
              <c:numCache>
                <c:formatCode>General</c:formatCode>
                <c:ptCount val="201"/>
                <c:pt idx="0">
                  <c:v>-21.730511564049635</c:v>
                </c:pt>
                <c:pt idx="1">
                  <c:v>-21.561304148819534</c:v>
                </c:pt>
                <c:pt idx="2">
                  <c:v>-21.392096733589433</c:v>
                </c:pt>
                <c:pt idx="3">
                  <c:v>-21.222889318359332</c:v>
                </c:pt>
                <c:pt idx="4">
                  <c:v>-21.053681903129231</c:v>
                </c:pt>
                <c:pt idx="5">
                  <c:v>-20.88447448789913</c:v>
                </c:pt>
                <c:pt idx="6">
                  <c:v>-20.715267072669029</c:v>
                </c:pt>
                <c:pt idx="7">
                  <c:v>-20.546059657438928</c:v>
                </c:pt>
                <c:pt idx="8">
                  <c:v>-20.376852242208827</c:v>
                </c:pt>
                <c:pt idx="9">
                  <c:v>-20.207644826978726</c:v>
                </c:pt>
                <c:pt idx="10">
                  <c:v>-20.038437411748625</c:v>
                </c:pt>
                <c:pt idx="11">
                  <c:v>-19.869229996518524</c:v>
                </c:pt>
                <c:pt idx="12">
                  <c:v>-19.700022581288422</c:v>
                </c:pt>
                <c:pt idx="13">
                  <c:v>-19.530815166058321</c:v>
                </c:pt>
                <c:pt idx="14">
                  <c:v>-19.36160775082822</c:v>
                </c:pt>
                <c:pt idx="15">
                  <c:v>-19.192400335598119</c:v>
                </c:pt>
                <c:pt idx="16">
                  <c:v>-19.023192920368018</c:v>
                </c:pt>
                <c:pt idx="17">
                  <c:v>-18.853985505137917</c:v>
                </c:pt>
                <c:pt idx="18">
                  <c:v>-18.684778089907816</c:v>
                </c:pt>
                <c:pt idx="19">
                  <c:v>-18.515570674677715</c:v>
                </c:pt>
                <c:pt idx="20">
                  <c:v>-18.346363259447614</c:v>
                </c:pt>
                <c:pt idx="21">
                  <c:v>-18.177155844217513</c:v>
                </c:pt>
                <c:pt idx="22">
                  <c:v>-18.007948428987412</c:v>
                </c:pt>
                <c:pt idx="23">
                  <c:v>-17.838741013757311</c:v>
                </c:pt>
                <c:pt idx="24">
                  <c:v>-17.66953359852721</c:v>
                </c:pt>
                <c:pt idx="25">
                  <c:v>-17.500326183297108</c:v>
                </c:pt>
                <c:pt idx="26">
                  <c:v>-17.331118768067007</c:v>
                </c:pt>
                <c:pt idx="27">
                  <c:v>-17.161911352836906</c:v>
                </c:pt>
                <c:pt idx="28">
                  <c:v>-16.992703937606805</c:v>
                </c:pt>
                <c:pt idx="29">
                  <c:v>-16.823496522376704</c:v>
                </c:pt>
                <c:pt idx="30">
                  <c:v>-16.654289107146603</c:v>
                </c:pt>
                <c:pt idx="31">
                  <c:v>-16.485081691916502</c:v>
                </c:pt>
                <c:pt idx="32">
                  <c:v>-16.315874276686401</c:v>
                </c:pt>
                <c:pt idx="33">
                  <c:v>-16.1466668614563</c:v>
                </c:pt>
                <c:pt idx="34">
                  <c:v>-15.977459446226202</c:v>
                </c:pt>
                <c:pt idx="35">
                  <c:v>-15.808252030996103</c:v>
                </c:pt>
                <c:pt idx="36">
                  <c:v>-15.639044615766004</c:v>
                </c:pt>
                <c:pt idx="37">
                  <c:v>-15.469837200535904</c:v>
                </c:pt>
                <c:pt idx="38">
                  <c:v>-15.300629785305805</c:v>
                </c:pt>
                <c:pt idx="39">
                  <c:v>-15.131422370075706</c:v>
                </c:pt>
                <c:pt idx="40">
                  <c:v>-14.962214954845606</c:v>
                </c:pt>
                <c:pt idx="41">
                  <c:v>-14.793007539615507</c:v>
                </c:pt>
                <c:pt idx="42">
                  <c:v>-14.623800124385408</c:v>
                </c:pt>
                <c:pt idx="43">
                  <c:v>-14.454592709155309</c:v>
                </c:pt>
                <c:pt idx="44">
                  <c:v>-14.285385293925209</c:v>
                </c:pt>
                <c:pt idx="45">
                  <c:v>-14.11617787869511</c:v>
                </c:pt>
                <c:pt idx="46">
                  <c:v>-13.946970463465011</c:v>
                </c:pt>
                <c:pt idx="47">
                  <c:v>-13.777763048234911</c:v>
                </c:pt>
                <c:pt idx="48">
                  <c:v>-13.608555633004812</c:v>
                </c:pt>
                <c:pt idx="49">
                  <c:v>-13.439348217774713</c:v>
                </c:pt>
                <c:pt idx="50">
                  <c:v>-13.270140802544613</c:v>
                </c:pt>
                <c:pt idx="51">
                  <c:v>-13.100933387314514</c:v>
                </c:pt>
                <c:pt idx="52">
                  <c:v>-12.931725972084415</c:v>
                </c:pt>
                <c:pt idx="53">
                  <c:v>-12.762518556854316</c:v>
                </c:pt>
                <c:pt idx="54">
                  <c:v>-12.593311141624216</c:v>
                </c:pt>
                <c:pt idx="55">
                  <c:v>-12.424103726394117</c:v>
                </c:pt>
                <c:pt idx="56">
                  <c:v>-12.254896311164018</c:v>
                </c:pt>
                <c:pt idx="57">
                  <c:v>-12.085688895933918</c:v>
                </c:pt>
                <c:pt idx="58">
                  <c:v>-11.916481480703819</c:v>
                </c:pt>
                <c:pt idx="59">
                  <c:v>-11.74727406547372</c:v>
                </c:pt>
                <c:pt idx="60">
                  <c:v>-11.57806665024362</c:v>
                </c:pt>
                <c:pt idx="61">
                  <c:v>-11.408859235013521</c:v>
                </c:pt>
                <c:pt idx="62">
                  <c:v>-11.239651819783422</c:v>
                </c:pt>
                <c:pt idx="63">
                  <c:v>-11.070444404553323</c:v>
                </c:pt>
                <c:pt idx="64">
                  <c:v>-10.901236989323223</c:v>
                </c:pt>
                <c:pt idx="65">
                  <c:v>-10.732029574093124</c:v>
                </c:pt>
                <c:pt idx="66">
                  <c:v>-10.562822158863025</c:v>
                </c:pt>
                <c:pt idx="67">
                  <c:v>-10.393614743632925</c:v>
                </c:pt>
                <c:pt idx="68">
                  <c:v>-10.224407328402826</c:v>
                </c:pt>
                <c:pt idx="69">
                  <c:v>-10.055199913172727</c:v>
                </c:pt>
                <c:pt idx="70">
                  <c:v>-9.8859924979426275</c:v>
                </c:pt>
                <c:pt idx="71">
                  <c:v>-9.7167850827125282</c:v>
                </c:pt>
                <c:pt idx="72">
                  <c:v>-9.5475776674824289</c:v>
                </c:pt>
                <c:pt idx="73">
                  <c:v>-9.3783702522523296</c:v>
                </c:pt>
                <c:pt idx="74">
                  <c:v>-9.2091628370222303</c:v>
                </c:pt>
                <c:pt idx="75">
                  <c:v>-9.039955421792131</c:v>
                </c:pt>
                <c:pt idx="76">
                  <c:v>-8.8707480065620317</c:v>
                </c:pt>
                <c:pt idx="77">
                  <c:v>-8.7015405913319324</c:v>
                </c:pt>
                <c:pt idx="78">
                  <c:v>-8.5323331761018331</c:v>
                </c:pt>
                <c:pt idx="79">
                  <c:v>-8.3631257608717338</c:v>
                </c:pt>
                <c:pt idx="80">
                  <c:v>-8.1939183456416345</c:v>
                </c:pt>
                <c:pt idx="81">
                  <c:v>-8.0247109304115352</c:v>
                </c:pt>
                <c:pt idx="82">
                  <c:v>-7.855503515181435</c:v>
                </c:pt>
                <c:pt idx="83">
                  <c:v>-7.6862960999513357</c:v>
                </c:pt>
                <c:pt idx="84">
                  <c:v>-7.5170886847212364</c:v>
                </c:pt>
                <c:pt idx="85">
                  <c:v>-7.3478812694911371</c:v>
                </c:pt>
                <c:pt idx="86">
                  <c:v>-7.1786738542610378</c:v>
                </c:pt>
                <c:pt idx="87">
                  <c:v>-7.0094664390309385</c:v>
                </c:pt>
                <c:pt idx="88">
                  <c:v>-6.8402590238008392</c:v>
                </c:pt>
                <c:pt idx="89">
                  <c:v>-6.6710516085707399</c:v>
                </c:pt>
                <c:pt idx="90">
                  <c:v>-6.5018441933406406</c:v>
                </c:pt>
                <c:pt idx="91">
                  <c:v>-6.3326367781105413</c:v>
                </c:pt>
                <c:pt idx="92">
                  <c:v>-6.163429362880442</c:v>
                </c:pt>
                <c:pt idx="93">
                  <c:v>-5.9942219476503427</c:v>
                </c:pt>
                <c:pt idx="94">
                  <c:v>-5.8250145324202434</c:v>
                </c:pt>
                <c:pt idx="95">
                  <c:v>-5.6558071171901441</c:v>
                </c:pt>
                <c:pt idx="96">
                  <c:v>-5.4865997019600448</c:v>
                </c:pt>
                <c:pt idx="97">
                  <c:v>-5.3173922867299455</c:v>
                </c:pt>
                <c:pt idx="98">
                  <c:v>-5.1481848714998462</c:v>
                </c:pt>
                <c:pt idx="99">
                  <c:v>-4.9789774562697469</c:v>
                </c:pt>
                <c:pt idx="100">
                  <c:v>-4.8097700410396476</c:v>
                </c:pt>
                <c:pt idx="101">
                  <c:v>-4.6405626258095483</c:v>
                </c:pt>
                <c:pt idx="102">
                  <c:v>-4.471355210579449</c:v>
                </c:pt>
                <c:pt idx="103">
                  <c:v>-4.3021477953493497</c:v>
                </c:pt>
                <c:pt idx="104">
                  <c:v>-4.1329403801192504</c:v>
                </c:pt>
                <c:pt idx="105">
                  <c:v>-3.9637329648891511</c:v>
                </c:pt>
                <c:pt idx="106">
                  <c:v>-3.7945255496590518</c:v>
                </c:pt>
                <c:pt idx="107">
                  <c:v>-3.6253181344289525</c:v>
                </c:pt>
                <c:pt idx="108">
                  <c:v>-3.4561107191988532</c:v>
                </c:pt>
                <c:pt idx="109">
                  <c:v>-3.2869033039687539</c:v>
                </c:pt>
                <c:pt idx="110">
                  <c:v>-3.1176958887386546</c:v>
                </c:pt>
                <c:pt idx="111">
                  <c:v>-2.9484884735085553</c:v>
                </c:pt>
                <c:pt idx="112">
                  <c:v>-2.779281058278456</c:v>
                </c:pt>
                <c:pt idx="113">
                  <c:v>-2.6100736430483567</c:v>
                </c:pt>
                <c:pt idx="114">
                  <c:v>-2.4408662278182574</c:v>
                </c:pt>
                <c:pt idx="115">
                  <c:v>-2.271658812588158</c:v>
                </c:pt>
                <c:pt idx="116">
                  <c:v>-2.1024513973580587</c:v>
                </c:pt>
                <c:pt idx="117">
                  <c:v>-1.9332439821279594</c:v>
                </c:pt>
                <c:pt idx="118">
                  <c:v>-1.7640365668978597</c:v>
                </c:pt>
                <c:pt idx="119">
                  <c:v>-1.5948291516677604</c:v>
                </c:pt>
                <c:pt idx="120">
                  <c:v>-1.4256217364376607</c:v>
                </c:pt>
                <c:pt idx="121">
                  <c:v>-1.2564143212075614</c:v>
                </c:pt>
                <c:pt idx="122">
                  <c:v>-1.0872069059774616</c:v>
                </c:pt>
                <c:pt idx="123">
                  <c:v>-0.9179994907473622</c:v>
                </c:pt>
                <c:pt idx="124">
                  <c:v>-0.74879207551726268</c:v>
                </c:pt>
                <c:pt idx="125">
                  <c:v>-0.57958466028716316</c:v>
                </c:pt>
                <c:pt idx="126">
                  <c:v>-0.41037724505706363</c:v>
                </c:pt>
                <c:pt idx="127">
                  <c:v>-0.24116982982696411</c:v>
                </c:pt>
                <c:pt idx="128">
                  <c:v>-7.1962414596864588E-2</c:v>
                </c:pt>
                <c:pt idx="129">
                  <c:v>9.7245000633234935E-2</c:v>
                </c:pt>
                <c:pt idx="130">
                  <c:v>0.26645241586333446</c:v>
                </c:pt>
                <c:pt idx="131">
                  <c:v>0.43565983109343398</c:v>
                </c:pt>
                <c:pt idx="132">
                  <c:v>0.6048672463235335</c:v>
                </c:pt>
                <c:pt idx="133">
                  <c:v>0.77407466155363303</c:v>
                </c:pt>
                <c:pt idx="134">
                  <c:v>0.94328207678373255</c:v>
                </c:pt>
                <c:pt idx="135">
                  <c:v>1.112489492013832</c:v>
                </c:pt>
                <c:pt idx="136">
                  <c:v>1.2816969072439317</c:v>
                </c:pt>
                <c:pt idx="137">
                  <c:v>1.450904322474031</c:v>
                </c:pt>
                <c:pt idx="138">
                  <c:v>1.6201117377041307</c:v>
                </c:pt>
                <c:pt idx="139">
                  <c:v>1.7893191529342301</c:v>
                </c:pt>
                <c:pt idx="140">
                  <c:v>1.9585265681643298</c:v>
                </c:pt>
                <c:pt idx="141">
                  <c:v>2.1277339833944291</c:v>
                </c:pt>
                <c:pt idx="142">
                  <c:v>2.2969413986245284</c:v>
                </c:pt>
                <c:pt idx="143">
                  <c:v>2.4661488138546277</c:v>
                </c:pt>
                <c:pt idx="144">
                  <c:v>2.635356229084727</c:v>
                </c:pt>
                <c:pt idx="145">
                  <c:v>2.8045636443148263</c:v>
                </c:pt>
                <c:pt idx="146">
                  <c:v>2.9737710595449256</c:v>
                </c:pt>
                <c:pt idx="147">
                  <c:v>3.1429784747750249</c:v>
                </c:pt>
                <c:pt idx="148">
                  <c:v>3.3121858900051242</c:v>
                </c:pt>
                <c:pt idx="149">
                  <c:v>3.4813933052352235</c:v>
                </c:pt>
                <c:pt idx="150">
                  <c:v>3.6506007204653228</c:v>
                </c:pt>
                <c:pt idx="151">
                  <c:v>3.8198081356954221</c:v>
                </c:pt>
                <c:pt idx="152">
                  <c:v>3.9890155509255214</c:v>
                </c:pt>
                <c:pt idx="153">
                  <c:v>4.1582229661556207</c:v>
                </c:pt>
                <c:pt idx="154">
                  <c:v>4.32743038138572</c:v>
                </c:pt>
                <c:pt idx="155">
                  <c:v>4.4966377966158193</c:v>
                </c:pt>
                <c:pt idx="156">
                  <c:v>4.6658452118459186</c:v>
                </c:pt>
                <c:pt idx="157">
                  <c:v>4.8350526270760179</c:v>
                </c:pt>
                <c:pt idx="158">
                  <c:v>5.0042600423061172</c:v>
                </c:pt>
                <c:pt idx="159">
                  <c:v>5.1734674575362165</c:v>
                </c:pt>
                <c:pt idx="160">
                  <c:v>5.3426748727663158</c:v>
                </c:pt>
                <c:pt idx="161">
                  <c:v>5.5118822879964151</c:v>
                </c:pt>
                <c:pt idx="162">
                  <c:v>5.6810897032265144</c:v>
                </c:pt>
                <c:pt idx="163">
                  <c:v>5.8502971184566137</c:v>
                </c:pt>
                <c:pt idx="164">
                  <c:v>6.019504533686713</c:v>
                </c:pt>
                <c:pt idx="165">
                  <c:v>6.1887119489168123</c:v>
                </c:pt>
                <c:pt idx="166">
                  <c:v>6.3579193641469116</c:v>
                </c:pt>
                <c:pt idx="167">
                  <c:v>6.5271267793770109</c:v>
                </c:pt>
                <c:pt idx="168">
                  <c:v>6.6963341946071102</c:v>
                </c:pt>
                <c:pt idx="169">
                  <c:v>6.8655416098372095</c:v>
                </c:pt>
                <c:pt idx="170">
                  <c:v>7.0347490250673088</c:v>
                </c:pt>
                <c:pt idx="171">
                  <c:v>7.2039564402974081</c:v>
                </c:pt>
                <c:pt idx="172">
                  <c:v>7.3731638555275074</c:v>
                </c:pt>
                <c:pt idx="173">
                  <c:v>7.5423712707576067</c:v>
                </c:pt>
                <c:pt idx="174">
                  <c:v>7.711578685987706</c:v>
                </c:pt>
                <c:pt idx="175">
                  <c:v>7.8807861012178053</c:v>
                </c:pt>
                <c:pt idx="176">
                  <c:v>8.0499935164479037</c:v>
                </c:pt>
                <c:pt idx="177">
                  <c:v>8.219200931678003</c:v>
                </c:pt>
                <c:pt idx="178">
                  <c:v>8.3884083469081023</c:v>
                </c:pt>
                <c:pt idx="179">
                  <c:v>8.5576157621382016</c:v>
                </c:pt>
                <c:pt idx="180">
                  <c:v>8.7268231773683009</c:v>
                </c:pt>
                <c:pt idx="181">
                  <c:v>8.8960305925984002</c:v>
                </c:pt>
                <c:pt idx="182">
                  <c:v>9.0652380078284995</c:v>
                </c:pt>
                <c:pt idx="183">
                  <c:v>9.2344454230585988</c:v>
                </c:pt>
                <c:pt idx="184">
                  <c:v>9.4036528382886981</c:v>
                </c:pt>
                <c:pt idx="185">
                  <c:v>9.5728602535187974</c:v>
                </c:pt>
                <c:pt idx="186">
                  <c:v>9.7420676687488967</c:v>
                </c:pt>
                <c:pt idx="187">
                  <c:v>9.911275083978996</c:v>
                </c:pt>
                <c:pt idx="188">
                  <c:v>10.080482499209095</c:v>
                </c:pt>
                <c:pt idx="189">
                  <c:v>10.249689914439195</c:v>
                </c:pt>
                <c:pt idx="190">
                  <c:v>10.418897329669294</c:v>
                </c:pt>
                <c:pt idx="191">
                  <c:v>10.588104744899393</c:v>
                </c:pt>
                <c:pt idx="192">
                  <c:v>10.757312160129493</c:v>
                </c:pt>
                <c:pt idx="193">
                  <c:v>10.926519575359592</c:v>
                </c:pt>
                <c:pt idx="194">
                  <c:v>11.095726990589691</c:v>
                </c:pt>
                <c:pt idx="195">
                  <c:v>11.26493440581979</c:v>
                </c:pt>
                <c:pt idx="196">
                  <c:v>11.43414182104989</c:v>
                </c:pt>
                <c:pt idx="197">
                  <c:v>11.603349236279989</c:v>
                </c:pt>
                <c:pt idx="198">
                  <c:v>11.772556651510088</c:v>
                </c:pt>
                <c:pt idx="199">
                  <c:v>11.941764066740188</c:v>
                </c:pt>
                <c:pt idx="200">
                  <c:v>12.110971481970287</c:v>
                </c:pt>
              </c:numCache>
            </c:numRef>
          </c:xVal>
          <c:yVal>
            <c:numRef>
              <c:f>SPX!$J$9:$J$209</c:f>
              <c:numCache>
                <c:formatCode>General</c:formatCode>
                <c:ptCount val="201"/>
                <c:pt idx="0">
                  <c:v>1.1499973379364052E-103</c:v>
                </c:pt>
                <c:pt idx="1">
                  <c:v>4.4808943277622083E-102</c:v>
                </c:pt>
                <c:pt idx="2">
                  <c:v>1.6966732746562001E-100</c:v>
                </c:pt>
                <c:pt idx="3">
                  <c:v>6.2430582316100419E-99</c:v>
                </c:pt>
                <c:pt idx="4">
                  <c:v>2.2323495666576156E-97</c:v>
                </c:pt>
                <c:pt idx="5">
                  <c:v>7.7569799470962577E-96</c:v>
                </c:pt>
                <c:pt idx="6">
                  <c:v>2.6193213623908591E-94</c:v>
                </c:pt>
                <c:pt idx="7">
                  <c:v>8.5950924215611382E-93</c:v>
                </c:pt>
                <c:pt idx="8">
                  <c:v>2.7408039200602719E-91</c:v>
                </c:pt>
                <c:pt idx="9">
                  <c:v>8.4931937683198291E-90</c:v>
                </c:pt>
                <c:pt idx="10">
                  <c:v>2.557583066760332E-88</c:v>
                </c:pt>
                <c:pt idx="11">
                  <c:v>7.4843504209809624E-87</c:v>
                </c:pt>
                <c:pt idx="12">
                  <c:v>2.1283552953691167E-85</c:v>
                </c:pt>
                <c:pt idx="13">
                  <c:v>5.8816583409921237E-84</c:v>
                </c:pt>
                <c:pt idx="14">
                  <c:v>1.5795053743864236E-82</c:v>
                </c:pt>
                <c:pt idx="15">
                  <c:v>4.1220008075467237E-81</c:v>
                </c:pt>
                <c:pt idx="16">
                  <c:v>1.0453475047363318E-79</c:v>
                </c:pt>
                <c:pt idx="17">
                  <c:v>2.5761962938187808E-78</c:v>
                </c:pt>
                <c:pt idx="18">
                  <c:v>6.1696832086805867E-77</c:v>
                </c:pt>
                <c:pt idx="19">
                  <c:v>1.4358610970247523E-75</c:v>
                </c:pt>
                <c:pt idx="20">
                  <c:v>3.2473391065575238E-74</c:v>
                </c:pt>
                <c:pt idx="21">
                  <c:v>7.1368818328578092E-73</c:v>
                </c:pt>
                <c:pt idx="22">
                  <c:v>1.5242458434242369E-71</c:v>
                </c:pt>
                <c:pt idx="23">
                  <c:v>3.1634952193860744E-70</c:v>
                </c:pt>
                <c:pt idx="24">
                  <c:v>6.38035723441089E-69</c:v>
                </c:pt>
                <c:pt idx="25">
                  <c:v>1.2505137120123664E-67</c:v>
                </c:pt>
                <c:pt idx="26">
                  <c:v>2.3817576606143044E-66</c:v>
                </c:pt>
                <c:pt idx="27">
                  <c:v>4.4083120896962283E-65</c:v>
                </c:pt>
                <c:pt idx="28">
                  <c:v>7.9288964364003482E-64</c:v>
                </c:pt>
                <c:pt idx="29">
                  <c:v>1.3858582367032358E-62</c:v>
                </c:pt>
                <c:pt idx="30">
                  <c:v>2.3539136059790335E-61</c:v>
                </c:pt>
                <c:pt idx="31">
                  <c:v>3.8853297263195871E-60</c:v>
                </c:pt>
                <c:pt idx="32">
                  <c:v>6.2320494732841438E-59</c:v>
                </c:pt>
                <c:pt idx="33">
                  <c:v>9.714032533220655E-58</c:v>
                </c:pt>
                <c:pt idx="34">
                  <c:v>1.4714105470983315E-56</c:v>
                </c:pt>
                <c:pt idx="35">
                  <c:v>2.1658771807616448E-55</c:v>
                </c:pt>
                <c:pt idx="36">
                  <c:v>3.0981285681785559E-54</c:v>
                </c:pt>
                <c:pt idx="37">
                  <c:v>4.3065619308884151E-53</c:v>
                </c:pt>
                <c:pt idx="38">
                  <c:v>5.8173823294413319E-52</c:v>
                </c:pt>
                <c:pt idx="39">
                  <c:v>7.6364263512728778E-51</c:v>
                </c:pt>
                <c:pt idx="40">
                  <c:v>9.7413327310265807E-50</c:v>
                </c:pt>
                <c:pt idx="41">
                  <c:v>1.2075697839296072E-48</c:v>
                </c:pt>
                <c:pt idx="42">
                  <c:v>1.4546943335630236E-47</c:v>
                </c:pt>
                <c:pt idx="43">
                  <c:v>1.7029304322666858E-46</c:v>
                </c:pt>
                <c:pt idx="44">
                  <c:v>1.9372591281849257E-45</c:v>
                </c:pt>
                <c:pt idx="45">
                  <c:v>2.1416286844157244E-44</c:v>
                </c:pt>
                <c:pt idx="46">
                  <c:v>2.3007333297916595E-43</c:v>
                </c:pt>
                <c:pt idx="47">
                  <c:v>2.4018951363346185E-42</c:v>
                </c:pt>
                <c:pt idx="48">
                  <c:v>2.4367302307822999E-41</c:v>
                </c:pt>
                <c:pt idx="49">
                  <c:v>2.402295953271326E-40</c:v>
                </c:pt>
                <c:pt idx="50">
                  <c:v>2.3015012649237212E-39</c:v>
                </c:pt>
                <c:pt idx="51">
                  <c:v>2.142701018036541E-38</c:v>
                </c:pt>
                <c:pt idx="52">
                  <c:v>1.9385525745870228E-37</c:v>
                </c:pt>
                <c:pt idx="53">
                  <c:v>1.7043517915777609E-36</c:v>
                </c:pt>
                <c:pt idx="54">
                  <c:v>1.4561514565329754E-35</c:v>
                </c:pt>
                <c:pt idx="55">
                  <c:v>1.2089810851738619E-34</c:v>
                </c:pt>
                <c:pt idx="56">
                  <c:v>9.7543450305821869E-34</c:v>
                </c:pt>
                <c:pt idx="57">
                  <c:v>7.6479029872613085E-33</c:v>
                </c:pt>
                <c:pt idx="58">
                  <c:v>5.8270973960033385E-32</c:v>
                </c:pt>
                <c:pt idx="59">
                  <c:v>4.3144737764140624E-31</c:v>
                </c:pt>
                <c:pt idx="60">
                  <c:v>3.1043382785511905E-30</c:v>
                </c:pt>
                <c:pt idx="61">
                  <c:v>2.1705804959794825E-29</c:v>
                </c:pt>
                <c:pt idx="62">
                  <c:v>1.4748518670771575E-28</c:v>
                </c:pt>
                <c:pt idx="63">
                  <c:v>9.7383764366294677E-28</c:v>
                </c:pt>
                <c:pt idx="64">
                  <c:v>6.2487099156126229E-27</c:v>
                </c:pt>
                <c:pt idx="65">
                  <c:v>3.896366666912557E-26</c:v>
                </c:pt>
                <c:pt idx="66">
                  <c:v>2.3609942241965004E-25</c:v>
                </c:pt>
                <c:pt idx="67">
                  <c:v>1.390258886555097E-24</c:v>
                </c:pt>
                <c:pt idx="68">
                  <c:v>7.9554011673526349E-24</c:v>
                </c:pt>
                <c:pt idx="69">
                  <c:v>4.4237863016468765E-23</c:v>
                </c:pt>
                <c:pt idx="70">
                  <c:v>2.3905170416755218E-22</c:v>
                </c:pt>
                <c:pt idx="71">
                  <c:v>1.2553221688137162E-21</c:v>
                </c:pt>
                <c:pt idx="72">
                  <c:v>6.4059597075315462E-21</c:v>
                </c:pt>
                <c:pt idx="73">
                  <c:v>3.1767194109293409E-20</c:v>
                </c:pt>
                <c:pt idx="74">
                  <c:v>1.5308729898510195E-19</c:v>
                </c:pt>
                <c:pt idx="75">
                  <c:v>7.1691078571043305E-19</c:v>
                </c:pt>
                <c:pt idx="76">
                  <c:v>3.2625465564590833E-18</c:v>
                </c:pt>
                <c:pt idx="77">
                  <c:v>1.4428260375061526E-17</c:v>
                </c:pt>
                <c:pt idx="78">
                  <c:v>6.2006450917198055E-17</c:v>
                </c:pt>
                <c:pt idx="79">
                  <c:v>2.5895567151769089E-16</c:v>
                </c:pt>
                <c:pt idx="80">
                  <c:v>1.0509441327316195E-15</c:v>
                </c:pt>
                <c:pt idx="81">
                  <c:v>4.1447609016824665E-15</c:v>
                </c:pt>
                <c:pt idx="82">
                  <c:v>1.5884918279360586E-14</c:v>
                </c:pt>
                <c:pt idx="83">
                  <c:v>5.9161085939086184E-14</c:v>
                </c:pt>
                <c:pt idx="84">
                  <c:v>2.14117882192122E-13</c:v>
                </c:pt>
                <c:pt idx="85">
                  <c:v>7.5307007641405009E-13</c:v>
                </c:pt>
                <c:pt idx="86">
                  <c:v>2.5738515375689299E-12</c:v>
                </c:pt>
                <c:pt idx="87">
                  <c:v>8.5486442470015654E-12</c:v>
                </c:pt>
                <c:pt idx="88">
                  <c:v>2.7591584764078637E-11</c:v>
                </c:pt>
                <c:pt idx="89">
                  <c:v>8.6540957641362109E-11</c:v>
                </c:pt>
                <c:pt idx="90">
                  <c:v>2.6377425047306446E-10</c:v>
                </c:pt>
                <c:pt idx="91">
                  <c:v>7.8128367254918197E-10</c:v>
                </c:pt>
                <c:pt idx="92">
                  <c:v>2.2487995671580939E-9</c:v>
                </c:pt>
                <c:pt idx="93">
                  <c:v>6.2901123038126961E-9</c:v>
                </c:pt>
                <c:pt idx="94">
                  <c:v>1.7097464066189735E-8</c:v>
                </c:pt>
                <c:pt idx="95">
                  <c:v>4.5161738288411013E-8</c:v>
                </c:pt>
                <c:pt idx="96">
                  <c:v>1.1592450484946741E-7</c:v>
                </c:pt>
                <c:pt idx="97">
                  <c:v>2.8916484928916306E-7</c:v>
                </c:pt>
                <c:pt idx="98">
                  <c:v>7.0094089496905041E-7</c:v>
                </c:pt>
                <c:pt idx="99">
                  <c:v>1.6511363861585091E-6</c:v>
                </c:pt>
                <c:pt idx="100">
                  <c:v>3.7796374824488229E-6</c:v>
                </c:pt>
                <c:pt idx="101">
                  <c:v>8.4078120761932501E-6</c:v>
                </c:pt>
                <c:pt idx="102">
                  <c:v>1.817529610500507E-5</c:v>
                </c:pt>
                <c:pt idx="103">
                  <c:v>3.8180854475951946E-5</c:v>
                </c:pt>
                <c:pt idx="104">
                  <c:v>7.794269926785306E-5</c:v>
                </c:pt>
                <c:pt idx="105">
                  <c:v>1.5462185891354946E-4</c:v>
                </c:pt>
                <c:pt idx="106">
                  <c:v>2.9807941707492226E-4</c:v>
                </c:pt>
                <c:pt idx="107">
                  <c:v>5.5841713499122107E-4</c:v>
                </c:pt>
                <c:pt idx="108">
                  <c:v>1.0166024073789417E-3</c:v>
                </c:pt>
                <c:pt idx="109">
                  <c:v>1.7984947786087956E-3</c:v>
                </c:pt>
                <c:pt idx="110">
                  <c:v>3.0919529639983141E-3</c:v>
                </c:pt>
                <c:pt idx="111">
                  <c:v>5.1656172750398797E-3</c:v>
                </c:pt>
                <c:pt idx="112">
                  <c:v>8.3864318614074972E-3</c:v>
                </c:pt>
                <c:pt idx="113">
                  <c:v>1.3231158424302742E-2</c:v>
                </c:pt>
                <c:pt idx="114">
                  <c:v>2.0285427573099125E-2</c:v>
                </c:pt>
                <c:pt idx="115">
                  <c:v>3.0222898494713667E-2</c:v>
                </c:pt>
                <c:pt idx="116">
                  <c:v>4.375762164462689E-2</c:v>
                </c:pt>
                <c:pt idx="117">
                  <c:v>6.1565435347086882E-2</c:v>
                </c:pt>
                <c:pt idx="118">
                  <c:v>8.4175528288497573E-2</c:v>
                </c:pt>
                <c:pt idx="119">
                  <c:v>0.11184083385836129</c:v>
                </c:pt>
                <c:pt idx="120">
                  <c:v>0.14440445504221319</c:v>
                </c:pt>
                <c:pt idx="121">
                  <c:v>0.18118675094123404</c:v>
                </c:pt>
                <c:pt idx="122">
                  <c:v>0.22092147410288229</c:v>
                </c:pt>
                <c:pt idx="123">
                  <c:v>0.26176710946068082</c:v>
                </c:pt>
                <c:pt idx="124">
                  <c:v>0.30141014933555255</c:v>
                </c:pt>
                <c:pt idx="125">
                  <c:v>0.33726115016491026</c:v>
                </c:pt>
                <c:pt idx="126">
                  <c:v>0.36672491043598365</c:v>
                </c:pt>
                <c:pt idx="127">
                  <c:v>0.3875075383335117</c:v>
                </c:pt>
                <c:pt idx="128">
                  <c:v>0.39791063751614697</c:v>
                </c:pt>
                <c:pt idx="129">
                  <c:v>0.3970604160930718</c:v>
                </c:pt>
                <c:pt idx="130">
                  <c:v>0.38502886319591428</c:v>
                </c:pt>
                <c:pt idx="131">
                  <c:v>0.36282368556245925</c:v>
                </c:pt>
                <c:pt idx="132">
                  <c:v>0.33224895519055148</c:v>
                </c:pt>
                <c:pt idx="133">
                  <c:v>0.29566319594660284</c:v>
                </c:pt>
                <c:pt idx="134">
                  <c:v>0.25567988366788635</c:v>
                </c:pt>
                <c:pt idx="135">
                  <c:v>0.21486293449594379</c:v>
                </c:pt>
                <c:pt idx="136">
                  <c:v>0.17546564429822112</c:v>
                </c:pt>
                <c:pt idx="137">
                  <c:v>0.13924779854218172</c:v>
                </c:pt>
                <c:pt idx="138">
                  <c:v>0.10738663408330464</c:v>
                </c:pt>
                <c:pt idx="139">
                  <c:v>8.0478110665439959E-2</c:v>
                </c:pt>
                <c:pt idx="140">
                  <c:v>5.8609897795171263E-2</c:v>
                </c:pt>
                <c:pt idx="141">
                  <c:v>4.1479145950955476E-2</c:v>
                </c:pt>
                <c:pt idx="142">
                  <c:v>2.8526881447581285E-2</c:v>
                </c:pt>
                <c:pt idx="143">
                  <c:v>1.9065334906922707E-2</c:v>
                </c:pt>
                <c:pt idx="144">
                  <c:v>1.2382268860622376E-2</c:v>
                </c:pt>
                <c:pt idx="145">
                  <c:v>7.8148684308762921E-3</c:v>
                </c:pt>
                <c:pt idx="146">
                  <c:v>4.7930147064155935E-3</c:v>
                </c:pt>
                <c:pt idx="147">
                  <c:v>2.856679394248593E-3</c:v>
                </c:pt>
                <c:pt idx="148">
                  <c:v>1.6545499872096553E-3</c:v>
                </c:pt>
                <c:pt idx="149">
                  <c:v>9.3124495468510345E-4</c:v>
                </c:pt>
                <c:pt idx="150">
                  <c:v>5.0934684794442327E-4</c:v>
                </c:pt>
                <c:pt idx="151">
                  <c:v>2.7072537427288513E-4</c:v>
                </c:pt>
                <c:pt idx="152">
                  <c:v>1.3983308929048821E-4</c:v>
                </c:pt>
                <c:pt idx="153">
                  <c:v>7.0186985817306675E-5</c:v>
                </c:pt>
                <c:pt idx="154">
                  <c:v>3.4234885631891273E-5</c:v>
                </c:pt>
                <c:pt idx="155">
                  <c:v>1.6227320749706589E-5</c:v>
                </c:pt>
                <c:pt idx="156">
                  <c:v>7.4746422179127429E-6</c:v>
                </c:pt>
                <c:pt idx="157">
                  <c:v>3.3457974690612018E-6</c:v>
                </c:pt>
                <c:pt idx="158">
                  <c:v>1.4553737481942947E-6</c:v>
                </c:pt>
                <c:pt idx="159">
                  <c:v>6.1519822727741311E-7</c:v>
                </c:pt>
                <c:pt idx="160">
                  <c:v>2.5270932260430572E-7</c:v>
                </c:pt>
                <c:pt idx="161">
                  <c:v>1.0087721915208086E-7</c:v>
                </c:pt>
                <c:pt idx="162">
                  <c:v>3.9131868872542298E-8</c:v>
                </c:pt>
                <c:pt idx="163">
                  <c:v>1.4751416567232307E-8</c:v>
                </c:pt>
                <c:pt idx="164">
                  <c:v>5.4038404120031388E-9</c:v>
                </c:pt>
                <c:pt idx="165">
                  <c:v>1.9236982599734971E-9</c:v>
                </c:pt>
                <c:pt idx="166">
                  <c:v>6.6548311274685657E-10</c:v>
                </c:pt>
                <c:pt idx="167">
                  <c:v>2.2371895203985973E-10</c:v>
                </c:pt>
                <c:pt idx="168">
                  <c:v>7.3085994872708301E-11</c:v>
                </c:pt>
                <c:pt idx="169">
                  <c:v>2.3202308650546806E-11</c:v>
                </c:pt>
                <c:pt idx="170">
                  <c:v>7.1580361303633E-12</c:v>
                </c:pt>
                <c:pt idx="171">
                  <c:v>2.1459629639307902E-12</c:v>
                </c:pt>
                <c:pt idx="172">
                  <c:v>6.2519602557250827E-13</c:v>
                </c:pt>
                <c:pt idx="173">
                  <c:v>1.7700105070296511E-13</c:v>
                </c:pt>
                <c:pt idx="174">
                  <c:v>4.8696879234886582E-14</c:v>
                </c:pt>
                <c:pt idx="175">
                  <c:v>1.3019432839692719E-14</c:v>
                </c:pt>
                <c:pt idx="176">
                  <c:v>3.3825844729598099E-15</c:v>
                </c:pt>
                <c:pt idx="177">
                  <c:v>8.5402559412412941E-16</c:v>
                </c:pt>
                <c:pt idx="178">
                  <c:v>2.0953605890912145E-16</c:v>
                </c:pt>
                <c:pt idx="179">
                  <c:v>4.9958835407638464E-17</c:v>
                </c:pt>
                <c:pt idx="180">
                  <c:v>1.1575279611271421E-17</c:v>
                </c:pt>
                <c:pt idx="181">
                  <c:v>2.6062515165769385E-18</c:v>
                </c:pt>
                <c:pt idx="182">
                  <c:v>5.702519897292236E-19</c:v>
                </c:pt>
                <c:pt idx="183">
                  <c:v>1.2125033393856941E-19</c:v>
                </c:pt>
                <c:pt idx="184">
                  <c:v>2.5053287793068533E-20</c:v>
                </c:pt>
                <c:pt idx="185">
                  <c:v>5.0305116718819246E-21</c:v>
                </c:pt>
                <c:pt idx="186">
                  <c:v>9.8157896847788692E-22</c:v>
                </c:pt>
                <c:pt idx="187">
                  <c:v>1.8612468591373676E-22</c:v>
                </c:pt>
                <c:pt idx="188">
                  <c:v>3.4296386206903707E-23</c:v>
                </c:pt>
                <c:pt idx="189">
                  <c:v>6.141272864367266E-24</c:v>
                </c:pt>
                <c:pt idx="190">
                  <c:v>1.0686465225306845E-24</c:v>
                </c:pt>
                <c:pt idx="191">
                  <c:v>1.8070718035759984E-25</c:v>
                </c:pt>
                <c:pt idx="192">
                  <c:v>2.9694935886539404E-26</c:v>
                </c:pt>
                <c:pt idx="193">
                  <c:v>4.7419287502457825E-27</c:v>
                </c:pt>
                <c:pt idx="194">
                  <c:v>7.3585679792871007E-28</c:v>
                </c:pt>
                <c:pt idx="195">
                  <c:v>1.1096786699877003E-28</c:v>
                </c:pt>
                <c:pt idx="196">
                  <c:v>1.626173276696102E-29</c:v>
                </c:pt>
                <c:pt idx="197">
                  <c:v>2.315805342281082E-30</c:v>
                </c:pt>
                <c:pt idx="198">
                  <c:v>3.204814765105612E-31</c:v>
                </c:pt>
                <c:pt idx="199">
                  <c:v>4.3099225312286035E-32</c:v>
                </c:pt>
                <c:pt idx="200">
                  <c:v>5.6325057661384244E-33</c:v>
                </c:pt>
              </c:numCache>
            </c:numRef>
          </c:yVal>
        </c:ser>
        <c:axId val="67338240"/>
        <c:axId val="67339776"/>
      </c:scatterChart>
      <c:valAx>
        <c:axId val="67338240"/>
        <c:scaling>
          <c:orientation val="minMax"/>
          <c:max val="5"/>
          <c:min val="-5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339776"/>
        <c:crosses val="autoZero"/>
        <c:crossBetween val="midCat"/>
      </c:valAx>
      <c:valAx>
        <c:axId val="6733977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3382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8823717140641406E-2"/>
          <c:y val="4.6154077294056961E-2"/>
          <c:w val="0.25163478999052158"/>
          <c:h val="0.20000100160758016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11</xdr:row>
      <xdr:rowOff>66675</xdr:rowOff>
    </xdr:from>
    <xdr:to>
      <xdr:col>6</xdr:col>
      <xdr:colOff>361950</xdr:colOff>
      <xdr:row>22</xdr:row>
      <xdr:rowOff>142875</xdr:rowOff>
    </xdr:to>
    <xdr:graphicFrame macro="">
      <xdr:nvGraphicFramePr>
        <xdr:cNvPr id="1040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4844"/>
  <sheetViews>
    <sheetView tabSelected="1" zoomScale="175" workbookViewId="0">
      <selection activeCell="G1" sqref="G1:G2"/>
    </sheetView>
  </sheetViews>
  <sheetFormatPr defaultRowHeight="12.75"/>
  <cols>
    <col min="1" max="1" width="10.5703125" bestFit="1" customWidth="1"/>
    <col min="7" max="7" width="11" bestFit="1" customWidth="1"/>
    <col min="10" max="10" width="10.7109375" bestFit="1" customWidth="1"/>
  </cols>
  <sheetData>
    <row r="1" spans="1:10">
      <c r="A1" t="s">
        <v>0</v>
      </c>
      <c r="B1" t="s">
        <v>1</v>
      </c>
      <c r="C1" t="s">
        <v>2</v>
      </c>
      <c r="D1" t="s">
        <v>5</v>
      </c>
      <c r="F1" t="s">
        <v>3</v>
      </c>
      <c r="G1" s="2">
        <f>AVERAGE(C:C)</f>
        <v>3.1158714819210176E-4</v>
      </c>
    </row>
    <row r="2" spans="1:10">
      <c r="A2" s="1">
        <v>18266</v>
      </c>
      <c r="B2">
        <v>16.66</v>
      </c>
      <c r="F2" t="s">
        <v>4</v>
      </c>
      <c r="G2" s="2">
        <f>STDEV(C:C)</f>
        <v>9.4697274518632576E-3</v>
      </c>
    </row>
    <row r="3" spans="1:10">
      <c r="A3" s="1">
        <v>18267</v>
      </c>
      <c r="B3">
        <v>16.850000000000001</v>
      </c>
      <c r="C3">
        <f>(B3-B2)/B2</f>
        <v>1.1404561824729969E-2</v>
      </c>
      <c r="D3">
        <f t="shared" ref="D3:D66" si="0">(C3-avg)/sd</f>
        <v>1.1714143551570981</v>
      </c>
    </row>
    <row r="4" spans="1:10">
      <c r="A4" s="1">
        <v>18268</v>
      </c>
      <c r="B4">
        <v>16.93</v>
      </c>
      <c r="C4">
        <f t="shared" ref="C4:C67" si="1">(B4-B3)/B3</f>
        <v>4.7477744807120645E-3</v>
      </c>
      <c r="D4">
        <f t="shared" si="0"/>
        <v>0.46845987438076697</v>
      </c>
      <c r="F4" t="s">
        <v>6</v>
      </c>
      <c r="G4">
        <f>MIN(D:D)</f>
        <v>-21.645907856434587</v>
      </c>
    </row>
    <row r="5" spans="1:10">
      <c r="A5" s="1">
        <v>18269</v>
      </c>
      <c r="B5">
        <v>16.98</v>
      </c>
      <c r="C5">
        <f t="shared" si="1"/>
        <v>2.9533372711164035E-3</v>
      </c>
      <c r="D5">
        <f t="shared" si="0"/>
        <v>0.27896791500630913</v>
      </c>
      <c r="F5" t="s">
        <v>7</v>
      </c>
      <c r="G5">
        <f>MAX(D:D)</f>
        <v>12.195575189585318</v>
      </c>
    </row>
    <row r="6" spans="1:10">
      <c r="A6" s="1">
        <v>18272</v>
      </c>
      <c r="B6">
        <v>17.079999999999998</v>
      </c>
      <c r="C6">
        <f t="shared" si="1"/>
        <v>5.8892815076559404E-3</v>
      </c>
      <c r="D6">
        <f t="shared" si="0"/>
        <v>0.58900262840894901</v>
      </c>
      <c r="F6" t="s">
        <v>10</v>
      </c>
      <c r="G6">
        <f>(G5-G4)/200</f>
        <v>0.16920741523009952</v>
      </c>
    </row>
    <row r="7" spans="1:10">
      <c r="A7" s="1">
        <v>18273</v>
      </c>
      <c r="B7">
        <v>17.03</v>
      </c>
      <c r="C7">
        <f t="shared" si="1"/>
        <v>-2.9274004683839086E-3</v>
      </c>
      <c r="D7">
        <f t="shared" si="0"/>
        <v>-0.3420359913250417</v>
      </c>
      <c r="F7" t="s">
        <v>13</v>
      </c>
      <c r="G7">
        <f>COUNT(D:D)</f>
        <v>14842</v>
      </c>
    </row>
    <row r="8" spans="1:10">
      <c r="A8" s="1">
        <v>18274</v>
      </c>
      <c r="B8">
        <v>17.09</v>
      </c>
      <c r="C8">
        <f t="shared" si="1"/>
        <v>3.523194362888944E-3</v>
      </c>
      <c r="D8">
        <f t="shared" si="0"/>
        <v>0.33914463019365237</v>
      </c>
      <c r="F8" t="s">
        <v>8</v>
      </c>
      <c r="G8" t="s">
        <v>9</v>
      </c>
      <c r="H8" t="s">
        <v>11</v>
      </c>
      <c r="I8" t="s">
        <v>12</v>
      </c>
      <c r="J8" t="s">
        <v>14</v>
      </c>
    </row>
    <row r="9" spans="1:10">
      <c r="A9" s="1">
        <v>18275</v>
      </c>
      <c r="B9">
        <v>16.760000000000002</v>
      </c>
      <c r="C9">
        <f t="shared" si="1"/>
        <v>-1.930953774136912E-2</v>
      </c>
      <c r="D9">
        <f t="shared" si="0"/>
        <v>-2.0719841187932588</v>
      </c>
      <c r="F9">
        <f>G4</f>
        <v>-21.645907856434587</v>
      </c>
      <c r="G9">
        <f t="array" ref="G9:G210">FREQUENCY(D3:D14844,F9:F209)</f>
        <v>1</v>
      </c>
      <c r="H9">
        <f t="shared" ref="H9:H72" si="2">F9-0.5*bucketwidth</f>
        <v>-21.730511564049635</v>
      </c>
      <c r="I9">
        <f t="shared" ref="I9:I72" si="3">G9/num/bucketwidth</f>
        <v>3.9818801250379981E-4</v>
      </c>
      <c r="J9">
        <f>1/SQRT(2*PI())*EXP(-0.5*H9*H9)</f>
        <v>1.1499973379364052E-103</v>
      </c>
    </row>
    <row r="10" spans="1:10">
      <c r="A10" s="1">
        <v>18276</v>
      </c>
      <c r="B10">
        <v>16.670000000000002</v>
      </c>
      <c r="C10">
        <f t="shared" si="1"/>
        <v>-5.3699284009546449E-3</v>
      </c>
      <c r="D10">
        <f t="shared" si="0"/>
        <v>-0.59996611074892714</v>
      </c>
      <c r="F10">
        <f t="shared" ref="F10:F41" si="4">F9+bucketwidth</f>
        <v>-21.476700441204486</v>
      </c>
      <c r="G10">
        <v>0</v>
      </c>
      <c r="H10">
        <f t="shared" si="2"/>
        <v>-21.561304148819534</v>
      </c>
      <c r="I10">
        <f t="shared" si="3"/>
        <v>0</v>
      </c>
      <c r="J10">
        <f t="shared" ref="J10:J73" si="5">1/SQRT(2*PI())*EXP(-0.5*H10*H10)</f>
        <v>4.4808943277622083E-102</v>
      </c>
    </row>
    <row r="11" spans="1:10">
      <c r="A11" s="1">
        <v>18279</v>
      </c>
      <c r="B11">
        <v>16.72</v>
      </c>
      <c r="C11">
        <f t="shared" si="1"/>
        <v>2.9994001199758341E-3</v>
      </c>
      <c r="D11">
        <f t="shared" si="0"/>
        <v>0.28383213618834197</v>
      </c>
      <c r="F11">
        <f t="shared" si="4"/>
        <v>-21.307493025974384</v>
      </c>
      <c r="G11">
        <v>0</v>
      </c>
      <c r="H11">
        <f t="shared" si="2"/>
        <v>-21.392096733589433</v>
      </c>
      <c r="I11">
        <f t="shared" si="3"/>
        <v>0</v>
      </c>
      <c r="J11">
        <f t="shared" si="5"/>
        <v>1.6966732746562001E-100</v>
      </c>
    </row>
    <row r="12" spans="1:10">
      <c r="A12" s="1">
        <v>18280</v>
      </c>
      <c r="B12">
        <v>16.86</v>
      </c>
      <c r="C12">
        <f t="shared" si="1"/>
        <v>8.3732057416268293E-3</v>
      </c>
      <c r="D12">
        <f t="shared" si="0"/>
        <v>0.85130418318940415</v>
      </c>
      <c r="F12">
        <f t="shared" si="4"/>
        <v>-21.138285610744283</v>
      </c>
      <c r="G12">
        <v>0</v>
      </c>
      <c r="H12">
        <f t="shared" si="2"/>
        <v>-21.222889318359332</v>
      </c>
      <c r="I12">
        <f t="shared" si="3"/>
        <v>0</v>
      </c>
      <c r="J12">
        <f t="shared" si="5"/>
        <v>6.2430582316100419E-99</v>
      </c>
    </row>
    <row r="13" spans="1:10">
      <c r="A13" s="1">
        <v>18281</v>
      </c>
      <c r="B13">
        <v>16.850000000000001</v>
      </c>
      <c r="C13">
        <f t="shared" si="1"/>
        <v>-5.9311981020154271E-4</v>
      </c>
      <c r="D13">
        <f t="shared" si="0"/>
        <v>-9.5536747281531845E-2</v>
      </c>
      <c r="F13">
        <f t="shared" si="4"/>
        <v>-20.969078195514182</v>
      </c>
      <c r="G13">
        <v>0</v>
      </c>
      <c r="H13">
        <f t="shared" si="2"/>
        <v>-21.053681903129231</v>
      </c>
      <c r="I13">
        <f t="shared" si="3"/>
        <v>0</v>
      </c>
      <c r="J13">
        <f t="shared" si="5"/>
        <v>2.2323495666576156E-97</v>
      </c>
    </row>
    <row r="14" spans="1:10">
      <c r="A14" s="1">
        <v>18282</v>
      </c>
      <c r="B14">
        <v>16.87</v>
      </c>
      <c r="C14">
        <f t="shared" si="1"/>
        <v>1.1869436201780161E-3</v>
      </c>
      <c r="D14">
        <f t="shared" si="0"/>
        <v>9.2437345893590622E-2</v>
      </c>
      <c r="F14">
        <f t="shared" si="4"/>
        <v>-20.799870780284081</v>
      </c>
      <c r="G14">
        <v>0</v>
      </c>
      <c r="H14">
        <f t="shared" si="2"/>
        <v>-20.88447448789913</v>
      </c>
      <c r="I14">
        <f t="shared" si="3"/>
        <v>0</v>
      </c>
      <c r="J14">
        <f t="shared" si="5"/>
        <v>7.7569799470962577E-96</v>
      </c>
    </row>
    <row r="15" spans="1:10">
      <c r="A15" s="1">
        <v>18283</v>
      </c>
      <c r="B15">
        <v>16.899999999999999</v>
      </c>
      <c r="C15">
        <f t="shared" si="1"/>
        <v>1.7783046828688549E-3</v>
      </c>
      <c r="D15">
        <f t="shared" si="0"/>
        <v>0.15488487310035123</v>
      </c>
      <c r="F15">
        <f t="shared" si="4"/>
        <v>-20.63066336505398</v>
      </c>
      <c r="G15">
        <v>0</v>
      </c>
      <c r="H15">
        <f t="shared" si="2"/>
        <v>-20.715267072669029</v>
      </c>
      <c r="I15">
        <f t="shared" si="3"/>
        <v>0</v>
      </c>
      <c r="J15">
        <f t="shared" si="5"/>
        <v>2.6193213623908591E-94</v>
      </c>
    </row>
    <row r="16" spans="1:10">
      <c r="A16" s="1">
        <v>18286</v>
      </c>
      <c r="B16">
        <v>16.920000000000002</v>
      </c>
      <c r="C16">
        <f t="shared" si="1"/>
        <v>1.1834319526629071E-3</v>
      </c>
      <c r="D16">
        <f t="shared" si="0"/>
        <v>9.2066514997668894E-2</v>
      </c>
      <c r="F16">
        <f t="shared" si="4"/>
        <v>-20.461455949823879</v>
      </c>
      <c r="G16">
        <v>0</v>
      </c>
      <c r="H16">
        <f t="shared" si="2"/>
        <v>-20.546059657438928</v>
      </c>
      <c r="I16">
        <f t="shared" si="3"/>
        <v>0</v>
      </c>
      <c r="J16">
        <f t="shared" si="5"/>
        <v>8.5950924215611382E-93</v>
      </c>
    </row>
    <row r="17" spans="1:10">
      <c r="A17" s="1">
        <v>18287</v>
      </c>
      <c r="B17">
        <v>16.86</v>
      </c>
      <c r="C17">
        <f t="shared" si="1"/>
        <v>-3.5460992907802758E-3</v>
      </c>
      <c r="D17">
        <f t="shared" si="0"/>
        <v>-0.4073703766641501</v>
      </c>
      <c r="F17">
        <f t="shared" si="4"/>
        <v>-20.292248534593778</v>
      </c>
      <c r="G17">
        <v>0</v>
      </c>
      <c r="H17">
        <f t="shared" si="2"/>
        <v>-20.376852242208827</v>
      </c>
      <c r="I17">
        <f t="shared" si="3"/>
        <v>0</v>
      </c>
      <c r="J17">
        <f t="shared" si="5"/>
        <v>2.7408039200602719E-91</v>
      </c>
    </row>
    <row r="18" spans="1:10">
      <c r="A18" s="1">
        <v>18288</v>
      </c>
      <c r="B18">
        <v>16.739999999999998</v>
      </c>
      <c r="C18">
        <f t="shared" si="1"/>
        <v>-7.1174377224199883E-3</v>
      </c>
      <c r="D18">
        <f t="shared" si="0"/>
        <v>-0.7845025010883877</v>
      </c>
      <c r="F18">
        <f t="shared" si="4"/>
        <v>-20.123041119363677</v>
      </c>
      <c r="G18">
        <v>0</v>
      </c>
      <c r="H18">
        <f t="shared" si="2"/>
        <v>-20.207644826978726</v>
      </c>
      <c r="I18">
        <f t="shared" si="3"/>
        <v>0</v>
      </c>
      <c r="J18">
        <f t="shared" si="5"/>
        <v>8.4931937683198291E-90</v>
      </c>
    </row>
    <row r="19" spans="1:10">
      <c r="A19" s="1">
        <v>18289</v>
      </c>
      <c r="B19">
        <v>16.73</v>
      </c>
      <c r="C19">
        <f t="shared" si="1"/>
        <v>-5.9737156511338184E-4</v>
      </c>
      <c r="D19">
        <f t="shared" si="0"/>
        <v>-9.5985731154980325E-2</v>
      </c>
      <c r="F19">
        <f t="shared" si="4"/>
        <v>-19.953833704133576</v>
      </c>
      <c r="G19">
        <v>0</v>
      </c>
      <c r="H19">
        <f t="shared" si="2"/>
        <v>-20.038437411748625</v>
      </c>
      <c r="I19">
        <f t="shared" si="3"/>
        <v>0</v>
      </c>
      <c r="J19">
        <f t="shared" si="5"/>
        <v>2.557583066760332E-88</v>
      </c>
    </row>
    <row r="20" spans="1:10">
      <c r="A20" s="1">
        <v>18290</v>
      </c>
      <c r="B20">
        <v>16.82</v>
      </c>
      <c r="C20">
        <f t="shared" si="1"/>
        <v>5.3795576808129027E-3</v>
      </c>
      <c r="D20">
        <f t="shared" si="0"/>
        <v>0.5351759655578715</v>
      </c>
      <c r="F20">
        <f t="shared" si="4"/>
        <v>-19.784626288903475</v>
      </c>
      <c r="G20">
        <v>0</v>
      </c>
      <c r="H20">
        <f t="shared" si="2"/>
        <v>-19.869229996518524</v>
      </c>
      <c r="I20">
        <f t="shared" si="3"/>
        <v>0</v>
      </c>
      <c r="J20">
        <f t="shared" si="5"/>
        <v>7.4843504209809624E-87</v>
      </c>
    </row>
    <row r="21" spans="1:10">
      <c r="A21" s="1">
        <v>18293</v>
      </c>
      <c r="B21">
        <v>17.02</v>
      </c>
      <c r="C21">
        <f t="shared" si="1"/>
        <v>1.1890606420927425E-2</v>
      </c>
      <c r="D21">
        <f t="shared" si="0"/>
        <v>1.2227404993009638</v>
      </c>
      <c r="F21">
        <f t="shared" si="4"/>
        <v>-19.615418873673374</v>
      </c>
      <c r="G21">
        <v>0</v>
      </c>
      <c r="H21">
        <f t="shared" si="2"/>
        <v>-19.700022581288422</v>
      </c>
      <c r="I21">
        <f t="shared" si="3"/>
        <v>0</v>
      </c>
      <c r="J21">
        <f t="shared" si="5"/>
        <v>2.1283552953691167E-85</v>
      </c>
    </row>
    <row r="22" spans="1:10">
      <c r="A22" s="1">
        <v>18294</v>
      </c>
      <c r="B22">
        <v>17.05</v>
      </c>
      <c r="C22">
        <f t="shared" si="1"/>
        <v>1.7626321974148729E-3</v>
      </c>
      <c r="D22">
        <f t="shared" si="0"/>
        <v>0.15322986396374741</v>
      </c>
      <c r="F22">
        <f t="shared" si="4"/>
        <v>-19.446211458443273</v>
      </c>
      <c r="G22">
        <v>0</v>
      </c>
      <c r="H22">
        <f t="shared" si="2"/>
        <v>-19.530815166058321</v>
      </c>
      <c r="I22">
        <f t="shared" si="3"/>
        <v>0</v>
      </c>
      <c r="J22">
        <f t="shared" si="5"/>
        <v>5.8816583409921237E-84</v>
      </c>
    </row>
    <row r="23" spans="1:10">
      <c r="A23" s="1">
        <v>18295</v>
      </c>
      <c r="B23">
        <v>17.05</v>
      </c>
      <c r="C23">
        <f t="shared" si="1"/>
        <v>0</v>
      </c>
      <c r="D23">
        <f t="shared" si="0"/>
        <v>-3.29034969354682E-2</v>
      </c>
      <c r="F23">
        <f t="shared" si="4"/>
        <v>-19.277004043213172</v>
      </c>
      <c r="G23">
        <v>0</v>
      </c>
      <c r="H23">
        <f t="shared" si="2"/>
        <v>-19.36160775082822</v>
      </c>
      <c r="I23">
        <f t="shared" si="3"/>
        <v>0</v>
      </c>
      <c r="J23">
        <f t="shared" si="5"/>
        <v>1.5795053743864236E-82</v>
      </c>
    </row>
    <row r="24" spans="1:10">
      <c r="A24" s="1">
        <v>18296</v>
      </c>
      <c r="B24">
        <v>17.23</v>
      </c>
      <c r="C24">
        <f t="shared" si="1"/>
        <v>1.055718475073312E-2</v>
      </c>
      <c r="D24">
        <f t="shared" si="0"/>
        <v>1.0819316241804933</v>
      </c>
      <c r="F24">
        <f t="shared" si="4"/>
        <v>-19.10779662798307</v>
      </c>
      <c r="G24">
        <v>0</v>
      </c>
      <c r="H24">
        <f t="shared" si="2"/>
        <v>-19.192400335598119</v>
      </c>
      <c r="I24">
        <f t="shared" si="3"/>
        <v>0</v>
      </c>
      <c r="J24">
        <f t="shared" si="5"/>
        <v>4.1220008075467237E-81</v>
      </c>
    </row>
    <row r="25" spans="1:10">
      <c r="A25" s="1">
        <v>18297</v>
      </c>
      <c r="B25">
        <v>17.29</v>
      </c>
      <c r="C25">
        <f t="shared" si="1"/>
        <v>3.4822983168890727E-3</v>
      </c>
      <c r="D25">
        <f t="shared" si="0"/>
        <v>0.3348260216373074</v>
      </c>
      <c r="F25">
        <f t="shared" si="4"/>
        <v>-18.938589212752969</v>
      </c>
      <c r="G25">
        <v>0</v>
      </c>
      <c r="H25">
        <f t="shared" si="2"/>
        <v>-19.023192920368018</v>
      </c>
      <c r="I25">
        <f t="shared" si="3"/>
        <v>0</v>
      </c>
      <c r="J25">
        <f t="shared" si="5"/>
        <v>1.0453475047363318E-79</v>
      </c>
    </row>
    <row r="26" spans="1:10">
      <c r="A26" s="1">
        <v>18300</v>
      </c>
      <c r="B26">
        <v>17.32</v>
      </c>
      <c r="C26">
        <f t="shared" si="1"/>
        <v>1.7351069982649589E-3</v>
      </c>
      <c r="D26">
        <f t="shared" si="0"/>
        <v>0.15032321228978626</v>
      </c>
      <c r="F26">
        <f t="shared" si="4"/>
        <v>-18.769381797522868</v>
      </c>
      <c r="G26">
        <v>0</v>
      </c>
      <c r="H26">
        <f t="shared" si="2"/>
        <v>-18.853985505137917</v>
      </c>
      <c r="I26">
        <f t="shared" si="3"/>
        <v>0</v>
      </c>
      <c r="J26">
        <f t="shared" si="5"/>
        <v>2.5761962938187808E-78</v>
      </c>
    </row>
    <row r="27" spans="1:10">
      <c r="A27" s="1">
        <v>18301</v>
      </c>
      <c r="B27">
        <v>17.23</v>
      </c>
      <c r="C27">
        <f t="shared" si="1"/>
        <v>-5.1963048498845183E-3</v>
      </c>
      <c r="D27">
        <f t="shared" si="0"/>
        <v>-0.58163152277343433</v>
      </c>
      <c r="F27">
        <f t="shared" si="4"/>
        <v>-18.600174382292767</v>
      </c>
      <c r="G27">
        <v>0</v>
      </c>
      <c r="H27">
        <f t="shared" si="2"/>
        <v>-18.684778089907816</v>
      </c>
      <c r="I27">
        <f t="shared" si="3"/>
        <v>0</v>
      </c>
      <c r="J27">
        <f t="shared" si="5"/>
        <v>6.1696832086805867E-77</v>
      </c>
    </row>
    <row r="28" spans="1:10">
      <c r="A28" s="1">
        <v>18302</v>
      </c>
      <c r="B28">
        <v>17.21</v>
      </c>
      <c r="C28">
        <f t="shared" si="1"/>
        <v>-1.1607661056296909E-3</v>
      </c>
      <c r="D28">
        <f t="shared" si="0"/>
        <v>-0.1554800031263934</v>
      </c>
      <c r="F28">
        <f t="shared" si="4"/>
        <v>-18.430966967062666</v>
      </c>
      <c r="G28">
        <v>0</v>
      </c>
      <c r="H28">
        <f t="shared" si="2"/>
        <v>-18.515570674677715</v>
      </c>
      <c r="I28">
        <f t="shared" si="3"/>
        <v>0</v>
      </c>
      <c r="J28">
        <f t="shared" si="5"/>
        <v>1.4358610970247523E-75</v>
      </c>
    </row>
    <row r="29" spans="1:10">
      <c r="A29" s="1">
        <v>18303</v>
      </c>
      <c r="B29">
        <v>17.28</v>
      </c>
      <c r="C29">
        <f t="shared" si="1"/>
        <v>4.0674026728646298E-3</v>
      </c>
      <c r="D29">
        <f t="shared" si="0"/>
        <v>0.39661284274169223</v>
      </c>
      <c r="F29">
        <f t="shared" si="4"/>
        <v>-18.261759551832565</v>
      </c>
      <c r="G29">
        <v>0</v>
      </c>
      <c r="H29">
        <f t="shared" si="2"/>
        <v>-18.346363259447614</v>
      </c>
      <c r="I29">
        <f t="shared" si="3"/>
        <v>0</v>
      </c>
      <c r="J29">
        <f t="shared" si="5"/>
        <v>3.2473391065575238E-74</v>
      </c>
    </row>
    <row r="30" spans="1:10">
      <c r="A30" s="1">
        <v>18304</v>
      </c>
      <c r="B30">
        <v>17.239999999999998</v>
      </c>
      <c r="C30">
        <f t="shared" si="1"/>
        <v>-2.3148148148149708E-3</v>
      </c>
      <c r="D30">
        <f t="shared" si="0"/>
        <v>-0.27734715453614278</v>
      </c>
      <c r="F30">
        <f t="shared" si="4"/>
        <v>-18.092552136602464</v>
      </c>
      <c r="G30">
        <v>0</v>
      </c>
      <c r="H30">
        <f t="shared" si="2"/>
        <v>-18.177155844217513</v>
      </c>
      <c r="I30">
        <f t="shared" si="3"/>
        <v>0</v>
      </c>
      <c r="J30">
        <f t="shared" si="5"/>
        <v>7.1368818328578092E-73</v>
      </c>
    </row>
    <row r="31" spans="1:10">
      <c r="A31" s="1">
        <v>18308</v>
      </c>
      <c r="B31">
        <v>17.059999999999999</v>
      </c>
      <c r="C31">
        <f t="shared" si="1"/>
        <v>-1.044083526682133E-2</v>
      </c>
      <c r="D31">
        <f t="shared" si="0"/>
        <v>-1.1354521520994558</v>
      </c>
      <c r="F31">
        <f t="shared" si="4"/>
        <v>-17.923344721372363</v>
      </c>
      <c r="G31">
        <v>0</v>
      </c>
      <c r="H31">
        <f t="shared" si="2"/>
        <v>-18.007948428987412</v>
      </c>
      <c r="I31">
        <f t="shared" si="3"/>
        <v>0</v>
      </c>
      <c r="J31">
        <f t="shared" si="5"/>
        <v>1.5242458434242369E-71</v>
      </c>
    </row>
    <row r="32" spans="1:10">
      <c r="A32" s="1">
        <v>18309</v>
      </c>
      <c r="B32">
        <v>17.059999999999999</v>
      </c>
      <c r="C32">
        <f t="shared" si="1"/>
        <v>0</v>
      </c>
      <c r="D32">
        <f t="shared" si="0"/>
        <v>-3.29034969354682E-2</v>
      </c>
      <c r="F32">
        <f t="shared" si="4"/>
        <v>-17.754137306142262</v>
      </c>
      <c r="G32">
        <v>0</v>
      </c>
      <c r="H32">
        <f t="shared" si="2"/>
        <v>-17.838741013757311</v>
      </c>
      <c r="I32">
        <f t="shared" si="3"/>
        <v>0</v>
      </c>
      <c r="J32">
        <f t="shared" si="5"/>
        <v>3.1634952193860744E-70</v>
      </c>
    </row>
    <row r="33" spans="1:10">
      <c r="A33" s="1">
        <v>18310</v>
      </c>
      <c r="B33">
        <v>16.989999999999998</v>
      </c>
      <c r="C33">
        <f t="shared" si="1"/>
        <v>-4.1031652989449172E-3</v>
      </c>
      <c r="D33">
        <f t="shared" si="0"/>
        <v>-0.46619635777039975</v>
      </c>
      <c r="F33">
        <f t="shared" si="4"/>
        <v>-17.584929890912161</v>
      </c>
      <c r="G33">
        <v>0</v>
      </c>
      <c r="H33">
        <f t="shared" si="2"/>
        <v>-17.66953359852721</v>
      </c>
      <c r="I33">
        <f t="shared" si="3"/>
        <v>0</v>
      </c>
      <c r="J33">
        <f t="shared" si="5"/>
        <v>6.38035723441089E-69</v>
      </c>
    </row>
    <row r="34" spans="1:10">
      <c r="A34" s="1">
        <v>18311</v>
      </c>
      <c r="B34">
        <v>17.149999999999999</v>
      </c>
      <c r="C34">
        <f t="shared" si="1"/>
        <v>9.4173042966450952E-3</v>
      </c>
      <c r="D34">
        <f t="shared" si="0"/>
        <v>0.96156063569299022</v>
      </c>
      <c r="F34">
        <f t="shared" si="4"/>
        <v>-17.41572247568206</v>
      </c>
      <c r="G34">
        <v>0</v>
      </c>
      <c r="H34">
        <f t="shared" si="2"/>
        <v>-17.500326183297108</v>
      </c>
      <c r="I34">
        <f t="shared" si="3"/>
        <v>0</v>
      </c>
      <c r="J34">
        <f t="shared" si="5"/>
        <v>1.2505137120123664E-67</v>
      </c>
    </row>
    <row r="35" spans="1:10">
      <c r="A35" s="1">
        <v>18314</v>
      </c>
      <c r="B35">
        <v>17.2</v>
      </c>
      <c r="C35">
        <f t="shared" si="1"/>
        <v>2.9154518950437734E-3</v>
      </c>
      <c r="D35">
        <f t="shared" si="0"/>
        <v>0.27496723217090446</v>
      </c>
      <c r="F35">
        <f t="shared" si="4"/>
        <v>-17.246515060451959</v>
      </c>
      <c r="G35">
        <v>0</v>
      </c>
      <c r="H35">
        <f t="shared" si="2"/>
        <v>-17.331118768067007</v>
      </c>
      <c r="I35">
        <f t="shared" si="3"/>
        <v>0</v>
      </c>
      <c r="J35">
        <f t="shared" si="5"/>
        <v>2.3817576606143044E-66</v>
      </c>
    </row>
    <row r="36" spans="1:10">
      <c r="A36" s="1">
        <v>18315</v>
      </c>
      <c r="B36">
        <v>17.170000000000002</v>
      </c>
      <c r="C36">
        <f t="shared" si="1"/>
        <v>-1.7441860465114876E-3</v>
      </c>
      <c r="D36">
        <f t="shared" si="0"/>
        <v>-0.21708895056943767</v>
      </c>
      <c r="F36">
        <f t="shared" si="4"/>
        <v>-17.077307645221858</v>
      </c>
      <c r="G36">
        <v>0</v>
      </c>
      <c r="H36">
        <f t="shared" si="2"/>
        <v>-17.161911352836906</v>
      </c>
      <c r="I36">
        <f t="shared" si="3"/>
        <v>0</v>
      </c>
      <c r="J36">
        <f t="shared" si="5"/>
        <v>4.4083120896962283E-65</v>
      </c>
    </row>
    <row r="37" spans="1:10">
      <c r="A37" s="1">
        <v>18317</v>
      </c>
      <c r="B37">
        <v>17.21</v>
      </c>
      <c r="C37">
        <f t="shared" si="1"/>
        <v>2.3296447291787504E-3</v>
      </c>
      <c r="D37">
        <f t="shared" si="0"/>
        <v>0.2131061945810887</v>
      </c>
      <c r="F37">
        <f t="shared" si="4"/>
        <v>-16.908100229991756</v>
      </c>
      <c r="G37">
        <v>0</v>
      </c>
      <c r="H37">
        <f t="shared" si="2"/>
        <v>-16.992703937606805</v>
      </c>
      <c r="I37">
        <f t="shared" si="3"/>
        <v>0</v>
      </c>
      <c r="J37">
        <f t="shared" si="5"/>
        <v>7.9288964364003482E-64</v>
      </c>
    </row>
    <row r="38" spans="1:10">
      <c r="A38" s="1">
        <v>18318</v>
      </c>
      <c r="B38">
        <v>17.28</v>
      </c>
      <c r="C38">
        <f t="shared" si="1"/>
        <v>4.0674026728646298E-3</v>
      </c>
      <c r="D38">
        <f t="shared" si="0"/>
        <v>0.39661284274169223</v>
      </c>
      <c r="F38">
        <f t="shared" si="4"/>
        <v>-16.738892814761655</v>
      </c>
      <c r="G38">
        <v>0</v>
      </c>
      <c r="H38">
        <f t="shared" si="2"/>
        <v>-16.823496522376704</v>
      </c>
      <c r="I38">
        <f t="shared" si="3"/>
        <v>0</v>
      </c>
      <c r="J38">
        <f t="shared" si="5"/>
        <v>1.3858582367032358E-62</v>
      </c>
    </row>
    <row r="39" spans="1:10">
      <c r="A39" s="1">
        <v>18321</v>
      </c>
      <c r="B39">
        <v>17.28</v>
      </c>
      <c r="C39">
        <f t="shared" si="1"/>
        <v>0</v>
      </c>
      <c r="D39">
        <f t="shared" si="0"/>
        <v>-3.29034969354682E-2</v>
      </c>
      <c r="F39">
        <f t="shared" si="4"/>
        <v>-16.569685399531554</v>
      </c>
      <c r="G39">
        <v>0</v>
      </c>
      <c r="H39">
        <f t="shared" si="2"/>
        <v>-16.654289107146603</v>
      </c>
      <c r="I39">
        <f t="shared" si="3"/>
        <v>0</v>
      </c>
      <c r="J39">
        <f t="shared" si="5"/>
        <v>2.3539136059790335E-61</v>
      </c>
    </row>
    <row r="40" spans="1:10">
      <c r="A40" s="1">
        <v>18322</v>
      </c>
      <c r="B40">
        <v>17.22</v>
      </c>
      <c r="C40">
        <f t="shared" si="1"/>
        <v>-3.4722222222223534E-3</v>
      </c>
      <c r="D40">
        <f t="shared" si="0"/>
        <v>-0.39956898333646923</v>
      </c>
      <c r="F40">
        <f t="shared" si="4"/>
        <v>-16.400477984301453</v>
      </c>
      <c r="G40">
        <v>0</v>
      </c>
      <c r="H40">
        <f t="shared" si="2"/>
        <v>-16.485081691916502</v>
      </c>
      <c r="I40">
        <f t="shared" si="3"/>
        <v>0</v>
      </c>
      <c r="J40">
        <f t="shared" si="5"/>
        <v>3.8853297263195871E-60</v>
      </c>
    </row>
    <row r="41" spans="1:10">
      <c r="A41" s="1">
        <v>18323</v>
      </c>
      <c r="B41">
        <v>17.239999999999998</v>
      </c>
      <c r="C41">
        <f t="shared" si="1"/>
        <v>1.161440185830405E-3</v>
      </c>
      <c r="D41">
        <f t="shared" si="0"/>
        <v>8.9744191895521422E-2</v>
      </c>
      <c r="F41">
        <f t="shared" si="4"/>
        <v>-16.231270569071352</v>
      </c>
      <c r="G41">
        <v>0</v>
      </c>
      <c r="H41">
        <f t="shared" si="2"/>
        <v>-16.315874276686401</v>
      </c>
      <c r="I41">
        <f t="shared" si="3"/>
        <v>0</v>
      </c>
      <c r="J41">
        <f t="shared" si="5"/>
        <v>6.2320494732841438E-59</v>
      </c>
    </row>
    <row r="42" spans="1:10">
      <c r="A42" s="1">
        <v>18324</v>
      </c>
      <c r="B42">
        <v>17.23</v>
      </c>
      <c r="C42">
        <f t="shared" si="1"/>
        <v>-5.800464037121816E-4</v>
      </c>
      <c r="D42">
        <f t="shared" si="0"/>
        <v>-9.4156200000122078E-2</v>
      </c>
      <c r="F42">
        <f t="shared" ref="F42:F73" si="6">F41+bucketwidth</f>
        <v>-16.062063153841251</v>
      </c>
      <c r="G42">
        <v>0</v>
      </c>
      <c r="H42">
        <f t="shared" si="2"/>
        <v>-16.1466668614563</v>
      </c>
      <c r="I42">
        <f t="shared" si="3"/>
        <v>0</v>
      </c>
      <c r="J42">
        <f t="shared" si="5"/>
        <v>9.714032533220655E-58</v>
      </c>
    </row>
    <row r="43" spans="1:10">
      <c r="A43" s="1">
        <v>18325</v>
      </c>
      <c r="B43">
        <v>17.29</v>
      </c>
      <c r="C43">
        <f t="shared" si="1"/>
        <v>3.4822983168890727E-3</v>
      </c>
      <c r="D43">
        <f t="shared" si="0"/>
        <v>0.3348260216373074</v>
      </c>
      <c r="F43">
        <f t="shared" si="6"/>
        <v>-15.892855738611152</v>
      </c>
      <c r="G43">
        <v>0</v>
      </c>
      <c r="H43">
        <f t="shared" si="2"/>
        <v>-15.977459446226202</v>
      </c>
      <c r="I43">
        <f t="shared" si="3"/>
        <v>0</v>
      </c>
      <c r="J43">
        <f t="shared" si="5"/>
        <v>1.4714105470983315E-56</v>
      </c>
    </row>
    <row r="44" spans="1:10">
      <c r="A44" s="1">
        <v>18328</v>
      </c>
      <c r="B44">
        <v>17.32</v>
      </c>
      <c r="C44">
        <f t="shared" si="1"/>
        <v>1.7351069982649589E-3</v>
      </c>
      <c r="D44">
        <f t="shared" si="0"/>
        <v>0.15032321228978626</v>
      </c>
      <c r="F44">
        <f t="shared" si="6"/>
        <v>-15.723648323381052</v>
      </c>
      <c r="G44">
        <v>0</v>
      </c>
      <c r="H44">
        <f t="shared" si="2"/>
        <v>-15.808252030996103</v>
      </c>
      <c r="I44">
        <f t="shared" si="3"/>
        <v>0</v>
      </c>
      <c r="J44">
        <f t="shared" si="5"/>
        <v>2.1658771807616448E-55</v>
      </c>
    </row>
    <row r="45" spans="1:10">
      <c r="A45" s="1">
        <v>18329</v>
      </c>
      <c r="B45">
        <v>17.2</v>
      </c>
      <c r="C45">
        <f t="shared" si="1"/>
        <v>-6.9284064665127596E-3</v>
      </c>
      <c r="D45">
        <f t="shared" si="0"/>
        <v>-0.76454086471943028</v>
      </c>
      <c r="F45">
        <f t="shared" si="6"/>
        <v>-15.554440908150953</v>
      </c>
      <c r="G45">
        <v>0</v>
      </c>
      <c r="H45">
        <f t="shared" si="2"/>
        <v>-15.639044615766004</v>
      </c>
      <c r="I45">
        <f t="shared" si="3"/>
        <v>0</v>
      </c>
      <c r="J45">
        <f t="shared" si="5"/>
        <v>3.0981285681785559E-54</v>
      </c>
    </row>
    <row r="46" spans="1:10">
      <c r="A46" s="1">
        <v>18330</v>
      </c>
      <c r="B46">
        <v>17.190000000000001</v>
      </c>
      <c r="C46">
        <f t="shared" si="1"/>
        <v>-5.8139534883709361E-4</v>
      </c>
      <c r="D46">
        <f t="shared" si="0"/>
        <v>-9.429864814678407E-2</v>
      </c>
      <c r="F46">
        <f t="shared" si="6"/>
        <v>-15.385233492920854</v>
      </c>
      <c r="G46">
        <v>0</v>
      </c>
      <c r="H46">
        <f t="shared" si="2"/>
        <v>-15.469837200535904</v>
      </c>
      <c r="I46">
        <f t="shared" si="3"/>
        <v>0</v>
      </c>
      <c r="J46">
        <f t="shared" si="5"/>
        <v>4.3065619308884151E-53</v>
      </c>
    </row>
    <row r="47" spans="1:10">
      <c r="A47" s="1">
        <v>18331</v>
      </c>
      <c r="B47">
        <v>17.07</v>
      </c>
      <c r="C47">
        <f t="shared" si="1"/>
        <v>-6.9808027923211743E-3</v>
      </c>
      <c r="D47">
        <f t="shared" si="0"/>
        <v>-0.77007389891442235</v>
      </c>
      <c r="F47">
        <f t="shared" si="6"/>
        <v>-15.216026077690755</v>
      </c>
      <c r="G47">
        <v>0</v>
      </c>
      <c r="H47">
        <f t="shared" si="2"/>
        <v>-15.300629785305805</v>
      </c>
      <c r="I47">
        <f t="shared" si="3"/>
        <v>0</v>
      </c>
      <c r="J47">
        <f t="shared" si="5"/>
        <v>5.8173823294413319E-52</v>
      </c>
    </row>
    <row r="48" spans="1:10">
      <c r="A48" s="1">
        <v>18332</v>
      </c>
      <c r="B48">
        <v>17.09</v>
      </c>
      <c r="C48">
        <f t="shared" si="1"/>
        <v>1.1716461628587917E-3</v>
      </c>
      <c r="D48">
        <f t="shared" si="0"/>
        <v>9.0821939600538901E-2</v>
      </c>
      <c r="F48">
        <f t="shared" si="6"/>
        <v>-15.046818662460655</v>
      </c>
      <c r="G48">
        <v>0</v>
      </c>
      <c r="H48">
        <f t="shared" si="2"/>
        <v>-15.131422370075706</v>
      </c>
      <c r="I48">
        <f t="shared" si="3"/>
        <v>0</v>
      </c>
      <c r="J48">
        <f t="shared" si="5"/>
        <v>7.6364263512728778E-51</v>
      </c>
    </row>
    <row r="49" spans="1:10">
      <c r="A49" s="1">
        <v>18335</v>
      </c>
      <c r="B49">
        <v>17.12</v>
      </c>
      <c r="C49">
        <f t="shared" si="1"/>
        <v>1.755412521942723E-3</v>
      </c>
      <c r="D49">
        <f t="shared" si="0"/>
        <v>0.15246746868797528</v>
      </c>
      <c r="F49">
        <f t="shared" si="6"/>
        <v>-14.877611247230556</v>
      </c>
      <c r="G49">
        <v>0</v>
      </c>
      <c r="H49">
        <f t="shared" si="2"/>
        <v>-14.962214954845606</v>
      </c>
      <c r="I49">
        <f t="shared" si="3"/>
        <v>0</v>
      </c>
      <c r="J49">
        <f t="shared" si="5"/>
        <v>9.7413327310265807E-50</v>
      </c>
    </row>
    <row r="50" spans="1:10">
      <c r="A50" s="1">
        <v>18336</v>
      </c>
      <c r="B50">
        <v>17.25</v>
      </c>
      <c r="C50">
        <f t="shared" si="1"/>
        <v>7.5934579439251755E-3</v>
      </c>
      <c r="D50">
        <f t="shared" si="0"/>
        <v>0.76896308080126397</v>
      </c>
      <c r="F50">
        <f t="shared" si="6"/>
        <v>-14.708403832000457</v>
      </c>
      <c r="G50">
        <v>0</v>
      </c>
      <c r="H50">
        <f t="shared" si="2"/>
        <v>-14.793007539615507</v>
      </c>
      <c r="I50">
        <f t="shared" si="3"/>
        <v>0</v>
      </c>
      <c r="J50">
        <f t="shared" si="5"/>
        <v>1.2075697839296072E-48</v>
      </c>
    </row>
    <row r="51" spans="1:10">
      <c r="A51" s="1">
        <v>18337</v>
      </c>
      <c r="B51">
        <v>17.45</v>
      </c>
      <c r="C51">
        <f t="shared" si="1"/>
        <v>1.1594202898550683E-2</v>
      </c>
      <c r="D51">
        <f t="shared" si="0"/>
        <v>1.1914403880904325</v>
      </c>
      <c r="F51">
        <f t="shared" si="6"/>
        <v>-14.539196416770357</v>
      </c>
      <c r="G51">
        <v>0</v>
      </c>
      <c r="H51">
        <f t="shared" si="2"/>
        <v>-14.623800124385408</v>
      </c>
      <c r="I51">
        <f t="shared" si="3"/>
        <v>0</v>
      </c>
      <c r="J51">
        <f t="shared" si="5"/>
        <v>1.4546943335630236E-47</v>
      </c>
    </row>
    <row r="52" spans="1:10">
      <c r="A52" s="1">
        <v>18338</v>
      </c>
      <c r="B52">
        <v>17.489999999999998</v>
      </c>
      <c r="C52">
        <f t="shared" si="1"/>
        <v>2.2922636103151375E-3</v>
      </c>
      <c r="D52">
        <f t="shared" si="0"/>
        <v>0.20915876113555087</v>
      </c>
      <c r="F52">
        <f t="shared" si="6"/>
        <v>-14.369989001540258</v>
      </c>
      <c r="G52">
        <v>0</v>
      </c>
      <c r="H52">
        <f t="shared" si="2"/>
        <v>-14.454592709155309</v>
      </c>
      <c r="I52">
        <f t="shared" si="3"/>
        <v>0</v>
      </c>
      <c r="J52">
        <f t="shared" si="5"/>
        <v>1.7029304322666858E-46</v>
      </c>
    </row>
    <row r="53" spans="1:10">
      <c r="A53" s="1">
        <v>18339</v>
      </c>
      <c r="B53">
        <v>17.45</v>
      </c>
      <c r="C53">
        <f t="shared" si="1"/>
        <v>-2.2870211549456346E-3</v>
      </c>
      <c r="D53">
        <f t="shared" si="0"/>
        <v>-0.27441215350146492</v>
      </c>
      <c r="F53">
        <f t="shared" si="6"/>
        <v>-14.200781586310159</v>
      </c>
      <c r="G53">
        <v>0</v>
      </c>
      <c r="H53">
        <f t="shared" si="2"/>
        <v>-14.285385293925209</v>
      </c>
      <c r="I53">
        <f t="shared" si="3"/>
        <v>0</v>
      </c>
      <c r="J53">
        <f t="shared" si="5"/>
        <v>1.9372591281849257E-45</v>
      </c>
    </row>
    <row r="54" spans="1:10">
      <c r="A54" s="1">
        <v>18342</v>
      </c>
      <c r="B54">
        <v>17.440000000000001</v>
      </c>
      <c r="C54">
        <f t="shared" si="1"/>
        <v>-5.7306590257868257E-4</v>
      </c>
      <c r="D54">
        <f t="shared" si="0"/>
        <v>-9.3419061453212202E-2</v>
      </c>
      <c r="F54">
        <f t="shared" si="6"/>
        <v>-14.031574171080059</v>
      </c>
      <c r="G54">
        <v>0</v>
      </c>
      <c r="H54">
        <f t="shared" si="2"/>
        <v>-14.11617787869511</v>
      </c>
      <c r="I54">
        <f t="shared" si="3"/>
        <v>0</v>
      </c>
      <c r="J54">
        <f t="shared" si="5"/>
        <v>2.1416286844157244E-44</v>
      </c>
    </row>
    <row r="55" spans="1:10">
      <c r="A55" s="1">
        <v>18343</v>
      </c>
      <c r="B55">
        <v>17.45</v>
      </c>
      <c r="C55">
        <f t="shared" si="1"/>
        <v>5.733944954127299E-4</v>
      </c>
      <c r="D55">
        <f t="shared" si="0"/>
        <v>2.764676687385708E-2</v>
      </c>
      <c r="F55">
        <f t="shared" si="6"/>
        <v>-13.86236675584996</v>
      </c>
      <c r="G55">
        <v>0</v>
      </c>
      <c r="H55">
        <f t="shared" si="2"/>
        <v>-13.946970463465011</v>
      </c>
      <c r="I55">
        <f t="shared" si="3"/>
        <v>0</v>
      </c>
      <c r="J55">
        <f t="shared" si="5"/>
        <v>2.3007333297916595E-43</v>
      </c>
    </row>
    <row r="56" spans="1:10">
      <c r="A56" s="1">
        <v>18344</v>
      </c>
      <c r="B56">
        <v>17.55</v>
      </c>
      <c r="C56">
        <f t="shared" si="1"/>
        <v>5.730659025788047E-3</v>
      </c>
      <c r="D56">
        <f t="shared" si="0"/>
        <v>0.5722521482421008</v>
      </c>
      <c r="F56">
        <f t="shared" si="6"/>
        <v>-13.693159340619861</v>
      </c>
      <c r="G56">
        <v>0</v>
      </c>
      <c r="H56">
        <f t="shared" si="2"/>
        <v>-13.777763048234911</v>
      </c>
      <c r="I56">
        <f t="shared" si="3"/>
        <v>0</v>
      </c>
      <c r="J56">
        <f t="shared" si="5"/>
        <v>2.4018951363346185E-42</v>
      </c>
    </row>
    <row r="57" spans="1:10">
      <c r="A57" s="1">
        <v>18345</v>
      </c>
      <c r="B57">
        <v>17.559999999999999</v>
      </c>
      <c r="C57">
        <f t="shared" si="1"/>
        <v>5.6980056980045646E-4</v>
      </c>
      <c r="D57">
        <f t="shared" si="0"/>
        <v>2.726724955083568E-2</v>
      </c>
      <c r="F57">
        <f t="shared" si="6"/>
        <v>-13.523951925389762</v>
      </c>
      <c r="G57">
        <v>0</v>
      </c>
      <c r="H57">
        <f t="shared" si="2"/>
        <v>-13.608555633004812</v>
      </c>
      <c r="I57">
        <f t="shared" si="3"/>
        <v>0</v>
      </c>
      <c r="J57">
        <f t="shared" si="5"/>
        <v>2.4367302307822999E-41</v>
      </c>
    </row>
    <row r="58" spans="1:10">
      <c r="A58" s="1">
        <v>18346</v>
      </c>
      <c r="B58">
        <v>17.559999999999999</v>
      </c>
      <c r="C58">
        <f t="shared" si="1"/>
        <v>0</v>
      </c>
      <c r="D58">
        <f t="shared" si="0"/>
        <v>-3.29034969354682E-2</v>
      </c>
      <c r="F58">
        <f t="shared" si="6"/>
        <v>-13.354744510159662</v>
      </c>
      <c r="G58">
        <v>0</v>
      </c>
      <c r="H58">
        <f t="shared" si="2"/>
        <v>-13.439348217774713</v>
      </c>
      <c r="I58">
        <f t="shared" si="3"/>
        <v>0</v>
      </c>
      <c r="J58">
        <f t="shared" si="5"/>
        <v>2.402295953271326E-40</v>
      </c>
    </row>
    <row r="59" spans="1:10">
      <c r="A59" s="1">
        <v>18349</v>
      </c>
      <c r="B59">
        <v>17.46</v>
      </c>
      <c r="C59">
        <f t="shared" si="1"/>
        <v>-5.694760820045437E-3</v>
      </c>
      <c r="D59">
        <f t="shared" si="0"/>
        <v>-0.63426830378901078</v>
      </c>
      <c r="F59">
        <f t="shared" si="6"/>
        <v>-13.185537094929563</v>
      </c>
      <c r="G59">
        <v>0</v>
      </c>
      <c r="H59">
        <f t="shared" si="2"/>
        <v>-13.270140802544613</v>
      </c>
      <c r="I59">
        <f t="shared" si="3"/>
        <v>0</v>
      </c>
      <c r="J59">
        <f t="shared" si="5"/>
        <v>2.3015012649237212E-39</v>
      </c>
    </row>
    <row r="60" spans="1:10">
      <c r="A60" s="1">
        <v>18350</v>
      </c>
      <c r="B60">
        <v>17.53</v>
      </c>
      <c r="C60">
        <f t="shared" si="1"/>
        <v>4.0091638029782521E-3</v>
      </c>
      <c r="D60">
        <f t="shared" si="0"/>
        <v>0.39046283787804448</v>
      </c>
      <c r="F60">
        <f t="shared" si="6"/>
        <v>-13.016329679699464</v>
      </c>
      <c r="G60">
        <v>0</v>
      </c>
      <c r="H60">
        <f t="shared" si="2"/>
        <v>-13.100933387314514</v>
      </c>
      <c r="I60">
        <f t="shared" si="3"/>
        <v>0</v>
      </c>
      <c r="J60">
        <f t="shared" si="5"/>
        <v>2.142701018036541E-38</v>
      </c>
    </row>
    <row r="61" spans="1:10">
      <c r="A61" s="1">
        <v>18351</v>
      </c>
      <c r="B61">
        <v>17.440000000000001</v>
      </c>
      <c r="C61">
        <f t="shared" si="1"/>
        <v>-5.134055904164281E-3</v>
      </c>
      <c r="D61">
        <f t="shared" si="0"/>
        <v>-0.57505805526482201</v>
      </c>
      <c r="F61">
        <f t="shared" si="6"/>
        <v>-12.847122264469364</v>
      </c>
      <c r="G61">
        <v>0</v>
      </c>
      <c r="H61">
        <f t="shared" si="2"/>
        <v>-12.931725972084415</v>
      </c>
      <c r="I61">
        <f t="shared" si="3"/>
        <v>0</v>
      </c>
      <c r="J61">
        <f t="shared" si="5"/>
        <v>1.9385525745870228E-37</v>
      </c>
    </row>
    <row r="62" spans="1:10">
      <c r="A62" s="1">
        <v>18352</v>
      </c>
      <c r="B62">
        <v>17.3</v>
      </c>
      <c r="C62">
        <f t="shared" si="1"/>
        <v>-8.0275229357798482E-3</v>
      </c>
      <c r="D62">
        <f t="shared" si="0"/>
        <v>-0.88060719026619416</v>
      </c>
      <c r="F62">
        <f t="shared" si="6"/>
        <v>-12.677914849239265</v>
      </c>
      <c r="G62">
        <v>0</v>
      </c>
      <c r="H62">
        <f t="shared" si="2"/>
        <v>-12.762518556854316</v>
      </c>
      <c r="I62">
        <f t="shared" si="3"/>
        <v>0</v>
      </c>
      <c r="J62">
        <f t="shared" si="5"/>
        <v>1.7043517915777609E-36</v>
      </c>
    </row>
    <row r="63" spans="1:10">
      <c r="A63" s="1">
        <v>18353</v>
      </c>
      <c r="B63">
        <v>17.29</v>
      </c>
      <c r="C63">
        <f t="shared" si="1"/>
        <v>-5.7803468208101521E-4</v>
      </c>
      <c r="D63">
        <f t="shared" si="0"/>
        <v>-9.3943762879688308E-2</v>
      </c>
      <c r="F63">
        <f t="shared" si="6"/>
        <v>-12.508707434009166</v>
      </c>
      <c r="G63">
        <v>0</v>
      </c>
      <c r="H63">
        <f t="shared" si="2"/>
        <v>-12.593311141624216</v>
      </c>
      <c r="I63">
        <f t="shared" si="3"/>
        <v>0</v>
      </c>
      <c r="J63">
        <f t="shared" si="5"/>
        <v>1.4561514565329754E-35</v>
      </c>
    </row>
    <row r="64" spans="1:10">
      <c r="A64" s="1">
        <v>18356</v>
      </c>
      <c r="B64">
        <v>17.53</v>
      </c>
      <c r="C64">
        <f t="shared" si="1"/>
        <v>1.388085598611926E-2</v>
      </c>
      <c r="D64">
        <f t="shared" si="0"/>
        <v>1.432910176866524</v>
      </c>
      <c r="F64">
        <f t="shared" si="6"/>
        <v>-12.339500018779066</v>
      </c>
      <c r="G64">
        <v>0</v>
      </c>
      <c r="H64">
        <f t="shared" si="2"/>
        <v>-12.424103726394117</v>
      </c>
      <c r="I64">
        <f t="shared" si="3"/>
        <v>0</v>
      </c>
      <c r="J64">
        <f t="shared" si="5"/>
        <v>1.2089810851738619E-34</v>
      </c>
    </row>
    <row r="65" spans="1:10">
      <c r="A65" s="1">
        <v>18357</v>
      </c>
      <c r="B65">
        <v>17.55</v>
      </c>
      <c r="C65">
        <f t="shared" si="1"/>
        <v>1.1409013120364845E-3</v>
      </c>
      <c r="D65">
        <f t="shared" si="0"/>
        <v>8.7575293804385834E-2</v>
      </c>
      <c r="F65">
        <f t="shared" si="6"/>
        <v>-12.170292603548967</v>
      </c>
      <c r="G65">
        <v>0</v>
      </c>
      <c r="H65">
        <f t="shared" si="2"/>
        <v>-12.254896311164018</v>
      </c>
      <c r="I65">
        <f t="shared" si="3"/>
        <v>0</v>
      </c>
      <c r="J65">
        <f t="shared" si="5"/>
        <v>9.7543450305821869E-34</v>
      </c>
    </row>
    <row r="66" spans="1:10">
      <c r="A66" s="1">
        <v>18358</v>
      </c>
      <c r="B66">
        <v>17.63</v>
      </c>
      <c r="C66">
        <f t="shared" si="1"/>
        <v>4.558404558404461E-3</v>
      </c>
      <c r="D66">
        <f t="shared" si="0"/>
        <v>0.44846247495504821</v>
      </c>
      <c r="F66">
        <f t="shared" si="6"/>
        <v>-12.001085188318868</v>
      </c>
      <c r="G66">
        <v>0</v>
      </c>
      <c r="H66">
        <f t="shared" si="2"/>
        <v>-12.085688895933918</v>
      </c>
      <c r="I66">
        <f t="shared" si="3"/>
        <v>0</v>
      </c>
      <c r="J66">
        <f t="shared" si="5"/>
        <v>7.6479029872613085E-33</v>
      </c>
    </row>
    <row r="67" spans="1:10">
      <c r="A67" s="1">
        <v>18359</v>
      </c>
      <c r="B67">
        <v>17.78</v>
      </c>
      <c r="C67">
        <f t="shared" si="1"/>
        <v>8.5082246171300138E-3</v>
      </c>
      <c r="D67">
        <f t="shared" ref="D67:D130" si="7">(C67-avg)/sd</f>
        <v>0.86556213054739473</v>
      </c>
      <c r="F67">
        <f t="shared" si="6"/>
        <v>-11.831877773088769</v>
      </c>
      <c r="G67">
        <v>0</v>
      </c>
      <c r="H67">
        <f t="shared" si="2"/>
        <v>-11.916481480703819</v>
      </c>
      <c r="I67">
        <f t="shared" si="3"/>
        <v>0</v>
      </c>
      <c r="J67">
        <f t="shared" si="5"/>
        <v>5.8270973960033385E-32</v>
      </c>
    </row>
    <row r="68" spans="1:10">
      <c r="A68" s="1">
        <v>18363</v>
      </c>
      <c r="B68">
        <v>17.850000000000001</v>
      </c>
      <c r="C68">
        <f t="shared" ref="C68:C131" si="8">(B68-B67)/B67</f>
        <v>3.9370078740157636E-3</v>
      </c>
      <c r="D68">
        <f t="shared" si="7"/>
        <v>0.38284319630659763</v>
      </c>
      <c r="F68">
        <f t="shared" si="6"/>
        <v>-11.662670357858669</v>
      </c>
      <c r="G68">
        <v>0</v>
      </c>
      <c r="H68">
        <f t="shared" si="2"/>
        <v>-11.74727406547372</v>
      </c>
      <c r="I68">
        <f t="shared" si="3"/>
        <v>0</v>
      </c>
      <c r="J68">
        <f t="shared" si="5"/>
        <v>4.3144737764140624E-31</v>
      </c>
    </row>
    <row r="69" spans="1:10">
      <c r="A69" s="1">
        <v>18364</v>
      </c>
      <c r="B69">
        <v>17.75</v>
      </c>
      <c r="C69">
        <f t="shared" si="8"/>
        <v>-5.6022408963586224E-3</v>
      </c>
      <c r="D69">
        <f t="shared" si="7"/>
        <v>-0.62449823129673321</v>
      </c>
      <c r="F69">
        <f t="shared" si="6"/>
        <v>-11.49346294262857</v>
      </c>
      <c r="G69">
        <v>0</v>
      </c>
      <c r="H69">
        <f t="shared" si="2"/>
        <v>-11.57806665024362</v>
      </c>
      <c r="I69">
        <f t="shared" si="3"/>
        <v>0</v>
      </c>
      <c r="J69">
        <f t="shared" si="5"/>
        <v>3.1043382785511905E-30</v>
      </c>
    </row>
    <row r="70" spans="1:10">
      <c r="A70" s="1">
        <v>18365</v>
      </c>
      <c r="B70">
        <v>17.940000000000001</v>
      </c>
      <c r="C70">
        <f t="shared" si="8"/>
        <v>1.0704225352112748E-2</v>
      </c>
      <c r="D70">
        <f t="shared" si="7"/>
        <v>1.0974590617046531</v>
      </c>
      <c r="F70">
        <f t="shared" si="6"/>
        <v>-11.324255527398471</v>
      </c>
      <c r="G70">
        <v>0</v>
      </c>
      <c r="H70">
        <f t="shared" si="2"/>
        <v>-11.408859235013521</v>
      </c>
      <c r="I70">
        <f t="shared" si="3"/>
        <v>0</v>
      </c>
      <c r="J70">
        <f t="shared" si="5"/>
        <v>2.1705804959794825E-29</v>
      </c>
    </row>
    <row r="71" spans="1:10">
      <c r="A71" s="1">
        <v>18366</v>
      </c>
      <c r="B71">
        <v>17.98</v>
      </c>
      <c r="C71">
        <f t="shared" si="8"/>
        <v>2.2296544035673993E-3</v>
      </c>
      <c r="D71">
        <f t="shared" si="7"/>
        <v>0.20254725018489311</v>
      </c>
      <c r="F71">
        <f t="shared" si="6"/>
        <v>-11.155048112168371</v>
      </c>
      <c r="G71">
        <v>0</v>
      </c>
      <c r="H71">
        <f t="shared" si="2"/>
        <v>-11.239651819783422</v>
      </c>
      <c r="I71">
        <f t="shared" si="3"/>
        <v>0</v>
      </c>
      <c r="J71">
        <f t="shared" si="5"/>
        <v>1.4748518670771575E-28</v>
      </c>
    </row>
    <row r="72" spans="1:10">
      <c r="A72" s="1">
        <v>18367</v>
      </c>
      <c r="B72">
        <v>17.96</v>
      </c>
      <c r="C72">
        <f t="shared" si="8"/>
        <v>-1.1123470522802878E-3</v>
      </c>
      <c r="D72">
        <f t="shared" si="7"/>
        <v>-0.15036696755113232</v>
      </c>
      <c r="F72">
        <f t="shared" si="6"/>
        <v>-10.985840696938272</v>
      </c>
      <c r="G72">
        <v>0</v>
      </c>
      <c r="H72">
        <f t="shared" si="2"/>
        <v>-11.070444404553323</v>
      </c>
      <c r="I72">
        <f t="shared" si="3"/>
        <v>0</v>
      </c>
      <c r="J72">
        <f t="shared" si="5"/>
        <v>9.7383764366294677E-28</v>
      </c>
    </row>
    <row r="73" spans="1:10">
      <c r="A73" s="1">
        <v>18370</v>
      </c>
      <c r="B73">
        <v>17.88</v>
      </c>
      <c r="C73">
        <f t="shared" si="8"/>
        <v>-4.4543429844099026E-3</v>
      </c>
      <c r="D73">
        <f t="shared" si="7"/>
        <v>-0.50328060198440694</v>
      </c>
      <c r="F73">
        <f t="shared" si="6"/>
        <v>-10.816633281708173</v>
      </c>
      <c r="G73">
        <v>0</v>
      </c>
      <c r="H73">
        <f t="shared" ref="H73:H136" si="9">F73-0.5*bucketwidth</f>
        <v>-10.901236989323223</v>
      </c>
      <c r="I73">
        <f t="shared" ref="I73:I136" si="10">G73/num/bucketwidth</f>
        <v>0</v>
      </c>
      <c r="J73">
        <f t="shared" si="5"/>
        <v>6.2487099156126229E-27</v>
      </c>
    </row>
    <row r="74" spans="1:10">
      <c r="A74" s="1">
        <v>18371</v>
      </c>
      <c r="B74">
        <v>18.03</v>
      </c>
      <c r="C74">
        <f t="shared" si="8"/>
        <v>8.3892617449665627E-3</v>
      </c>
      <c r="D74">
        <f t="shared" si="7"/>
        <v>0.85299969168437928</v>
      </c>
      <c r="F74">
        <f t="shared" ref="F74:F105" si="11">F73+bucketwidth</f>
        <v>-10.647425866478073</v>
      </c>
      <c r="G74">
        <v>0</v>
      </c>
      <c r="H74">
        <f t="shared" si="9"/>
        <v>-10.732029574093124</v>
      </c>
      <c r="I74">
        <f t="shared" si="10"/>
        <v>0</v>
      </c>
      <c r="J74">
        <f t="shared" ref="J74:J137" si="12">1/SQRT(2*PI())*EXP(-0.5*H74*H74)</f>
        <v>3.896366666912557E-26</v>
      </c>
    </row>
    <row r="75" spans="1:10">
      <c r="A75" s="1">
        <v>18372</v>
      </c>
      <c r="B75">
        <v>18.05</v>
      </c>
      <c r="C75">
        <f t="shared" si="8"/>
        <v>1.1092623405435148E-3</v>
      </c>
      <c r="D75">
        <f t="shared" si="7"/>
        <v>8.4234229169337177E-2</v>
      </c>
      <c r="F75">
        <f t="shared" si="11"/>
        <v>-10.478218451247974</v>
      </c>
      <c r="G75">
        <v>0</v>
      </c>
      <c r="H75">
        <f t="shared" si="9"/>
        <v>-10.562822158863025</v>
      </c>
      <c r="I75">
        <f t="shared" si="10"/>
        <v>0</v>
      </c>
      <c r="J75">
        <f t="shared" si="12"/>
        <v>2.3609942241965004E-25</v>
      </c>
    </row>
    <row r="76" spans="1:10">
      <c r="A76" s="1">
        <v>18373</v>
      </c>
      <c r="B76">
        <v>17.93</v>
      </c>
      <c r="C76">
        <f t="shared" si="8"/>
        <v>-6.6481994459834347E-3</v>
      </c>
      <c r="D76">
        <f t="shared" si="7"/>
        <v>-0.73495109859852759</v>
      </c>
      <c r="F76">
        <f t="shared" si="11"/>
        <v>-10.309011036017875</v>
      </c>
      <c r="G76">
        <v>0</v>
      </c>
      <c r="H76">
        <f t="shared" si="9"/>
        <v>-10.393614743632925</v>
      </c>
      <c r="I76">
        <f t="shared" si="10"/>
        <v>0</v>
      </c>
      <c r="J76">
        <f t="shared" si="12"/>
        <v>1.390258886555097E-24</v>
      </c>
    </row>
    <row r="77" spans="1:10">
      <c r="A77" s="1">
        <v>18374</v>
      </c>
      <c r="B77">
        <v>17.96</v>
      </c>
      <c r="C77">
        <f t="shared" si="8"/>
        <v>1.67317345231462E-3</v>
      </c>
      <c r="D77">
        <f t="shared" si="7"/>
        <v>0.14378305088966561</v>
      </c>
      <c r="F77">
        <f t="shared" si="11"/>
        <v>-10.139803620787776</v>
      </c>
      <c r="G77">
        <v>0</v>
      </c>
      <c r="H77">
        <f t="shared" si="9"/>
        <v>-10.224407328402826</v>
      </c>
      <c r="I77">
        <f t="shared" si="10"/>
        <v>0</v>
      </c>
      <c r="J77">
        <f t="shared" si="12"/>
        <v>7.9554011673526349E-24</v>
      </c>
    </row>
    <row r="78" spans="1:10">
      <c r="A78" s="1">
        <v>18377</v>
      </c>
      <c r="B78">
        <v>17.829999999999998</v>
      </c>
      <c r="C78">
        <f t="shared" si="8"/>
        <v>-7.2383073496660663E-3</v>
      </c>
      <c r="D78">
        <f t="shared" si="7"/>
        <v>-0.79726629263999105</v>
      </c>
      <c r="F78">
        <f t="shared" si="11"/>
        <v>-9.9705962055576762</v>
      </c>
      <c r="G78">
        <v>0</v>
      </c>
      <c r="H78">
        <f t="shared" si="9"/>
        <v>-10.055199913172727</v>
      </c>
      <c r="I78">
        <f t="shared" si="10"/>
        <v>0</v>
      </c>
      <c r="J78">
        <f t="shared" si="12"/>
        <v>4.4237863016468765E-23</v>
      </c>
    </row>
    <row r="79" spans="1:10">
      <c r="A79" s="1">
        <v>18378</v>
      </c>
      <c r="B79">
        <v>17.829999999999998</v>
      </c>
      <c r="C79">
        <f t="shared" si="8"/>
        <v>0</v>
      </c>
      <c r="D79">
        <f t="shared" si="7"/>
        <v>-3.29034969354682E-2</v>
      </c>
      <c r="F79">
        <f t="shared" si="11"/>
        <v>-9.8013887903275769</v>
      </c>
      <c r="G79">
        <v>0</v>
      </c>
      <c r="H79">
        <f t="shared" si="9"/>
        <v>-9.8859924979426275</v>
      </c>
      <c r="I79">
        <f t="shared" si="10"/>
        <v>0</v>
      </c>
      <c r="J79">
        <f t="shared" si="12"/>
        <v>2.3905170416755218E-22</v>
      </c>
    </row>
    <row r="80" spans="1:10">
      <c r="A80" s="1">
        <v>18379</v>
      </c>
      <c r="B80">
        <v>17.760000000000002</v>
      </c>
      <c r="C80">
        <f t="shared" si="8"/>
        <v>-3.9259674705550609E-3</v>
      </c>
      <c r="D80">
        <f t="shared" si="7"/>
        <v>-0.44748432732489934</v>
      </c>
      <c r="F80">
        <f t="shared" si="11"/>
        <v>-9.6321813750974776</v>
      </c>
      <c r="G80">
        <v>0</v>
      </c>
      <c r="H80">
        <f t="shared" si="9"/>
        <v>-9.7167850827125282</v>
      </c>
      <c r="I80">
        <f t="shared" si="10"/>
        <v>0</v>
      </c>
      <c r="J80">
        <f t="shared" si="12"/>
        <v>1.2553221688137162E-21</v>
      </c>
    </row>
    <row r="81" spans="1:10">
      <c r="A81" s="1">
        <v>18380</v>
      </c>
      <c r="B81">
        <v>17.86</v>
      </c>
      <c r="C81">
        <f t="shared" si="8"/>
        <v>5.6306306306305098E-3</v>
      </c>
      <c r="D81">
        <f t="shared" si="7"/>
        <v>0.5616891837147685</v>
      </c>
      <c r="F81">
        <f t="shared" si="11"/>
        <v>-9.4629739598673783</v>
      </c>
      <c r="G81">
        <v>1</v>
      </c>
      <c r="H81">
        <f t="shared" si="9"/>
        <v>-9.5475776674824289</v>
      </c>
      <c r="I81">
        <f t="shared" si="10"/>
        <v>3.9818801250379981E-4</v>
      </c>
      <c r="J81">
        <f t="shared" si="12"/>
        <v>6.4059597075315462E-21</v>
      </c>
    </row>
    <row r="82" spans="1:10">
      <c r="A82" s="1">
        <v>18381</v>
      </c>
      <c r="B82">
        <v>17.96</v>
      </c>
      <c r="C82">
        <f t="shared" si="8"/>
        <v>5.5991041433371457E-3</v>
      </c>
      <c r="D82">
        <f t="shared" si="7"/>
        <v>0.55835999737296294</v>
      </c>
      <c r="F82">
        <f t="shared" si="11"/>
        <v>-9.293766544637279</v>
      </c>
      <c r="G82">
        <v>2</v>
      </c>
      <c r="H82">
        <f t="shared" si="9"/>
        <v>-9.3783702522523296</v>
      </c>
      <c r="I82">
        <f t="shared" si="10"/>
        <v>7.9637602500759962E-4</v>
      </c>
      <c r="J82">
        <f t="shared" si="12"/>
        <v>3.1767194109293409E-20</v>
      </c>
    </row>
    <row r="83" spans="1:10">
      <c r="A83" s="1">
        <v>18384</v>
      </c>
      <c r="B83">
        <v>18.22</v>
      </c>
      <c r="C83">
        <f t="shared" si="8"/>
        <v>1.4476614699331737E-2</v>
      </c>
      <c r="D83">
        <f t="shared" si="7"/>
        <v>1.4958220944735356</v>
      </c>
      <c r="F83">
        <f t="shared" si="11"/>
        <v>-9.1245591294071797</v>
      </c>
      <c r="G83">
        <v>0</v>
      </c>
      <c r="H83">
        <f t="shared" si="9"/>
        <v>-9.2091628370222303</v>
      </c>
      <c r="I83">
        <f t="shared" si="10"/>
        <v>0</v>
      </c>
      <c r="J83">
        <f t="shared" si="12"/>
        <v>1.5308729898510195E-19</v>
      </c>
    </row>
    <row r="84" spans="1:10">
      <c r="A84" s="1">
        <v>18385</v>
      </c>
      <c r="B84">
        <v>18.11</v>
      </c>
      <c r="C84">
        <f t="shared" si="8"/>
        <v>-6.0373216245883333E-3</v>
      </c>
      <c r="D84">
        <f t="shared" si="7"/>
        <v>-0.67044260830666547</v>
      </c>
      <c r="F84">
        <f t="shared" si="11"/>
        <v>-8.9553517141770804</v>
      </c>
      <c r="G84">
        <v>0</v>
      </c>
      <c r="H84">
        <f t="shared" si="9"/>
        <v>-9.039955421792131</v>
      </c>
      <c r="I84">
        <f t="shared" si="10"/>
        <v>0</v>
      </c>
      <c r="J84">
        <f t="shared" si="12"/>
        <v>7.1691078571043305E-19</v>
      </c>
    </row>
    <row r="85" spans="1:10">
      <c r="A85" s="1">
        <v>18386</v>
      </c>
      <c r="B85">
        <v>18.27</v>
      </c>
      <c r="C85">
        <f t="shared" si="8"/>
        <v>8.8348978464936577E-3</v>
      </c>
      <c r="D85">
        <f t="shared" si="7"/>
        <v>0.90005871252656966</v>
      </c>
      <c r="F85">
        <f t="shared" si="11"/>
        <v>-8.7861442989469811</v>
      </c>
      <c r="G85">
        <v>0</v>
      </c>
      <c r="H85">
        <f t="shared" si="9"/>
        <v>-8.8707480065620317</v>
      </c>
      <c r="I85">
        <f t="shared" si="10"/>
        <v>0</v>
      </c>
      <c r="J85">
        <f t="shared" si="12"/>
        <v>3.2625465564590833E-18</v>
      </c>
    </row>
    <row r="86" spans="1:10">
      <c r="A86" s="1">
        <v>18387</v>
      </c>
      <c r="B86">
        <v>18.12</v>
      </c>
      <c r="C86">
        <f t="shared" si="8"/>
        <v>-8.2101806239736497E-3</v>
      </c>
      <c r="D86">
        <f t="shared" si="7"/>
        <v>-0.89989578005109461</v>
      </c>
      <c r="F86">
        <f t="shared" si="11"/>
        <v>-8.6169368837168818</v>
      </c>
      <c r="G86">
        <v>1</v>
      </c>
      <c r="H86">
        <f t="shared" si="9"/>
        <v>-8.7015405913319324</v>
      </c>
      <c r="I86">
        <f t="shared" si="10"/>
        <v>3.9818801250379981E-4</v>
      </c>
      <c r="J86">
        <f t="shared" si="12"/>
        <v>1.4428260375061526E-17</v>
      </c>
    </row>
    <row r="87" spans="1:10">
      <c r="A87" s="1">
        <v>18388</v>
      </c>
      <c r="B87">
        <v>18.22</v>
      </c>
      <c r="C87">
        <f t="shared" si="8"/>
        <v>5.5187637969093747E-3</v>
      </c>
      <c r="D87">
        <f t="shared" si="7"/>
        <v>0.54987608409920097</v>
      </c>
      <c r="F87">
        <f t="shared" si="11"/>
        <v>-8.4477294684867825</v>
      </c>
      <c r="G87">
        <v>0</v>
      </c>
      <c r="H87">
        <f t="shared" si="9"/>
        <v>-8.5323331761018331</v>
      </c>
      <c r="I87">
        <f t="shared" si="10"/>
        <v>0</v>
      </c>
      <c r="J87">
        <f t="shared" si="12"/>
        <v>6.2006450917198055E-17</v>
      </c>
    </row>
    <row r="88" spans="1:10">
      <c r="A88" s="1">
        <v>18391</v>
      </c>
      <c r="B88">
        <v>18.27</v>
      </c>
      <c r="C88">
        <f t="shared" si="8"/>
        <v>2.7442371020856594E-3</v>
      </c>
      <c r="D88">
        <f t="shared" si="7"/>
        <v>0.25688700823326349</v>
      </c>
      <c r="F88">
        <f t="shared" si="11"/>
        <v>-8.2785220532566832</v>
      </c>
      <c r="G88">
        <v>0</v>
      </c>
      <c r="H88">
        <f t="shared" si="9"/>
        <v>-8.3631257608717338</v>
      </c>
      <c r="I88">
        <f t="shared" si="10"/>
        <v>0</v>
      </c>
      <c r="J88">
        <f t="shared" si="12"/>
        <v>2.5895567151769089E-16</v>
      </c>
    </row>
    <row r="89" spans="1:10">
      <c r="A89" s="1">
        <v>18392</v>
      </c>
      <c r="B89">
        <v>18.27</v>
      </c>
      <c r="C89">
        <f t="shared" si="8"/>
        <v>0</v>
      </c>
      <c r="D89">
        <f t="shared" si="7"/>
        <v>-3.29034969354682E-2</v>
      </c>
      <c r="F89">
        <f t="shared" si="11"/>
        <v>-8.1093146380265839</v>
      </c>
      <c r="G89">
        <v>0</v>
      </c>
      <c r="H89">
        <f t="shared" si="9"/>
        <v>-8.1939183456416345</v>
      </c>
      <c r="I89">
        <f t="shared" si="10"/>
        <v>0</v>
      </c>
      <c r="J89">
        <f t="shared" si="12"/>
        <v>1.0509441327316195E-15</v>
      </c>
    </row>
    <row r="90" spans="1:10">
      <c r="A90" s="1">
        <v>18393</v>
      </c>
      <c r="B90">
        <v>18.29</v>
      </c>
      <c r="C90">
        <f t="shared" si="8"/>
        <v>1.0946907498631403E-3</v>
      </c>
      <c r="D90">
        <f t="shared" si="7"/>
        <v>8.2695474146613962E-2</v>
      </c>
      <c r="F90">
        <f t="shared" si="11"/>
        <v>-7.9401072227964846</v>
      </c>
      <c r="G90">
        <v>1</v>
      </c>
      <c r="H90">
        <f t="shared" si="9"/>
        <v>-8.0247109304115352</v>
      </c>
      <c r="I90">
        <f t="shared" si="10"/>
        <v>3.9818801250379981E-4</v>
      </c>
      <c r="J90">
        <f t="shared" si="12"/>
        <v>4.1447609016824665E-15</v>
      </c>
    </row>
    <row r="91" spans="1:10">
      <c r="A91" s="1">
        <v>18394</v>
      </c>
      <c r="B91">
        <v>18.29</v>
      </c>
      <c r="C91">
        <f t="shared" si="8"/>
        <v>0</v>
      </c>
      <c r="D91">
        <f t="shared" si="7"/>
        <v>-3.29034969354682E-2</v>
      </c>
      <c r="F91">
        <f t="shared" si="11"/>
        <v>-7.7708998075663853</v>
      </c>
      <c r="G91">
        <v>0</v>
      </c>
      <c r="H91">
        <f t="shared" si="9"/>
        <v>-7.855503515181435</v>
      </c>
      <c r="I91">
        <f t="shared" si="10"/>
        <v>0</v>
      </c>
      <c r="J91">
        <f t="shared" si="12"/>
        <v>1.5884918279360586E-14</v>
      </c>
    </row>
    <row r="92" spans="1:10">
      <c r="A92" s="1">
        <v>18395</v>
      </c>
      <c r="B92">
        <v>18.18</v>
      </c>
      <c r="C92">
        <f t="shared" si="8"/>
        <v>-6.0142154182613143E-3</v>
      </c>
      <c r="D92">
        <f t="shared" si="7"/>
        <v>-0.66800260077271345</v>
      </c>
      <c r="F92">
        <f t="shared" si="11"/>
        <v>-7.601692392336286</v>
      </c>
      <c r="G92">
        <v>0</v>
      </c>
      <c r="H92">
        <f t="shared" si="9"/>
        <v>-7.6862960999513357</v>
      </c>
      <c r="I92">
        <f t="shared" si="10"/>
        <v>0</v>
      </c>
      <c r="J92">
        <f t="shared" si="12"/>
        <v>5.9161085939086184E-14</v>
      </c>
    </row>
    <row r="93" spans="1:10">
      <c r="A93" s="1">
        <v>18398</v>
      </c>
      <c r="B93">
        <v>18.260000000000002</v>
      </c>
      <c r="C93">
        <f t="shared" si="8"/>
        <v>4.4004400440045026E-3</v>
      </c>
      <c r="D93">
        <f t="shared" si="7"/>
        <v>0.43178147592915994</v>
      </c>
      <c r="F93">
        <f t="shared" si="11"/>
        <v>-7.4324849771061867</v>
      </c>
      <c r="G93">
        <v>0</v>
      </c>
      <c r="H93">
        <f t="shared" si="9"/>
        <v>-7.5170886847212364</v>
      </c>
      <c r="I93">
        <f t="shared" si="10"/>
        <v>0</v>
      </c>
      <c r="J93">
        <f t="shared" si="12"/>
        <v>2.14117882192122E-13</v>
      </c>
    </row>
    <row r="94" spans="1:10">
      <c r="A94" s="1">
        <v>18399</v>
      </c>
      <c r="B94">
        <v>18.440000000000001</v>
      </c>
      <c r="C94">
        <f t="shared" si="8"/>
        <v>9.8576122672508048E-3</v>
      </c>
      <c r="D94">
        <f t="shared" si="7"/>
        <v>1.0080570077210018</v>
      </c>
      <c r="F94">
        <f t="shared" si="11"/>
        <v>-7.2632775618760874</v>
      </c>
      <c r="G94">
        <v>1</v>
      </c>
      <c r="H94">
        <f t="shared" si="9"/>
        <v>-7.3478812694911371</v>
      </c>
      <c r="I94">
        <f t="shared" si="10"/>
        <v>3.9818801250379981E-4</v>
      </c>
      <c r="J94">
        <f t="shared" si="12"/>
        <v>7.5307007641405009E-13</v>
      </c>
    </row>
    <row r="95" spans="1:10">
      <c r="A95" s="1">
        <v>18400</v>
      </c>
      <c r="B95">
        <v>18.52</v>
      </c>
      <c r="C95">
        <f t="shared" si="8"/>
        <v>4.3383947939261546E-3</v>
      </c>
      <c r="D95">
        <f t="shared" si="7"/>
        <v>0.42522951861109165</v>
      </c>
      <c r="F95">
        <f t="shared" si="11"/>
        <v>-7.0940701466459881</v>
      </c>
      <c r="G95">
        <v>3</v>
      </c>
      <c r="H95">
        <f t="shared" si="9"/>
        <v>-7.1786738542610378</v>
      </c>
      <c r="I95">
        <f t="shared" si="10"/>
        <v>1.1945640375113995E-3</v>
      </c>
      <c r="J95">
        <f t="shared" si="12"/>
        <v>2.5738515375689299E-12</v>
      </c>
    </row>
    <row r="96" spans="1:10">
      <c r="A96" s="1">
        <v>18401</v>
      </c>
      <c r="B96">
        <v>18.559999999999999</v>
      </c>
      <c r="C96">
        <f t="shared" si="8"/>
        <v>2.1598272138228483E-3</v>
      </c>
      <c r="D96">
        <f t="shared" si="7"/>
        <v>0.19517352268328356</v>
      </c>
      <c r="F96">
        <f t="shared" si="11"/>
        <v>-6.9248627314158888</v>
      </c>
      <c r="G96">
        <v>2</v>
      </c>
      <c r="H96">
        <f t="shared" si="9"/>
        <v>-7.0094664390309385</v>
      </c>
      <c r="I96">
        <f t="shared" si="10"/>
        <v>7.9637602500759962E-4</v>
      </c>
      <c r="J96">
        <f t="shared" si="12"/>
        <v>8.5486442470015654E-12</v>
      </c>
    </row>
    <row r="97" spans="1:10">
      <c r="A97" s="1">
        <v>18402</v>
      </c>
      <c r="B97">
        <v>18.68</v>
      </c>
      <c r="C97">
        <f t="shared" si="8"/>
        <v>6.465517241379364E-3</v>
      </c>
      <c r="D97">
        <f t="shared" si="7"/>
        <v>0.64985292601809974</v>
      </c>
      <c r="F97">
        <f t="shared" si="11"/>
        <v>-6.7556553161857895</v>
      </c>
      <c r="G97">
        <v>0</v>
      </c>
      <c r="H97">
        <f t="shared" si="9"/>
        <v>-6.8402590238008392</v>
      </c>
      <c r="I97">
        <f t="shared" si="10"/>
        <v>0</v>
      </c>
      <c r="J97">
        <f t="shared" si="12"/>
        <v>2.7591584764078637E-11</v>
      </c>
    </row>
    <row r="98" spans="1:10">
      <c r="A98" s="1">
        <v>18405</v>
      </c>
      <c r="B98">
        <v>18.600000000000001</v>
      </c>
      <c r="C98">
        <f t="shared" si="8"/>
        <v>-4.2826552462525858E-3</v>
      </c>
      <c r="D98">
        <f t="shared" si="7"/>
        <v>-0.48515043519449208</v>
      </c>
      <c r="F98">
        <f t="shared" si="11"/>
        <v>-6.5864479009556902</v>
      </c>
      <c r="G98">
        <v>0</v>
      </c>
      <c r="H98">
        <f t="shared" si="9"/>
        <v>-6.6710516085707399</v>
      </c>
      <c r="I98">
        <f t="shared" si="10"/>
        <v>0</v>
      </c>
      <c r="J98">
        <f t="shared" si="12"/>
        <v>8.6540957641362109E-11</v>
      </c>
    </row>
    <row r="99" spans="1:10">
      <c r="A99" s="1">
        <v>18406</v>
      </c>
      <c r="B99">
        <v>18.71</v>
      </c>
      <c r="C99">
        <f t="shared" si="8"/>
        <v>5.9139784946236253E-3</v>
      </c>
      <c r="D99">
        <f t="shared" si="7"/>
        <v>0.59161062183782287</v>
      </c>
      <c r="F99">
        <f t="shared" si="11"/>
        <v>-6.4172404857255909</v>
      </c>
      <c r="G99">
        <v>3</v>
      </c>
      <c r="H99">
        <f t="shared" si="9"/>
        <v>-6.5018441933406406</v>
      </c>
      <c r="I99">
        <f t="shared" si="10"/>
        <v>1.1945640375113995E-3</v>
      </c>
      <c r="J99">
        <f t="shared" si="12"/>
        <v>2.6377425047306446E-10</v>
      </c>
    </row>
    <row r="100" spans="1:10">
      <c r="A100" s="1">
        <v>18407</v>
      </c>
      <c r="B100">
        <v>18.690000000000001</v>
      </c>
      <c r="C100">
        <f t="shared" si="8"/>
        <v>-1.0689470871191647E-3</v>
      </c>
      <c r="D100">
        <f t="shared" si="7"/>
        <v>-0.14578394598248268</v>
      </c>
      <c r="F100">
        <f t="shared" si="11"/>
        <v>-6.2480330704954916</v>
      </c>
      <c r="G100">
        <v>0</v>
      </c>
      <c r="H100">
        <f t="shared" si="9"/>
        <v>-6.3326367781105413</v>
      </c>
      <c r="I100">
        <f t="shared" si="10"/>
        <v>0</v>
      </c>
      <c r="J100">
        <f t="shared" si="12"/>
        <v>7.8128367254918197E-10</v>
      </c>
    </row>
    <row r="101" spans="1:10">
      <c r="A101" s="1">
        <v>18408</v>
      </c>
      <c r="B101">
        <v>18.690000000000001</v>
      </c>
      <c r="C101">
        <f t="shared" si="8"/>
        <v>0</v>
      </c>
      <c r="D101">
        <f t="shared" si="7"/>
        <v>-3.29034969354682E-2</v>
      </c>
      <c r="F101">
        <f t="shared" si="11"/>
        <v>-6.0788256552653923</v>
      </c>
      <c r="G101">
        <v>2</v>
      </c>
      <c r="H101">
        <f t="shared" si="9"/>
        <v>-6.163429362880442</v>
      </c>
      <c r="I101">
        <f t="shared" si="10"/>
        <v>7.9637602500759962E-4</v>
      </c>
      <c r="J101">
        <f t="shared" si="12"/>
        <v>2.2487995671580939E-9</v>
      </c>
    </row>
    <row r="102" spans="1:10">
      <c r="A102" s="1">
        <v>18409</v>
      </c>
      <c r="B102">
        <v>18.670000000000002</v>
      </c>
      <c r="C102">
        <f t="shared" si="8"/>
        <v>-1.0700909577313843E-3</v>
      </c>
      <c r="D102">
        <f t="shared" si="7"/>
        <v>-0.14590473833031256</v>
      </c>
      <c r="F102">
        <f t="shared" si="11"/>
        <v>-5.909618240035293</v>
      </c>
      <c r="G102">
        <v>0</v>
      </c>
      <c r="H102">
        <f t="shared" si="9"/>
        <v>-5.9942219476503427</v>
      </c>
      <c r="I102">
        <f t="shared" si="10"/>
        <v>0</v>
      </c>
      <c r="J102">
        <f t="shared" si="12"/>
        <v>6.2901123038126961E-9</v>
      </c>
    </row>
    <row r="103" spans="1:10">
      <c r="A103" s="1">
        <v>18412</v>
      </c>
      <c r="B103">
        <v>18.72</v>
      </c>
      <c r="C103">
        <f t="shared" si="8"/>
        <v>2.6780931976431257E-3</v>
      </c>
      <c r="D103">
        <f t="shared" si="7"/>
        <v>0.24990223440753745</v>
      </c>
      <c r="F103">
        <f t="shared" si="11"/>
        <v>-5.7404108248051937</v>
      </c>
      <c r="G103">
        <v>0</v>
      </c>
      <c r="H103">
        <f t="shared" si="9"/>
        <v>-5.8250145324202434</v>
      </c>
      <c r="I103">
        <f t="shared" si="10"/>
        <v>0</v>
      </c>
      <c r="J103">
        <f t="shared" si="12"/>
        <v>1.7097464066189735E-8</v>
      </c>
    </row>
    <row r="104" spans="1:10">
      <c r="A104" s="1">
        <v>18414</v>
      </c>
      <c r="B104">
        <v>18.78</v>
      </c>
      <c r="C104">
        <f t="shared" si="8"/>
        <v>3.2051282051283269E-3</v>
      </c>
      <c r="D104">
        <f t="shared" si="7"/>
        <v>0.30555695205007127</v>
      </c>
      <c r="F104">
        <f t="shared" si="11"/>
        <v>-5.5712034095750944</v>
      </c>
      <c r="G104">
        <v>2</v>
      </c>
      <c r="H104">
        <f t="shared" si="9"/>
        <v>-5.6558071171901441</v>
      </c>
      <c r="I104">
        <f t="shared" si="10"/>
        <v>7.9637602500759962E-4</v>
      </c>
      <c r="J104">
        <f t="shared" si="12"/>
        <v>4.5161738288411013E-8</v>
      </c>
    </row>
    <row r="105" spans="1:10">
      <c r="A105" s="1">
        <v>18415</v>
      </c>
      <c r="B105">
        <v>18.77</v>
      </c>
      <c r="C105">
        <f t="shared" si="8"/>
        <v>-5.3248136315237288E-4</v>
      </c>
      <c r="D105">
        <f t="shared" si="7"/>
        <v>-8.913334788514915E-2</v>
      </c>
      <c r="F105">
        <f t="shared" si="11"/>
        <v>-5.4019959943449951</v>
      </c>
      <c r="G105">
        <v>2</v>
      </c>
      <c r="H105">
        <f t="shared" si="9"/>
        <v>-5.4865997019600448</v>
      </c>
      <c r="I105">
        <f t="shared" si="10"/>
        <v>7.9637602500759962E-4</v>
      </c>
      <c r="J105">
        <f t="shared" si="12"/>
        <v>1.1592450484946741E-7</v>
      </c>
    </row>
    <row r="106" spans="1:10">
      <c r="A106" s="1">
        <v>18416</v>
      </c>
      <c r="B106">
        <v>18.79</v>
      </c>
      <c r="C106">
        <f t="shared" si="8"/>
        <v>1.065530101225337E-3</v>
      </c>
      <c r="D106">
        <f t="shared" si="7"/>
        <v>7.9616119562648024E-2</v>
      </c>
      <c r="F106">
        <f t="shared" ref="F106:F137" si="13">F105+bucketwidth</f>
        <v>-5.2327885791148958</v>
      </c>
      <c r="G106">
        <v>1</v>
      </c>
      <c r="H106">
        <f t="shared" si="9"/>
        <v>-5.3173922867299455</v>
      </c>
      <c r="I106">
        <f t="shared" si="10"/>
        <v>3.9818801250379981E-4</v>
      </c>
      <c r="J106">
        <f t="shared" si="12"/>
        <v>2.8916484928916306E-7</v>
      </c>
    </row>
    <row r="107" spans="1:10">
      <c r="A107" s="1">
        <v>18419</v>
      </c>
      <c r="B107">
        <v>18.600000000000001</v>
      </c>
      <c r="C107">
        <f t="shared" si="8"/>
        <v>-1.0111761575305894E-2</v>
      </c>
      <c r="D107">
        <f t="shared" si="7"/>
        <v>-1.1007020821330082</v>
      </c>
      <c r="F107">
        <f t="shared" si="13"/>
        <v>-5.0635811638847965</v>
      </c>
      <c r="G107">
        <v>2</v>
      </c>
      <c r="H107">
        <f t="shared" si="9"/>
        <v>-5.1481848714998462</v>
      </c>
      <c r="I107">
        <f t="shared" si="10"/>
        <v>7.9637602500759962E-4</v>
      </c>
      <c r="J107">
        <f t="shared" si="12"/>
        <v>7.0094089496905041E-7</v>
      </c>
    </row>
    <row r="108" spans="1:10">
      <c r="A108" s="1">
        <v>18420</v>
      </c>
      <c r="B108">
        <v>18.88</v>
      </c>
      <c r="C108">
        <f t="shared" si="8"/>
        <v>1.5053763440860084E-2</v>
      </c>
      <c r="D108">
        <f t="shared" si="7"/>
        <v>1.5567688053965398</v>
      </c>
      <c r="F108">
        <f t="shared" si="13"/>
        <v>-4.8943737486546972</v>
      </c>
      <c r="G108">
        <v>2</v>
      </c>
      <c r="H108">
        <f t="shared" si="9"/>
        <v>-4.9789774562697469</v>
      </c>
      <c r="I108">
        <f t="shared" si="10"/>
        <v>7.9637602500759962E-4</v>
      </c>
      <c r="J108">
        <f t="shared" si="12"/>
        <v>1.6511363861585091E-6</v>
      </c>
    </row>
    <row r="109" spans="1:10">
      <c r="A109" s="1">
        <v>18421</v>
      </c>
      <c r="B109">
        <v>18.93</v>
      </c>
      <c r="C109">
        <f t="shared" si="8"/>
        <v>2.6483050847458003E-3</v>
      </c>
      <c r="D109">
        <f t="shared" si="7"/>
        <v>0.24675661981105143</v>
      </c>
      <c r="F109">
        <f t="shared" si="13"/>
        <v>-4.7251663334245979</v>
      </c>
      <c r="G109">
        <v>0</v>
      </c>
      <c r="H109">
        <f t="shared" si="9"/>
        <v>-4.8097700410396476</v>
      </c>
      <c r="I109">
        <f t="shared" si="10"/>
        <v>0</v>
      </c>
      <c r="J109">
        <f t="shared" si="12"/>
        <v>3.7796374824488229E-6</v>
      </c>
    </row>
    <row r="110" spans="1:10">
      <c r="A110" s="1">
        <v>18422</v>
      </c>
      <c r="B110">
        <v>19.14</v>
      </c>
      <c r="C110">
        <f t="shared" si="8"/>
        <v>1.1093502377179126E-2</v>
      </c>
      <c r="D110">
        <f t="shared" si="7"/>
        <v>1.1385665832299727</v>
      </c>
      <c r="F110">
        <f t="shared" si="13"/>
        <v>-4.5559589181944986</v>
      </c>
      <c r="G110">
        <v>2</v>
      </c>
      <c r="H110">
        <f t="shared" si="9"/>
        <v>-4.6405626258095483</v>
      </c>
      <c r="I110">
        <f t="shared" si="10"/>
        <v>7.9637602500759962E-4</v>
      </c>
      <c r="J110">
        <f t="shared" si="12"/>
        <v>8.4078120761932501E-6</v>
      </c>
    </row>
    <row r="111" spans="1:10">
      <c r="A111" s="1">
        <v>18423</v>
      </c>
      <c r="B111">
        <v>19.260000000000002</v>
      </c>
      <c r="C111">
        <f t="shared" si="8"/>
        <v>6.26959247648908E-3</v>
      </c>
      <c r="D111">
        <f t="shared" si="7"/>
        <v>0.62916333744374919</v>
      </c>
      <c r="F111">
        <f t="shared" si="13"/>
        <v>-4.3867515029643993</v>
      </c>
      <c r="G111">
        <v>3</v>
      </c>
      <c r="H111">
        <f t="shared" si="9"/>
        <v>-4.471355210579449</v>
      </c>
      <c r="I111">
        <f t="shared" si="10"/>
        <v>1.1945640375113995E-3</v>
      </c>
      <c r="J111">
        <f t="shared" si="12"/>
        <v>1.817529610500507E-5</v>
      </c>
    </row>
    <row r="112" spans="1:10">
      <c r="A112" s="1">
        <v>18426</v>
      </c>
      <c r="B112">
        <v>19.399999999999999</v>
      </c>
      <c r="C112">
        <f t="shared" si="8"/>
        <v>7.2689511941846831E-3</v>
      </c>
      <c r="D112">
        <f t="shared" si="7"/>
        <v>0.7346952783338716</v>
      </c>
      <c r="F112">
        <f t="shared" si="13"/>
        <v>-4.2175440877343</v>
      </c>
      <c r="G112">
        <v>2</v>
      </c>
      <c r="H112">
        <f t="shared" si="9"/>
        <v>-4.3021477953493497</v>
      </c>
      <c r="I112">
        <f t="shared" si="10"/>
        <v>7.9637602500759962E-4</v>
      </c>
      <c r="J112">
        <f t="shared" si="12"/>
        <v>3.8180854475951946E-5</v>
      </c>
    </row>
    <row r="113" spans="1:10">
      <c r="A113" s="1">
        <v>18427</v>
      </c>
      <c r="B113">
        <v>19.25</v>
      </c>
      <c r="C113">
        <f t="shared" si="8"/>
        <v>-7.7319587628865254E-3</v>
      </c>
      <c r="D113">
        <f t="shared" si="7"/>
        <v>-0.84939571407580305</v>
      </c>
      <c r="F113">
        <f t="shared" si="13"/>
        <v>-4.0483366725042007</v>
      </c>
      <c r="G113">
        <v>6</v>
      </c>
      <c r="H113">
        <f t="shared" si="9"/>
        <v>-4.1329403801192504</v>
      </c>
      <c r="I113">
        <f t="shared" si="10"/>
        <v>2.3891280750227991E-3</v>
      </c>
      <c r="J113">
        <f t="shared" si="12"/>
        <v>7.794269926785306E-5</v>
      </c>
    </row>
    <row r="114" spans="1:10">
      <c r="A114" s="1">
        <v>18428</v>
      </c>
      <c r="B114">
        <v>18.98</v>
      </c>
      <c r="C114">
        <f t="shared" si="8"/>
        <v>-1.4025974025974004E-2</v>
      </c>
      <c r="D114">
        <f t="shared" si="7"/>
        <v>-1.5140415864181029</v>
      </c>
      <c r="F114">
        <f t="shared" si="13"/>
        <v>-3.8791292572741014</v>
      </c>
      <c r="G114">
        <v>3</v>
      </c>
      <c r="H114">
        <f t="shared" si="9"/>
        <v>-3.9637329648891511</v>
      </c>
      <c r="I114">
        <f t="shared" si="10"/>
        <v>1.1945640375113995E-3</v>
      </c>
      <c r="J114">
        <f t="shared" si="12"/>
        <v>1.5462185891354946E-4</v>
      </c>
    </row>
    <row r="115" spans="1:10">
      <c r="A115" s="1">
        <v>18429</v>
      </c>
      <c r="B115">
        <v>18.93</v>
      </c>
      <c r="C115">
        <f t="shared" si="8"/>
        <v>-2.6343519494204798E-3</v>
      </c>
      <c r="D115">
        <f t="shared" si="7"/>
        <v>-0.31109016733453509</v>
      </c>
      <c r="F115">
        <f t="shared" si="13"/>
        <v>-3.7099218420440021</v>
      </c>
      <c r="G115">
        <v>5</v>
      </c>
      <c r="H115">
        <f t="shared" si="9"/>
        <v>-3.7945255496590518</v>
      </c>
      <c r="I115">
        <f t="shared" si="10"/>
        <v>1.9909400625189992E-3</v>
      </c>
      <c r="J115">
        <f t="shared" si="12"/>
        <v>2.9807941707492226E-4</v>
      </c>
    </row>
    <row r="116" spans="1:10">
      <c r="A116" s="1">
        <v>18430</v>
      </c>
      <c r="B116">
        <v>18.97</v>
      </c>
      <c r="C116">
        <f t="shared" si="8"/>
        <v>2.1130480718435894E-3</v>
      </c>
      <c r="D116">
        <f t="shared" si="7"/>
        <v>0.19023366119127677</v>
      </c>
      <c r="F116">
        <f t="shared" si="13"/>
        <v>-3.5407144268139028</v>
      </c>
      <c r="G116">
        <v>7</v>
      </c>
      <c r="H116">
        <f t="shared" si="9"/>
        <v>-3.6253181344289525</v>
      </c>
      <c r="I116">
        <f t="shared" si="10"/>
        <v>2.787316087526599E-3</v>
      </c>
      <c r="J116">
        <f t="shared" si="12"/>
        <v>5.5841713499122107E-4</v>
      </c>
    </row>
    <row r="117" spans="1:10">
      <c r="A117" s="1">
        <v>18433</v>
      </c>
      <c r="B117">
        <v>18.920000000000002</v>
      </c>
      <c r="C117">
        <f t="shared" si="8"/>
        <v>-2.6357406431205673E-3</v>
      </c>
      <c r="D117">
        <f t="shared" si="7"/>
        <v>-0.31123681291722444</v>
      </c>
      <c r="F117">
        <f t="shared" si="13"/>
        <v>-3.3715070115838035</v>
      </c>
      <c r="G117">
        <v>4</v>
      </c>
      <c r="H117">
        <f t="shared" si="9"/>
        <v>-3.4561107191988532</v>
      </c>
      <c r="I117">
        <f t="shared" si="10"/>
        <v>1.5927520500151992E-3</v>
      </c>
      <c r="J117">
        <f t="shared" si="12"/>
        <v>1.0166024073789417E-3</v>
      </c>
    </row>
    <row r="118" spans="1:10">
      <c r="A118" s="1">
        <v>18434</v>
      </c>
      <c r="B118">
        <v>18.829999999999998</v>
      </c>
      <c r="C118">
        <f t="shared" si="8"/>
        <v>-4.756871035940983E-3</v>
      </c>
      <c r="D118">
        <f t="shared" si="7"/>
        <v>-0.53522746139180788</v>
      </c>
      <c r="F118">
        <f t="shared" si="13"/>
        <v>-3.2022995963537042</v>
      </c>
      <c r="G118">
        <v>16</v>
      </c>
      <c r="H118">
        <f t="shared" si="9"/>
        <v>-3.2869033039687539</v>
      </c>
      <c r="I118">
        <f t="shared" si="10"/>
        <v>6.371008200060797E-3</v>
      </c>
      <c r="J118">
        <f t="shared" si="12"/>
        <v>1.7984947786087956E-3</v>
      </c>
    </row>
    <row r="119" spans="1:10">
      <c r="A119" s="1">
        <v>18435</v>
      </c>
      <c r="B119">
        <v>19</v>
      </c>
      <c r="C119">
        <f t="shared" si="8"/>
        <v>9.0281465746150681E-3</v>
      </c>
      <c r="D119">
        <f t="shared" si="7"/>
        <v>0.92046571252775622</v>
      </c>
      <c r="F119">
        <f t="shared" si="13"/>
        <v>-3.0330921811236049</v>
      </c>
      <c r="G119">
        <v>21</v>
      </c>
      <c r="H119">
        <f t="shared" si="9"/>
        <v>-3.1176958887386546</v>
      </c>
      <c r="I119">
        <f t="shared" si="10"/>
        <v>8.3619482625797974E-3</v>
      </c>
      <c r="J119">
        <f t="shared" si="12"/>
        <v>3.0919529639983141E-3</v>
      </c>
    </row>
    <row r="120" spans="1:10">
      <c r="A120" s="1">
        <v>18436</v>
      </c>
      <c r="B120">
        <v>19.16</v>
      </c>
      <c r="C120">
        <f t="shared" si="8"/>
        <v>8.4210526315789541E-3</v>
      </c>
      <c r="D120">
        <f t="shared" si="7"/>
        <v>0.85635679850440038</v>
      </c>
      <c r="F120">
        <f t="shared" si="13"/>
        <v>-2.8638847658935056</v>
      </c>
      <c r="G120">
        <v>19</v>
      </c>
      <c r="H120">
        <f t="shared" si="9"/>
        <v>-2.9484884735085553</v>
      </c>
      <c r="I120">
        <f t="shared" si="10"/>
        <v>7.5655722375721967E-3</v>
      </c>
      <c r="J120">
        <f t="shared" si="12"/>
        <v>5.1656172750398797E-3</v>
      </c>
    </row>
    <row r="121" spans="1:10">
      <c r="A121" s="1">
        <v>18437</v>
      </c>
      <c r="B121">
        <v>19.14</v>
      </c>
      <c r="C121">
        <f t="shared" si="8"/>
        <v>-1.043841336116888E-3</v>
      </c>
      <c r="D121">
        <f t="shared" si="7"/>
        <v>-0.14313278721050166</v>
      </c>
      <c r="F121">
        <f t="shared" si="13"/>
        <v>-2.6946773506634063</v>
      </c>
      <c r="G121">
        <v>28</v>
      </c>
      <c r="H121">
        <f t="shared" si="9"/>
        <v>-2.779281058278456</v>
      </c>
      <c r="I121">
        <f t="shared" si="10"/>
        <v>1.1149264350106396E-2</v>
      </c>
      <c r="J121">
        <f t="shared" si="12"/>
        <v>8.3864318614074972E-3</v>
      </c>
    </row>
    <row r="122" spans="1:10">
      <c r="A122" s="1">
        <v>18440</v>
      </c>
      <c r="B122">
        <v>18.11</v>
      </c>
      <c r="C122">
        <f t="shared" si="8"/>
        <v>-5.381400208986422E-2</v>
      </c>
      <c r="D122">
        <f t="shared" si="7"/>
        <v>-5.7156438253570441</v>
      </c>
      <c r="F122">
        <f t="shared" si="13"/>
        <v>-2.525469935433307</v>
      </c>
      <c r="G122">
        <v>31</v>
      </c>
      <c r="H122">
        <f t="shared" si="9"/>
        <v>-2.6100736430483567</v>
      </c>
      <c r="I122">
        <f t="shared" si="10"/>
        <v>1.2343828387617797E-2</v>
      </c>
      <c r="J122">
        <f t="shared" si="12"/>
        <v>1.3231158424302742E-2</v>
      </c>
    </row>
    <row r="123" spans="1:10">
      <c r="A123" s="1">
        <v>18441</v>
      </c>
      <c r="B123">
        <v>17.91</v>
      </c>
      <c r="C123">
        <f t="shared" si="8"/>
        <v>-1.1043622308117023E-2</v>
      </c>
      <c r="D123">
        <f t="shared" si="7"/>
        <v>-1.1991062587630101</v>
      </c>
      <c r="F123">
        <f t="shared" si="13"/>
        <v>-2.3562625202032077</v>
      </c>
      <c r="G123">
        <v>48</v>
      </c>
      <c r="H123">
        <f t="shared" si="9"/>
        <v>-2.4408662278182574</v>
      </c>
      <c r="I123">
        <f t="shared" si="10"/>
        <v>1.9113024600182393E-2</v>
      </c>
      <c r="J123">
        <f t="shared" si="12"/>
        <v>2.0285427573099125E-2</v>
      </c>
    </row>
    <row r="124" spans="1:10">
      <c r="A124" s="1">
        <v>18442</v>
      </c>
      <c r="B124">
        <v>18.11</v>
      </c>
      <c r="C124">
        <f t="shared" si="8"/>
        <v>1.1166945840312635E-2</v>
      </c>
      <c r="D124">
        <f t="shared" si="7"/>
        <v>1.1463221879722252</v>
      </c>
      <c r="F124">
        <f t="shared" si="13"/>
        <v>-2.1870551049731084</v>
      </c>
      <c r="G124">
        <v>43</v>
      </c>
      <c r="H124">
        <f t="shared" si="9"/>
        <v>-2.271658812588158</v>
      </c>
      <c r="I124">
        <f t="shared" si="10"/>
        <v>1.7122084537663392E-2</v>
      </c>
      <c r="J124">
        <f t="shared" si="12"/>
        <v>3.0222898494713667E-2</v>
      </c>
    </row>
    <row r="125" spans="1:10">
      <c r="A125" s="1">
        <v>18443</v>
      </c>
      <c r="B125">
        <v>17.440000000000001</v>
      </c>
      <c r="C125">
        <f t="shared" si="8"/>
        <v>-3.6996134732192057E-2</v>
      </c>
      <c r="D125">
        <f t="shared" si="7"/>
        <v>-3.9396827490577371</v>
      </c>
      <c r="F125">
        <f t="shared" si="13"/>
        <v>-2.0178476897430091</v>
      </c>
      <c r="G125">
        <v>66</v>
      </c>
      <c r="H125">
        <f t="shared" si="9"/>
        <v>-2.1024513973580587</v>
      </c>
      <c r="I125">
        <f t="shared" si="10"/>
        <v>2.6280408825250789E-2</v>
      </c>
      <c r="J125">
        <f t="shared" si="12"/>
        <v>4.375762164462689E-2</v>
      </c>
    </row>
    <row r="126" spans="1:10">
      <c r="A126" s="1">
        <v>18444</v>
      </c>
      <c r="B126">
        <v>17.690000000000001</v>
      </c>
      <c r="C126">
        <f t="shared" si="8"/>
        <v>1.43348623853211E-2</v>
      </c>
      <c r="D126">
        <f t="shared" si="7"/>
        <v>1.4808530982979651</v>
      </c>
      <c r="F126">
        <f t="shared" si="13"/>
        <v>-1.8486402745129096</v>
      </c>
      <c r="G126">
        <v>107</v>
      </c>
      <c r="H126">
        <f t="shared" si="9"/>
        <v>-1.9332439821279594</v>
      </c>
      <c r="I126">
        <f t="shared" si="10"/>
        <v>4.2606117337906584E-2</v>
      </c>
      <c r="J126">
        <f t="shared" si="12"/>
        <v>6.1565435347086882E-2</v>
      </c>
    </row>
    <row r="127" spans="1:10">
      <c r="A127" s="1">
        <v>18447</v>
      </c>
      <c r="B127">
        <v>17.64</v>
      </c>
      <c r="C127">
        <f t="shared" si="8"/>
        <v>-2.8264556246467331E-3</v>
      </c>
      <c r="D127">
        <f t="shared" si="7"/>
        <v>-0.33137625013921551</v>
      </c>
      <c r="F127">
        <f t="shared" si="13"/>
        <v>-1.6794328592828101</v>
      </c>
      <c r="G127">
        <v>128</v>
      </c>
      <c r="H127">
        <f t="shared" si="9"/>
        <v>-1.7640365668978597</v>
      </c>
      <c r="I127">
        <f t="shared" si="10"/>
        <v>5.0968065600486376E-2</v>
      </c>
      <c r="J127">
        <f t="shared" si="12"/>
        <v>8.4175528288497573E-2</v>
      </c>
    </row>
    <row r="128" spans="1:10">
      <c r="A128" s="1">
        <v>18449</v>
      </c>
      <c r="B128">
        <v>17.809999999999999</v>
      </c>
      <c r="C128">
        <f t="shared" si="8"/>
        <v>9.6371882086166757E-3</v>
      </c>
      <c r="D128">
        <f t="shared" si="7"/>
        <v>0.98478030205501588</v>
      </c>
      <c r="F128">
        <f t="shared" si="13"/>
        <v>-1.5102254440527105</v>
      </c>
      <c r="G128">
        <v>179</v>
      </c>
      <c r="H128">
        <f t="shared" si="9"/>
        <v>-1.5948291516677604</v>
      </c>
      <c r="I128">
        <f t="shared" si="10"/>
        <v>7.1275654238180178E-2</v>
      </c>
      <c r="J128">
        <f t="shared" si="12"/>
        <v>0.11184083385836129</v>
      </c>
    </row>
    <row r="129" spans="1:10">
      <c r="A129" s="1">
        <v>18450</v>
      </c>
      <c r="B129">
        <v>17.91</v>
      </c>
      <c r="C129">
        <f t="shared" si="8"/>
        <v>5.6148231330713887E-3</v>
      </c>
      <c r="D129">
        <f t="shared" si="7"/>
        <v>0.56001991734575474</v>
      </c>
      <c r="F129">
        <f t="shared" si="13"/>
        <v>-1.341018028822611</v>
      </c>
      <c r="G129">
        <v>234</v>
      </c>
      <c r="H129">
        <f t="shared" si="9"/>
        <v>-1.4256217364376607</v>
      </c>
      <c r="I129">
        <f t="shared" si="10"/>
        <v>9.3175994925889169E-2</v>
      </c>
      <c r="J129">
        <f t="shared" si="12"/>
        <v>0.14440445504221319</v>
      </c>
    </row>
    <row r="130" spans="1:10">
      <c r="A130" s="1">
        <v>18451</v>
      </c>
      <c r="B130">
        <v>17.670000000000002</v>
      </c>
      <c r="C130">
        <f t="shared" si="8"/>
        <v>-1.3400335008375123E-2</v>
      </c>
      <c r="D130">
        <f t="shared" si="7"/>
        <v>-1.4479743188246958</v>
      </c>
      <c r="F130">
        <f t="shared" si="13"/>
        <v>-1.1718106135925115</v>
      </c>
      <c r="G130">
        <v>258</v>
      </c>
      <c r="H130">
        <f t="shared" si="9"/>
        <v>-1.2564143212075614</v>
      </c>
      <c r="I130">
        <f t="shared" si="10"/>
        <v>0.10273250722598036</v>
      </c>
      <c r="J130">
        <f t="shared" si="12"/>
        <v>0.18118675094123404</v>
      </c>
    </row>
    <row r="131" spans="1:10">
      <c r="A131" s="1">
        <v>18454</v>
      </c>
      <c r="B131">
        <v>17.59</v>
      </c>
      <c r="C131">
        <f t="shared" si="8"/>
        <v>-4.5274476513866352E-3</v>
      </c>
      <c r="D131">
        <f t="shared" ref="D131:D194" si="14">(C131-avg)/sd</f>
        <v>-0.51100042996766626</v>
      </c>
      <c r="F131">
        <f t="shared" si="13"/>
        <v>-1.002603198362412</v>
      </c>
      <c r="G131">
        <v>369</v>
      </c>
      <c r="H131">
        <f t="shared" si="9"/>
        <v>-1.0872069059774616</v>
      </c>
      <c r="I131">
        <f t="shared" si="10"/>
        <v>0.14693137661390213</v>
      </c>
      <c r="J131">
        <f t="shared" si="12"/>
        <v>0.22092147410288229</v>
      </c>
    </row>
    <row r="132" spans="1:10">
      <c r="A132" s="1">
        <v>18455</v>
      </c>
      <c r="B132">
        <v>17.32</v>
      </c>
      <c r="C132">
        <f t="shared" ref="C132:C195" si="15">(B132-B131)/B131</f>
        <v>-1.5349630471858987E-2</v>
      </c>
      <c r="D132">
        <f t="shared" si="14"/>
        <v>-1.6538192571708701</v>
      </c>
      <c r="F132">
        <f t="shared" si="13"/>
        <v>-0.83339578313231244</v>
      </c>
      <c r="G132">
        <v>503</v>
      </c>
      <c r="H132">
        <f t="shared" si="9"/>
        <v>-0.9179994907473622</v>
      </c>
      <c r="I132">
        <f t="shared" si="10"/>
        <v>0.20028857028941133</v>
      </c>
      <c r="J132">
        <f t="shared" si="12"/>
        <v>0.26176710946068082</v>
      </c>
    </row>
    <row r="133" spans="1:10">
      <c r="A133" s="1">
        <v>18456</v>
      </c>
      <c r="B133">
        <v>16.87</v>
      </c>
      <c r="C133">
        <f t="shared" si="15"/>
        <v>-2.5981524249422593E-2</v>
      </c>
      <c r="D133">
        <f t="shared" si="14"/>
        <v>-2.7765436261252989</v>
      </c>
      <c r="F133">
        <f t="shared" si="13"/>
        <v>-0.66418836790221292</v>
      </c>
      <c r="G133">
        <v>643</v>
      </c>
      <c r="H133">
        <f t="shared" si="9"/>
        <v>-0.74879207551726268</v>
      </c>
      <c r="I133">
        <f t="shared" si="10"/>
        <v>0.25603489203994328</v>
      </c>
      <c r="J133">
        <f t="shared" si="12"/>
        <v>0.30141014933555255</v>
      </c>
    </row>
    <row r="134" spans="1:10">
      <c r="A134" s="1">
        <v>18457</v>
      </c>
      <c r="B134">
        <v>16.690000000000001</v>
      </c>
      <c r="C134">
        <f t="shared" si="15"/>
        <v>-1.0669828097213972E-2</v>
      </c>
      <c r="D134">
        <f t="shared" si="14"/>
        <v>-1.1596337171504738</v>
      </c>
      <c r="F134">
        <f t="shared" si="13"/>
        <v>-0.49498095267211339</v>
      </c>
      <c r="G134">
        <v>812</v>
      </c>
      <c r="H134">
        <f t="shared" si="9"/>
        <v>-0.57958466028716316</v>
      </c>
      <c r="I134">
        <f t="shared" si="10"/>
        <v>0.32332866615308548</v>
      </c>
      <c r="J134">
        <f t="shared" si="12"/>
        <v>0.33726115016491026</v>
      </c>
    </row>
    <row r="135" spans="1:10">
      <c r="A135" s="1">
        <v>18458</v>
      </c>
      <c r="B135">
        <v>16.87</v>
      </c>
      <c r="C135">
        <f t="shared" si="15"/>
        <v>1.0784901138406213E-2</v>
      </c>
      <c r="D135">
        <f t="shared" si="14"/>
        <v>1.105978397314211</v>
      </c>
      <c r="F135">
        <f t="shared" si="13"/>
        <v>-0.32577353744201387</v>
      </c>
      <c r="G135">
        <v>1038</v>
      </c>
      <c r="H135">
        <f t="shared" si="9"/>
        <v>-0.41037724505706363</v>
      </c>
      <c r="I135">
        <f t="shared" si="10"/>
        <v>0.41331915697894428</v>
      </c>
      <c r="J135">
        <f t="shared" si="12"/>
        <v>0.36672491043598365</v>
      </c>
    </row>
    <row r="136" spans="1:10">
      <c r="A136" s="1">
        <v>18461</v>
      </c>
      <c r="B136">
        <v>16.68</v>
      </c>
      <c r="C136">
        <f t="shared" si="15"/>
        <v>-1.1262596324837063E-2</v>
      </c>
      <c r="D136">
        <f t="shared" si="14"/>
        <v>-1.2222298404957617</v>
      </c>
      <c r="F136">
        <f t="shared" si="13"/>
        <v>-0.15656612221191435</v>
      </c>
      <c r="G136">
        <v>1286</v>
      </c>
      <c r="H136">
        <f t="shared" si="9"/>
        <v>-0.24116982982696411</v>
      </c>
      <c r="I136">
        <f t="shared" si="10"/>
        <v>0.51206978407988657</v>
      </c>
      <c r="J136">
        <f t="shared" si="12"/>
        <v>0.3875075383335117</v>
      </c>
    </row>
    <row r="137" spans="1:10">
      <c r="A137" s="1">
        <v>18462</v>
      </c>
      <c r="B137">
        <v>17.059999999999999</v>
      </c>
      <c r="C137">
        <f t="shared" si="15"/>
        <v>2.2781774580335673E-2</v>
      </c>
      <c r="D137">
        <f t="shared" si="14"/>
        <v>2.372844154846542</v>
      </c>
      <c r="F137">
        <f t="shared" si="13"/>
        <v>1.2641293018185173E-2</v>
      </c>
      <c r="G137">
        <v>1522</v>
      </c>
      <c r="H137">
        <f t="shared" ref="H137:H200" si="16">F137-0.5*bucketwidth</f>
        <v>-7.1962414596864588E-2</v>
      </c>
      <c r="I137">
        <f t="shared" ref="I137:I200" si="17">G137/num/bucketwidth</f>
        <v>0.60604215503078329</v>
      </c>
      <c r="J137">
        <f t="shared" si="12"/>
        <v>0.39791063751614697</v>
      </c>
    </row>
    <row r="138" spans="1:10">
      <c r="A138" s="1">
        <v>18463</v>
      </c>
      <c r="B138">
        <v>17.36</v>
      </c>
      <c r="C138">
        <f t="shared" si="15"/>
        <v>1.7584994138335329E-2</v>
      </c>
      <c r="D138">
        <f t="shared" si="14"/>
        <v>1.8240659066428064</v>
      </c>
      <c r="F138">
        <f t="shared" ref="F138:F169" si="18">F137+bucketwidth</f>
        <v>0.1818487082482847</v>
      </c>
      <c r="G138">
        <v>1526</v>
      </c>
      <c r="H138">
        <f t="shared" si="16"/>
        <v>9.7245000633234935E-2</v>
      </c>
      <c r="I138">
        <f t="shared" si="17"/>
        <v>0.60763490708079859</v>
      </c>
      <c r="J138">
        <f t="shared" ref="J138:J201" si="19">1/SQRT(2*PI())*EXP(-0.5*H138*H138)</f>
        <v>0.3970604160930718</v>
      </c>
    </row>
    <row r="139" spans="1:10">
      <c r="A139" s="1">
        <v>18464</v>
      </c>
      <c r="B139">
        <v>17.61</v>
      </c>
      <c r="C139">
        <f t="shared" si="15"/>
        <v>1.4400921658986175E-2</v>
      </c>
      <c r="D139">
        <f t="shared" si="14"/>
        <v>1.4878289351423588</v>
      </c>
      <c r="F139">
        <f t="shared" si="18"/>
        <v>0.35105612347838422</v>
      </c>
      <c r="G139">
        <v>1294</v>
      </c>
      <c r="H139">
        <f t="shared" si="16"/>
        <v>0.26645241586333446</v>
      </c>
      <c r="I139">
        <f t="shared" si="17"/>
        <v>0.51525528817991706</v>
      </c>
      <c r="J139">
        <f t="shared" si="19"/>
        <v>0.38502886319591428</v>
      </c>
    </row>
    <row r="140" spans="1:10">
      <c r="A140" s="1">
        <v>18465</v>
      </c>
      <c r="B140">
        <v>17.59</v>
      </c>
      <c r="C140">
        <f t="shared" si="15"/>
        <v>-1.1357183418511966E-3</v>
      </c>
      <c r="D140">
        <f t="shared" si="14"/>
        <v>-0.15283496778553299</v>
      </c>
      <c r="F140">
        <f t="shared" si="18"/>
        <v>0.52026353870848374</v>
      </c>
      <c r="G140">
        <v>1106</v>
      </c>
      <c r="H140">
        <f t="shared" si="16"/>
        <v>0.43565983109343398</v>
      </c>
      <c r="I140">
        <f t="shared" si="17"/>
        <v>0.44039594182920261</v>
      </c>
      <c r="J140">
        <f t="shared" si="19"/>
        <v>0.36282368556245925</v>
      </c>
    </row>
    <row r="141" spans="1:10">
      <c r="A141" s="1">
        <v>18468</v>
      </c>
      <c r="B141">
        <v>17.48</v>
      </c>
      <c r="C141">
        <f t="shared" si="15"/>
        <v>-6.2535531552017866E-3</v>
      </c>
      <c r="D141">
        <f t="shared" si="14"/>
        <v>-0.69327658443877771</v>
      </c>
      <c r="F141">
        <f t="shared" si="18"/>
        <v>0.68947095393858326</v>
      </c>
      <c r="G141">
        <v>885</v>
      </c>
      <c r="H141">
        <f t="shared" si="16"/>
        <v>0.6048672463235335</v>
      </c>
      <c r="I141">
        <f t="shared" si="17"/>
        <v>0.35239639106586285</v>
      </c>
      <c r="J141">
        <f t="shared" si="19"/>
        <v>0.33224895519055148</v>
      </c>
    </row>
    <row r="142" spans="1:10">
      <c r="A142" s="1">
        <v>18469</v>
      </c>
      <c r="B142">
        <v>17.23</v>
      </c>
      <c r="C142">
        <f t="shared" si="15"/>
        <v>-1.4302059496567505E-2</v>
      </c>
      <c r="D142">
        <f t="shared" si="14"/>
        <v>-1.5431961182667653</v>
      </c>
      <c r="F142">
        <f t="shared" si="18"/>
        <v>0.85867836916868279</v>
      </c>
      <c r="G142">
        <v>665</v>
      </c>
      <c r="H142">
        <f t="shared" si="16"/>
        <v>0.77407466155363303</v>
      </c>
      <c r="I142">
        <f t="shared" si="17"/>
        <v>0.26479502831502688</v>
      </c>
      <c r="J142">
        <f t="shared" si="19"/>
        <v>0.29566319594660284</v>
      </c>
    </row>
    <row r="143" spans="1:10">
      <c r="A143" s="1">
        <v>18470</v>
      </c>
      <c r="B143">
        <v>17.27</v>
      </c>
      <c r="C143">
        <f t="shared" si="15"/>
        <v>2.3215322112593818E-3</v>
      </c>
      <c r="D143">
        <f t="shared" si="14"/>
        <v>0.21224951544638221</v>
      </c>
      <c r="F143">
        <f t="shared" si="18"/>
        <v>1.0278857843987823</v>
      </c>
      <c r="G143">
        <v>499</v>
      </c>
      <c r="H143">
        <f t="shared" si="16"/>
        <v>0.94328207678373255</v>
      </c>
      <c r="I143">
        <f t="shared" si="17"/>
        <v>0.19869581823939611</v>
      </c>
      <c r="J143">
        <f t="shared" si="19"/>
        <v>0.25567988366788635</v>
      </c>
    </row>
    <row r="144" spans="1:10">
      <c r="A144" s="1">
        <v>18471</v>
      </c>
      <c r="B144">
        <v>17.5</v>
      </c>
      <c r="C144">
        <f t="shared" si="15"/>
        <v>1.3317892298784044E-2</v>
      </c>
      <c r="D144">
        <f t="shared" si="14"/>
        <v>1.3734614028445804</v>
      </c>
      <c r="F144">
        <f t="shared" si="18"/>
        <v>1.1970931996288818</v>
      </c>
      <c r="G144">
        <v>348</v>
      </c>
      <c r="H144">
        <f t="shared" si="16"/>
        <v>1.112489492013832</v>
      </c>
      <c r="I144">
        <f t="shared" si="17"/>
        <v>0.13856942835132235</v>
      </c>
      <c r="J144">
        <f t="shared" si="19"/>
        <v>0.21486293449594379</v>
      </c>
    </row>
    <row r="145" spans="1:10">
      <c r="A145" s="1">
        <v>18472</v>
      </c>
      <c r="B145">
        <v>17.690000000000001</v>
      </c>
      <c r="C145">
        <f t="shared" si="15"/>
        <v>1.085714285714293E-2</v>
      </c>
      <c r="D145">
        <f t="shared" si="14"/>
        <v>1.1136070982566548</v>
      </c>
      <c r="F145">
        <f t="shared" si="18"/>
        <v>1.3663006148589814</v>
      </c>
      <c r="G145">
        <v>244</v>
      </c>
      <c r="H145">
        <f t="shared" si="16"/>
        <v>1.2816969072439317</v>
      </c>
      <c r="I145">
        <f t="shared" si="17"/>
        <v>9.715787505092717E-2</v>
      </c>
      <c r="J145">
        <f t="shared" si="19"/>
        <v>0.17546564429822112</v>
      </c>
    </row>
    <row r="146" spans="1:10">
      <c r="A146" s="1">
        <v>18475</v>
      </c>
      <c r="B146">
        <v>17.84</v>
      </c>
      <c r="C146">
        <f t="shared" si="15"/>
        <v>8.4793668739399988E-3</v>
      </c>
      <c r="D146">
        <f t="shared" si="14"/>
        <v>0.86251476267575267</v>
      </c>
      <c r="F146">
        <f t="shared" si="18"/>
        <v>1.5355080300890809</v>
      </c>
      <c r="G146">
        <v>203</v>
      </c>
      <c r="H146">
        <f t="shared" si="16"/>
        <v>1.450904322474031</v>
      </c>
      <c r="I146">
        <f t="shared" si="17"/>
        <v>8.0832166538271369E-2</v>
      </c>
      <c r="J146">
        <f t="shared" si="19"/>
        <v>0.13924779854218172</v>
      </c>
    </row>
    <row r="147" spans="1:10">
      <c r="A147" s="1">
        <v>18476</v>
      </c>
      <c r="B147">
        <v>18.02</v>
      </c>
      <c r="C147">
        <f t="shared" si="15"/>
        <v>1.0089686098654693E-2</v>
      </c>
      <c r="D147">
        <f t="shared" si="14"/>
        <v>1.0325639254315242</v>
      </c>
      <c r="F147">
        <f t="shared" si="18"/>
        <v>1.7047154453191804</v>
      </c>
      <c r="G147">
        <v>151</v>
      </c>
      <c r="H147">
        <f t="shared" si="16"/>
        <v>1.6201117377041307</v>
      </c>
      <c r="I147">
        <f t="shared" si="17"/>
        <v>6.0126389888073783E-2</v>
      </c>
      <c r="J147">
        <f t="shared" si="19"/>
        <v>0.10738663408330464</v>
      </c>
    </row>
    <row r="148" spans="1:10">
      <c r="A148" s="1">
        <v>18477</v>
      </c>
      <c r="B148">
        <v>17.95</v>
      </c>
      <c r="C148">
        <f t="shared" si="15"/>
        <v>-3.8845726970033454E-3</v>
      </c>
      <c r="D148">
        <f t="shared" si="14"/>
        <v>-0.44311305330860534</v>
      </c>
      <c r="F148">
        <f t="shared" si="18"/>
        <v>1.8739228605492799</v>
      </c>
      <c r="G148">
        <v>122</v>
      </c>
      <c r="H148">
        <f t="shared" si="16"/>
        <v>1.7893191529342301</v>
      </c>
      <c r="I148">
        <f t="shared" si="17"/>
        <v>4.8578937525463585E-2</v>
      </c>
      <c r="J148">
        <f t="shared" si="19"/>
        <v>8.0478110665439959E-2</v>
      </c>
    </row>
    <row r="149" spans="1:10">
      <c r="A149" s="1">
        <v>18478</v>
      </c>
      <c r="B149">
        <v>17.989999999999998</v>
      </c>
      <c r="C149">
        <f t="shared" si="15"/>
        <v>2.2284122562673619E-3</v>
      </c>
      <c r="D149">
        <f t="shared" si="14"/>
        <v>0.20241607985223553</v>
      </c>
      <c r="F149">
        <f t="shared" si="18"/>
        <v>2.0431302757793794</v>
      </c>
      <c r="G149">
        <v>79</v>
      </c>
      <c r="H149">
        <f t="shared" si="16"/>
        <v>1.9585265681643298</v>
      </c>
      <c r="I149">
        <f t="shared" si="17"/>
        <v>3.1456852987800189E-2</v>
      </c>
      <c r="J149">
        <f t="shared" si="19"/>
        <v>5.8609897795171263E-2</v>
      </c>
    </row>
    <row r="150" spans="1:10">
      <c r="A150" s="1">
        <v>18479</v>
      </c>
      <c r="B150">
        <v>18.14</v>
      </c>
      <c r="C150">
        <f t="shared" si="15"/>
        <v>8.3379655364092357E-3</v>
      </c>
      <c r="D150">
        <f t="shared" si="14"/>
        <v>0.84758282949715402</v>
      </c>
      <c r="F150">
        <f t="shared" si="18"/>
        <v>2.2123376910094787</v>
      </c>
      <c r="G150">
        <v>57</v>
      </c>
      <c r="H150">
        <f t="shared" si="16"/>
        <v>2.1277339833944291</v>
      </c>
      <c r="I150">
        <f t="shared" si="17"/>
        <v>2.2696716712716589E-2</v>
      </c>
      <c r="J150">
        <f t="shared" si="19"/>
        <v>4.1479145950955476E-2</v>
      </c>
    </row>
    <row r="151" spans="1:10">
      <c r="A151" s="1">
        <v>18482</v>
      </c>
      <c r="B151">
        <v>18.41</v>
      </c>
      <c r="C151">
        <f t="shared" si="15"/>
        <v>1.4884233737596448E-2</v>
      </c>
      <c r="D151">
        <f t="shared" si="14"/>
        <v>1.5388665263578458</v>
      </c>
      <c r="F151">
        <f t="shared" si="18"/>
        <v>2.381545106239578</v>
      </c>
      <c r="G151">
        <v>59</v>
      </c>
      <c r="H151">
        <f t="shared" si="16"/>
        <v>2.2969413986245284</v>
      </c>
      <c r="I151">
        <f t="shared" si="17"/>
        <v>2.3493092737724191E-2</v>
      </c>
      <c r="J151">
        <f t="shared" si="19"/>
        <v>2.8526881447581285E-2</v>
      </c>
    </row>
    <row r="152" spans="1:10">
      <c r="A152" s="1">
        <v>18483</v>
      </c>
      <c r="B152">
        <v>18.46</v>
      </c>
      <c r="C152">
        <f t="shared" si="15"/>
        <v>2.715915263443819E-3</v>
      </c>
      <c r="D152">
        <f t="shared" si="14"/>
        <v>0.25389623169974584</v>
      </c>
      <c r="F152">
        <f t="shared" si="18"/>
        <v>2.5507525214696773</v>
      </c>
      <c r="G152">
        <v>37</v>
      </c>
      <c r="H152">
        <f t="shared" si="16"/>
        <v>2.4661488138546277</v>
      </c>
      <c r="I152">
        <f t="shared" si="17"/>
        <v>1.4732956462640594E-2</v>
      </c>
      <c r="J152">
        <f t="shared" si="19"/>
        <v>1.9065334906922707E-2</v>
      </c>
    </row>
    <row r="153" spans="1:10">
      <c r="A153" s="1">
        <v>18484</v>
      </c>
      <c r="B153">
        <v>18.61</v>
      </c>
      <c r="C153">
        <f t="shared" si="15"/>
        <v>8.1256771397615699E-3</v>
      </c>
      <c r="D153">
        <f t="shared" si="14"/>
        <v>0.82516524697149263</v>
      </c>
      <c r="F153">
        <f t="shared" si="18"/>
        <v>2.7199599366997766</v>
      </c>
      <c r="G153">
        <v>31</v>
      </c>
      <c r="H153">
        <f t="shared" si="16"/>
        <v>2.635356229084727</v>
      </c>
      <c r="I153">
        <f t="shared" si="17"/>
        <v>1.2343828387617797E-2</v>
      </c>
      <c r="J153">
        <f t="shared" si="19"/>
        <v>1.2382268860622376E-2</v>
      </c>
    </row>
    <row r="154" spans="1:10">
      <c r="A154" s="1">
        <v>18485</v>
      </c>
      <c r="B154">
        <v>18.48</v>
      </c>
      <c r="C154">
        <f t="shared" si="15"/>
        <v>-6.9854916711444923E-3</v>
      </c>
      <c r="D154">
        <f t="shared" si="14"/>
        <v>-0.77056904292433737</v>
      </c>
      <c r="F154">
        <f t="shared" si="18"/>
        <v>2.8891673519298759</v>
      </c>
      <c r="G154">
        <v>19</v>
      </c>
      <c r="H154">
        <f t="shared" si="16"/>
        <v>2.8045636443148263</v>
      </c>
      <c r="I154">
        <f t="shared" si="17"/>
        <v>7.5655722375721967E-3</v>
      </c>
      <c r="J154">
        <f t="shared" si="19"/>
        <v>7.8148684308762921E-3</v>
      </c>
    </row>
    <row r="155" spans="1:10">
      <c r="A155" s="1">
        <v>18486</v>
      </c>
      <c r="B155">
        <v>18.28</v>
      </c>
      <c r="C155">
        <f t="shared" si="15"/>
        <v>-1.0822510822510784E-2</v>
      </c>
      <c r="D155">
        <f t="shared" si="14"/>
        <v>-1.175756961042437</v>
      </c>
      <c r="F155">
        <f t="shared" si="18"/>
        <v>3.0583747671599752</v>
      </c>
      <c r="G155">
        <v>21</v>
      </c>
      <c r="H155">
        <f t="shared" si="16"/>
        <v>2.9737710595449256</v>
      </c>
      <c r="I155">
        <f t="shared" si="17"/>
        <v>8.3619482625797974E-3</v>
      </c>
      <c r="J155">
        <f t="shared" si="19"/>
        <v>4.7930147064155935E-3</v>
      </c>
    </row>
    <row r="156" spans="1:10">
      <c r="A156" s="1">
        <v>18489</v>
      </c>
      <c r="B156">
        <v>18.29</v>
      </c>
      <c r="C156">
        <f t="shared" si="15"/>
        <v>5.4704595185984736E-4</v>
      </c>
      <c r="D156">
        <f t="shared" si="14"/>
        <v>2.4864369630977802E-2</v>
      </c>
      <c r="F156">
        <f t="shared" si="18"/>
        <v>3.2275821823900745</v>
      </c>
      <c r="G156">
        <v>6</v>
      </c>
      <c r="H156">
        <f t="shared" si="16"/>
        <v>3.1429784747750249</v>
      </c>
      <c r="I156">
        <f t="shared" si="17"/>
        <v>2.3891280750227991E-3</v>
      </c>
      <c r="J156">
        <f t="shared" si="19"/>
        <v>2.856679394248593E-3</v>
      </c>
    </row>
    <row r="157" spans="1:10">
      <c r="A157" s="1">
        <v>18490</v>
      </c>
      <c r="B157">
        <v>18.32</v>
      </c>
      <c r="C157">
        <f t="shared" si="15"/>
        <v>1.6402405686167926E-3</v>
      </c>
      <c r="D157">
        <f t="shared" si="14"/>
        <v>0.14030534956560611</v>
      </c>
      <c r="F157">
        <f t="shared" si="18"/>
        <v>3.3967895976201739</v>
      </c>
      <c r="G157">
        <v>7</v>
      </c>
      <c r="H157">
        <f t="shared" si="16"/>
        <v>3.3121858900051242</v>
      </c>
      <c r="I157">
        <f t="shared" si="17"/>
        <v>2.787316087526599E-3</v>
      </c>
      <c r="J157">
        <f t="shared" si="19"/>
        <v>1.6545499872096553E-3</v>
      </c>
    </row>
    <row r="158" spans="1:10">
      <c r="A158" s="1">
        <v>18491</v>
      </c>
      <c r="B158">
        <v>18.34</v>
      </c>
      <c r="C158">
        <f t="shared" si="15"/>
        <v>1.0917030567685357E-3</v>
      </c>
      <c r="D158">
        <f t="shared" si="14"/>
        <v>8.2379974771389947E-2</v>
      </c>
      <c r="F158">
        <f t="shared" si="18"/>
        <v>3.5659970128502732</v>
      </c>
      <c r="G158">
        <v>7</v>
      </c>
      <c r="H158">
        <f t="shared" si="16"/>
        <v>3.4813933052352235</v>
      </c>
      <c r="I158">
        <f t="shared" si="17"/>
        <v>2.787316087526599E-3</v>
      </c>
      <c r="J158">
        <f t="shared" si="19"/>
        <v>9.3124495468510345E-4</v>
      </c>
    </row>
    <row r="159" spans="1:10">
      <c r="A159" s="1">
        <v>18492</v>
      </c>
      <c r="B159">
        <v>18.54</v>
      </c>
      <c r="C159">
        <f t="shared" si="15"/>
        <v>1.0905125408942165E-2</v>
      </c>
      <c r="D159">
        <f t="shared" si="14"/>
        <v>1.1186740394165922</v>
      </c>
      <c r="F159">
        <f t="shared" si="18"/>
        <v>3.7352044280803725</v>
      </c>
      <c r="G159">
        <v>13</v>
      </c>
      <c r="H159">
        <f t="shared" si="16"/>
        <v>3.6506007204653228</v>
      </c>
      <c r="I159">
        <f t="shared" si="17"/>
        <v>5.1764441625493981E-3</v>
      </c>
      <c r="J159">
        <f t="shared" si="19"/>
        <v>5.0934684794442327E-4</v>
      </c>
    </row>
    <row r="160" spans="1:10">
      <c r="A160" s="1">
        <v>18493</v>
      </c>
      <c r="B160">
        <v>18.68</v>
      </c>
      <c r="C160">
        <f t="shared" si="15"/>
        <v>7.5512405609493303E-3</v>
      </c>
      <c r="D160">
        <f t="shared" si="14"/>
        <v>0.76450493950940035</v>
      </c>
      <c r="F160">
        <f t="shared" si="18"/>
        <v>3.9044118433104718</v>
      </c>
      <c r="G160">
        <v>7</v>
      </c>
      <c r="H160">
        <f t="shared" si="16"/>
        <v>3.8198081356954221</v>
      </c>
      <c r="I160">
        <f t="shared" si="17"/>
        <v>2.787316087526599E-3</v>
      </c>
      <c r="J160">
        <f t="shared" si="19"/>
        <v>2.7072537427288513E-4</v>
      </c>
    </row>
    <row r="161" spans="1:10">
      <c r="A161" s="1">
        <v>18496</v>
      </c>
      <c r="B161">
        <v>18.7</v>
      </c>
      <c r="C161">
        <f t="shared" si="15"/>
        <v>1.0706638115631465E-3</v>
      </c>
      <c r="D161">
        <f t="shared" si="14"/>
        <v>8.0158237629287768E-2</v>
      </c>
      <c r="F161">
        <f t="shared" si="18"/>
        <v>4.0736192585405711</v>
      </c>
      <c r="G161">
        <v>4</v>
      </c>
      <c r="H161">
        <f t="shared" si="16"/>
        <v>3.9890155509255214</v>
      </c>
      <c r="I161">
        <f t="shared" si="17"/>
        <v>1.5927520500151992E-3</v>
      </c>
      <c r="J161">
        <f t="shared" si="19"/>
        <v>1.3983308929048821E-4</v>
      </c>
    </row>
    <row r="162" spans="1:10">
      <c r="A162" s="1">
        <v>18497</v>
      </c>
      <c r="B162">
        <v>18.68</v>
      </c>
      <c r="C162">
        <f t="shared" si="15"/>
        <v>-1.0695187165775174E-3</v>
      </c>
      <c r="D162">
        <f t="shared" si="14"/>
        <v>-0.14584430985897842</v>
      </c>
      <c r="F162">
        <f t="shared" si="18"/>
        <v>4.2428266737706704</v>
      </c>
      <c r="G162">
        <v>12</v>
      </c>
      <c r="H162">
        <f t="shared" si="16"/>
        <v>4.1582229661556207</v>
      </c>
      <c r="I162">
        <f t="shared" si="17"/>
        <v>4.7782561500455982E-3</v>
      </c>
      <c r="J162">
        <f t="shared" si="19"/>
        <v>7.0186985817306675E-5</v>
      </c>
    </row>
    <row r="163" spans="1:10">
      <c r="A163" s="1">
        <v>18498</v>
      </c>
      <c r="B163">
        <v>18.82</v>
      </c>
      <c r="C163">
        <f t="shared" si="15"/>
        <v>7.4946466809422147E-3</v>
      </c>
      <c r="D163">
        <f t="shared" si="14"/>
        <v>0.75852864501784345</v>
      </c>
      <c r="F163">
        <f t="shared" si="18"/>
        <v>4.4120340890007697</v>
      </c>
      <c r="G163">
        <v>4</v>
      </c>
      <c r="H163">
        <f t="shared" si="16"/>
        <v>4.32743038138572</v>
      </c>
      <c r="I163">
        <f t="shared" si="17"/>
        <v>1.5927520500151992E-3</v>
      </c>
      <c r="J163">
        <f t="shared" si="19"/>
        <v>3.4234885631891273E-5</v>
      </c>
    </row>
    <row r="164" spans="1:10">
      <c r="A164" s="1">
        <v>18499</v>
      </c>
      <c r="B164">
        <v>18.79</v>
      </c>
      <c r="C164">
        <f t="shared" si="15"/>
        <v>-1.5940488841658415E-3</v>
      </c>
      <c r="D164">
        <f t="shared" si="14"/>
        <v>-0.20123451725983851</v>
      </c>
      <c r="F164">
        <f t="shared" si="18"/>
        <v>4.581241504230869</v>
      </c>
      <c r="G164">
        <v>4</v>
      </c>
      <c r="H164">
        <f t="shared" si="16"/>
        <v>4.4966377966158193</v>
      </c>
      <c r="I164">
        <f t="shared" si="17"/>
        <v>1.5927520500151992E-3</v>
      </c>
      <c r="J164">
        <f t="shared" si="19"/>
        <v>1.6227320749706589E-5</v>
      </c>
    </row>
    <row r="165" spans="1:10">
      <c r="A165" s="1">
        <v>18500</v>
      </c>
      <c r="B165">
        <v>18.54</v>
      </c>
      <c r="C165">
        <f t="shared" si="15"/>
        <v>-1.3304949441192124E-2</v>
      </c>
      <c r="D165">
        <f t="shared" si="14"/>
        <v>-1.437901635353301</v>
      </c>
      <c r="F165">
        <f t="shared" si="18"/>
        <v>4.7504489194609683</v>
      </c>
      <c r="G165">
        <v>1</v>
      </c>
      <c r="H165">
        <f t="shared" si="16"/>
        <v>4.6658452118459186</v>
      </c>
      <c r="I165">
        <f t="shared" si="17"/>
        <v>3.9818801250379981E-4</v>
      </c>
      <c r="J165">
        <f t="shared" si="19"/>
        <v>7.4746422179127429E-6</v>
      </c>
    </row>
    <row r="166" spans="1:10">
      <c r="A166" s="1">
        <v>18503</v>
      </c>
      <c r="B166">
        <v>18.53</v>
      </c>
      <c r="C166">
        <f t="shared" si="15"/>
        <v>-5.393743257819855E-4</v>
      </c>
      <c r="D166">
        <f t="shared" si="14"/>
        <v>-8.9861242395804397E-2</v>
      </c>
      <c r="F166">
        <f t="shared" si="18"/>
        <v>4.9196563346910676</v>
      </c>
      <c r="G166">
        <v>2</v>
      </c>
      <c r="H166">
        <f t="shared" si="16"/>
        <v>4.8350526270760179</v>
      </c>
      <c r="I166">
        <f t="shared" si="17"/>
        <v>7.9637602500759962E-4</v>
      </c>
      <c r="J166">
        <f t="shared" si="19"/>
        <v>3.3457974690612018E-6</v>
      </c>
    </row>
    <row r="167" spans="1:10">
      <c r="A167" s="1">
        <v>18504</v>
      </c>
      <c r="B167">
        <v>18.54</v>
      </c>
      <c r="C167">
        <f t="shared" si="15"/>
        <v>5.3966540744727518E-4</v>
      </c>
      <c r="D167">
        <f t="shared" si="14"/>
        <v>2.4084986649779122E-2</v>
      </c>
      <c r="F167">
        <f t="shared" si="18"/>
        <v>5.0888637499211669</v>
      </c>
      <c r="G167">
        <v>4</v>
      </c>
      <c r="H167">
        <f t="shared" si="16"/>
        <v>5.0042600423061172</v>
      </c>
      <c r="I167">
        <f t="shared" si="17"/>
        <v>1.5927520500151992E-3</v>
      </c>
      <c r="J167">
        <f t="shared" si="19"/>
        <v>1.4553737481942947E-6</v>
      </c>
    </row>
    <row r="168" spans="1:10">
      <c r="A168" s="1">
        <v>18505</v>
      </c>
      <c r="B168">
        <v>18.43</v>
      </c>
      <c r="C168">
        <f t="shared" si="15"/>
        <v>-5.9331175836029905E-3</v>
      </c>
      <c r="D168">
        <f t="shared" si="14"/>
        <v>-0.65943869699928781</v>
      </c>
      <c r="F168">
        <f t="shared" si="18"/>
        <v>5.2580711651512662</v>
      </c>
      <c r="G168">
        <v>2</v>
      </c>
      <c r="H168">
        <f t="shared" si="16"/>
        <v>5.1734674575362165</v>
      </c>
      <c r="I168">
        <f t="shared" si="17"/>
        <v>7.9637602500759962E-4</v>
      </c>
      <c r="J168">
        <f t="shared" si="19"/>
        <v>6.1519822727741311E-7</v>
      </c>
    </row>
    <row r="169" spans="1:10">
      <c r="A169" s="1">
        <v>18506</v>
      </c>
      <c r="B169">
        <v>18.420000000000002</v>
      </c>
      <c r="C169">
        <f t="shared" si="15"/>
        <v>-5.4259359739544275E-4</v>
      </c>
      <c r="D169">
        <f t="shared" si="14"/>
        <v>-9.0201196383901894E-2</v>
      </c>
      <c r="F169">
        <f t="shared" si="18"/>
        <v>5.4272785803813655</v>
      </c>
      <c r="G169">
        <v>4</v>
      </c>
      <c r="H169">
        <f t="shared" si="16"/>
        <v>5.3426748727663158</v>
      </c>
      <c r="I169">
        <f t="shared" si="17"/>
        <v>1.5927520500151992E-3</v>
      </c>
      <c r="J169">
        <f t="shared" si="19"/>
        <v>2.5270932260430572E-7</v>
      </c>
    </row>
    <row r="170" spans="1:10">
      <c r="A170" s="1">
        <v>18507</v>
      </c>
      <c r="B170">
        <v>18.55</v>
      </c>
      <c r="C170">
        <f t="shared" si="15"/>
        <v>7.0575461454939733E-3</v>
      </c>
      <c r="D170">
        <f t="shared" si="14"/>
        <v>0.7123709770522002</v>
      </c>
      <c r="F170">
        <f t="shared" ref="F170:F201" si="20">F169+bucketwidth</f>
        <v>5.5964859956114648</v>
      </c>
      <c r="G170">
        <v>1</v>
      </c>
      <c r="H170">
        <f t="shared" si="16"/>
        <v>5.5118822879964151</v>
      </c>
      <c r="I170">
        <f t="shared" si="17"/>
        <v>3.9818801250379981E-4</v>
      </c>
      <c r="J170">
        <f t="shared" si="19"/>
        <v>1.0087721915208086E-7</v>
      </c>
    </row>
    <row r="171" spans="1:10">
      <c r="A171" s="1">
        <v>18511</v>
      </c>
      <c r="B171">
        <v>18.68</v>
      </c>
      <c r="C171">
        <f t="shared" si="15"/>
        <v>7.0080862533692181E-3</v>
      </c>
      <c r="D171">
        <f t="shared" si="14"/>
        <v>0.70714802925606024</v>
      </c>
      <c r="F171">
        <f t="shared" si="20"/>
        <v>5.7656934108415641</v>
      </c>
      <c r="G171">
        <v>2</v>
      </c>
      <c r="H171">
        <f t="shared" si="16"/>
        <v>5.6810897032265144</v>
      </c>
      <c r="I171">
        <f t="shared" si="17"/>
        <v>7.9637602500759962E-4</v>
      </c>
      <c r="J171">
        <f t="shared" si="19"/>
        <v>3.9131868872542298E-8</v>
      </c>
    </row>
    <row r="172" spans="1:10">
      <c r="A172" s="1">
        <v>18512</v>
      </c>
      <c r="B172">
        <v>18.54</v>
      </c>
      <c r="C172">
        <f t="shared" si="15"/>
        <v>-7.4946466809422147E-3</v>
      </c>
      <c r="D172">
        <f t="shared" si="14"/>
        <v>-0.82433563888877992</v>
      </c>
      <c r="F172">
        <f t="shared" si="20"/>
        <v>5.9349008260716634</v>
      </c>
      <c r="G172">
        <v>0</v>
      </c>
      <c r="H172">
        <f t="shared" si="16"/>
        <v>5.8502971184566137</v>
      </c>
      <c r="I172">
        <f t="shared" si="17"/>
        <v>0</v>
      </c>
      <c r="J172">
        <f t="shared" si="19"/>
        <v>1.4751416567232307E-8</v>
      </c>
    </row>
    <row r="173" spans="1:10">
      <c r="A173" s="1">
        <v>18513</v>
      </c>
      <c r="B173">
        <v>18.59</v>
      </c>
      <c r="C173">
        <f t="shared" si="15"/>
        <v>2.6968716289105022E-3</v>
      </c>
      <c r="D173">
        <f t="shared" si="14"/>
        <v>0.25188523036627347</v>
      </c>
      <c r="F173">
        <f t="shared" si="20"/>
        <v>6.1041082413017627</v>
      </c>
      <c r="G173">
        <v>1</v>
      </c>
      <c r="H173">
        <f t="shared" si="16"/>
        <v>6.019504533686713</v>
      </c>
      <c r="I173">
        <f t="shared" si="17"/>
        <v>3.9818801250379981E-4</v>
      </c>
      <c r="J173">
        <f t="shared" si="19"/>
        <v>5.4038404120031388E-9</v>
      </c>
    </row>
    <row r="174" spans="1:10">
      <c r="A174" s="1">
        <v>18514</v>
      </c>
      <c r="B174">
        <v>18.75</v>
      </c>
      <c r="C174">
        <f t="shared" si="15"/>
        <v>8.6067778375470763E-3</v>
      </c>
      <c r="D174">
        <f t="shared" si="14"/>
        <v>0.87596931712356918</v>
      </c>
      <c r="F174">
        <f t="shared" si="20"/>
        <v>6.273315656531862</v>
      </c>
      <c r="G174">
        <v>0</v>
      </c>
      <c r="H174">
        <f t="shared" si="16"/>
        <v>6.1887119489168123</v>
      </c>
      <c r="I174">
        <f t="shared" si="17"/>
        <v>0</v>
      </c>
      <c r="J174">
        <f t="shared" si="19"/>
        <v>1.9236982599734971E-9</v>
      </c>
    </row>
    <row r="175" spans="1:10">
      <c r="A175" s="1">
        <v>18517</v>
      </c>
      <c r="B175">
        <v>18.61</v>
      </c>
      <c r="C175">
        <f t="shared" si="15"/>
        <v>-7.4666666666666969E-3</v>
      </c>
      <c r="D175">
        <f t="shared" si="14"/>
        <v>-0.82138095889215423</v>
      </c>
      <c r="F175">
        <f t="shared" si="20"/>
        <v>6.4425230717619613</v>
      </c>
      <c r="G175">
        <v>0</v>
      </c>
      <c r="H175">
        <f t="shared" si="16"/>
        <v>6.3579193641469116</v>
      </c>
      <c r="I175">
        <f t="shared" si="17"/>
        <v>0</v>
      </c>
      <c r="J175">
        <f t="shared" si="19"/>
        <v>6.6548311274685657E-10</v>
      </c>
    </row>
    <row r="176" spans="1:10">
      <c r="A176" s="1">
        <v>18518</v>
      </c>
      <c r="B176">
        <v>18.87</v>
      </c>
      <c r="C176">
        <f t="shared" si="15"/>
        <v>1.3970983342289175E-2</v>
      </c>
      <c r="D176">
        <f t="shared" si="14"/>
        <v>1.4424275950422902</v>
      </c>
      <c r="F176">
        <f t="shared" si="20"/>
        <v>6.6117304869920606</v>
      </c>
      <c r="G176">
        <v>0</v>
      </c>
      <c r="H176">
        <f t="shared" si="16"/>
        <v>6.5271267793770109</v>
      </c>
      <c r="I176">
        <f t="shared" si="17"/>
        <v>0</v>
      </c>
      <c r="J176">
        <f t="shared" si="19"/>
        <v>2.2371895203985973E-10</v>
      </c>
    </row>
    <row r="177" spans="1:10">
      <c r="A177" s="1">
        <v>18519</v>
      </c>
      <c r="B177">
        <v>19.09</v>
      </c>
      <c r="C177">
        <f t="shared" si="15"/>
        <v>1.1658717541070422E-2</v>
      </c>
      <c r="D177">
        <f t="shared" si="14"/>
        <v>1.1982531124109244</v>
      </c>
      <c r="F177">
        <f t="shared" si="20"/>
        <v>6.7809379022221599</v>
      </c>
      <c r="G177">
        <v>1</v>
      </c>
      <c r="H177">
        <f t="shared" si="16"/>
        <v>6.6963341946071102</v>
      </c>
      <c r="I177">
        <f t="shared" si="17"/>
        <v>3.9818801250379981E-4</v>
      </c>
      <c r="J177">
        <f t="shared" si="19"/>
        <v>7.3085994872708301E-11</v>
      </c>
    </row>
    <row r="178" spans="1:10">
      <c r="A178" s="1">
        <v>18520</v>
      </c>
      <c r="B178">
        <v>19.18</v>
      </c>
      <c r="C178">
        <f t="shared" si="15"/>
        <v>4.7145102147721244E-3</v>
      </c>
      <c r="D178">
        <f t="shared" si="14"/>
        <v>0.46494717920458267</v>
      </c>
      <c r="F178">
        <f t="shared" si="20"/>
        <v>6.9501453174522592</v>
      </c>
      <c r="G178">
        <v>1</v>
      </c>
      <c r="H178">
        <f t="shared" si="16"/>
        <v>6.8655416098372095</v>
      </c>
      <c r="I178">
        <f t="shared" si="17"/>
        <v>3.9818801250379981E-4</v>
      </c>
      <c r="J178">
        <f t="shared" si="19"/>
        <v>2.3202308650546806E-11</v>
      </c>
    </row>
    <row r="179" spans="1:10">
      <c r="A179" s="1">
        <v>18521</v>
      </c>
      <c r="B179">
        <v>19.29</v>
      </c>
      <c r="C179">
        <f t="shared" si="15"/>
        <v>5.7351407716370924E-3</v>
      </c>
      <c r="D179">
        <f t="shared" si="14"/>
        <v>0.57272541908034058</v>
      </c>
      <c r="F179">
        <f t="shared" si="20"/>
        <v>7.1193527326823585</v>
      </c>
      <c r="G179">
        <v>0</v>
      </c>
      <c r="H179">
        <f t="shared" si="16"/>
        <v>7.0347490250673088</v>
      </c>
      <c r="I179">
        <f t="shared" si="17"/>
        <v>0</v>
      </c>
      <c r="J179">
        <f t="shared" si="19"/>
        <v>7.1580361303633E-12</v>
      </c>
    </row>
    <row r="180" spans="1:10">
      <c r="A180" s="1">
        <v>18524</v>
      </c>
      <c r="B180">
        <v>19.37</v>
      </c>
      <c r="C180">
        <f t="shared" si="15"/>
        <v>4.1472265422499667E-3</v>
      </c>
      <c r="D180">
        <f t="shared" si="14"/>
        <v>0.40504221621533226</v>
      </c>
      <c r="F180">
        <f t="shared" si="20"/>
        <v>7.2885601479124578</v>
      </c>
      <c r="G180">
        <v>1</v>
      </c>
      <c r="H180">
        <f t="shared" si="16"/>
        <v>7.2039564402974081</v>
      </c>
      <c r="I180">
        <f t="shared" si="17"/>
        <v>3.9818801250379981E-4</v>
      </c>
      <c r="J180">
        <f t="shared" si="19"/>
        <v>2.1459629639307902E-12</v>
      </c>
    </row>
    <row r="181" spans="1:10">
      <c r="A181" s="1">
        <v>18525</v>
      </c>
      <c r="B181">
        <v>19.309999999999999</v>
      </c>
      <c r="C181">
        <f t="shared" si="15"/>
        <v>-3.0975735673723424E-3</v>
      </c>
      <c r="D181">
        <f t="shared" si="14"/>
        <v>-0.36000621273357342</v>
      </c>
      <c r="F181">
        <f t="shared" si="20"/>
        <v>7.4577675631425571</v>
      </c>
      <c r="G181">
        <v>0</v>
      </c>
      <c r="H181">
        <f t="shared" si="16"/>
        <v>7.3731638555275074</v>
      </c>
      <c r="I181">
        <f t="shared" si="17"/>
        <v>0</v>
      </c>
      <c r="J181">
        <f t="shared" si="19"/>
        <v>6.2519602557250827E-13</v>
      </c>
    </row>
    <row r="182" spans="1:10">
      <c r="A182" s="1">
        <v>18526</v>
      </c>
      <c r="B182">
        <v>19.21</v>
      </c>
      <c r="C182">
        <f t="shared" si="15"/>
        <v>-5.1786639047124742E-3</v>
      </c>
      <c r="D182">
        <f t="shared" si="14"/>
        <v>-0.57976864495971503</v>
      </c>
      <c r="F182">
        <f t="shared" si="20"/>
        <v>7.6269749783726564</v>
      </c>
      <c r="G182">
        <v>0</v>
      </c>
      <c r="H182">
        <f t="shared" si="16"/>
        <v>7.5423712707576067</v>
      </c>
      <c r="I182">
        <f t="shared" si="17"/>
        <v>0</v>
      </c>
      <c r="J182">
        <f t="shared" si="19"/>
        <v>1.7700105070296511E-13</v>
      </c>
    </row>
    <row r="183" spans="1:10">
      <c r="A183" s="1">
        <v>18527</v>
      </c>
      <c r="B183">
        <v>19.37</v>
      </c>
      <c r="C183">
        <f t="shared" si="15"/>
        <v>8.3289953149401422E-3</v>
      </c>
      <c r="D183">
        <f t="shared" si="14"/>
        <v>0.84663557715914417</v>
      </c>
      <c r="F183">
        <f t="shared" si="20"/>
        <v>7.7961823936027557</v>
      </c>
      <c r="G183">
        <v>0</v>
      </c>
      <c r="H183">
        <f t="shared" si="16"/>
        <v>7.711578685987706</v>
      </c>
      <c r="I183">
        <f t="shared" si="17"/>
        <v>0</v>
      </c>
      <c r="J183">
        <f t="shared" si="19"/>
        <v>4.8696879234886582E-14</v>
      </c>
    </row>
    <row r="184" spans="1:10">
      <c r="A184" s="1">
        <v>18528</v>
      </c>
      <c r="B184">
        <v>19.440000000000001</v>
      </c>
      <c r="C184">
        <f t="shared" si="15"/>
        <v>3.6138358286009436E-3</v>
      </c>
      <c r="D184">
        <f t="shared" si="14"/>
        <v>0.34871633816230829</v>
      </c>
      <c r="F184">
        <f t="shared" si="20"/>
        <v>7.965389808832855</v>
      </c>
      <c r="G184">
        <v>0</v>
      </c>
      <c r="H184">
        <f t="shared" si="16"/>
        <v>7.8807861012178053</v>
      </c>
      <c r="I184">
        <f t="shared" si="17"/>
        <v>0</v>
      </c>
      <c r="J184">
        <f t="shared" si="19"/>
        <v>1.3019432839692719E-14</v>
      </c>
    </row>
    <row r="185" spans="1:10">
      <c r="A185" s="1">
        <v>18531</v>
      </c>
      <c r="B185">
        <v>19.420000000000002</v>
      </c>
      <c r="C185">
        <f t="shared" si="15"/>
        <v>-1.0288065843621179E-3</v>
      </c>
      <c r="D185">
        <f t="shared" si="14"/>
        <v>-0.14154512253575835</v>
      </c>
      <c r="F185">
        <f t="shared" si="20"/>
        <v>8.1345972240629543</v>
      </c>
      <c r="G185">
        <v>0</v>
      </c>
      <c r="H185">
        <f t="shared" si="16"/>
        <v>8.0499935164479037</v>
      </c>
      <c r="I185">
        <f t="shared" si="17"/>
        <v>0</v>
      </c>
      <c r="J185">
        <f t="shared" si="19"/>
        <v>3.3825844729598099E-15</v>
      </c>
    </row>
    <row r="186" spans="1:10">
      <c r="A186" s="1">
        <v>18532</v>
      </c>
      <c r="B186">
        <v>19.14</v>
      </c>
      <c r="C186">
        <f t="shared" si="15"/>
        <v>-1.4418125643666381E-2</v>
      </c>
      <c r="D186">
        <f t="shared" si="14"/>
        <v>-1.5554526639476063</v>
      </c>
      <c r="F186">
        <f t="shared" si="20"/>
        <v>8.3038046392930536</v>
      </c>
      <c r="G186">
        <v>0</v>
      </c>
      <c r="H186">
        <f t="shared" si="16"/>
        <v>8.219200931678003</v>
      </c>
      <c r="I186">
        <f t="shared" si="17"/>
        <v>0</v>
      </c>
      <c r="J186">
        <f t="shared" si="19"/>
        <v>8.5402559412412941E-16</v>
      </c>
    </row>
    <row r="187" spans="1:10">
      <c r="A187" s="1">
        <v>18533</v>
      </c>
      <c r="B187">
        <v>19.41</v>
      </c>
      <c r="C187">
        <f t="shared" si="15"/>
        <v>1.410658307210029E-2</v>
      </c>
      <c r="D187">
        <f t="shared" si="14"/>
        <v>1.4567468804177564</v>
      </c>
      <c r="F187">
        <f t="shared" si="20"/>
        <v>8.4730120545231529</v>
      </c>
      <c r="G187">
        <v>0</v>
      </c>
      <c r="H187">
        <f t="shared" si="16"/>
        <v>8.3884083469081023</v>
      </c>
      <c r="I187">
        <f t="shared" si="17"/>
        <v>0</v>
      </c>
      <c r="J187">
        <f t="shared" si="19"/>
        <v>2.0953605890912145E-16</v>
      </c>
    </row>
    <row r="188" spans="1:10">
      <c r="A188" s="1">
        <v>18534</v>
      </c>
      <c r="B188">
        <v>19.420000000000002</v>
      </c>
      <c r="C188">
        <f t="shared" si="15"/>
        <v>5.1519835136535621E-4</v>
      </c>
      <c r="D188">
        <f t="shared" si="14"/>
        <v>2.1501273844284931E-2</v>
      </c>
      <c r="F188">
        <f t="shared" si="20"/>
        <v>8.6422194697532522</v>
      </c>
      <c r="G188">
        <v>0</v>
      </c>
      <c r="H188">
        <f t="shared" si="16"/>
        <v>8.5576157621382016</v>
      </c>
      <c r="I188">
        <f t="shared" si="17"/>
        <v>0</v>
      </c>
      <c r="J188">
        <f t="shared" si="19"/>
        <v>4.9958835407638464E-17</v>
      </c>
    </row>
    <row r="189" spans="1:10">
      <c r="A189" s="1">
        <v>18535</v>
      </c>
      <c r="B189">
        <v>19.45</v>
      </c>
      <c r="C189">
        <f t="shared" si="15"/>
        <v>1.5447991761069816E-3</v>
      </c>
      <c r="D189">
        <f t="shared" si="14"/>
        <v>0.13022677095867569</v>
      </c>
      <c r="F189">
        <f t="shared" si="20"/>
        <v>8.8114268849833515</v>
      </c>
      <c r="G189">
        <v>0</v>
      </c>
      <c r="H189">
        <f t="shared" si="16"/>
        <v>8.7268231773683009</v>
      </c>
      <c r="I189">
        <f t="shared" si="17"/>
        <v>0</v>
      </c>
      <c r="J189">
        <f t="shared" si="19"/>
        <v>1.1575279611271421E-17</v>
      </c>
    </row>
    <row r="190" spans="1:10">
      <c r="A190" s="1">
        <v>18538</v>
      </c>
      <c r="B190">
        <v>19.690000000000001</v>
      </c>
      <c r="C190">
        <f t="shared" si="15"/>
        <v>1.2339331619537378E-2</v>
      </c>
      <c r="D190">
        <f t="shared" si="14"/>
        <v>1.2701257277450688</v>
      </c>
      <c r="F190">
        <f t="shared" si="20"/>
        <v>8.9806343002134508</v>
      </c>
      <c r="G190">
        <v>0</v>
      </c>
      <c r="H190">
        <f t="shared" si="16"/>
        <v>8.8960305925984002</v>
      </c>
      <c r="I190">
        <f t="shared" si="17"/>
        <v>0</v>
      </c>
      <c r="J190">
        <f t="shared" si="19"/>
        <v>2.6062515165769385E-18</v>
      </c>
    </row>
    <row r="191" spans="1:10">
      <c r="A191" s="1">
        <v>18539</v>
      </c>
      <c r="B191">
        <v>19.66</v>
      </c>
      <c r="C191">
        <f t="shared" si="15"/>
        <v>-1.5236160487557711E-3</v>
      </c>
      <c r="D191">
        <f t="shared" si="14"/>
        <v>-0.19379683378181908</v>
      </c>
      <c r="F191">
        <f t="shared" si="20"/>
        <v>9.1498417154435501</v>
      </c>
      <c r="G191">
        <v>0</v>
      </c>
      <c r="H191">
        <f t="shared" si="16"/>
        <v>9.0652380078284995</v>
      </c>
      <c r="I191">
        <f t="shared" si="17"/>
        <v>0</v>
      </c>
      <c r="J191">
        <f t="shared" si="19"/>
        <v>5.702519897292236E-19</v>
      </c>
    </row>
    <row r="192" spans="1:10">
      <c r="A192" s="1">
        <v>18540</v>
      </c>
      <c r="B192">
        <v>20</v>
      </c>
      <c r="C192">
        <f t="shared" si="15"/>
        <v>1.7293997965411995E-2</v>
      </c>
      <c r="D192">
        <f t="shared" si="14"/>
        <v>1.7933368096965077</v>
      </c>
      <c r="F192">
        <f t="shared" si="20"/>
        <v>9.3190491306736494</v>
      </c>
      <c r="G192">
        <v>0</v>
      </c>
      <c r="H192">
        <f t="shared" si="16"/>
        <v>9.2344454230585988</v>
      </c>
      <c r="I192">
        <f t="shared" si="17"/>
        <v>0</v>
      </c>
      <c r="J192">
        <f t="shared" si="19"/>
        <v>1.2125033393856941E-19</v>
      </c>
    </row>
    <row r="193" spans="1:10">
      <c r="A193" s="1">
        <v>18541</v>
      </c>
      <c r="B193">
        <v>19.89</v>
      </c>
      <c r="C193">
        <f t="shared" si="15"/>
        <v>-5.4999999999999719E-3</v>
      </c>
      <c r="D193">
        <f t="shared" si="14"/>
        <v>-0.61370162739462897</v>
      </c>
      <c r="F193">
        <f t="shared" si="20"/>
        <v>9.4882565459037487</v>
      </c>
      <c r="G193">
        <v>0</v>
      </c>
      <c r="H193">
        <f t="shared" si="16"/>
        <v>9.4036528382886981</v>
      </c>
      <c r="I193">
        <f t="shared" si="17"/>
        <v>0</v>
      </c>
      <c r="J193">
        <f t="shared" si="19"/>
        <v>2.5053287793068533E-20</v>
      </c>
    </row>
    <row r="194" spans="1:10">
      <c r="A194" s="1">
        <v>18542</v>
      </c>
      <c r="B194">
        <v>20.12</v>
      </c>
      <c r="C194">
        <f t="shared" si="15"/>
        <v>1.1563599798893938E-2</v>
      </c>
      <c r="D194">
        <f t="shared" si="14"/>
        <v>1.1882087111691793</v>
      </c>
      <c r="F194">
        <f t="shared" si="20"/>
        <v>9.657463961133848</v>
      </c>
      <c r="G194">
        <v>1</v>
      </c>
      <c r="H194">
        <f t="shared" si="16"/>
        <v>9.5728602535187974</v>
      </c>
      <c r="I194">
        <f t="shared" si="17"/>
        <v>3.9818801250379981E-4</v>
      </c>
      <c r="J194">
        <f t="shared" si="19"/>
        <v>5.0305116718819246E-21</v>
      </c>
    </row>
    <row r="195" spans="1:10">
      <c r="A195" s="1">
        <v>18545</v>
      </c>
      <c r="B195">
        <v>20</v>
      </c>
      <c r="C195">
        <f t="shared" si="15"/>
        <v>-5.9642147117296715E-3</v>
      </c>
      <c r="D195">
        <f t="shared" ref="D195:D258" si="21">(C195-avg)/sd</f>
        <v>-0.66272254315903789</v>
      </c>
      <c r="F195">
        <f t="shared" si="20"/>
        <v>9.8266713763639473</v>
      </c>
      <c r="G195">
        <v>0</v>
      </c>
      <c r="H195">
        <f t="shared" si="16"/>
        <v>9.7420676687488967</v>
      </c>
      <c r="I195">
        <f t="shared" si="17"/>
        <v>0</v>
      </c>
      <c r="J195">
        <f t="shared" si="19"/>
        <v>9.8157896847788692E-22</v>
      </c>
    </row>
    <row r="196" spans="1:10">
      <c r="A196" s="1">
        <v>18546</v>
      </c>
      <c r="B196">
        <v>19.78</v>
      </c>
      <c r="C196">
        <f t="shared" ref="C196:C259" si="22">(B196-B195)/B195</f>
        <v>-1.0999999999999944E-2</v>
      </c>
      <c r="D196">
        <f t="shared" si="21"/>
        <v>-1.1944997578537897</v>
      </c>
      <c r="F196">
        <f t="shared" si="20"/>
        <v>9.9958787915940466</v>
      </c>
      <c r="G196">
        <v>0</v>
      </c>
      <c r="H196">
        <f t="shared" si="16"/>
        <v>9.911275083978996</v>
      </c>
      <c r="I196">
        <f t="shared" si="17"/>
        <v>0</v>
      </c>
      <c r="J196">
        <f t="shared" si="19"/>
        <v>1.8612468591373676E-22</v>
      </c>
    </row>
    <row r="197" spans="1:10">
      <c r="A197" s="1">
        <v>18547</v>
      </c>
      <c r="B197">
        <v>19.86</v>
      </c>
      <c r="C197">
        <f t="shared" si="22"/>
        <v>4.0444893832152825E-3</v>
      </c>
      <c r="D197">
        <f t="shared" si="21"/>
        <v>0.39419320714332673</v>
      </c>
      <c r="F197">
        <f t="shared" si="20"/>
        <v>10.165086206824146</v>
      </c>
      <c r="G197">
        <v>0</v>
      </c>
      <c r="H197">
        <f t="shared" si="16"/>
        <v>10.080482499209095</v>
      </c>
      <c r="I197">
        <f t="shared" si="17"/>
        <v>0</v>
      </c>
      <c r="J197">
        <f t="shared" si="19"/>
        <v>3.4296386206903707E-23</v>
      </c>
    </row>
    <row r="198" spans="1:10">
      <c r="A198" s="1">
        <v>18549</v>
      </c>
      <c r="B198">
        <v>19.850000000000001</v>
      </c>
      <c r="C198">
        <f t="shared" si="22"/>
        <v>-5.0352467270886256E-4</v>
      </c>
      <c r="D198">
        <f t="shared" si="21"/>
        <v>-8.6075531217171763E-2</v>
      </c>
      <c r="F198">
        <f t="shared" si="20"/>
        <v>10.334293622054245</v>
      </c>
      <c r="G198">
        <v>0</v>
      </c>
      <c r="H198">
        <f t="shared" si="16"/>
        <v>10.249689914439195</v>
      </c>
      <c r="I198">
        <f t="shared" si="17"/>
        <v>0</v>
      </c>
      <c r="J198">
        <f t="shared" si="19"/>
        <v>6.141272864367266E-24</v>
      </c>
    </row>
    <row r="199" spans="1:10">
      <c r="A199" s="1">
        <v>18552</v>
      </c>
      <c r="B199">
        <v>19.71</v>
      </c>
      <c r="C199">
        <f t="shared" si="22"/>
        <v>-7.0528967254408345E-3</v>
      </c>
      <c r="D199">
        <f t="shared" si="21"/>
        <v>-0.77768699374593986</v>
      </c>
      <c r="F199">
        <f t="shared" si="20"/>
        <v>10.503501037284344</v>
      </c>
      <c r="G199">
        <v>0</v>
      </c>
      <c r="H199">
        <f t="shared" si="16"/>
        <v>10.418897329669294</v>
      </c>
      <c r="I199">
        <f t="shared" si="17"/>
        <v>0</v>
      </c>
      <c r="J199">
        <f t="shared" si="19"/>
        <v>1.0686465225306845E-24</v>
      </c>
    </row>
    <row r="200" spans="1:10">
      <c r="A200" s="1">
        <v>18553</v>
      </c>
      <c r="B200">
        <v>19.89</v>
      </c>
      <c r="C200">
        <f t="shared" si="22"/>
        <v>9.1324200913241865E-3</v>
      </c>
      <c r="D200">
        <f t="shared" si="21"/>
        <v>0.9314769604479487</v>
      </c>
      <c r="F200">
        <f t="shared" si="20"/>
        <v>10.672708452514444</v>
      </c>
      <c r="G200">
        <v>0</v>
      </c>
      <c r="H200">
        <f t="shared" si="16"/>
        <v>10.588104744899393</v>
      </c>
      <c r="I200">
        <f t="shared" si="17"/>
        <v>0</v>
      </c>
      <c r="J200">
        <f t="shared" si="19"/>
        <v>1.8070718035759984E-25</v>
      </c>
    </row>
    <row r="201" spans="1:10">
      <c r="A201" s="1">
        <v>18554</v>
      </c>
      <c r="B201">
        <v>20.010000000000002</v>
      </c>
      <c r="C201">
        <f t="shared" si="22"/>
        <v>6.0331825037707888E-3</v>
      </c>
      <c r="D201">
        <f t="shared" si="21"/>
        <v>0.60419852468435187</v>
      </c>
      <c r="F201">
        <f t="shared" si="20"/>
        <v>10.841915867744543</v>
      </c>
      <c r="G201">
        <v>0</v>
      </c>
      <c r="H201">
        <f t="shared" ref="H201:H210" si="23">F201-0.5*bucketwidth</f>
        <v>10.757312160129493</v>
      </c>
      <c r="I201">
        <f t="shared" ref="I201:I210" si="24">G201/num/bucketwidth</f>
        <v>0</v>
      </c>
      <c r="J201">
        <f t="shared" si="19"/>
        <v>2.9694935886539404E-26</v>
      </c>
    </row>
    <row r="202" spans="1:10">
      <c r="A202" s="1">
        <v>18555</v>
      </c>
      <c r="B202">
        <v>20.02</v>
      </c>
      <c r="C202">
        <f t="shared" si="22"/>
        <v>4.997501249374318E-4</v>
      </c>
      <c r="D202">
        <f t="shared" si="21"/>
        <v>1.9869946384603415E-2</v>
      </c>
      <c r="F202">
        <f t="shared" ref="F202:F209" si="25">F201+bucketwidth</f>
        <v>11.011123282974642</v>
      </c>
      <c r="G202">
        <v>0</v>
      </c>
      <c r="H202">
        <f t="shared" si="23"/>
        <v>10.926519575359592</v>
      </c>
      <c r="I202">
        <f t="shared" si="24"/>
        <v>0</v>
      </c>
      <c r="J202">
        <f t="shared" ref="J202:J210" si="26">1/SQRT(2*PI())*EXP(-0.5*H202*H202)</f>
        <v>4.7419287502457825E-27</v>
      </c>
    </row>
    <row r="203" spans="1:10">
      <c r="A203" s="1">
        <v>18556</v>
      </c>
      <c r="B203">
        <v>19.96</v>
      </c>
      <c r="C203">
        <f t="shared" si="22"/>
        <v>-2.9970029970029332E-3</v>
      </c>
      <c r="D203">
        <f t="shared" si="21"/>
        <v>-0.34938599468816167</v>
      </c>
      <c r="F203">
        <f t="shared" si="25"/>
        <v>11.180330698204742</v>
      </c>
      <c r="G203">
        <v>0</v>
      </c>
      <c r="H203">
        <f t="shared" si="23"/>
        <v>11.095726990589691</v>
      </c>
      <c r="I203">
        <f t="shared" si="24"/>
        <v>0</v>
      </c>
      <c r="J203">
        <f t="shared" si="26"/>
        <v>7.3585679792871007E-28</v>
      </c>
    </row>
    <row r="204" spans="1:10">
      <c r="A204" s="1">
        <v>18559</v>
      </c>
      <c r="B204">
        <v>19.96</v>
      </c>
      <c r="C204">
        <f t="shared" si="22"/>
        <v>0</v>
      </c>
      <c r="D204">
        <f t="shared" si="21"/>
        <v>-3.29034969354682E-2</v>
      </c>
      <c r="F204">
        <f t="shared" si="25"/>
        <v>11.349538113434841</v>
      </c>
      <c r="G204">
        <v>0</v>
      </c>
      <c r="H204">
        <f t="shared" si="23"/>
        <v>11.26493440581979</v>
      </c>
      <c r="I204">
        <f t="shared" si="24"/>
        <v>0</v>
      </c>
      <c r="J204">
        <f t="shared" si="26"/>
        <v>1.1096786699877003E-28</v>
      </c>
    </row>
    <row r="205" spans="1:10">
      <c r="A205" s="1">
        <v>18560</v>
      </c>
      <c r="B205">
        <v>20.079999999999998</v>
      </c>
      <c r="C205">
        <f t="shared" si="22"/>
        <v>6.012024048096064E-3</v>
      </c>
      <c r="D205">
        <f t="shared" si="21"/>
        <v>0.60196419895720943</v>
      </c>
      <c r="F205">
        <f t="shared" si="25"/>
        <v>11.51874552866494</v>
      </c>
      <c r="G205">
        <v>1</v>
      </c>
      <c r="H205">
        <f t="shared" si="23"/>
        <v>11.43414182104989</v>
      </c>
      <c r="I205">
        <f t="shared" si="24"/>
        <v>3.9818801250379981E-4</v>
      </c>
      <c r="J205">
        <f t="shared" si="26"/>
        <v>1.626173276696102E-29</v>
      </c>
    </row>
    <row r="206" spans="1:10">
      <c r="A206" s="1">
        <v>18561</v>
      </c>
      <c r="B206">
        <v>20.05</v>
      </c>
      <c r="C206">
        <f t="shared" si="22"/>
        <v>-1.49402390438235E-3</v>
      </c>
      <c r="D206">
        <f t="shared" si="21"/>
        <v>-0.19067191339484441</v>
      </c>
      <c r="F206">
        <f t="shared" si="25"/>
        <v>11.68795294389504</v>
      </c>
      <c r="G206">
        <v>0</v>
      </c>
      <c r="H206">
        <f t="shared" si="23"/>
        <v>11.603349236279989</v>
      </c>
      <c r="I206">
        <f t="shared" si="24"/>
        <v>0</v>
      </c>
      <c r="J206">
        <f t="shared" si="26"/>
        <v>2.315805342281082E-30</v>
      </c>
    </row>
    <row r="207" spans="1:10">
      <c r="A207" s="1">
        <v>18562</v>
      </c>
      <c r="B207">
        <v>19.61</v>
      </c>
      <c r="C207">
        <f t="shared" si="22"/>
        <v>-2.1945137157107296E-2</v>
      </c>
      <c r="D207">
        <f t="shared" si="21"/>
        <v>-2.3503025212114399</v>
      </c>
      <c r="F207">
        <f t="shared" si="25"/>
        <v>11.857160359125139</v>
      </c>
      <c r="G207">
        <v>0</v>
      </c>
      <c r="H207">
        <f t="shared" si="23"/>
        <v>11.772556651510088</v>
      </c>
      <c r="I207">
        <f t="shared" si="24"/>
        <v>0</v>
      </c>
      <c r="J207">
        <f t="shared" si="26"/>
        <v>3.204814765105612E-31</v>
      </c>
    </row>
    <row r="208" spans="1:10">
      <c r="A208" s="1">
        <v>18563</v>
      </c>
      <c r="B208">
        <v>19.77</v>
      </c>
      <c r="C208">
        <f t="shared" si="22"/>
        <v>8.1591024987251477E-3</v>
      </c>
      <c r="D208">
        <f t="shared" si="21"/>
        <v>0.82869495351621492</v>
      </c>
      <c r="F208">
        <f t="shared" si="25"/>
        <v>12.026367774355238</v>
      </c>
      <c r="G208">
        <v>0</v>
      </c>
      <c r="H208">
        <f t="shared" si="23"/>
        <v>11.941764066740188</v>
      </c>
      <c r="I208">
        <f t="shared" si="24"/>
        <v>0</v>
      </c>
      <c r="J208">
        <f t="shared" si="26"/>
        <v>4.3099225312286035E-32</v>
      </c>
    </row>
    <row r="209" spans="1:10">
      <c r="A209" s="1">
        <v>18566</v>
      </c>
      <c r="B209">
        <v>19.61</v>
      </c>
      <c r="C209">
        <f t="shared" si="22"/>
        <v>-8.0930703085483127E-3</v>
      </c>
      <c r="D209">
        <f t="shared" si="21"/>
        <v>-0.88752897054990942</v>
      </c>
      <c r="F209">
        <f t="shared" si="25"/>
        <v>12.195575189585337</v>
      </c>
      <c r="G209">
        <v>1</v>
      </c>
      <c r="H209">
        <f t="shared" si="23"/>
        <v>12.110971481970287</v>
      </c>
      <c r="I209">
        <f t="shared" si="24"/>
        <v>3.9818801250379981E-4</v>
      </c>
      <c r="J209">
        <f t="shared" si="26"/>
        <v>5.6325057661384244E-33</v>
      </c>
    </row>
    <row r="210" spans="1:10">
      <c r="A210" s="1">
        <v>18567</v>
      </c>
      <c r="B210">
        <v>19.53</v>
      </c>
      <c r="C210">
        <f t="shared" si="22"/>
        <v>-4.0795512493624836E-3</v>
      </c>
      <c r="D210">
        <f t="shared" si="21"/>
        <v>-0.46370272216130021</v>
      </c>
      <c r="G210">
        <v>0</v>
      </c>
      <c r="H210">
        <f t="shared" si="23"/>
        <v>-8.4603707615049761E-2</v>
      </c>
      <c r="I210">
        <f t="shared" si="24"/>
        <v>0</v>
      </c>
      <c r="J210">
        <f t="shared" si="26"/>
        <v>0.39751706027585254</v>
      </c>
    </row>
    <row r="211" spans="1:10">
      <c r="A211" s="1">
        <v>18568</v>
      </c>
      <c r="B211">
        <v>19.559999999999999</v>
      </c>
      <c r="C211">
        <f t="shared" si="22"/>
        <v>1.5360983102917349E-3</v>
      </c>
      <c r="D211">
        <f t="shared" si="21"/>
        <v>0.12930796248615362</v>
      </c>
    </row>
    <row r="212" spans="1:10">
      <c r="A212" s="1">
        <v>18569</v>
      </c>
      <c r="B212">
        <v>19.73</v>
      </c>
      <c r="C212">
        <f t="shared" si="22"/>
        <v>8.6912065439673676E-3</v>
      </c>
      <c r="D212">
        <f t="shared" si="21"/>
        <v>0.88488495982284032</v>
      </c>
    </row>
    <row r="213" spans="1:10">
      <c r="A213" s="1">
        <v>18570</v>
      </c>
      <c r="B213">
        <v>19.850000000000001</v>
      </c>
      <c r="C213">
        <f t="shared" si="22"/>
        <v>6.0821084642676626E-3</v>
      </c>
      <c r="D213">
        <f t="shared" si="21"/>
        <v>0.60936508948207968</v>
      </c>
    </row>
    <row r="214" spans="1:10">
      <c r="A214" s="1">
        <v>18573</v>
      </c>
      <c r="B214">
        <v>19.36</v>
      </c>
      <c r="C214">
        <f t="shared" si="22"/>
        <v>-2.468513853904292E-2</v>
      </c>
      <c r="D214">
        <f t="shared" si="21"/>
        <v>-2.639645735772119</v>
      </c>
    </row>
    <row r="215" spans="1:10">
      <c r="A215" s="1">
        <v>18575</v>
      </c>
      <c r="B215">
        <v>19.559999999999999</v>
      </c>
      <c r="C215">
        <f t="shared" si="22"/>
        <v>1.0330578512396658E-2</v>
      </c>
      <c r="D215">
        <f t="shared" si="21"/>
        <v>1.0580020824393659</v>
      </c>
    </row>
    <row r="216" spans="1:10">
      <c r="A216" s="1">
        <v>18576</v>
      </c>
      <c r="B216">
        <v>19.79</v>
      </c>
      <c r="C216">
        <f t="shared" si="22"/>
        <v>1.175869120654399E-2</v>
      </c>
      <c r="D216">
        <f t="shared" si="21"/>
        <v>1.2088102975022332</v>
      </c>
    </row>
    <row r="217" spans="1:10">
      <c r="A217" s="1">
        <v>18577</v>
      </c>
      <c r="B217">
        <v>19.940000000000001</v>
      </c>
      <c r="C217">
        <f t="shared" si="22"/>
        <v>7.5795856493179456E-3</v>
      </c>
      <c r="D217">
        <f t="shared" si="21"/>
        <v>0.76749817120616248</v>
      </c>
    </row>
    <row r="218" spans="1:10">
      <c r="A218" s="1">
        <v>18580</v>
      </c>
      <c r="B218">
        <v>20.010000000000002</v>
      </c>
      <c r="C218">
        <f t="shared" si="22"/>
        <v>3.5105315947843671E-3</v>
      </c>
      <c r="D218">
        <f t="shared" si="21"/>
        <v>0.33780744618609304</v>
      </c>
    </row>
    <row r="219" spans="1:10">
      <c r="A219" s="1">
        <v>18581</v>
      </c>
      <c r="B219">
        <v>19.86</v>
      </c>
      <c r="C219">
        <f t="shared" si="22"/>
        <v>-7.4962518740630743E-3</v>
      </c>
      <c r="D219">
        <f t="shared" si="21"/>
        <v>-0.82450514673671105</v>
      </c>
    </row>
    <row r="220" spans="1:10">
      <c r="A220" s="1">
        <v>18582</v>
      </c>
      <c r="B220">
        <v>19.82</v>
      </c>
      <c r="C220">
        <f t="shared" si="22"/>
        <v>-2.014098690835808E-3</v>
      </c>
      <c r="D220">
        <f t="shared" si="21"/>
        <v>-0.24559163406232026</v>
      </c>
    </row>
    <row r="221" spans="1:10">
      <c r="A221" s="1">
        <v>18583</v>
      </c>
      <c r="B221">
        <v>19.72</v>
      </c>
      <c r="C221">
        <f t="shared" si="22"/>
        <v>-5.0454086781029977E-3</v>
      </c>
      <c r="D221">
        <f t="shared" si="21"/>
        <v>-0.56569693832540668</v>
      </c>
    </row>
    <row r="222" spans="1:10">
      <c r="A222" s="1">
        <v>18584</v>
      </c>
      <c r="B222">
        <v>19.86</v>
      </c>
      <c r="C222">
        <f t="shared" si="22"/>
        <v>7.0993914807302525E-3</v>
      </c>
      <c r="D222">
        <f t="shared" si="21"/>
        <v>0.71678983022923071</v>
      </c>
    </row>
    <row r="223" spans="1:10">
      <c r="A223" s="1">
        <v>18587</v>
      </c>
      <c r="B223">
        <v>19.93</v>
      </c>
      <c r="C223">
        <f t="shared" si="22"/>
        <v>3.5246727089627535E-3</v>
      </c>
      <c r="D223">
        <f t="shared" si="21"/>
        <v>0.3393007430365324</v>
      </c>
    </row>
    <row r="224" spans="1:10">
      <c r="A224" s="1">
        <v>18588</v>
      </c>
      <c r="B224">
        <v>19.88</v>
      </c>
      <c r="C224">
        <f t="shared" si="22"/>
        <v>-2.5087807325640094E-3</v>
      </c>
      <c r="D224">
        <f t="shared" si="21"/>
        <v>-0.29782988951822231</v>
      </c>
    </row>
    <row r="225" spans="1:4">
      <c r="A225" s="1">
        <v>18589</v>
      </c>
      <c r="B225">
        <v>20.16</v>
      </c>
      <c r="C225">
        <f t="shared" si="22"/>
        <v>1.4084507042253579E-2</v>
      </c>
      <c r="D225">
        <f t="shared" si="21"/>
        <v>1.4544156591699506</v>
      </c>
    </row>
    <row r="226" spans="1:4">
      <c r="A226" s="1">
        <v>18591</v>
      </c>
      <c r="B226">
        <v>20.32</v>
      </c>
      <c r="C226">
        <f t="shared" si="22"/>
        <v>7.936507936507943E-3</v>
      </c>
      <c r="D226">
        <f t="shared" si="21"/>
        <v>0.80518904340964603</v>
      </c>
    </row>
    <row r="227" spans="1:4">
      <c r="A227" s="1">
        <v>18594</v>
      </c>
      <c r="B227">
        <v>20.18</v>
      </c>
      <c r="C227">
        <f t="shared" si="22"/>
        <v>-6.8897637795275867E-3</v>
      </c>
      <c r="D227">
        <f t="shared" si="21"/>
        <v>-0.76046021010908349</v>
      </c>
    </row>
    <row r="228" spans="1:4">
      <c r="A228" s="1">
        <v>18595</v>
      </c>
      <c r="B228">
        <v>19.559999999999999</v>
      </c>
      <c r="C228">
        <f t="shared" si="22"/>
        <v>-3.072348860257686E-2</v>
      </c>
      <c r="D228">
        <f t="shared" si="21"/>
        <v>-3.2772934499463888</v>
      </c>
    </row>
    <row r="229" spans="1:4">
      <c r="A229" s="1">
        <v>18596</v>
      </c>
      <c r="B229">
        <v>19.37</v>
      </c>
      <c r="C229">
        <f t="shared" si="22"/>
        <v>-9.7137014314927269E-3</v>
      </c>
      <c r="D229">
        <f t="shared" si="21"/>
        <v>-1.0586670662535551</v>
      </c>
    </row>
    <row r="230" spans="1:4">
      <c r="A230" s="1">
        <v>18597</v>
      </c>
      <c r="B230">
        <v>19.510000000000002</v>
      </c>
      <c r="C230">
        <f t="shared" si="22"/>
        <v>7.2276716572018873E-3</v>
      </c>
      <c r="D230">
        <f t="shared" si="21"/>
        <v>0.73033617326008482</v>
      </c>
    </row>
    <row r="231" spans="1:4">
      <c r="A231" s="1">
        <v>18598</v>
      </c>
      <c r="B231">
        <v>19.66</v>
      </c>
      <c r="C231">
        <f t="shared" si="22"/>
        <v>7.6883649410557954E-3</v>
      </c>
      <c r="D231">
        <f t="shared" si="21"/>
        <v>0.77898522743780163</v>
      </c>
    </row>
    <row r="232" spans="1:4">
      <c r="A232" s="1">
        <v>18601</v>
      </c>
      <c r="B232">
        <v>19</v>
      </c>
      <c r="C232">
        <f t="shared" si="22"/>
        <v>-3.3570701932858604E-2</v>
      </c>
      <c r="D232">
        <f t="shared" si="21"/>
        <v>-3.5779582098093061</v>
      </c>
    </row>
    <row r="233" spans="1:4">
      <c r="A233" s="1">
        <v>18602</v>
      </c>
      <c r="B233">
        <v>19.309999999999999</v>
      </c>
      <c r="C233">
        <f t="shared" si="22"/>
        <v>1.6315789473684145E-2</v>
      </c>
      <c r="D233">
        <f t="shared" si="21"/>
        <v>1.6900383254792686</v>
      </c>
    </row>
    <row r="234" spans="1:4">
      <c r="A234" s="1">
        <v>18603</v>
      </c>
      <c r="B234">
        <v>19.45</v>
      </c>
      <c r="C234">
        <f t="shared" si="22"/>
        <v>7.2501294665976478E-3</v>
      </c>
      <c r="D234">
        <f t="shared" si="21"/>
        <v>0.73270771029849679</v>
      </c>
    </row>
    <row r="235" spans="1:4">
      <c r="A235" s="1">
        <v>18604</v>
      </c>
      <c r="B235">
        <v>19.399999999999999</v>
      </c>
      <c r="C235">
        <f t="shared" si="22"/>
        <v>-2.5706940874036356E-3</v>
      </c>
      <c r="D235">
        <f t="shared" si="21"/>
        <v>-0.304367918743915</v>
      </c>
    </row>
    <row r="236" spans="1:4">
      <c r="A236" s="1">
        <v>18605</v>
      </c>
      <c r="B236">
        <v>19.399999999999999</v>
      </c>
      <c r="C236">
        <f t="shared" si="22"/>
        <v>0</v>
      </c>
      <c r="D236">
        <f t="shared" si="21"/>
        <v>-3.29034969354682E-2</v>
      </c>
    </row>
    <row r="237" spans="1:4">
      <c r="A237" s="1">
        <v>18608</v>
      </c>
      <c r="B237">
        <v>19.72</v>
      </c>
      <c r="C237">
        <f t="shared" si="22"/>
        <v>1.6494845360824757E-2</v>
      </c>
      <c r="D237">
        <f t="shared" si="21"/>
        <v>1.708946566297264</v>
      </c>
    </row>
    <row r="238" spans="1:4">
      <c r="A238" s="1">
        <v>18609</v>
      </c>
      <c r="B238">
        <v>19.68</v>
      </c>
      <c r="C238">
        <f t="shared" si="22"/>
        <v>-2.0283975659228779E-3</v>
      </c>
      <c r="D238">
        <f t="shared" si="21"/>
        <v>-0.24710159041109106</v>
      </c>
    </row>
    <row r="239" spans="1:4">
      <c r="A239" s="1">
        <v>18610</v>
      </c>
      <c r="B239">
        <v>19.670000000000002</v>
      </c>
      <c r="C239">
        <f t="shared" si="22"/>
        <v>-5.0813008130071191E-4</v>
      </c>
      <c r="D239">
        <f t="shared" si="21"/>
        <v>-8.6561860799016621E-2</v>
      </c>
    </row>
    <row r="240" spans="1:4">
      <c r="A240" s="1">
        <v>18611</v>
      </c>
      <c r="B240">
        <v>19.43</v>
      </c>
      <c r="C240">
        <f t="shared" si="22"/>
        <v>-1.2201321809862836E-2</v>
      </c>
      <c r="D240">
        <f t="shared" si="21"/>
        <v>-1.3213589326261872</v>
      </c>
    </row>
    <row r="241" spans="1:4">
      <c r="A241" s="1">
        <v>18612</v>
      </c>
      <c r="B241">
        <v>19.329999999999998</v>
      </c>
      <c r="C241">
        <f t="shared" si="22"/>
        <v>-5.1466803911477833E-3</v>
      </c>
      <c r="D241">
        <f t="shared" si="21"/>
        <v>-0.57639119679900819</v>
      </c>
    </row>
    <row r="242" spans="1:4">
      <c r="A242" s="1">
        <v>18615</v>
      </c>
      <c r="B242">
        <v>19.850000000000001</v>
      </c>
      <c r="C242">
        <f t="shared" si="22"/>
        <v>2.6901189860320911E-2</v>
      </c>
      <c r="D242">
        <f t="shared" si="21"/>
        <v>2.8078530081556945</v>
      </c>
    </row>
    <row r="243" spans="1:4">
      <c r="A243" s="1">
        <v>18616</v>
      </c>
      <c r="B243">
        <v>19.96</v>
      </c>
      <c r="C243">
        <f t="shared" si="22"/>
        <v>5.5415617128463188E-3</v>
      </c>
      <c r="D243">
        <f t="shared" si="21"/>
        <v>0.55228353627275406</v>
      </c>
    </row>
    <row r="244" spans="1:4">
      <c r="A244" s="1">
        <v>18617</v>
      </c>
      <c r="B244">
        <v>19.97</v>
      </c>
      <c r="C244">
        <f t="shared" si="22"/>
        <v>5.0100200400791635E-4</v>
      </c>
      <c r="D244">
        <f t="shared" si="21"/>
        <v>2.0002144388912211E-2</v>
      </c>
    </row>
    <row r="245" spans="1:4">
      <c r="A245" s="1">
        <v>18618</v>
      </c>
      <c r="B245">
        <v>19.98</v>
      </c>
      <c r="C245">
        <f t="shared" si="22"/>
        <v>5.0075112669011339E-4</v>
      </c>
      <c r="D245">
        <f t="shared" si="21"/>
        <v>1.997565182942956E-2</v>
      </c>
    </row>
    <row r="246" spans="1:4">
      <c r="A246" s="1">
        <v>18619</v>
      </c>
      <c r="B246">
        <v>20.07</v>
      </c>
      <c r="C246">
        <f t="shared" si="22"/>
        <v>4.5045045045044975E-3</v>
      </c>
      <c r="D246">
        <f t="shared" si="21"/>
        <v>0.44277064758473061</v>
      </c>
    </row>
    <row r="247" spans="1:4">
      <c r="A247" s="1">
        <v>18623</v>
      </c>
      <c r="B247">
        <v>19.920000000000002</v>
      </c>
      <c r="C247">
        <f t="shared" si="22"/>
        <v>-7.4738415545589727E-3</v>
      </c>
      <c r="D247">
        <f t="shared" si="21"/>
        <v>-0.82213862461471565</v>
      </c>
    </row>
    <row r="248" spans="1:4">
      <c r="A248" s="1">
        <v>18624</v>
      </c>
      <c r="B248">
        <v>20.3</v>
      </c>
      <c r="C248">
        <f t="shared" si="22"/>
        <v>1.9076305220883483E-2</v>
      </c>
      <c r="D248">
        <f t="shared" si="21"/>
        <v>1.9815478500386245</v>
      </c>
    </row>
    <row r="249" spans="1:4">
      <c r="A249" s="1">
        <v>18625</v>
      </c>
      <c r="B249">
        <v>20.38</v>
      </c>
      <c r="C249">
        <f t="shared" si="22"/>
        <v>3.9408866995073047E-3</v>
      </c>
      <c r="D249">
        <f t="shared" si="21"/>
        <v>0.38325279896002756</v>
      </c>
    </row>
    <row r="250" spans="1:4">
      <c r="A250" s="1">
        <v>18626</v>
      </c>
      <c r="B250">
        <v>20.43</v>
      </c>
      <c r="C250">
        <f t="shared" si="22"/>
        <v>2.453385672227709E-3</v>
      </c>
      <c r="D250">
        <f t="shared" si="21"/>
        <v>0.22617319610546852</v>
      </c>
    </row>
    <row r="251" spans="1:4">
      <c r="A251" s="1">
        <v>18630</v>
      </c>
      <c r="B251">
        <v>20.77</v>
      </c>
      <c r="C251">
        <f t="shared" si="22"/>
        <v>1.6642192853646591E-2</v>
      </c>
      <c r="D251">
        <f t="shared" si="21"/>
        <v>1.7245064114534034</v>
      </c>
    </row>
    <row r="252" spans="1:4">
      <c r="A252" s="1">
        <v>18631</v>
      </c>
      <c r="B252">
        <v>20.69</v>
      </c>
      <c r="C252">
        <f t="shared" si="22"/>
        <v>-3.8517091959556233E-3</v>
      </c>
      <c r="D252">
        <f t="shared" si="21"/>
        <v>-0.43964267876881269</v>
      </c>
    </row>
    <row r="253" spans="1:4">
      <c r="A253" s="1">
        <v>18632</v>
      </c>
      <c r="B253">
        <v>20.87</v>
      </c>
      <c r="C253">
        <f t="shared" si="22"/>
        <v>8.6998550024166114E-3</v>
      </c>
      <c r="D253">
        <f t="shared" si="21"/>
        <v>0.88579823409532654</v>
      </c>
    </row>
    <row r="254" spans="1:4">
      <c r="A254" s="1">
        <v>18633</v>
      </c>
      <c r="B254">
        <v>20.87</v>
      </c>
      <c r="C254">
        <f t="shared" si="22"/>
        <v>0</v>
      </c>
      <c r="D254">
        <f t="shared" si="21"/>
        <v>-3.29034969354682E-2</v>
      </c>
    </row>
    <row r="255" spans="1:4">
      <c r="A255" s="1">
        <v>18636</v>
      </c>
      <c r="B255">
        <v>21</v>
      </c>
      <c r="C255">
        <f t="shared" si="22"/>
        <v>6.2290368950646382E-3</v>
      </c>
      <c r="D255">
        <f t="shared" si="21"/>
        <v>0.62488068183084011</v>
      </c>
    </row>
    <row r="256" spans="1:4">
      <c r="A256" s="1">
        <v>18637</v>
      </c>
      <c r="B256">
        <v>21.12</v>
      </c>
      <c r="C256">
        <f t="shared" si="22"/>
        <v>5.714285714285762E-3</v>
      </c>
      <c r="D256">
        <f t="shared" si="21"/>
        <v>0.57052313211301853</v>
      </c>
    </row>
    <row r="257" spans="1:4">
      <c r="A257" s="1">
        <v>18638</v>
      </c>
      <c r="B257">
        <v>20.85</v>
      </c>
      <c r="C257">
        <f t="shared" si="22"/>
        <v>-1.2784090909090889E-2</v>
      </c>
      <c r="D257">
        <f t="shared" si="21"/>
        <v>-1.3828991514118278</v>
      </c>
    </row>
    <row r="258" spans="1:4">
      <c r="A258" s="1">
        <v>18639</v>
      </c>
      <c r="B258">
        <v>21.19</v>
      </c>
      <c r="C258">
        <f t="shared" si="22"/>
        <v>1.6306954436450832E-2</v>
      </c>
      <c r="D258">
        <f t="shared" si="21"/>
        <v>1.689105348550606</v>
      </c>
    </row>
    <row r="259" spans="1:4">
      <c r="A259" s="1">
        <v>18640</v>
      </c>
      <c r="B259">
        <v>21.11</v>
      </c>
      <c r="C259">
        <f t="shared" si="22"/>
        <v>-3.7753657385560095E-3</v>
      </c>
      <c r="D259">
        <f t="shared" ref="D259:D322" si="27">(C259-avg)/sd</f>
        <v>-0.43158083561781546</v>
      </c>
    </row>
    <row r="260" spans="1:4">
      <c r="A260" s="1">
        <v>18643</v>
      </c>
      <c r="B260">
        <v>21.3</v>
      </c>
      <c r="C260">
        <f t="shared" ref="C260:C323" si="28">(B260-B259)/B259</f>
        <v>9.0004737091426475E-3</v>
      </c>
      <c r="D260">
        <f t="shared" si="27"/>
        <v>0.91754346734033265</v>
      </c>
    </row>
    <row r="261" spans="1:4">
      <c r="A261" s="1">
        <v>18644</v>
      </c>
      <c r="B261">
        <v>21.46</v>
      </c>
      <c r="C261">
        <f t="shared" si="28"/>
        <v>7.5117370892018847E-3</v>
      </c>
      <c r="D261">
        <f t="shared" si="27"/>
        <v>0.76033338632075265</v>
      </c>
    </row>
    <row r="262" spans="1:4">
      <c r="A262" s="1">
        <v>18645</v>
      </c>
      <c r="B262">
        <v>21.55</v>
      </c>
      <c r="C262">
        <f t="shared" si="28"/>
        <v>4.1938490214352211E-3</v>
      </c>
      <c r="D262">
        <f t="shared" si="27"/>
        <v>0.40996553416954445</v>
      </c>
    </row>
    <row r="263" spans="1:4">
      <c r="A263" s="1">
        <v>18646</v>
      </c>
      <c r="B263">
        <v>21.4</v>
      </c>
      <c r="C263">
        <f t="shared" si="28"/>
        <v>-6.9605568445476624E-3</v>
      </c>
      <c r="D263">
        <f t="shared" si="27"/>
        <v>-0.76793593371147151</v>
      </c>
    </row>
    <row r="264" spans="1:4">
      <c r="A264" s="1">
        <v>18647</v>
      </c>
      <c r="B264">
        <v>21.36</v>
      </c>
      <c r="C264">
        <f t="shared" si="28"/>
        <v>-1.8691588785046331E-3</v>
      </c>
      <c r="D264">
        <f t="shared" si="27"/>
        <v>-0.23028603914758422</v>
      </c>
    </row>
    <row r="265" spans="1:4">
      <c r="A265" s="1">
        <v>18650</v>
      </c>
      <c r="B265">
        <v>21.18</v>
      </c>
      <c r="C265">
        <f t="shared" si="28"/>
        <v>-8.4269662921348191E-3</v>
      </c>
      <c r="D265">
        <f t="shared" si="27"/>
        <v>-0.92278827291988519</v>
      </c>
    </row>
    <row r="266" spans="1:4">
      <c r="A266" s="1">
        <v>18651</v>
      </c>
      <c r="B266">
        <v>21.26</v>
      </c>
      <c r="C266">
        <f t="shared" si="28"/>
        <v>3.7771482530690203E-3</v>
      </c>
      <c r="D266">
        <f t="shared" si="27"/>
        <v>0.36596207467354691</v>
      </c>
    </row>
    <row r="267" spans="1:4">
      <c r="A267" s="1">
        <v>18652</v>
      </c>
      <c r="B267">
        <v>21.16</v>
      </c>
      <c r="C267">
        <f t="shared" si="28"/>
        <v>-4.7036688617122019E-3</v>
      </c>
      <c r="D267">
        <f t="shared" si="27"/>
        <v>-0.52960932987754628</v>
      </c>
    </row>
    <row r="268" spans="1:4">
      <c r="A268" s="1">
        <v>18653</v>
      </c>
      <c r="B268">
        <v>21.03</v>
      </c>
      <c r="C268">
        <f t="shared" si="28"/>
        <v>-6.1436672967863423E-3</v>
      </c>
      <c r="D268">
        <f t="shared" si="27"/>
        <v>-0.68167267514212493</v>
      </c>
    </row>
    <row r="269" spans="1:4">
      <c r="A269" s="1">
        <v>18654</v>
      </c>
      <c r="B269">
        <v>21.26</v>
      </c>
      <c r="C269">
        <f t="shared" si="28"/>
        <v>1.0936757013789844E-2</v>
      </c>
      <c r="D269">
        <f t="shared" si="27"/>
        <v>1.1220143261364024</v>
      </c>
    </row>
    <row r="270" spans="1:4">
      <c r="A270" s="1">
        <v>18657</v>
      </c>
      <c r="B270">
        <v>21.67</v>
      </c>
      <c r="C270">
        <f t="shared" si="28"/>
        <v>1.928504233301976E-2</v>
      </c>
      <c r="D270">
        <f t="shared" si="27"/>
        <v>2.0035904181270237</v>
      </c>
    </row>
    <row r="271" spans="1:4">
      <c r="A271" s="1">
        <v>18658</v>
      </c>
      <c r="B271">
        <v>21.74</v>
      </c>
      <c r="C271">
        <f t="shared" si="28"/>
        <v>3.2302722658051094E-3</v>
      </c>
      <c r="D271">
        <f t="shared" si="27"/>
        <v>0.30821215631065801</v>
      </c>
    </row>
    <row r="272" spans="1:4">
      <c r="A272" s="1">
        <v>18659</v>
      </c>
      <c r="B272">
        <v>21.66</v>
      </c>
      <c r="C272">
        <f t="shared" si="28"/>
        <v>-3.6798528058876864E-3</v>
      </c>
      <c r="D272">
        <f t="shared" si="27"/>
        <v>-0.4214947023944639</v>
      </c>
    </row>
    <row r="273" spans="1:4">
      <c r="A273" s="1">
        <v>18660</v>
      </c>
      <c r="B273">
        <v>21.77</v>
      </c>
      <c r="C273">
        <f t="shared" si="28"/>
        <v>5.0784856879039445E-3</v>
      </c>
      <c r="D273">
        <f t="shared" si="27"/>
        <v>0.50338286544602828</v>
      </c>
    </row>
    <row r="274" spans="1:4">
      <c r="A274" s="1">
        <v>18661</v>
      </c>
      <c r="B274">
        <v>21.96</v>
      </c>
      <c r="C274">
        <f t="shared" si="28"/>
        <v>8.7276067983464069E-3</v>
      </c>
      <c r="D274">
        <f t="shared" si="27"/>
        <v>0.88872881431221917</v>
      </c>
    </row>
    <row r="275" spans="1:4">
      <c r="A275" s="1">
        <v>18664</v>
      </c>
      <c r="B275">
        <v>22.2</v>
      </c>
      <c r="C275">
        <f t="shared" si="28"/>
        <v>1.0928961748633809E-2</v>
      </c>
      <c r="D275">
        <f t="shared" si="27"/>
        <v>1.1211911487856643</v>
      </c>
    </row>
    <row r="276" spans="1:4">
      <c r="A276" s="1">
        <v>18665</v>
      </c>
      <c r="B276">
        <v>22.12</v>
      </c>
      <c r="C276">
        <f t="shared" si="28"/>
        <v>-3.6036036036035269E-3</v>
      </c>
      <c r="D276">
        <f t="shared" si="27"/>
        <v>-0.4134428125516198</v>
      </c>
    </row>
    <row r="277" spans="1:4">
      <c r="A277" s="1">
        <v>18666</v>
      </c>
      <c r="B277">
        <v>21.99</v>
      </c>
      <c r="C277">
        <f t="shared" si="28"/>
        <v>-5.8770343580471316E-3</v>
      </c>
      <c r="D277">
        <f t="shared" si="27"/>
        <v>-0.65351632744420374</v>
      </c>
    </row>
    <row r="278" spans="1:4">
      <c r="A278" s="1">
        <v>18667</v>
      </c>
      <c r="B278">
        <v>22.09</v>
      </c>
      <c r="C278">
        <f t="shared" si="28"/>
        <v>4.5475216007276687E-3</v>
      </c>
      <c r="D278">
        <f t="shared" si="27"/>
        <v>0.44731323832367603</v>
      </c>
    </row>
    <row r="279" spans="1:4">
      <c r="A279" s="1">
        <v>18668</v>
      </c>
      <c r="B279">
        <v>22.17</v>
      </c>
      <c r="C279">
        <f t="shared" si="28"/>
        <v>3.6215482118606541E-3</v>
      </c>
      <c r="D279">
        <f t="shared" si="27"/>
        <v>0.34953076321296728</v>
      </c>
    </row>
    <row r="280" spans="1:4">
      <c r="A280" s="1">
        <v>18672</v>
      </c>
      <c r="B280">
        <v>22.18</v>
      </c>
      <c r="C280">
        <f t="shared" si="28"/>
        <v>4.5105999097871041E-4</v>
      </c>
      <c r="D280">
        <f t="shared" si="27"/>
        <v>1.4728284789143118E-2</v>
      </c>
    </row>
    <row r="281" spans="1:4">
      <c r="A281" s="1">
        <v>18673</v>
      </c>
      <c r="B281">
        <v>22.12</v>
      </c>
      <c r="C281">
        <f t="shared" si="28"/>
        <v>-2.7051397655544962E-3</v>
      </c>
      <c r="D281">
        <f t="shared" si="27"/>
        <v>-0.3185653366563394</v>
      </c>
    </row>
    <row r="282" spans="1:4">
      <c r="A282" s="1">
        <v>18674</v>
      </c>
      <c r="B282">
        <v>22</v>
      </c>
      <c r="C282">
        <f t="shared" si="28"/>
        <v>-5.4249547920434448E-3</v>
      </c>
      <c r="D282">
        <f t="shared" si="27"/>
        <v>-0.60577687894352528</v>
      </c>
    </row>
    <row r="283" spans="1:4">
      <c r="A283" s="1">
        <v>18675</v>
      </c>
      <c r="B283">
        <v>22.13</v>
      </c>
      <c r="C283">
        <f t="shared" si="28"/>
        <v>5.9090909090908639E-3</v>
      </c>
      <c r="D283">
        <f t="shared" si="27"/>
        <v>0.59109449446693429</v>
      </c>
    </row>
    <row r="284" spans="1:4">
      <c r="A284" s="1">
        <v>18678</v>
      </c>
      <c r="B284">
        <v>21.83</v>
      </c>
      <c r="C284">
        <f t="shared" si="28"/>
        <v>-1.3556258472661578E-2</v>
      </c>
      <c r="D284">
        <f t="shared" si="27"/>
        <v>-1.464439783652385</v>
      </c>
    </row>
    <row r="285" spans="1:4">
      <c r="A285" s="1">
        <v>18679</v>
      </c>
      <c r="B285">
        <v>21.79</v>
      </c>
      <c r="C285">
        <f t="shared" si="28"/>
        <v>-1.832340815391624E-3</v>
      </c>
      <c r="D285">
        <f t="shared" si="27"/>
        <v>-0.22639806419791816</v>
      </c>
    </row>
    <row r="286" spans="1:4">
      <c r="A286" s="1">
        <v>18680</v>
      </c>
      <c r="B286">
        <v>21.86</v>
      </c>
      <c r="C286">
        <f t="shared" si="28"/>
        <v>3.2124827902707794E-3</v>
      </c>
      <c r="D286">
        <f t="shared" si="27"/>
        <v>0.30633359374116931</v>
      </c>
    </row>
    <row r="287" spans="1:4">
      <c r="A287" s="1">
        <v>18682</v>
      </c>
      <c r="B287">
        <v>21.92</v>
      </c>
      <c r="C287">
        <f t="shared" si="28"/>
        <v>2.7447392497713758E-3</v>
      </c>
      <c r="D287">
        <f t="shared" si="27"/>
        <v>0.25694003485818684</v>
      </c>
    </row>
    <row r="288" spans="1:4">
      <c r="A288" s="1">
        <v>18685</v>
      </c>
      <c r="B288">
        <v>21.93</v>
      </c>
      <c r="C288">
        <f t="shared" si="28"/>
        <v>4.5620437956195298E-4</v>
      </c>
      <c r="D288">
        <f t="shared" si="27"/>
        <v>1.5271530474870893E-2</v>
      </c>
    </row>
    <row r="289" spans="1:4">
      <c r="A289" s="1">
        <v>18686</v>
      </c>
      <c r="B289">
        <v>21.76</v>
      </c>
      <c r="C289">
        <f t="shared" si="28"/>
        <v>-7.7519379844960398E-3</v>
      </c>
      <c r="D289">
        <f t="shared" si="27"/>
        <v>-0.85150551308650047</v>
      </c>
    </row>
    <row r="290" spans="1:4">
      <c r="A290" s="1">
        <v>18687</v>
      </c>
      <c r="B290">
        <v>21.8</v>
      </c>
      <c r="C290">
        <f t="shared" si="28"/>
        <v>1.8382352941176078E-3</v>
      </c>
      <c r="D290">
        <f t="shared" si="27"/>
        <v>0.16121352527681498</v>
      </c>
    </row>
    <row r="291" spans="1:4">
      <c r="A291" s="1">
        <v>18688</v>
      </c>
      <c r="B291">
        <v>21.85</v>
      </c>
      <c r="C291">
        <f t="shared" si="28"/>
        <v>2.2935779816514088E-3</v>
      </c>
      <c r="D291">
        <f t="shared" si="27"/>
        <v>0.2092975583018846</v>
      </c>
    </row>
    <row r="292" spans="1:4">
      <c r="A292" s="1">
        <v>18689</v>
      </c>
      <c r="B292">
        <v>21.93</v>
      </c>
      <c r="C292">
        <f t="shared" si="28"/>
        <v>3.6613272311212031E-3</v>
      </c>
      <c r="D292">
        <f t="shared" si="27"/>
        <v>0.35373141412533565</v>
      </c>
    </row>
    <row r="293" spans="1:4">
      <c r="A293" s="1">
        <v>18692</v>
      </c>
      <c r="B293">
        <v>21.79</v>
      </c>
      <c r="C293">
        <f t="shared" si="28"/>
        <v>-6.3839489284085987E-3</v>
      </c>
      <c r="D293">
        <f t="shared" si="27"/>
        <v>-0.70704633376574011</v>
      </c>
    </row>
    <row r="294" spans="1:4">
      <c r="A294" s="1">
        <v>18693</v>
      </c>
      <c r="B294">
        <v>21.79</v>
      </c>
      <c r="C294">
        <f t="shared" si="28"/>
        <v>0</v>
      </c>
      <c r="D294">
        <f t="shared" si="27"/>
        <v>-3.29034969354682E-2</v>
      </c>
    </row>
    <row r="295" spans="1:4">
      <c r="A295" s="1">
        <v>18694</v>
      </c>
      <c r="B295">
        <v>21.86</v>
      </c>
      <c r="C295">
        <f t="shared" si="28"/>
        <v>3.2124827902707794E-3</v>
      </c>
      <c r="D295">
        <f t="shared" si="27"/>
        <v>0.30633359374116931</v>
      </c>
    </row>
    <row r="296" spans="1:4">
      <c r="A296" s="1">
        <v>18695</v>
      </c>
      <c r="B296">
        <v>21.95</v>
      </c>
      <c r="C296">
        <f t="shared" si="28"/>
        <v>4.1171088746569011E-3</v>
      </c>
      <c r="D296">
        <f t="shared" si="27"/>
        <v>0.40186180075499717</v>
      </c>
    </row>
    <row r="297" spans="1:4">
      <c r="A297" s="1">
        <v>18696</v>
      </c>
      <c r="B297">
        <v>21.95</v>
      </c>
      <c r="C297">
        <f t="shared" si="28"/>
        <v>0</v>
      </c>
      <c r="D297">
        <f t="shared" si="27"/>
        <v>-3.29034969354682E-2</v>
      </c>
    </row>
    <row r="298" spans="1:4">
      <c r="A298" s="1">
        <v>18699</v>
      </c>
      <c r="B298">
        <v>21.7</v>
      </c>
      <c r="C298">
        <f t="shared" si="28"/>
        <v>-1.1389521640091117E-2</v>
      </c>
      <c r="D298">
        <f t="shared" si="27"/>
        <v>-1.2356331106425789</v>
      </c>
    </row>
    <row r="299" spans="1:4">
      <c r="A299" s="1">
        <v>18700</v>
      </c>
      <c r="B299">
        <v>21.41</v>
      </c>
      <c r="C299">
        <f t="shared" si="28"/>
        <v>-1.3364055299539131E-2</v>
      </c>
      <c r="D299">
        <f t="shared" si="27"/>
        <v>-1.4441431939036875</v>
      </c>
    </row>
    <row r="300" spans="1:4">
      <c r="A300" s="1">
        <v>18701</v>
      </c>
      <c r="B300">
        <v>21.25</v>
      </c>
      <c r="C300">
        <f t="shared" si="28"/>
        <v>-7.4731433909388202E-3</v>
      </c>
      <c r="D300">
        <f t="shared" si="27"/>
        <v>-0.82206489877374489</v>
      </c>
    </row>
    <row r="301" spans="1:4">
      <c r="A301" s="1">
        <v>18702</v>
      </c>
      <c r="B301">
        <v>21.29</v>
      </c>
      <c r="C301">
        <f t="shared" si="28"/>
        <v>1.8823529411764305E-3</v>
      </c>
      <c r="D301">
        <f t="shared" si="27"/>
        <v>0.16587233380990979</v>
      </c>
    </row>
    <row r="302" spans="1:4">
      <c r="A302" s="1">
        <v>18703</v>
      </c>
      <c r="B302">
        <v>21.64</v>
      </c>
      <c r="C302">
        <f t="shared" si="28"/>
        <v>1.6439643024894385E-2</v>
      </c>
      <c r="D302">
        <f t="shared" si="27"/>
        <v>1.7031172183872025</v>
      </c>
    </row>
    <row r="303" spans="1:4">
      <c r="A303" s="1">
        <v>18706</v>
      </c>
      <c r="B303">
        <v>21.56</v>
      </c>
      <c r="C303">
        <f t="shared" si="28"/>
        <v>-3.6968576709797527E-3</v>
      </c>
      <c r="D303">
        <f t="shared" si="27"/>
        <v>-0.42329041036795156</v>
      </c>
    </row>
    <row r="304" spans="1:4">
      <c r="A304" s="1">
        <v>18707</v>
      </c>
      <c r="B304">
        <v>21.52</v>
      </c>
      <c r="C304">
        <f t="shared" si="28"/>
        <v>-1.8552875695732444E-3</v>
      </c>
      <c r="D304">
        <f t="shared" si="27"/>
        <v>-0.22882123363951656</v>
      </c>
    </row>
    <row r="305" spans="1:4">
      <c r="A305" s="1">
        <v>18708</v>
      </c>
      <c r="B305">
        <v>21.64</v>
      </c>
      <c r="C305">
        <f t="shared" si="28"/>
        <v>5.5762081784387083E-3</v>
      </c>
      <c r="D305">
        <f t="shared" si="27"/>
        <v>0.55594219126240452</v>
      </c>
    </row>
    <row r="306" spans="1:4">
      <c r="A306" s="1">
        <v>18709</v>
      </c>
      <c r="B306">
        <v>21.73</v>
      </c>
      <c r="C306">
        <f t="shared" si="28"/>
        <v>4.1589648798521194E-3</v>
      </c>
      <c r="D306">
        <f t="shared" si="27"/>
        <v>0.40628178067606474</v>
      </c>
    </row>
    <row r="307" spans="1:4">
      <c r="A307" s="1">
        <v>18713</v>
      </c>
      <c r="B307">
        <v>21.53</v>
      </c>
      <c r="C307">
        <f t="shared" si="28"/>
        <v>-9.2038656235618639E-3</v>
      </c>
      <c r="D307">
        <f t="shared" si="27"/>
        <v>-1.0048285782376674</v>
      </c>
    </row>
    <row r="308" spans="1:4">
      <c r="A308" s="1">
        <v>18714</v>
      </c>
      <c r="B308">
        <v>21.51</v>
      </c>
      <c r="C308">
        <f t="shared" si="28"/>
        <v>-9.2893636785878184E-4</v>
      </c>
      <c r="D308">
        <f t="shared" si="27"/>
        <v>-0.13099886162054208</v>
      </c>
    </row>
    <row r="309" spans="1:4">
      <c r="A309" s="1">
        <v>18715</v>
      </c>
      <c r="B309">
        <v>21.26</v>
      </c>
      <c r="C309">
        <f t="shared" si="28"/>
        <v>-1.1622501162250115E-2</v>
      </c>
      <c r="D309">
        <f t="shared" si="27"/>
        <v>-1.2602356689889815</v>
      </c>
    </row>
    <row r="310" spans="1:4">
      <c r="A310" s="1">
        <v>18716</v>
      </c>
      <c r="B310">
        <v>21.33</v>
      </c>
      <c r="C310">
        <f t="shared" si="28"/>
        <v>3.292568203198341E-3</v>
      </c>
      <c r="D310">
        <f t="shared" si="27"/>
        <v>0.31479058612396532</v>
      </c>
    </row>
    <row r="311" spans="1:4">
      <c r="A311" s="1">
        <v>18717</v>
      </c>
      <c r="B311">
        <v>21.48</v>
      </c>
      <c r="C311">
        <f t="shared" si="28"/>
        <v>7.0323488045008035E-3</v>
      </c>
      <c r="D311">
        <f t="shared" si="27"/>
        <v>0.70971014640831387</v>
      </c>
    </row>
    <row r="312" spans="1:4">
      <c r="A312" s="1">
        <v>18720</v>
      </c>
      <c r="B312">
        <v>21.32</v>
      </c>
      <c r="C312">
        <f t="shared" si="28"/>
        <v>-7.4487895716946065E-3</v>
      </c>
      <c r="D312">
        <f t="shared" si="27"/>
        <v>-0.81949314373982129</v>
      </c>
    </row>
    <row r="313" spans="1:4">
      <c r="A313" s="1">
        <v>18721</v>
      </c>
      <c r="B313">
        <v>21.26</v>
      </c>
      <c r="C313">
        <f t="shared" si="28"/>
        <v>-2.8142589118198276E-3</v>
      </c>
      <c r="D313">
        <f t="shared" si="27"/>
        <v>-0.3300882814105584</v>
      </c>
    </row>
    <row r="314" spans="1:4">
      <c r="A314" s="1">
        <v>18722</v>
      </c>
      <c r="B314">
        <v>21.4</v>
      </c>
      <c r="C314">
        <f t="shared" si="28"/>
        <v>6.5851364063968486E-3</v>
      </c>
      <c r="D314">
        <f t="shared" si="27"/>
        <v>0.66248466918341631</v>
      </c>
    </row>
    <row r="315" spans="1:4">
      <c r="A315" s="1">
        <v>18723</v>
      </c>
      <c r="B315">
        <v>21.69</v>
      </c>
      <c r="C315">
        <f t="shared" si="28"/>
        <v>1.3551401869159006E-2</v>
      </c>
      <c r="D315">
        <f t="shared" si="27"/>
        <v>1.3981199341024169</v>
      </c>
    </row>
    <row r="316" spans="1:4">
      <c r="A316" s="1">
        <v>18724</v>
      </c>
      <c r="B316">
        <v>21.72</v>
      </c>
      <c r="C316">
        <f t="shared" si="28"/>
        <v>1.3831258644535539E-3</v>
      </c>
      <c r="D316">
        <f t="shared" si="27"/>
        <v>0.11315412420350249</v>
      </c>
    </row>
    <row r="317" spans="1:4">
      <c r="A317" s="1">
        <v>18727</v>
      </c>
      <c r="B317">
        <v>21.68</v>
      </c>
      <c r="C317">
        <f t="shared" si="28"/>
        <v>-1.8416206261509737E-3</v>
      </c>
      <c r="D317">
        <f t="shared" si="27"/>
        <v>-0.22737800905974456</v>
      </c>
    </row>
    <row r="318" spans="1:4">
      <c r="A318" s="1">
        <v>18728</v>
      </c>
      <c r="B318">
        <v>21.65</v>
      </c>
      <c r="C318">
        <f t="shared" si="28"/>
        <v>-1.3837638376384288E-3</v>
      </c>
      <c r="D318">
        <f t="shared" si="27"/>
        <v>-0.17902848782590403</v>
      </c>
    </row>
    <row r="319" spans="1:4">
      <c r="A319" s="1">
        <v>18729</v>
      </c>
      <c r="B319">
        <v>21.64</v>
      </c>
      <c r="C319">
        <f t="shared" si="28"/>
        <v>-4.618937644340883E-4</v>
      </c>
      <c r="D319">
        <f t="shared" si="27"/>
        <v>-8.1679321454388901E-2</v>
      </c>
    </row>
    <row r="320" spans="1:4">
      <c r="A320" s="1">
        <v>18730</v>
      </c>
      <c r="B320">
        <v>21.83</v>
      </c>
      <c r="C320">
        <f t="shared" si="28"/>
        <v>8.7800369685766041E-3</v>
      </c>
      <c r="D320">
        <f t="shared" si="27"/>
        <v>0.8942654224666472</v>
      </c>
    </row>
    <row r="321" spans="1:4">
      <c r="A321" s="1">
        <v>18731</v>
      </c>
      <c r="B321">
        <v>22.09</v>
      </c>
      <c r="C321">
        <f t="shared" si="28"/>
        <v>1.1910215300045881E-2</v>
      </c>
      <c r="D321">
        <f t="shared" si="27"/>
        <v>1.2248111902704908</v>
      </c>
    </row>
    <row r="322" spans="1:4">
      <c r="A322" s="1">
        <v>18734</v>
      </c>
      <c r="B322">
        <v>22.04</v>
      </c>
      <c r="C322">
        <f t="shared" si="28"/>
        <v>-2.2634676324128885E-3</v>
      </c>
      <c r="D322">
        <f t="shared" si="27"/>
        <v>-0.27192490952823822</v>
      </c>
    </row>
    <row r="323" spans="1:4">
      <c r="A323" s="1">
        <v>18735</v>
      </c>
      <c r="B323">
        <v>22.09</v>
      </c>
      <c r="C323">
        <f t="shared" si="28"/>
        <v>2.268602540834878E-3</v>
      </c>
      <c r="D323">
        <f t="shared" ref="D323:D386" si="29">(C323-avg)/sd</f>
        <v>0.20666016024122374</v>
      </c>
    </row>
    <row r="324" spans="1:4">
      <c r="A324" s="1">
        <v>18736</v>
      </c>
      <c r="B324">
        <v>22.13</v>
      </c>
      <c r="C324">
        <f t="shared" ref="C324:C387" si="30">(B324-B323)/B323</f>
        <v>1.8107741059302466E-3</v>
      </c>
      <c r="D324">
        <f t="shared" si="29"/>
        <v>0.15831363313874106</v>
      </c>
    </row>
    <row r="325" spans="1:4">
      <c r="A325" s="1">
        <v>18737</v>
      </c>
      <c r="B325">
        <v>22.04</v>
      </c>
      <c r="C325">
        <f t="shared" si="30"/>
        <v>-4.0668775417984577E-3</v>
      </c>
      <c r="D325">
        <f t="shared" si="29"/>
        <v>-0.46236438295054161</v>
      </c>
    </row>
    <row r="326" spans="1:4">
      <c r="A326" s="1">
        <v>18738</v>
      </c>
      <c r="B326">
        <v>22.04</v>
      </c>
      <c r="C326">
        <f t="shared" si="30"/>
        <v>0</v>
      </c>
      <c r="D326">
        <f t="shared" si="29"/>
        <v>-3.29034969354682E-2</v>
      </c>
    </row>
    <row r="327" spans="1:4">
      <c r="A327" s="1">
        <v>18741</v>
      </c>
      <c r="B327">
        <v>22.05</v>
      </c>
      <c r="C327">
        <f t="shared" si="30"/>
        <v>4.5372050816704009E-4</v>
      </c>
      <c r="D327">
        <f t="shared" si="29"/>
        <v>1.5009234499877001E-2</v>
      </c>
    </row>
    <row r="328" spans="1:4">
      <c r="A328" s="1">
        <v>18742</v>
      </c>
      <c r="B328">
        <v>21.96</v>
      </c>
      <c r="C328">
        <f t="shared" si="30"/>
        <v>-4.0816326530612179E-3</v>
      </c>
      <c r="D328">
        <f t="shared" si="29"/>
        <v>-0.46392251768438308</v>
      </c>
    </row>
    <row r="329" spans="1:4">
      <c r="A329" s="1">
        <v>18743</v>
      </c>
      <c r="B329">
        <v>21.97</v>
      </c>
      <c r="C329">
        <f t="shared" si="30"/>
        <v>4.5537340619298768E-4</v>
      </c>
      <c r="D329">
        <f t="shared" si="29"/>
        <v>1.518377996956973E-2</v>
      </c>
    </row>
    <row r="330" spans="1:4">
      <c r="A330" s="1">
        <v>18744</v>
      </c>
      <c r="B330">
        <v>22.16</v>
      </c>
      <c r="C330">
        <f t="shared" si="30"/>
        <v>8.6481565771507184E-3</v>
      </c>
      <c r="D330">
        <f t="shared" si="29"/>
        <v>0.88033889796039688</v>
      </c>
    </row>
    <row r="331" spans="1:4">
      <c r="A331" s="1">
        <v>18745</v>
      </c>
      <c r="B331">
        <v>22.39</v>
      </c>
      <c r="C331">
        <f t="shared" si="30"/>
        <v>1.0379061371841174E-2</v>
      </c>
      <c r="D331">
        <f t="shared" si="29"/>
        <v>1.0631218559165823</v>
      </c>
    </row>
    <row r="332" spans="1:4">
      <c r="A332" s="1">
        <v>18748</v>
      </c>
      <c r="B332">
        <v>22.43</v>
      </c>
      <c r="C332">
        <f t="shared" si="30"/>
        <v>1.7865118356408731E-3</v>
      </c>
      <c r="D332">
        <f t="shared" si="29"/>
        <v>0.1557515456433296</v>
      </c>
    </row>
    <row r="333" spans="1:4">
      <c r="A333" s="1">
        <v>18749</v>
      </c>
      <c r="B333">
        <v>22.53</v>
      </c>
      <c r="C333">
        <f t="shared" si="30"/>
        <v>4.4583147570219092E-3</v>
      </c>
      <c r="D333">
        <f t="shared" si="29"/>
        <v>0.43789302595122731</v>
      </c>
    </row>
    <row r="334" spans="1:4">
      <c r="A334" s="1">
        <v>18750</v>
      </c>
      <c r="B334">
        <v>22.62</v>
      </c>
      <c r="C334">
        <f t="shared" si="30"/>
        <v>3.9946737683089146E-3</v>
      </c>
      <c r="D334">
        <f t="shared" si="29"/>
        <v>0.3889326951423645</v>
      </c>
    </row>
    <row r="335" spans="1:4">
      <c r="A335" s="1">
        <v>18751</v>
      </c>
      <c r="B335">
        <v>22.81</v>
      </c>
      <c r="C335">
        <f t="shared" si="30"/>
        <v>8.3996463306807122E-3</v>
      </c>
      <c r="D335">
        <f t="shared" si="29"/>
        <v>0.85409630040590123</v>
      </c>
    </row>
    <row r="336" spans="1:4">
      <c r="A336" s="1">
        <v>18752</v>
      </c>
      <c r="B336">
        <v>22.77</v>
      </c>
      <c r="C336">
        <f t="shared" si="30"/>
        <v>-1.7536168347215761E-3</v>
      </c>
      <c r="D336">
        <f t="shared" si="29"/>
        <v>-0.21808483859874231</v>
      </c>
    </row>
    <row r="337" spans="1:4">
      <c r="A337" s="1">
        <v>18755</v>
      </c>
      <c r="B337">
        <v>22.63</v>
      </c>
      <c r="C337">
        <f t="shared" si="30"/>
        <v>-6.1484409310496521E-3</v>
      </c>
      <c r="D337">
        <f t="shared" si="29"/>
        <v>-0.68217676929769322</v>
      </c>
    </row>
    <row r="338" spans="1:4">
      <c r="A338" s="1">
        <v>18756</v>
      </c>
      <c r="B338">
        <v>22.61</v>
      </c>
      <c r="C338">
        <f t="shared" si="30"/>
        <v>-8.8378258948296835E-4</v>
      </c>
      <c r="D338">
        <f t="shared" si="29"/>
        <v>-0.1262306379725712</v>
      </c>
    </row>
    <row r="339" spans="1:4">
      <c r="A339" s="1">
        <v>18757</v>
      </c>
      <c r="B339">
        <v>22.64</v>
      </c>
      <c r="C339">
        <f t="shared" si="30"/>
        <v>1.3268465280849686E-3</v>
      </c>
      <c r="D339">
        <f t="shared" si="29"/>
        <v>0.1072110454132558</v>
      </c>
    </row>
    <row r="340" spans="1:4">
      <c r="A340" s="1">
        <v>18758</v>
      </c>
      <c r="B340">
        <v>22.51</v>
      </c>
      <c r="C340">
        <f t="shared" si="30"/>
        <v>-5.7420494699646201E-3</v>
      </c>
      <c r="D340">
        <f t="shared" si="29"/>
        <v>-0.6392619691462833</v>
      </c>
    </row>
    <row r="341" spans="1:4">
      <c r="A341" s="1">
        <v>18759</v>
      </c>
      <c r="B341">
        <v>22.33</v>
      </c>
      <c r="C341">
        <f t="shared" si="30"/>
        <v>-7.9964460239894831E-3</v>
      </c>
      <c r="D341">
        <f t="shared" si="29"/>
        <v>-0.87732547894468715</v>
      </c>
    </row>
    <row r="342" spans="1:4">
      <c r="A342" s="1">
        <v>18762</v>
      </c>
      <c r="B342">
        <v>22.18</v>
      </c>
      <c r="C342">
        <f t="shared" si="30"/>
        <v>-6.7174205105238957E-3</v>
      </c>
      <c r="D342">
        <f t="shared" si="29"/>
        <v>-0.7422608194846172</v>
      </c>
    </row>
    <row r="343" spans="1:4">
      <c r="A343" s="1">
        <v>18763</v>
      </c>
      <c r="B343">
        <v>21.76</v>
      </c>
      <c r="C343">
        <f t="shared" si="30"/>
        <v>-1.8935978358881791E-2</v>
      </c>
      <c r="D343">
        <f t="shared" si="29"/>
        <v>-2.0325363749816003</v>
      </c>
    </row>
    <row r="344" spans="1:4">
      <c r="A344" s="1">
        <v>18764</v>
      </c>
      <c r="B344">
        <v>21.69</v>
      </c>
      <c r="C344">
        <f t="shared" si="30"/>
        <v>-3.2169117647058952E-3</v>
      </c>
      <c r="D344">
        <f t="shared" si="29"/>
        <v>-0.37260828580697236</v>
      </c>
    </row>
    <row r="345" spans="1:4">
      <c r="A345" s="1">
        <v>18765</v>
      </c>
      <c r="B345">
        <v>21.91</v>
      </c>
      <c r="C345">
        <f t="shared" si="30"/>
        <v>1.0142923005993492E-2</v>
      </c>
      <c r="D345">
        <f t="shared" si="29"/>
        <v>1.0381857247503974</v>
      </c>
    </row>
    <row r="346" spans="1:4">
      <c r="A346" s="1">
        <v>18766</v>
      </c>
      <c r="B346">
        <v>21.51</v>
      </c>
      <c r="C346">
        <f t="shared" si="30"/>
        <v>-1.8256503879507009E-2</v>
      </c>
      <c r="D346">
        <f t="shared" si="29"/>
        <v>-1.9607841009242211</v>
      </c>
    </row>
    <row r="347" spans="1:4">
      <c r="A347" s="1">
        <v>18769</v>
      </c>
      <c r="B347">
        <v>21.46</v>
      </c>
      <c r="C347">
        <f t="shared" si="30"/>
        <v>-2.3245002324500559E-3</v>
      </c>
      <c r="D347">
        <f t="shared" si="29"/>
        <v>-0.27836993134617433</v>
      </c>
    </row>
    <row r="348" spans="1:4">
      <c r="A348" s="1">
        <v>18770</v>
      </c>
      <c r="B348">
        <v>21.36</v>
      </c>
      <c r="C348">
        <f t="shared" si="30"/>
        <v>-4.659832246039209E-3</v>
      </c>
      <c r="D348">
        <f t="shared" si="29"/>
        <v>-0.52498019816326791</v>
      </c>
    </row>
    <row r="349" spans="1:4">
      <c r="A349" s="1">
        <v>18771</v>
      </c>
      <c r="B349">
        <v>21.16</v>
      </c>
      <c r="C349">
        <f t="shared" si="30"/>
        <v>-9.3632958801497801E-3</v>
      </c>
      <c r="D349">
        <f t="shared" si="29"/>
        <v>-1.021664359140374</v>
      </c>
    </row>
    <row r="350" spans="1:4">
      <c r="A350" s="1">
        <v>18772</v>
      </c>
      <c r="B350">
        <v>21.05</v>
      </c>
      <c r="C350">
        <f t="shared" si="30"/>
        <v>-5.1984877126653797E-3</v>
      </c>
      <c r="D350">
        <f t="shared" si="29"/>
        <v>-0.58186203234110212</v>
      </c>
    </row>
    <row r="351" spans="1:4">
      <c r="A351" s="1">
        <v>18773</v>
      </c>
      <c r="B351">
        <v>21.03</v>
      </c>
      <c r="C351">
        <f t="shared" si="30"/>
        <v>-9.5011876484558542E-4</v>
      </c>
      <c r="D351">
        <f t="shared" si="29"/>
        <v>-0.13323571554210198</v>
      </c>
    </row>
    <row r="352" spans="1:4">
      <c r="A352" s="1">
        <v>18776</v>
      </c>
      <c r="B352">
        <v>21.21</v>
      </c>
      <c r="C352">
        <f t="shared" si="30"/>
        <v>8.5592011412268052E-3</v>
      </c>
      <c r="D352">
        <f t="shared" si="29"/>
        <v>0.8709452341642534</v>
      </c>
    </row>
    <row r="353" spans="1:4">
      <c r="A353" s="1">
        <v>18777</v>
      </c>
      <c r="B353">
        <v>21.35</v>
      </c>
      <c r="C353">
        <f t="shared" si="30"/>
        <v>6.6006600660066276E-3</v>
      </c>
      <c r="D353">
        <f t="shared" si="29"/>
        <v>0.66412396236146076</v>
      </c>
    </row>
    <row r="354" spans="1:4">
      <c r="A354" s="1">
        <v>18779</v>
      </c>
      <c r="B354">
        <v>21.52</v>
      </c>
      <c r="C354">
        <f t="shared" si="30"/>
        <v>7.9625292740045962E-3</v>
      </c>
      <c r="D354">
        <f t="shared" si="29"/>
        <v>0.80793688780421025</v>
      </c>
    </row>
    <row r="355" spans="1:4">
      <c r="A355" s="1">
        <v>18780</v>
      </c>
      <c r="B355">
        <v>21.48</v>
      </c>
      <c r="C355">
        <f t="shared" si="30"/>
        <v>-1.8587360594795144E-3</v>
      </c>
      <c r="D355">
        <f t="shared" si="29"/>
        <v>-0.22918539300141996</v>
      </c>
    </row>
    <row r="356" spans="1:4">
      <c r="A356" s="1">
        <v>18783</v>
      </c>
      <c r="B356">
        <v>21.24</v>
      </c>
      <c r="C356">
        <f t="shared" si="30"/>
        <v>-1.1173184357541992E-2</v>
      </c>
      <c r="D356">
        <f t="shared" si="29"/>
        <v>-1.2127879671420065</v>
      </c>
    </row>
    <row r="357" spans="1:4">
      <c r="A357" s="1">
        <v>18784</v>
      </c>
      <c r="B357">
        <v>21.33</v>
      </c>
      <c r="C357">
        <f t="shared" si="30"/>
        <v>4.2372881355932143E-3</v>
      </c>
      <c r="D357">
        <f t="shared" si="29"/>
        <v>0.41455268985895616</v>
      </c>
    </row>
    <row r="358" spans="1:4">
      <c r="A358" s="1">
        <v>18785</v>
      </c>
      <c r="B358">
        <v>21.48</v>
      </c>
      <c r="C358">
        <f t="shared" si="30"/>
        <v>7.0323488045008035E-3</v>
      </c>
      <c r="D358">
        <f t="shared" si="29"/>
        <v>0.70971014640831387</v>
      </c>
    </row>
    <row r="359" spans="1:4">
      <c r="A359" s="1">
        <v>18786</v>
      </c>
      <c r="B359">
        <v>21.56</v>
      </c>
      <c r="C359">
        <f t="shared" si="30"/>
        <v>3.7243947858472204E-3</v>
      </c>
      <c r="D359">
        <f t="shared" si="29"/>
        <v>0.36039132646669964</v>
      </c>
    </row>
    <row r="360" spans="1:4">
      <c r="A360" s="1">
        <v>18787</v>
      </c>
      <c r="B360">
        <v>21.49</v>
      </c>
      <c r="C360">
        <f t="shared" si="30"/>
        <v>-3.24675324675326E-3</v>
      </c>
      <c r="D360">
        <f t="shared" si="29"/>
        <v>-0.37575953616756147</v>
      </c>
    </row>
    <row r="361" spans="1:4">
      <c r="A361" s="1">
        <v>18790</v>
      </c>
      <c r="B361">
        <v>21.61</v>
      </c>
      <c r="C361">
        <f t="shared" si="30"/>
        <v>5.5839925546766409E-3</v>
      </c>
      <c r="D361">
        <f t="shared" si="29"/>
        <v>0.55676421874709214</v>
      </c>
    </row>
    <row r="362" spans="1:4">
      <c r="A362" s="1">
        <v>18791</v>
      </c>
      <c r="B362">
        <v>21.52</v>
      </c>
      <c r="C362">
        <f t="shared" si="30"/>
        <v>-4.1647385469689895E-3</v>
      </c>
      <c r="D362">
        <f t="shared" si="29"/>
        <v>-0.47269847183197788</v>
      </c>
    </row>
    <row r="363" spans="1:4">
      <c r="A363" s="1">
        <v>18792</v>
      </c>
      <c r="B363">
        <v>21.55</v>
      </c>
      <c r="C363">
        <f t="shared" si="30"/>
        <v>1.3940520446097183E-3</v>
      </c>
      <c r="D363">
        <f t="shared" si="29"/>
        <v>0.11430792511400435</v>
      </c>
    </row>
    <row r="364" spans="1:4">
      <c r="A364" s="1">
        <v>18793</v>
      </c>
      <c r="B364">
        <v>21.84</v>
      </c>
      <c r="C364">
        <f t="shared" si="30"/>
        <v>1.3457076566125249E-2</v>
      </c>
      <c r="D364">
        <f t="shared" si="29"/>
        <v>1.3881592141647805</v>
      </c>
    </row>
    <row r="365" spans="1:4">
      <c r="A365" s="1">
        <v>18794</v>
      </c>
      <c r="B365">
        <v>22.04</v>
      </c>
      <c r="C365">
        <f t="shared" si="30"/>
        <v>9.157509157509125E-3</v>
      </c>
      <c r="D365">
        <f t="shared" si="29"/>
        <v>0.93412635730889015</v>
      </c>
    </row>
    <row r="366" spans="1:4">
      <c r="A366" s="1">
        <v>18797</v>
      </c>
      <c r="B366">
        <v>22.05</v>
      </c>
      <c r="C366">
        <f t="shared" si="30"/>
        <v>4.5372050816704009E-4</v>
      </c>
      <c r="D366">
        <f t="shared" si="29"/>
        <v>1.5009234499877001E-2</v>
      </c>
    </row>
    <row r="367" spans="1:4">
      <c r="A367" s="1">
        <v>18798</v>
      </c>
      <c r="B367">
        <v>22.02</v>
      </c>
      <c r="C367">
        <f t="shared" si="30"/>
        <v>-1.3605442176871263E-3</v>
      </c>
      <c r="D367">
        <f t="shared" si="29"/>
        <v>-0.17657650385177881</v>
      </c>
    </row>
    <row r="368" spans="1:4">
      <c r="A368" s="1">
        <v>18799</v>
      </c>
      <c r="B368">
        <v>21.91</v>
      </c>
      <c r="C368">
        <f t="shared" si="30"/>
        <v>-4.9954586739327624E-3</v>
      </c>
      <c r="D368">
        <f t="shared" si="29"/>
        <v>-0.56042223486386122</v>
      </c>
    </row>
    <row r="369" spans="1:4">
      <c r="A369" s="1">
        <v>18800</v>
      </c>
      <c r="B369">
        <v>21.78</v>
      </c>
      <c r="C369">
        <f t="shared" si="30"/>
        <v>-5.9333637608397537E-3</v>
      </c>
      <c r="D369">
        <f t="shared" si="29"/>
        <v>-0.65946469323181034</v>
      </c>
    </row>
    <row r="370" spans="1:4">
      <c r="A370" s="1">
        <v>18801</v>
      </c>
      <c r="B370">
        <v>21.55</v>
      </c>
      <c r="C370">
        <f t="shared" si="30"/>
        <v>-1.0560146923783306E-2</v>
      </c>
      <c r="D370">
        <f t="shared" si="29"/>
        <v>-1.1480514225186378</v>
      </c>
    </row>
    <row r="371" spans="1:4">
      <c r="A371" s="1">
        <v>18804</v>
      </c>
      <c r="B371">
        <v>21.29</v>
      </c>
      <c r="C371">
        <f t="shared" si="30"/>
        <v>-1.206496519721585E-2</v>
      </c>
      <c r="D371">
        <f t="shared" si="29"/>
        <v>-1.3069597206805301</v>
      </c>
    </row>
    <row r="372" spans="1:4">
      <c r="A372" s="1">
        <v>18805</v>
      </c>
      <c r="B372">
        <v>21.3</v>
      </c>
      <c r="C372">
        <f t="shared" si="30"/>
        <v>4.6970408642562532E-4</v>
      </c>
      <c r="D372">
        <f t="shared" si="29"/>
        <v>1.6697094930901372E-2</v>
      </c>
    </row>
    <row r="373" spans="1:4">
      <c r="A373" s="1">
        <v>18806</v>
      </c>
      <c r="B373">
        <v>21.37</v>
      </c>
      <c r="C373">
        <f t="shared" si="30"/>
        <v>3.2863849765258349E-3</v>
      </c>
      <c r="D373">
        <f t="shared" si="29"/>
        <v>0.31413763948912954</v>
      </c>
    </row>
    <row r="374" spans="1:4">
      <c r="A374" s="1">
        <v>18807</v>
      </c>
      <c r="B374">
        <v>21.1</v>
      </c>
      <c r="C374">
        <f t="shared" si="30"/>
        <v>-1.2634534394010273E-2</v>
      </c>
      <c r="D374">
        <f t="shared" si="29"/>
        <v>-1.3671060342560444</v>
      </c>
    </row>
    <row r="375" spans="1:4">
      <c r="A375" s="1">
        <v>18808</v>
      </c>
      <c r="B375">
        <v>20.96</v>
      </c>
      <c r="C375">
        <f t="shared" si="30"/>
        <v>-6.6350710900474202E-3</v>
      </c>
      <c r="D375">
        <f t="shared" si="29"/>
        <v>-0.73356474867422949</v>
      </c>
    </row>
    <row r="376" spans="1:4">
      <c r="A376" s="1">
        <v>18811</v>
      </c>
      <c r="B376">
        <v>21.1</v>
      </c>
      <c r="C376">
        <f t="shared" si="30"/>
        <v>6.679389312977126E-3</v>
      </c>
      <c r="D376">
        <f t="shared" si="29"/>
        <v>0.67243774408017409</v>
      </c>
    </row>
    <row r="377" spans="1:4">
      <c r="A377" s="1">
        <v>18812</v>
      </c>
      <c r="B377">
        <v>21.23</v>
      </c>
      <c r="C377">
        <f t="shared" si="30"/>
        <v>6.1611374407582464E-3</v>
      </c>
      <c r="D377">
        <f t="shared" si="29"/>
        <v>0.61771052253623104</v>
      </c>
    </row>
    <row r="378" spans="1:4">
      <c r="A378" s="1">
        <v>18814</v>
      </c>
      <c r="B378">
        <v>21.64</v>
      </c>
      <c r="C378">
        <f t="shared" si="30"/>
        <v>1.9312293923692894E-2</v>
      </c>
      <c r="D378">
        <f t="shared" si="29"/>
        <v>2.0064681768388408</v>
      </c>
    </row>
    <row r="379" spans="1:4">
      <c r="A379" s="1">
        <v>18815</v>
      </c>
      <c r="B379">
        <v>21.64</v>
      </c>
      <c r="C379">
        <f t="shared" si="30"/>
        <v>0</v>
      </c>
      <c r="D379">
        <f t="shared" si="29"/>
        <v>-3.29034969354682E-2</v>
      </c>
    </row>
    <row r="380" spans="1:4">
      <c r="A380" s="1">
        <v>18818</v>
      </c>
      <c r="B380">
        <v>21.73</v>
      </c>
      <c r="C380">
        <f t="shared" si="30"/>
        <v>4.1589648798521194E-3</v>
      </c>
      <c r="D380">
        <f t="shared" si="29"/>
        <v>0.40628178067606474</v>
      </c>
    </row>
    <row r="381" spans="1:4">
      <c r="A381" s="1">
        <v>18819</v>
      </c>
      <c r="B381">
        <v>21.63</v>
      </c>
      <c r="C381">
        <f t="shared" si="30"/>
        <v>-4.6019328117810135E-3</v>
      </c>
      <c r="D381">
        <f t="shared" si="29"/>
        <v>-0.51886603758657646</v>
      </c>
    </row>
    <row r="382" spans="1:4">
      <c r="A382" s="1">
        <v>18820</v>
      </c>
      <c r="B382">
        <v>21.68</v>
      </c>
      <c r="C382">
        <f t="shared" si="30"/>
        <v>2.3116042533518591E-3</v>
      </c>
      <c r="D382">
        <f t="shared" si="29"/>
        <v>0.21120112646602468</v>
      </c>
    </row>
    <row r="383" spans="1:4">
      <c r="A383" s="1">
        <v>18821</v>
      </c>
      <c r="B383">
        <v>21.8</v>
      </c>
      <c r="C383">
        <f t="shared" si="30"/>
        <v>5.5350553505535511E-3</v>
      </c>
      <c r="D383">
        <f t="shared" si="29"/>
        <v>0.55159646662625783</v>
      </c>
    </row>
    <row r="384" spans="1:4">
      <c r="A384" s="1">
        <v>18822</v>
      </c>
      <c r="B384">
        <v>21.98</v>
      </c>
      <c r="C384">
        <f t="shared" si="30"/>
        <v>8.2568807339449407E-3</v>
      </c>
      <c r="D384">
        <f t="shared" si="29"/>
        <v>0.83902030191898802</v>
      </c>
    </row>
    <row r="385" spans="1:4">
      <c r="A385" s="1">
        <v>18825</v>
      </c>
      <c r="B385">
        <v>21.73</v>
      </c>
      <c r="C385">
        <f t="shared" si="30"/>
        <v>-1.1373976342129208E-2</v>
      </c>
      <c r="D385">
        <f t="shared" si="29"/>
        <v>-1.2339915324619046</v>
      </c>
    </row>
    <row r="386" spans="1:4">
      <c r="A386" s="1">
        <v>18826</v>
      </c>
      <c r="B386">
        <v>21.92</v>
      </c>
      <c r="C386">
        <f t="shared" si="30"/>
        <v>8.7436723423838601E-3</v>
      </c>
      <c r="D386">
        <f t="shared" si="29"/>
        <v>0.89042533030163051</v>
      </c>
    </row>
    <row r="387" spans="1:4">
      <c r="A387" s="1">
        <v>18827</v>
      </c>
      <c r="B387">
        <v>21.88</v>
      </c>
      <c r="C387">
        <f t="shared" si="30"/>
        <v>-1.8248175182482983E-3</v>
      </c>
      <c r="D387">
        <f t="shared" ref="D387:D450" si="31">(C387-avg)/sd</f>
        <v>-0.22560360657687592</v>
      </c>
    </row>
    <row r="388" spans="1:4">
      <c r="A388" s="1">
        <v>18828</v>
      </c>
      <c r="B388">
        <v>21.84</v>
      </c>
      <c r="C388">
        <f t="shared" ref="C388:C451" si="32">(B388-B387)/B387</f>
        <v>-1.8281535648994127E-3</v>
      </c>
      <c r="D388">
        <f t="shared" si="31"/>
        <v>-0.22595589196925625</v>
      </c>
    </row>
    <row r="389" spans="1:4">
      <c r="A389" s="1">
        <v>18829</v>
      </c>
      <c r="B389">
        <v>21.88</v>
      </c>
      <c r="C389">
        <f t="shared" si="32"/>
        <v>1.8315018315017925E-3</v>
      </c>
      <c r="D389">
        <f t="shared" si="31"/>
        <v>0.16050247391340006</v>
      </c>
    </row>
    <row r="390" spans="1:4">
      <c r="A390" s="1">
        <v>18832</v>
      </c>
      <c r="B390">
        <v>22.1</v>
      </c>
      <c r="C390">
        <f t="shared" si="32"/>
        <v>1.0054844606947094E-2</v>
      </c>
      <c r="D390">
        <f t="shared" si="31"/>
        <v>1.0288846757504002</v>
      </c>
    </row>
    <row r="391" spans="1:4">
      <c r="A391" s="1">
        <v>18833</v>
      </c>
      <c r="B391">
        <v>22.44</v>
      </c>
      <c r="C391">
        <f t="shared" si="32"/>
        <v>1.5384615384615377E-2</v>
      </c>
      <c r="D391">
        <f t="shared" si="31"/>
        <v>1.5917066581950587</v>
      </c>
    </row>
    <row r="392" spans="1:4">
      <c r="A392" s="1">
        <v>18834</v>
      </c>
      <c r="B392">
        <v>22.32</v>
      </c>
      <c r="C392">
        <f t="shared" si="32"/>
        <v>-5.3475935828877445E-3</v>
      </c>
      <c r="D392">
        <f t="shared" si="31"/>
        <v>-0.59760756155303596</v>
      </c>
    </row>
    <row r="393" spans="1:4">
      <c r="A393" s="1">
        <v>18835</v>
      </c>
      <c r="B393">
        <v>22.47</v>
      </c>
      <c r="C393">
        <f t="shared" si="32"/>
        <v>6.7204301075268176E-3</v>
      </c>
      <c r="D393">
        <f t="shared" si="31"/>
        <v>0.67677163803417761</v>
      </c>
    </row>
    <row r="394" spans="1:4">
      <c r="A394" s="1">
        <v>18836</v>
      </c>
      <c r="B394">
        <v>22.53</v>
      </c>
      <c r="C394">
        <f t="shared" si="32"/>
        <v>2.6702269692924913E-3</v>
      </c>
      <c r="D394">
        <f t="shared" si="31"/>
        <v>0.24907156336757139</v>
      </c>
    </row>
    <row r="395" spans="1:4">
      <c r="A395" s="1">
        <v>18839</v>
      </c>
      <c r="B395">
        <v>22.63</v>
      </c>
      <c r="C395">
        <f t="shared" si="32"/>
        <v>4.4385264092320397E-3</v>
      </c>
      <c r="D395">
        <f t="shared" si="31"/>
        <v>0.43580338315100331</v>
      </c>
    </row>
    <row r="396" spans="1:4">
      <c r="A396" s="1">
        <v>18840</v>
      </c>
      <c r="B396">
        <v>22.4</v>
      </c>
      <c r="C396">
        <f t="shared" si="32"/>
        <v>-1.0163499779054373E-2</v>
      </c>
      <c r="D396">
        <f t="shared" si="31"/>
        <v>-1.1061656188621778</v>
      </c>
    </row>
    <row r="397" spans="1:4">
      <c r="A397" s="1">
        <v>18841</v>
      </c>
      <c r="B397">
        <v>22.51</v>
      </c>
      <c r="C397">
        <f t="shared" si="32"/>
        <v>4.9107142857144192E-3</v>
      </c>
      <c r="D397">
        <f t="shared" si="31"/>
        <v>0.48566626240308486</v>
      </c>
    </row>
    <row r="398" spans="1:4">
      <c r="A398" s="1">
        <v>18842</v>
      </c>
      <c r="B398">
        <v>22.82</v>
      </c>
      <c r="C398">
        <f t="shared" si="32"/>
        <v>1.3771657041314913E-2</v>
      </c>
      <c r="D398">
        <f t="shared" si="31"/>
        <v>1.4213788054137098</v>
      </c>
    </row>
    <row r="399" spans="1:4">
      <c r="A399" s="1">
        <v>18843</v>
      </c>
      <c r="B399">
        <v>22.85</v>
      </c>
      <c r="C399">
        <f t="shared" si="32"/>
        <v>1.3146362839614872E-3</v>
      </c>
      <c r="D399">
        <f t="shared" si="31"/>
        <v>0.10592164778427982</v>
      </c>
    </row>
    <row r="400" spans="1:4">
      <c r="A400" s="1">
        <v>18846</v>
      </c>
      <c r="B400">
        <v>23.01</v>
      </c>
      <c r="C400">
        <f t="shared" si="32"/>
        <v>7.0021881838074453E-3</v>
      </c>
      <c r="D400">
        <f t="shared" si="31"/>
        <v>0.7065251951151883</v>
      </c>
    </row>
    <row r="401" spans="1:4">
      <c r="A401" s="1">
        <v>18847</v>
      </c>
      <c r="B401">
        <v>23.03</v>
      </c>
      <c r="C401">
        <f t="shared" si="32"/>
        <v>8.6918730986525737E-4</v>
      </c>
      <c r="D401">
        <f t="shared" si="31"/>
        <v>5.888238753518113E-2</v>
      </c>
    </row>
    <row r="402" spans="1:4">
      <c r="A402" s="1">
        <v>18848</v>
      </c>
      <c r="B402">
        <v>22.93</v>
      </c>
      <c r="C402">
        <f t="shared" si="32"/>
        <v>-4.3421623968737041E-3</v>
      </c>
      <c r="D402">
        <f t="shared" si="31"/>
        <v>-0.49143437007261886</v>
      </c>
    </row>
    <row r="403" spans="1:4">
      <c r="A403" s="1">
        <v>18849</v>
      </c>
      <c r="B403">
        <v>22.84</v>
      </c>
      <c r="C403">
        <f t="shared" si="32"/>
        <v>-3.9249890972525014E-3</v>
      </c>
      <c r="D403">
        <f t="shared" si="31"/>
        <v>-0.44738101143671433</v>
      </c>
    </row>
    <row r="404" spans="1:4">
      <c r="A404" s="1">
        <v>18850</v>
      </c>
      <c r="B404">
        <v>22.79</v>
      </c>
      <c r="C404">
        <f t="shared" si="32"/>
        <v>-2.1891418563923255E-3</v>
      </c>
      <c r="D404">
        <f t="shared" si="31"/>
        <v>-0.26407613284502557</v>
      </c>
    </row>
    <row r="405" spans="1:4">
      <c r="A405" s="1">
        <v>18853</v>
      </c>
      <c r="B405">
        <v>22.8</v>
      </c>
      <c r="C405">
        <f t="shared" si="32"/>
        <v>4.3878894251871711E-4</v>
      </c>
      <c r="D405">
        <f t="shared" si="31"/>
        <v>1.3432466242899864E-2</v>
      </c>
    </row>
    <row r="406" spans="1:4">
      <c r="A406" s="1">
        <v>18854</v>
      </c>
      <c r="B406">
        <v>22.7</v>
      </c>
      <c r="C406">
        <f t="shared" si="32"/>
        <v>-4.385964912280764E-3</v>
      </c>
      <c r="D406">
        <f t="shared" si="31"/>
        <v>-0.49605990081040596</v>
      </c>
    </row>
    <row r="407" spans="1:4">
      <c r="A407" s="1">
        <v>18855</v>
      </c>
      <c r="B407">
        <v>22.79</v>
      </c>
      <c r="C407">
        <f t="shared" si="32"/>
        <v>3.9647577092510955E-3</v>
      </c>
      <c r="D407">
        <f t="shared" si="31"/>
        <v>0.38577356947482139</v>
      </c>
    </row>
    <row r="408" spans="1:4">
      <c r="A408" s="1">
        <v>18856</v>
      </c>
      <c r="B408">
        <v>22.87</v>
      </c>
      <c r="C408">
        <f t="shared" si="32"/>
        <v>3.5103115401492694E-3</v>
      </c>
      <c r="D408">
        <f t="shared" si="31"/>
        <v>0.33778420849142693</v>
      </c>
    </row>
    <row r="409" spans="1:4">
      <c r="A409" s="1">
        <v>18857</v>
      </c>
      <c r="B409">
        <v>22.94</v>
      </c>
      <c r="C409">
        <f t="shared" si="32"/>
        <v>3.0607783121994001E-3</v>
      </c>
      <c r="D409">
        <f t="shared" si="31"/>
        <v>0.29031365242368928</v>
      </c>
    </row>
    <row r="410" spans="1:4">
      <c r="A410" s="1">
        <v>18860</v>
      </c>
      <c r="B410">
        <v>22.93</v>
      </c>
      <c r="C410">
        <f t="shared" si="32"/>
        <v>-4.3591979075856854E-4</v>
      </c>
      <c r="D410">
        <f t="shared" si="31"/>
        <v>-7.8936478663236637E-2</v>
      </c>
    </row>
    <row r="411" spans="1:4">
      <c r="A411" s="1">
        <v>18861</v>
      </c>
      <c r="B411">
        <v>22.83</v>
      </c>
      <c r="C411">
        <f t="shared" si="32"/>
        <v>-4.3610989969472928E-3</v>
      </c>
      <c r="D411">
        <f t="shared" si="31"/>
        <v>-0.49343406860352673</v>
      </c>
    </row>
    <row r="412" spans="1:4">
      <c r="A412" s="1">
        <v>18862</v>
      </c>
      <c r="B412">
        <v>22.75</v>
      </c>
      <c r="C412">
        <f t="shared" si="32"/>
        <v>-3.5041611914147308E-3</v>
      </c>
      <c r="D412">
        <f t="shared" si="31"/>
        <v>-0.40294172762660113</v>
      </c>
    </row>
    <row r="413" spans="1:4">
      <c r="A413" s="1">
        <v>18863</v>
      </c>
      <c r="B413">
        <v>22.9</v>
      </c>
      <c r="C413">
        <f t="shared" si="32"/>
        <v>6.593406593406531E-3</v>
      </c>
      <c r="D413">
        <f t="shared" si="31"/>
        <v>0.6633579981204657</v>
      </c>
    </row>
    <row r="414" spans="1:4">
      <c r="A414" s="1">
        <v>18864</v>
      </c>
      <c r="B414">
        <v>22.88</v>
      </c>
      <c r="C414">
        <f t="shared" si="32"/>
        <v>-8.7336244541482864E-4</v>
      </c>
      <c r="D414">
        <f t="shared" si="31"/>
        <v>-0.12513027430095472</v>
      </c>
    </row>
    <row r="415" spans="1:4">
      <c r="A415" s="1">
        <v>18867</v>
      </c>
      <c r="B415">
        <v>22.85</v>
      </c>
      <c r="C415">
        <f t="shared" si="32"/>
        <v>-1.3111888111887056E-3</v>
      </c>
      <c r="D415">
        <f t="shared" si="31"/>
        <v>-0.1713645897022634</v>
      </c>
    </row>
    <row r="416" spans="1:4">
      <c r="A416" s="1">
        <v>18868</v>
      </c>
      <c r="B416">
        <v>22.9</v>
      </c>
      <c r="C416">
        <f t="shared" si="32"/>
        <v>2.1881838074397004E-3</v>
      </c>
      <c r="D416">
        <f t="shared" si="31"/>
        <v>0.19816796933034864</v>
      </c>
    </row>
    <row r="417" spans="1:4">
      <c r="A417" s="1">
        <v>18869</v>
      </c>
      <c r="B417">
        <v>23.08</v>
      </c>
      <c r="C417">
        <f t="shared" si="32"/>
        <v>7.8602620087336126E-3</v>
      </c>
      <c r="D417">
        <f t="shared" si="31"/>
        <v>0.79713749935392686</v>
      </c>
    </row>
    <row r="418" spans="1:4">
      <c r="A418" s="1">
        <v>18870</v>
      </c>
      <c r="B418">
        <v>23.24</v>
      </c>
      <c r="C418">
        <f t="shared" si="32"/>
        <v>6.9324090121317223E-3</v>
      </c>
      <c r="D418">
        <f t="shared" si="31"/>
        <v>0.69915653830532487</v>
      </c>
    </row>
    <row r="419" spans="1:4">
      <c r="A419" s="1">
        <v>18871</v>
      </c>
      <c r="B419">
        <v>23.28</v>
      </c>
      <c r="C419">
        <f t="shared" si="32"/>
        <v>1.7211703958693073E-3</v>
      </c>
      <c r="D419">
        <f t="shared" si="31"/>
        <v>0.14885151181408679</v>
      </c>
    </row>
    <row r="420" spans="1:4">
      <c r="A420" s="1">
        <v>18875</v>
      </c>
      <c r="B420">
        <v>23.28</v>
      </c>
      <c r="C420">
        <f t="shared" si="32"/>
        <v>0</v>
      </c>
      <c r="D420">
        <f t="shared" si="31"/>
        <v>-3.29034969354682E-2</v>
      </c>
    </row>
    <row r="421" spans="1:4">
      <c r="A421" s="1">
        <v>18876</v>
      </c>
      <c r="B421">
        <v>23.42</v>
      </c>
      <c r="C421">
        <f t="shared" si="32"/>
        <v>6.0137457044673777E-3</v>
      </c>
      <c r="D421">
        <f t="shared" si="31"/>
        <v>0.60214600528480067</v>
      </c>
    </row>
    <row r="422" spans="1:4">
      <c r="A422" s="1">
        <v>18877</v>
      </c>
      <c r="B422">
        <v>23.47</v>
      </c>
      <c r="C422">
        <f t="shared" si="32"/>
        <v>2.1349274124678546E-3</v>
      </c>
      <c r="D422">
        <f t="shared" si="31"/>
        <v>0.19254411212404995</v>
      </c>
    </row>
    <row r="423" spans="1:4">
      <c r="A423" s="1">
        <v>18878</v>
      </c>
      <c r="B423">
        <v>23.53</v>
      </c>
      <c r="C423">
        <f t="shared" si="32"/>
        <v>2.5564550489988189E-3</v>
      </c>
      <c r="D423">
        <f t="shared" si="31"/>
        <v>0.23705728725751429</v>
      </c>
    </row>
    <row r="424" spans="1:4">
      <c r="A424" s="1">
        <v>18881</v>
      </c>
      <c r="B424">
        <v>23.62</v>
      </c>
      <c r="C424">
        <f t="shared" si="32"/>
        <v>3.824904377390559E-3</v>
      </c>
      <c r="D424">
        <f t="shared" si="31"/>
        <v>0.37100510516880603</v>
      </c>
    </row>
    <row r="425" spans="1:4">
      <c r="A425" s="1">
        <v>18882</v>
      </c>
      <c r="B425">
        <v>23.5</v>
      </c>
      <c r="C425">
        <f t="shared" si="32"/>
        <v>-5.0804403048264604E-3</v>
      </c>
      <c r="D425">
        <f t="shared" si="31"/>
        <v>-0.56939626619957584</v>
      </c>
    </row>
    <row r="426" spans="1:4">
      <c r="A426" s="1">
        <v>18883</v>
      </c>
      <c r="B426">
        <v>23.6</v>
      </c>
      <c r="C426">
        <f t="shared" si="32"/>
        <v>4.255319148936231E-3</v>
      </c>
      <c r="D426">
        <f t="shared" si="31"/>
        <v>0.4164567587389395</v>
      </c>
    </row>
    <row r="427" spans="1:4">
      <c r="A427" s="1">
        <v>18884</v>
      </c>
      <c r="B427">
        <v>23.71</v>
      </c>
      <c r="C427">
        <f t="shared" si="32"/>
        <v>4.6610169491525183E-3</v>
      </c>
      <c r="D427">
        <f t="shared" si="31"/>
        <v>0.45929830853839676</v>
      </c>
    </row>
    <row r="428" spans="1:4">
      <c r="A428" s="1">
        <v>18885</v>
      </c>
      <c r="B428">
        <v>23.69</v>
      </c>
      <c r="C428">
        <f t="shared" si="32"/>
        <v>-8.4352593842258847E-4</v>
      </c>
      <c r="D428">
        <f t="shared" si="31"/>
        <v>-0.12197954930449564</v>
      </c>
    </row>
    <row r="429" spans="1:4">
      <c r="A429" s="1">
        <v>18888</v>
      </c>
      <c r="B429">
        <v>23.62</v>
      </c>
      <c r="C429">
        <f t="shared" si="32"/>
        <v>-2.9548332629801724E-3</v>
      </c>
      <c r="D429">
        <f t="shared" si="31"/>
        <v>-0.34493288510954717</v>
      </c>
    </row>
    <row r="430" spans="1:4">
      <c r="A430" s="1">
        <v>18889</v>
      </c>
      <c r="B430">
        <v>23.59</v>
      </c>
      <c r="C430">
        <f t="shared" si="32"/>
        <v>-1.2701100762066526E-3</v>
      </c>
      <c r="D430">
        <f t="shared" si="31"/>
        <v>-0.16702668925149905</v>
      </c>
    </row>
    <row r="431" spans="1:4">
      <c r="A431" s="1">
        <v>18890</v>
      </c>
      <c r="B431">
        <v>23.59</v>
      </c>
      <c r="C431">
        <f t="shared" si="32"/>
        <v>0</v>
      </c>
      <c r="D431">
        <f t="shared" si="31"/>
        <v>-3.29034969354682E-2</v>
      </c>
    </row>
    <row r="432" spans="1:4">
      <c r="A432" s="1">
        <v>18891</v>
      </c>
      <c r="B432">
        <v>23.57</v>
      </c>
      <c r="C432">
        <f t="shared" si="32"/>
        <v>-8.4781687155572585E-4</v>
      </c>
      <c r="D432">
        <f t="shared" si="31"/>
        <v>-0.12243267038479592</v>
      </c>
    </row>
    <row r="433" spans="1:4">
      <c r="A433" s="1">
        <v>18892</v>
      </c>
      <c r="B433">
        <v>23.4</v>
      </c>
      <c r="C433">
        <f t="shared" si="32"/>
        <v>-7.2125583368689737E-3</v>
      </c>
      <c r="D433">
        <f t="shared" si="31"/>
        <v>-0.79454720564113279</v>
      </c>
    </row>
    <row r="434" spans="1:4">
      <c r="A434" s="1">
        <v>18895</v>
      </c>
      <c r="B434">
        <v>23.3</v>
      </c>
      <c r="C434">
        <f t="shared" si="32"/>
        <v>-4.2735042735041829E-3</v>
      </c>
      <c r="D434">
        <f t="shared" si="31"/>
        <v>-0.48418409558282749</v>
      </c>
    </row>
    <row r="435" spans="1:4">
      <c r="A435" s="1">
        <v>18896</v>
      </c>
      <c r="B435">
        <v>23.38</v>
      </c>
      <c r="C435">
        <f t="shared" si="32"/>
        <v>3.4334763948497119E-3</v>
      </c>
      <c r="D435">
        <f t="shared" si="31"/>
        <v>0.32967044326532852</v>
      </c>
    </row>
    <row r="436" spans="1:4">
      <c r="A436" s="1">
        <v>18897</v>
      </c>
      <c r="B436">
        <v>23.4</v>
      </c>
      <c r="C436">
        <f t="shared" si="32"/>
        <v>8.5543199315652591E-4</v>
      </c>
      <c r="D436">
        <f t="shared" si="31"/>
        <v>5.7429830766398404E-2</v>
      </c>
    </row>
    <row r="437" spans="1:4">
      <c r="A437" s="1">
        <v>18898</v>
      </c>
      <c r="B437">
        <v>23.27</v>
      </c>
      <c r="C437">
        <f t="shared" si="32"/>
        <v>-5.5555555555555133E-3</v>
      </c>
      <c r="D437">
        <f t="shared" si="31"/>
        <v>-0.61956827517704327</v>
      </c>
    </row>
    <row r="438" spans="1:4">
      <c r="A438" s="1">
        <v>18899</v>
      </c>
      <c r="B438">
        <v>23.26</v>
      </c>
      <c r="C438">
        <f t="shared" si="32"/>
        <v>-4.2973785990537219E-4</v>
      </c>
      <c r="D438">
        <f t="shared" si="31"/>
        <v>-7.82836688664795E-2</v>
      </c>
    </row>
    <row r="439" spans="1:4">
      <c r="A439" s="1">
        <v>18902</v>
      </c>
      <c r="B439">
        <v>23.47</v>
      </c>
      <c r="C439">
        <f t="shared" si="32"/>
        <v>9.0283748925192291E-3</v>
      </c>
      <c r="D439">
        <f t="shared" si="31"/>
        <v>0.92048982282082659</v>
      </c>
    </row>
    <row r="440" spans="1:4">
      <c r="A440" s="1">
        <v>18903</v>
      </c>
      <c r="B440">
        <v>23.64</v>
      </c>
      <c r="C440">
        <f t="shared" si="32"/>
        <v>7.243289305496451E-3</v>
      </c>
      <c r="D440">
        <f t="shared" si="31"/>
        <v>0.73198539161129406</v>
      </c>
    </row>
    <row r="441" spans="1:4">
      <c r="A441" s="1">
        <v>18904</v>
      </c>
      <c r="B441">
        <v>23.79</v>
      </c>
      <c r="C441">
        <f t="shared" si="32"/>
        <v>6.3451776649745594E-3</v>
      </c>
      <c r="D441">
        <f t="shared" si="31"/>
        <v>0.63714510765516186</v>
      </c>
    </row>
    <row r="442" spans="1:4">
      <c r="A442" s="1">
        <v>18905</v>
      </c>
      <c r="B442">
        <v>23.72</v>
      </c>
      <c r="C442">
        <f t="shared" si="32"/>
        <v>-2.9424127784783644E-3</v>
      </c>
      <c r="D442">
        <f t="shared" si="31"/>
        <v>-0.34362128616808407</v>
      </c>
    </row>
    <row r="443" spans="1:4">
      <c r="A443" s="1">
        <v>18906</v>
      </c>
      <c r="B443">
        <v>23.78</v>
      </c>
      <c r="C443">
        <f t="shared" si="32"/>
        <v>2.5295109612142614E-3</v>
      </c>
      <c r="D443">
        <f t="shared" si="31"/>
        <v>0.23421200074620546</v>
      </c>
    </row>
    <row r="444" spans="1:4">
      <c r="A444" s="1">
        <v>18909</v>
      </c>
      <c r="B444">
        <v>23.75</v>
      </c>
      <c r="C444">
        <f t="shared" si="32"/>
        <v>-1.2615643397813766E-3</v>
      </c>
      <c r="D444">
        <f t="shared" si="31"/>
        <v>-0.16612426238982686</v>
      </c>
    </row>
    <row r="445" spans="1:4">
      <c r="A445" s="1">
        <v>18910</v>
      </c>
      <c r="B445">
        <v>23.65</v>
      </c>
      <c r="C445">
        <f t="shared" si="32"/>
        <v>-4.2105263157895334E-3</v>
      </c>
      <c r="D445">
        <f t="shared" si="31"/>
        <v>-0.47753364465540848</v>
      </c>
    </row>
    <row r="446" spans="1:4">
      <c r="A446" s="1">
        <v>18911</v>
      </c>
      <c r="B446">
        <v>23.61</v>
      </c>
      <c r="C446">
        <f t="shared" si="32"/>
        <v>-1.6913319238900275E-3</v>
      </c>
      <c r="D446">
        <f t="shared" si="31"/>
        <v>-0.21150757318660068</v>
      </c>
    </row>
    <row r="447" spans="1:4">
      <c r="A447" s="1">
        <v>18912</v>
      </c>
      <c r="B447">
        <v>23.7</v>
      </c>
      <c r="C447">
        <f t="shared" si="32"/>
        <v>3.8119440914866523E-3</v>
      </c>
      <c r="D447">
        <f t="shared" si="31"/>
        <v>0.36963650338276871</v>
      </c>
    </row>
    <row r="448" spans="1:4">
      <c r="A448" s="1">
        <v>18916</v>
      </c>
      <c r="B448">
        <v>23.85</v>
      </c>
      <c r="C448">
        <f t="shared" si="32"/>
        <v>6.329113924050723E-3</v>
      </c>
      <c r="D448">
        <f t="shared" si="31"/>
        <v>0.63544878207393563</v>
      </c>
    </row>
    <row r="449" spans="1:4">
      <c r="A449" s="1">
        <v>18917</v>
      </c>
      <c r="B449">
        <v>23.77</v>
      </c>
      <c r="C449">
        <f t="shared" si="32"/>
        <v>-3.3542976939204129E-3</v>
      </c>
      <c r="D449">
        <f t="shared" si="31"/>
        <v>-0.38711619323227908</v>
      </c>
    </row>
    <row r="450" spans="1:4">
      <c r="A450" s="1">
        <v>18918</v>
      </c>
      <c r="B450">
        <v>23.69</v>
      </c>
      <c r="C450">
        <f t="shared" si="32"/>
        <v>-3.3655868742111187E-3</v>
      </c>
      <c r="D450">
        <f t="shared" si="31"/>
        <v>-0.38830832683359878</v>
      </c>
    </row>
    <row r="451" spans="1:4">
      <c r="A451" s="1">
        <v>18919</v>
      </c>
      <c r="B451">
        <v>23.67</v>
      </c>
      <c r="C451">
        <f t="shared" si="32"/>
        <v>-8.4423807513717066E-4</v>
      </c>
      <c r="D451">
        <f t="shared" ref="D451:D514" si="33">(C451-avg)/sd</f>
        <v>-0.12205475069948851</v>
      </c>
    </row>
    <row r="452" spans="1:4">
      <c r="A452" s="1">
        <v>18920</v>
      </c>
      <c r="B452">
        <v>23.32</v>
      </c>
      <c r="C452">
        <f t="shared" ref="C452:C515" si="34">(B452-B451)/B451</f>
        <v>-1.4786649767638421E-2</v>
      </c>
      <c r="D452">
        <f t="shared" si="33"/>
        <v>-1.5943686861716175</v>
      </c>
    </row>
    <row r="453" spans="1:4">
      <c r="A453" s="1">
        <v>18923</v>
      </c>
      <c r="B453">
        <v>22.75</v>
      </c>
      <c r="C453">
        <f t="shared" si="34"/>
        <v>-2.4442538593482003E-2</v>
      </c>
      <c r="D453">
        <f t="shared" si="33"/>
        <v>-2.6140272639846143</v>
      </c>
    </row>
    <row r="454" spans="1:4">
      <c r="A454" s="1">
        <v>18924</v>
      </c>
      <c r="B454">
        <v>22.84</v>
      </c>
      <c r="C454">
        <f t="shared" si="34"/>
        <v>3.95604395604395E-3</v>
      </c>
      <c r="D454">
        <f t="shared" si="33"/>
        <v>0.38485340009809543</v>
      </c>
    </row>
    <row r="455" spans="1:4">
      <c r="A455" s="1">
        <v>18925</v>
      </c>
      <c r="B455">
        <v>23.03</v>
      </c>
      <c r="C455">
        <f t="shared" si="34"/>
        <v>8.3187390542907736E-3</v>
      </c>
      <c r="D455">
        <f t="shared" si="33"/>
        <v>0.8455525195208432</v>
      </c>
    </row>
    <row r="456" spans="1:4">
      <c r="A456" s="1">
        <v>18926</v>
      </c>
      <c r="B456">
        <v>22.96</v>
      </c>
      <c r="C456">
        <f t="shared" si="34"/>
        <v>-3.0395136778115623E-3</v>
      </c>
      <c r="D456">
        <f t="shared" si="33"/>
        <v>-0.35387510813147038</v>
      </c>
    </row>
    <row r="457" spans="1:4">
      <c r="A457" s="1">
        <v>18927</v>
      </c>
      <c r="B457">
        <v>22.81</v>
      </c>
      <c r="C457">
        <f t="shared" si="34"/>
        <v>-6.5331010452962602E-3</v>
      </c>
      <c r="D457">
        <f t="shared" si="33"/>
        <v>-0.7227967466098093</v>
      </c>
    </row>
    <row r="458" spans="1:4">
      <c r="A458" s="1">
        <v>18930</v>
      </c>
      <c r="B458">
        <v>22.69</v>
      </c>
      <c r="C458">
        <f t="shared" si="34"/>
        <v>-5.2608505041647283E-3</v>
      </c>
      <c r="D458">
        <f t="shared" si="33"/>
        <v>-0.5884475219252906</v>
      </c>
    </row>
    <row r="459" spans="1:4">
      <c r="A459" s="1">
        <v>18931</v>
      </c>
      <c r="B459">
        <v>22.66</v>
      </c>
      <c r="C459">
        <f t="shared" si="34"/>
        <v>-1.3221683561040606E-3</v>
      </c>
      <c r="D459">
        <f t="shared" si="33"/>
        <v>-0.17252402591319624</v>
      </c>
    </row>
    <row r="460" spans="1:4">
      <c r="A460" s="1">
        <v>18932</v>
      </c>
      <c r="B460">
        <v>22.94</v>
      </c>
      <c r="C460">
        <f t="shared" si="34"/>
        <v>1.2356575463371629E-2</v>
      </c>
      <c r="D460">
        <f t="shared" si="33"/>
        <v>1.2719466717924985</v>
      </c>
    </row>
    <row r="461" spans="1:4">
      <c r="A461" s="1">
        <v>18933</v>
      </c>
      <c r="B461">
        <v>23.1</v>
      </c>
      <c r="C461">
        <f t="shared" si="34"/>
        <v>6.9747166521360125E-3</v>
      </c>
      <c r="D461">
        <f t="shared" si="33"/>
        <v>0.70362421070871228</v>
      </c>
    </row>
    <row r="462" spans="1:4">
      <c r="A462" s="1">
        <v>18934</v>
      </c>
      <c r="B462">
        <v>22.93</v>
      </c>
      <c r="C462">
        <f t="shared" si="34"/>
        <v>-7.3593073593074326E-3</v>
      </c>
      <c r="D462">
        <f t="shared" si="33"/>
        <v>-0.81004385252821764</v>
      </c>
    </row>
    <row r="463" spans="1:4">
      <c r="A463" s="1">
        <v>18937</v>
      </c>
      <c r="B463">
        <v>22.82</v>
      </c>
      <c r="C463">
        <f t="shared" si="34"/>
        <v>-4.797208896641929E-3</v>
      </c>
      <c r="D463">
        <f t="shared" si="33"/>
        <v>-0.53948712577032276</v>
      </c>
    </row>
    <row r="464" spans="1:4">
      <c r="A464" s="1">
        <v>18939</v>
      </c>
      <c r="B464">
        <v>22.49</v>
      </c>
      <c r="C464">
        <f t="shared" si="34"/>
        <v>-1.4460999123575891E-2</v>
      </c>
      <c r="D464">
        <f t="shared" si="33"/>
        <v>-1.5599800888526467</v>
      </c>
    </row>
    <row r="465" spans="1:4">
      <c r="A465" s="1">
        <v>18940</v>
      </c>
      <c r="B465">
        <v>22.47</v>
      </c>
      <c r="C465">
        <f t="shared" si="34"/>
        <v>-8.8928412627832705E-4</v>
      </c>
      <c r="D465">
        <f t="shared" si="33"/>
        <v>-0.12681159838809788</v>
      </c>
    </row>
    <row r="466" spans="1:4">
      <c r="A466" s="1">
        <v>18941</v>
      </c>
      <c r="B466">
        <v>22.75</v>
      </c>
      <c r="C466">
        <f t="shared" si="34"/>
        <v>1.2461059190031204E-2</v>
      </c>
      <c r="D466">
        <f t="shared" si="33"/>
        <v>1.2829801178120053</v>
      </c>
    </row>
    <row r="467" spans="1:4">
      <c r="A467" s="1">
        <v>18945</v>
      </c>
      <c r="B467">
        <v>22.79</v>
      </c>
      <c r="C467">
        <f t="shared" si="34"/>
        <v>1.7582417582417207E-3</v>
      </c>
      <c r="D467">
        <f t="shared" si="33"/>
        <v>0.15276623507944531</v>
      </c>
    </row>
    <row r="468" spans="1:4">
      <c r="A468" s="1">
        <v>18946</v>
      </c>
      <c r="B468">
        <v>22.85</v>
      </c>
      <c r="C468">
        <f t="shared" si="34"/>
        <v>2.6327336551119911E-3</v>
      </c>
      <c r="D468">
        <f t="shared" si="33"/>
        <v>0.24511228213470726</v>
      </c>
    </row>
    <row r="469" spans="1:4">
      <c r="A469" s="1">
        <v>18947</v>
      </c>
      <c r="B469">
        <v>22.84</v>
      </c>
      <c r="C469">
        <f t="shared" si="34"/>
        <v>-4.3763676148803336E-4</v>
      </c>
      <c r="D469">
        <f t="shared" si="33"/>
        <v>-7.9117790188641415E-2</v>
      </c>
    </row>
    <row r="470" spans="1:4">
      <c r="A470" s="1">
        <v>18948</v>
      </c>
      <c r="B470">
        <v>22.82</v>
      </c>
      <c r="C470">
        <f t="shared" si="34"/>
        <v>-8.7565674255689905E-4</v>
      </c>
      <c r="D470">
        <f t="shared" si="33"/>
        <v>-0.12537255129928787</v>
      </c>
    </row>
    <row r="471" spans="1:4">
      <c r="A471" s="1">
        <v>18951</v>
      </c>
      <c r="B471">
        <v>22.73</v>
      </c>
      <c r="C471">
        <f t="shared" si="34"/>
        <v>-3.9439088518843056E-3</v>
      </c>
      <c r="D471">
        <f t="shared" si="33"/>
        <v>-0.44937893109469579</v>
      </c>
    </row>
    <row r="472" spans="1:4">
      <c r="A472" s="1">
        <v>18952</v>
      </c>
      <c r="B472">
        <v>22.68</v>
      </c>
      <c r="C472">
        <f t="shared" si="34"/>
        <v>-2.1997360316762301E-3</v>
      </c>
      <c r="D472">
        <f t="shared" si="33"/>
        <v>-0.26519487415387077</v>
      </c>
    </row>
    <row r="473" spans="1:4">
      <c r="A473" s="1">
        <v>18953</v>
      </c>
      <c r="B473">
        <v>22.64</v>
      </c>
      <c r="C473">
        <f t="shared" si="34"/>
        <v>-1.7636684303350594E-3</v>
      </c>
      <c r="D473">
        <f t="shared" si="33"/>
        <v>-0.2191462836788228</v>
      </c>
    </row>
    <row r="474" spans="1:4">
      <c r="A474" s="1">
        <v>18955</v>
      </c>
      <c r="B474">
        <v>22.4</v>
      </c>
      <c r="C474">
        <f t="shared" si="34"/>
        <v>-1.0600706713781006E-2</v>
      </c>
      <c r="D474">
        <f t="shared" si="33"/>
        <v>-1.1523345225554524</v>
      </c>
    </row>
    <row r="475" spans="1:4">
      <c r="A475" s="1">
        <v>18958</v>
      </c>
      <c r="B475">
        <v>22.43</v>
      </c>
      <c r="C475">
        <f t="shared" si="34"/>
        <v>1.339285714285765E-3</v>
      </c>
      <c r="D475">
        <f t="shared" si="33"/>
        <v>0.10852461924777508</v>
      </c>
    </row>
    <row r="476" spans="1:4">
      <c r="A476" s="1">
        <v>18959</v>
      </c>
      <c r="B476">
        <v>22.66</v>
      </c>
      <c r="C476">
        <f t="shared" si="34"/>
        <v>1.0254123941150264E-2</v>
      </c>
      <c r="D476">
        <f t="shared" si="33"/>
        <v>1.0499285057039183</v>
      </c>
    </row>
    <row r="477" spans="1:4">
      <c r="A477" s="1">
        <v>18960</v>
      </c>
      <c r="B477">
        <v>22.61</v>
      </c>
      <c r="C477">
        <f t="shared" si="34"/>
        <v>-2.2065313327449564E-3</v>
      </c>
      <c r="D477">
        <f t="shared" si="33"/>
        <v>-0.2659124556368932</v>
      </c>
    </row>
    <row r="478" spans="1:4">
      <c r="A478" s="1">
        <v>18961</v>
      </c>
      <c r="B478">
        <v>22.67</v>
      </c>
      <c r="C478">
        <f t="shared" si="34"/>
        <v>2.6536930561699371E-3</v>
      </c>
      <c r="D478">
        <f t="shared" si="33"/>
        <v>0.2473255877619798</v>
      </c>
    </row>
    <row r="479" spans="1:4">
      <c r="A479" s="1">
        <v>18962</v>
      </c>
      <c r="B479">
        <v>22.88</v>
      </c>
      <c r="C479">
        <f t="shared" si="34"/>
        <v>9.2633436259372415E-3</v>
      </c>
      <c r="D479">
        <f t="shared" si="33"/>
        <v>0.94530244120001561</v>
      </c>
    </row>
    <row r="480" spans="1:4">
      <c r="A480" s="1">
        <v>18965</v>
      </c>
      <c r="B480">
        <v>23.01</v>
      </c>
      <c r="C480">
        <f t="shared" si="34"/>
        <v>5.6818181818182939E-3</v>
      </c>
      <c r="D480">
        <f t="shared" si="33"/>
        <v>0.56709457172070443</v>
      </c>
    </row>
    <row r="481" spans="1:4">
      <c r="A481" s="1">
        <v>18966</v>
      </c>
      <c r="B481">
        <v>23.14</v>
      </c>
      <c r="C481">
        <f t="shared" si="34"/>
        <v>5.6497175141242504E-3</v>
      </c>
      <c r="D481">
        <f t="shared" si="33"/>
        <v>0.56370475212376059</v>
      </c>
    </row>
    <row r="482" spans="1:4">
      <c r="A482" s="1">
        <v>18967</v>
      </c>
      <c r="B482">
        <v>23.07</v>
      </c>
      <c r="C482">
        <f t="shared" si="34"/>
        <v>-3.0250648228176439E-3</v>
      </c>
      <c r="D482">
        <f t="shared" si="33"/>
        <v>-0.35234931395551705</v>
      </c>
    </row>
    <row r="483" spans="1:4">
      <c r="A483" s="1">
        <v>18968</v>
      </c>
      <c r="B483">
        <v>23.34</v>
      </c>
      <c r="C483">
        <f t="shared" si="34"/>
        <v>1.1703511053315976E-2</v>
      </c>
      <c r="D483">
        <f t="shared" si="33"/>
        <v>1.2029832920780004</v>
      </c>
    </row>
    <row r="484" spans="1:4">
      <c r="A484" s="1">
        <v>18969</v>
      </c>
      <c r="B484">
        <v>23.38</v>
      </c>
      <c r="C484">
        <f t="shared" si="34"/>
        <v>1.7137960582690294E-3</v>
      </c>
      <c r="D484">
        <f t="shared" si="33"/>
        <v>0.14807278427015658</v>
      </c>
    </row>
    <row r="485" spans="1:4">
      <c r="A485" s="1">
        <v>18972</v>
      </c>
      <c r="B485">
        <v>23.42</v>
      </c>
      <c r="C485">
        <f t="shared" si="34"/>
        <v>1.7108639863132036E-3</v>
      </c>
      <c r="D485">
        <f t="shared" si="33"/>
        <v>0.14776315846828106</v>
      </c>
    </row>
    <row r="486" spans="1:4">
      <c r="A486" s="1">
        <v>18973</v>
      </c>
      <c r="B486">
        <v>23.3</v>
      </c>
      <c r="C486">
        <f t="shared" si="34"/>
        <v>-5.1238257899231844E-3</v>
      </c>
      <c r="D486">
        <f t="shared" si="33"/>
        <v>-0.57397775867834699</v>
      </c>
    </row>
    <row r="487" spans="1:4">
      <c r="A487" s="1">
        <v>18974</v>
      </c>
      <c r="B487">
        <v>23.37</v>
      </c>
      <c r="C487">
        <f t="shared" si="34"/>
        <v>3.0042918454935745E-3</v>
      </c>
      <c r="D487">
        <f t="shared" si="33"/>
        <v>0.28434870074023705</v>
      </c>
    </row>
    <row r="488" spans="1:4">
      <c r="A488" s="1">
        <v>18975</v>
      </c>
      <c r="B488">
        <v>23.39</v>
      </c>
      <c r="C488">
        <f t="shared" si="34"/>
        <v>8.5579803166450886E-4</v>
      </c>
      <c r="D488">
        <f t="shared" si="33"/>
        <v>5.7468484308418874E-2</v>
      </c>
    </row>
    <row r="489" spans="1:4">
      <c r="A489" s="1">
        <v>18976</v>
      </c>
      <c r="B489">
        <v>23.37</v>
      </c>
      <c r="C489">
        <f t="shared" si="34"/>
        <v>-8.5506626763572351E-4</v>
      </c>
      <c r="D489">
        <f t="shared" si="33"/>
        <v>-0.12319820414665421</v>
      </c>
    </row>
    <row r="490" spans="1:4">
      <c r="A490" s="1">
        <v>18979</v>
      </c>
      <c r="B490">
        <v>23.41</v>
      </c>
      <c r="C490">
        <f t="shared" si="34"/>
        <v>1.7115960633290177E-3</v>
      </c>
      <c r="D490">
        <f t="shared" si="33"/>
        <v>0.14784046555230596</v>
      </c>
    </row>
    <row r="491" spans="1:4">
      <c r="A491" s="1">
        <v>18980</v>
      </c>
      <c r="B491">
        <v>23.49</v>
      </c>
      <c r="C491">
        <f t="shared" si="34"/>
        <v>3.4173430158051387E-3</v>
      </c>
      <c r="D491">
        <f t="shared" si="33"/>
        <v>0.32796676392222357</v>
      </c>
    </row>
    <row r="492" spans="1:4">
      <c r="A492" s="1">
        <v>18981</v>
      </c>
      <c r="B492">
        <v>23.57</v>
      </c>
      <c r="C492">
        <f t="shared" si="34"/>
        <v>3.4057045551299215E-3</v>
      </c>
      <c r="D492">
        <f t="shared" si="33"/>
        <v>0.32673774643102566</v>
      </c>
    </row>
    <row r="493" spans="1:4">
      <c r="A493" s="1">
        <v>18982</v>
      </c>
      <c r="B493">
        <v>23.57</v>
      </c>
      <c r="C493">
        <f t="shared" si="34"/>
        <v>0</v>
      </c>
      <c r="D493">
        <f t="shared" si="33"/>
        <v>-3.29034969354682E-2</v>
      </c>
    </row>
    <row r="494" spans="1:4">
      <c r="A494" s="1">
        <v>18983</v>
      </c>
      <c r="B494">
        <v>23.51</v>
      </c>
      <c r="C494">
        <f t="shared" si="34"/>
        <v>-2.5456088247772049E-3</v>
      </c>
      <c r="D494">
        <f t="shared" si="33"/>
        <v>-0.30171892353745899</v>
      </c>
    </row>
    <row r="495" spans="1:4">
      <c r="A495" s="1">
        <v>18986</v>
      </c>
      <c r="B495">
        <v>23.54</v>
      </c>
      <c r="C495">
        <f t="shared" si="34"/>
        <v>1.2760527435132958E-3</v>
      </c>
      <c r="D495">
        <f t="shared" si="33"/>
        <v>0.10184723902813343</v>
      </c>
    </row>
    <row r="496" spans="1:4">
      <c r="A496" s="1">
        <v>18988</v>
      </c>
      <c r="B496">
        <v>23.44</v>
      </c>
      <c r="C496">
        <f t="shared" si="34"/>
        <v>-4.2480883602378028E-3</v>
      </c>
      <c r="D496">
        <f t="shared" si="33"/>
        <v>-0.48150018378118647</v>
      </c>
    </row>
    <row r="497" spans="1:4">
      <c r="A497" s="1">
        <v>18989</v>
      </c>
      <c r="B497">
        <v>23.65</v>
      </c>
      <c r="C497">
        <f t="shared" si="34"/>
        <v>8.9590443686005661E-3</v>
      </c>
      <c r="D497">
        <f t="shared" si="33"/>
        <v>0.91316854306160589</v>
      </c>
    </row>
    <row r="498" spans="1:4">
      <c r="A498" s="1">
        <v>18990</v>
      </c>
      <c r="B498">
        <v>23.69</v>
      </c>
      <c r="C498">
        <f t="shared" si="34"/>
        <v>1.6913319238901776E-3</v>
      </c>
      <c r="D498">
        <f t="shared" si="33"/>
        <v>0.14570057931568012</v>
      </c>
    </row>
    <row r="499" spans="1:4">
      <c r="A499" s="1">
        <v>18993</v>
      </c>
      <c r="B499">
        <v>23.77</v>
      </c>
      <c r="C499">
        <f t="shared" si="34"/>
        <v>3.3769523005486826E-3</v>
      </c>
      <c r="D499">
        <f t="shared" si="33"/>
        <v>0.32370151812061304</v>
      </c>
    </row>
    <row r="500" spans="1:4">
      <c r="A500" s="1">
        <v>18995</v>
      </c>
      <c r="B500">
        <v>23.8</v>
      </c>
      <c r="C500">
        <f t="shared" si="34"/>
        <v>1.2620950778292443E-3</v>
      </c>
      <c r="D500">
        <f t="shared" si="33"/>
        <v>0.10037331427633868</v>
      </c>
    </row>
    <row r="501" spans="1:4">
      <c r="A501" s="1">
        <v>18996</v>
      </c>
      <c r="B501">
        <v>23.88</v>
      </c>
      <c r="C501">
        <f t="shared" si="34"/>
        <v>3.3613445378150543E-3</v>
      </c>
      <c r="D501">
        <f t="shared" si="33"/>
        <v>0.32205334368127819</v>
      </c>
    </row>
    <row r="502" spans="1:4">
      <c r="A502" s="1">
        <v>18997</v>
      </c>
      <c r="B502">
        <v>23.92</v>
      </c>
      <c r="C502">
        <f t="shared" si="34"/>
        <v>1.6750418760470144E-3</v>
      </c>
      <c r="D502">
        <f t="shared" si="33"/>
        <v>0.14398035580069837</v>
      </c>
    </row>
    <row r="503" spans="1:4">
      <c r="A503" s="1">
        <v>19000</v>
      </c>
      <c r="B503">
        <v>23.91</v>
      </c>
      <c r="C503">
        <f t="shared" si="34"/>
        <v>-4.1806020066896164E-4</v>
      </c>
      <c r="D503">
        <f t="shared" si="33"/>
        <v>-7.705051202054379E-2</v>
      </c>
    </row>
    <row r="504" spans="1:4">
      <c r="A504" s="1">
        <v>19001</v>
      </c>
      <c r="B504">
        <v>23.82</v>
      </c>
      <c r="C504">
        <f t="shared" si="34"/>
        <v>-3.7641154328732686E-3</v>
      </c>
      <c r="D504">
        <f t="shared" si="33"/>
        <v>-0.43039280716188277</v>
      </c>
    </row>
    <row r="505" spans="1:4">
      <c r="A505" s="1">
        <v>19002</v>
      </c>
      <c r="B505">
        <v>23.74</v>
      </c>
      <c r="C505">
        <f t="shared" si="34"/>
        <v>-3.3585222502099852E-3</v>
      </c>
      <c r="D505">
        <f t="shared" si="33"/>
        <v>-0.38756230494046146</v>
      </c>
    </row>
    <row r="506" spans="1:4">
      <c r="A506" s="1">
        <v>19003</v>
      </c>
      <c r="B506">
        <v>23.86</v>
      </c>
      <c r="C506">
        <f t="shared" si="34"/>
        <v>5.0547598989048445E-3</v>
      </c>
      <c r="D506">
        <f t="shared" si="33"/>
        <v>0.50087743019251085</v>
      </c>
    </row>
    <row r="507" spans="1:4">
      <c r="A507" s="1">
        <v>19004</v>
      </c>
      <c r="B507">
        <v>23.98</v>
      </c>
      <c r="C507">
        <f t="shared" si="34"/>
        <v>5.0293378038558673E-3</v>
      </c>
      <c r="D507">
        <f t="shared" si="33"/>
        <v>0.49819286559672882</v>
      </c>
    </row>
    <row r="508" spans="1:4">
      <c r="A508" s="1">
        <v>19007</v>
      </c>
      <c r="B508">
        <v>24.16</v>
      </c>
      <c r="C508">
        <f t="shared" si="34"/>
        <v>7.5062552126772195E-3</v>
      </c>
      <c r="D508">
        <f t="shared" si="33"/>
        <v>0.75975450202312833</v>
      </c>
    </row>
    <row r="509" spans="1:4">
      <c r="A509" s="1">
        <v>19008</v>
      </c>
      <c r="B509">
        <v>24.06</v>
      </c>
      <c r="C509">
        <f t="shared" si="34"/>
        <v>-4.1390728476821776E-3</v>
      </c>
      <c r="D509">
        <f t="shared" si="33"/>
        <v>-0.46998818271148562</v>
      </c>
    </row>
    <row r="510" spans="1:4">
      <c r="A510" s="1">
        <v>19009</v>
      </c>
      <c r="B510">
        <v>24.09</v>
      </c>
      <c r="C510">
        <f t="shared" si="34"/>
        <v>1.2468827930175036E-3</v>
      </c>
      <c r="D510">
        <f t="shared" si="33"/>
        <v>9.8766902171125714E-2</v>
      </c>
    </row>
    <row r="511" spans="1:4">
      <c r="A511" s="1">
        <v>19010</v>
      </c>
      <c r="B511">
        <v>24.2</v>
      </c>
      <c r="C511">
        <f t="shared" si="34"/>
        <v>4.5662100456620768E-3</v>
      </c>
      <c r="D511">
        <f t="shared" si="33"/>
        <v>0.4492867317562384</v>
      </c>
    </row>
    <row r="512" spans="1:4">
      <c r="A512" s="1">
        <v>19011</v>
      </c>
      <c r="B512">
        <v>24.25</v>
      </c>
      <c r="C512">
        <f t="shared" si="34"/>
        <v>2.0661157024793684E-3</v>
      </c>
      <c r="D512">
        <f t="shared" si="33"/>
        <v>0.18527761893950251</v>
      </c>
    </row>
    <row r="513" spans="1:4">
      <c r="A513" s="1">
        <v>19014</v>
      </c>
      <c r="B513">
        <v>24.46</v>
      </c>
      <c r="C513">
        <f t="shared" si="34"/>
        <v>8.6597938144330252E-3</v>
      </c>
      <c r="D513">
        <f t="shared" si="33"/>
        <v>0.88156778626171928</v>
      </c>
    </row>
    <row r="514" spans="1:4">
      <c r="A514" s="1">
        <v>19015</v>
      </c>
      <c r="B514">
        <v>24.66</v>
      </c>
      <c r="C514">
        <f t="shared" si="34"/>
        <v>8.1766148814390541E-3</v>
      </c>
      <c r="D514">
        <f t="shared" si="33"/>
        <v>0.8305442551780553</v>
      </c>
    </row>
    <row r="515" spans="1:4">
      <c r="A515" s="1">
        <v>19016</v>
      </c>
      <c r="B515">
        <v>24.54</v>
      </c>
      <c r="C515">
        <f t="shared" si="34"/>
        <v>-4.8661800486618405E-3</v>
      </c>
      <c r="D515">
        <f t="shared" ref="D515:D578" si="35">(C515-avg)/sd</f>
        <v>-0.54677045597919172</v>
      </c>
    </row>
    <row r="516" spans="1:4">
      <c r="A516" s="1">
        <v>19017</v>
      </c>
      <c r="B516">
        <v>24.56</v>
      </c>
      <c r="C516">
        <f t="shared" ref="C516:C579" si="36">(B516-B515)/B515</f>
        <v>8.1499592502035751E-4</v>
      </c>
      <c r="D516">
        <f t="shared" si="35"/>
        <v>5.3159795716106413E-2</v>
      </c>
    </row>
    <row r="517" spans="1:4">
      <c r="A517" s="1">
        <v>19018</v>
      </c>
      <c r="B517">
        <v>24.55</v>
      </c>
      <c r="C517">
        <f t="shared" si="36"/>
        <v>-4.0716612377842066E-4</v>
      </c>
      <c r="D517">
        <f t="shared" si="35"/>
        <v>-7.5900101203979317E-2</v>
      </c>
    </row>
    <row r="518" spans="1:4">
      <c r="A518" s="1">
        <v>19021</v>
      </c>
      <c r="B518">
        <v>24.61</v>
      </c>
      <c r="C518">
        <f t="shared" si="36"/>
        <v>2.4439918533604365E-3</v>
      </c>
      <c r="D518">
        <f t="shared" si="35"/>
        <v>0.22518121202619873</v>
      </c>
    </row>
    <row r="519" spans="1:4">
      <c r="A519" s="1">
        <v>19022</v>
      </c>
      <c r="B519">
        <v>24.57</v>
      </c>
      <c r="C519">
        <f t="shared" si="36"/>
        <v>-1.625355546525768E-3</v>
      </c>
      <c r="D519">
        <f t="shared" si="35"/>
        <v>-0.20454049016339515</v>
      </c>
    </row>
    <row r="520" spans="1:4">
      <c r="A520" s="1">
        <v>19023</v>
      </c>
      <c r="B520">
        <v>24.23</v>
      </c>
      <c r="C520">
        <f t="shared" si="36"/>
        <v>-1.3838013838013832E-2</v>
      </c>
      <c r="D520">
        <f t="shared" si="35"/>
        <v>-1.4941930544602808</v>
      </c>
    </row>
    <row r="521" spans="1:4">
      <c r="A521" s="1">
        <v>19024</v>
      </c>
      <c r="B521">
        <v>24.14</v>
      </c>
      <c r="C521">
        <f t="shared" si="36"/>
        <v>-3.714403631861323E-3</v>
      </c>
      <c r="D521">
        <f t="shared" si="35"/>
        <v>-0.42514325787288348</v>
      </c>
    </row>
    <row r="522" spans="1:4">
      <c r="A522" s="1">
        <v>19025</v>
      </c>
      <c r="B522">
        <v>24.3</v>
      </c>
      <c r="C522">
        <f t="shared" si="36"/>
        <v>6.6280033140016627E-3</v>
      </c>
      <c r="D522">
        <f t="shared" si="35"/>
        <v>0.6670114000553149</v>
      </c>
    </row>
    <row r="523" spans="1:4">
      <c r="A523" s="1">
        <v>19028</v>
      </c>
      <c r="B523">
        <v>24.12</v>
      </c>
      <c r="C523">
        <f t="shared" si="36"/>
        <v>-7.4074074074073955E-3</v>
      </c>
      <c r="D523">
        <f t="shared" si="35"/>
        <v>-0.81512320125757298</v>
      </c>
    </row>
    <row r="524" spans="1:4">
      <c r="A524" s="1">
        <v>19029</v>
      </c>
      <c r="B524">
        <v>24.11</v>
      </c>
      <c r="C524">
        <f t="shared" si="36"/>
        <v>-4.1459369817585252E-4</v>
      </c>
      <c r="D524">
        <f t="shared" si="35"/>
        <v>-7.6684450535592918E-2</v>
      </c>
    </row>
    <row r="525" spans="1:4">
      <c r="A525" s="1">
        <v>19030</v>
      </c>
      <c r="B525">
        <v>24.18</v>
      </c>
      <c r="C525">
        <f t="shared" si="36"/>
        <v>2.9033596018249808E-3</v>
      </c>
      <c r="D525">
        <f t="shared" si="35"/>
        <v>0.27369029011737012</v>
      </c>
    </row>
    <row r="526" spans="1:4">
      <c r="A526" s="1">
        <v>19031</v>
      </c>
      <c r="B526">
        <v>24.11</v>
      </c>
      <c r="C526">
        <f t="shared" si="36"/>
        <v>-2.8949545078577454E-3</v>
      </c>
      <c r="D526">
        <f t="shared" si="35"/>
        <v>-0.33860970892239672</v>
      </c>
    </row>
    <row r="527" spans="1:4">
      <c r="A527" s="1">
        <v>19032</v>
      </c>
      <c r="B527">
        <v>24.24</v>
      </c>
      <c r="C527">
        <f t="shared" si="36"/>
        <v>5.39195354624633E-3</v>
      </c>
      <c r="D527">
        <f t="shared" si="35"/>
        <v>0.53648496473408203</v>
      </c>
    </row>
    <row r="528" spans="1:4">
      <c r="A528" s="1">
        <v>19035</v>
      </c>
      <c r="B528">
        <v>24.11</v>
      </c>
      <c r="C528">
        <f t="shared" si="36"/>
        <v>-5.3630363036303221E-3</v>
      </c>
      <c r="D528">
        <f t="shared" si="35"/>
        <v>-0.59923830761421637</v>
      </c>
    </row>
    <row r="529" spans="1:4">
      <c r="A529" s="1">
        <v>19037</v>
      </c>
      <c r="B529">
        <v>23.92</v>
      </c>
      <c r="C529">
        <f t="shared" si="36"/>
        <v>-7.8805474906676783E-3</v>
      </c>
      <c r="D529">
        <f t="shared" si="35"/>
        <v>-0.86508663322173018</v>
      </c>
    </row>
    <row r="530" spans="1:4">
      <c r="A530" s="1">
        <v>19038</v>
      </c>
      <c r="B530">
        <v>23.87</v>
      </c>
      <c r="C530">
        <f t="shared" si="36"/>
        <v>-2.090301003344511E-3</v>
      </c>
      <c r="D530">
        <f t="shared" si="35"/>
        <v>-0.25363857236081477</v>
      </c>
    </row>
    <row r="531" spans="1:4">
      <c r="A531" s="1">
        <v>19039</v>
      </c>
      <c r="B531">
        <v>23.86</v>
      </c>
      <c r="C531">
        <f t="shared" si="36"/>
        <v>-4.1893590280693603E-4</v>
      </c>
      <c r="D531">
        <f t="shared" si="35"/>
        <v>-7.7142985868648262E-2</v>
      </c>
    </row>
    <row r="532" spans="1:4">
      <c r="A532" s="1">
        <v>19042</v>
      </c>
      <c r="B532">
        <v>23.74</v>
      </c>
      <c r="C532">
        <f t="shared" si="36"/>
        <v>-5.0293378038558673E-3</v>
      </c>
      <c r="D532">
        <f t="shared" si="35"/>
        <v>-0.56399985946766529</v>
      </c>
    </row>
    <row r="533" spans="1:4">
      <c r="A533" s="1">
        <v>19043</v>
      </c>
      <c r="B533">
        <v>23.36</v>
      </c>
      <c r="C533">
        <f t="shared" si="36"/>
        <v>-1.6006739679865167E-2</v>
      </c>
      <c r="D533">
        <f t="shared" si="35"/>
        <v>-1.7232097661740504</v>
      </c>
    </row>
    <row r="534" spans="1:4">
      <c r="A534" s="1">
        <v>19044</v>
      </c>
      <c r="B534">
        <v>23.09</v>
      </c>
      <c r="C534">
        <f t="shared" si="36"/>
        <v>-1.1558219178082174E-2</v>
      </c>
      <c r="D534">
        <f t="shared" si="35"/>
        <v>-1.2534475133113552</v>
      </c>
    </row>
    <row r="535" spans="1:4">
      <c r="A535" s="1">
        <v>19045</v>
      </c>
      <c r="B535">
        <v>23.16</v>
      </c>
      <c r="C535">
        <f t="shared" si="36"/>
        <v>3.0316154179298523E-3</v>
      </c>
      <c r="D535">
        <f t="shared" si="35"/>
        <v>0.28723406070177443</v>
      </c>
    </row>
    <row r="536" spans="1:4">
      <c r="A536" s="1">
        <v>19049</v>
      </c>
      <c r="B536">
        <v>23.23</v>
      </c>
      <c r="C536">
        <f t="shared" si="36"/>
        <v>3.0224525043178016E-3</v>
      </c>
      <c r="D536">
        <f t="shared" si="35"/>
        <v>0.28626646013896756</v>
      </c>
    </row>
    <row r="537" spans="1:4">
      <c r="A537" s="1">
        <v>19050</v>
      </c>
      <c r="B537">
        <v>23.15</v>
      </c>
      <c r="C537">
        <f t="shared" si="36"/>
        <v>-3.443822643133958E-3</v>
      </c>
      <c r="D537">
        <f t="shared" si="35"/>
        <v>-0.39656999743822063</v>
      </c>
    </row>
    <row r="538" spans="1:4">
      <c r="A538" s="1">
        <v>19051</v>
      </c>
      <c r="B538">
        <v>23.18</v>
      </c>
      <c r="C538">
        <f t="shared" si="36"/>
        <v>1.2958963282937858E-3</v>
      </c>
      <c r="D538">
        <f t="shared" si="35"/>
        <v>0.10394271483579097</v>
      </c>
    </row>
    <row r="539" spans="1:4">
      <c r="A539" s="1">
        <v>19052</v>
      </c>
      <c r="B539">
        <v>23.29</v>
      </c>
      <c r="C539">
        <f t="shared" si="36"/>
        <v>4.7454702329594233E-3</v>
      </c>
      <c r="D539">
        <f t="shared" si="35"/>
        <v>0.46821654660133993</v>
      </c>
    </row>
    <row r="540" spans="1:4">
      <c r="A540" s="1">
        <v>19053</v>
      </c>
      <c r="B540">
        <v>23.26</v>
      </c>
      <c r="C540">
        <f t="shared" si="36"/>
        <v>-1.2881064834691966E-3</v>
      </c>
      <c r="D540">
        <f t="shared" si="35"/>
        <v>-0.16892710374114764</v>
      </c>
    </row>
    <row r="541" spans="1:4">
      <c r="A541" s="1">
        <v>19056</v>
      </c>
      <c r="B541">
        <v>23.29</v>
      </c>
      <c r="C541">
        <f t="shared" si="36"/>
        <v>1.2897678417883741E-3</v>
      </c>
      <c r="D541">
        <f t="shared" si="35"/>
        <v>0.10329554874399327</v>
      </c>
    </row>
    <row r="542" spans="1:4">
      <c r="A542" s="1">
        <v>19057</v>
      </c>
      <c r="B542">
        <v>23.68</v>
      </c>
      <c r="C542">
        <f t="shared" si="36"/>
        <v>1.6745384285100928E-2</v>
      </c>
      <c r="D542">
        <f t="shared" si="35"/>
        <v>1.7354033915385094</v>
      </c>
    </row>
    <row r="543" spans="1:4">
      <c r="A543" s="1">
        <v>19058</v>
      </c>
      <c r="B543">
        <v>23.71</v>
      </c>
      <c r="C543">
        <f t="shared" si="36"/>
        <v>1.2668918918919399E-3</v>
      </c>
      <c r="D543">
        <f t="shared" si="35"/>
        <v>0.10087985621084301</v>
      </c>
    </row>
    <row r="544" spans="1:4">
      <c r="A544" s="1">
        <v>19059</v>
      </c>
      <c r="B544">
        <v>23.69</v>
      </c>
      <c r="C544">
        <f t="shared" si="36"/>
        <v>-8.4352593842258847E-4</v>
      </c>
      <c r="D544">
        <f t="shared" si="35"/>
        <v>-0.12197954930449564</v>
      </c>
    </row>
    <row r="545" spans="1:4">
      <c r="A545" s="1">
        <v>19060</v>
      </c>
      <c r="B545">
        <v>23.72</v>
      </c>
      <c r="C545">
        <f t="shared" si="36"/>
        <v>1.266357112705681E-3</v>
      </c>
      <c r="D545">
        <f t="shared" si="35"/>
        <v>0.10082338371055435</v>
      </c>
    </row>
    <row r="546" spans="1:4">
      <c r="A546" s="1">
        <v>19063</v>
      </c>
      <c r="B546">
        <v>23.6</v>
      </c>
      <c r="C546">
        <f t="shared" si="36"/>
        <v>-5.0590219224282227E-3</v>
      </c>
      <c r="D546">
        <f t="shared" si="35"/>
        <v>-0.56713449229878388</v>
      </c>
    </row>
    <row r="547" spans="1:4">
      <c r="A547" s="1">
        <v>19064</v>
      </c>
      <c r="B547">
        <v>23.62</v>
      </c>
      <c r="C547">
        <f t="shared" si="36"/>
        <v>8.4745762711862594E-4</v>
      </c>
      <c r="D547">
        <f t="shared" si="35"/>
        <v>5.6587740423414898E-2</v>
      </c>
    </row>
    <row r="548" spans="1:4">
      <c r="A548" s="1">
        <v>19065</v>
      </c>
      <c r="B548">
        <v>23.73</v>
      </c>
      <c r="C548">
        <f t="shared" si="36"/>
        <v>4.6570702794241923E-3</v>
      </c>
      <c r="D548">
        <f t="shared" si="35"/>
        <v>0.45888154155662375</v>
      </c>
    </row>
    <row r="549" spans="1:4">
      <c r="A549" s="1">
        <v>19066</v>
      </c>
      <c r="B549">
        <v>23.75</v>
      </c>
      <c r="C549">
        <f t="shared" si="36"/>
        <v>8.4281500210701954E-4</v>
      </c>
      <c r="D549">
        <f t="shared" si="35"/>
        <v>5.6097480800294169E-2</v>
      </c>
    </row>
    <row r="550" spans="1:4">
      <c r="A550" s="1">
        <v>19067</v>
      </c>
      <c r="B550">
        <v>23.75</v>
      </c>
      <c r="C550">
        <f t="shared" si="36"/>
        <v>0</v>
      </c>
      <c r="D550">
        <f t="shared" si="35"/>
        <v>-3.29034969354682E-2</v>
      </c>
    </row>
    <row r="551" spans="1:4">
      <c r="A551" s="1">
        <v>19070</v>
      </c>
      <c r="B551">
        <v>23.92</v>
      </c>
      <c r="C551">
        <f t="shared" si="36"/>
        <v>7.1578947368421773E-3</v>
      </c>
      <c r="D551">
        <f t="shared" si="35"/>
        <v>0.72296775418842707</v>
      </c>
    </row>
    <row r="552" spans="1:4">
      <c r="A552" s="1">
        <v>19071</v>
      </c>
      <c r="B552">
        <v>23.87</v>
      </c>
      <c r="C552">
        <f t="shared" si="36"/>
        <v>-2.090301003344511E-3</v>
      </c>
      <c r="D552">
        <f t="shared" si="35"/>
        <v>-0.25363857236081477</v>
      </c>
    </row>
    <row r="553" spans="1:4">
      <c r="A553" s="1">
        <v>19072</v>
      </c>
      <c r="B553">
        <v>23.82</v>
      </c>
      <c r="C553">
        <f t="shared" si="36"/>
        <v>-2.0946795140343822E-3</v>
      </c>
      <c r="D553">
        <f t="shared" si="35"/>
        <v>-0.25410094160133706</v>
      </c>
    </row>
    <row r="554" spans="1:4">
      <c r="A554" s="1">
        <v>19073</v>
      </c>
      <c r="B554">
        <v>23.89</v>
      </c>
      <c r="C554">
        <f t="shared" si="36"/>
        <v>2.9387069689336812E-3</v>
      </c>
      <c r="D554">
        <f t="shared" si="35"/>
        <v>0.27742296006889505</v>
      </c>
    </row>
    <row r="555" spans="1:4">
      <c r="A555" s="1">
        <v>19074</v>
      </c>
      <c r="B555">
        <v>23.93</v>
      </c>
      <c r="C555">
        <f t="shared" si="36"/>
        <v>1.6743407283381811E-3</v>
      </c>
      <c r="D555">
        <f t="shared" si="35"/>
        <v>0.14390631484097727</v>
      </c>
    </row>
    <row r="556" spans="1:4">
      <c r="A556" s="1">
        <v>19077</v>
      </c>
      <c r="B556">
        <v>23.93</v>
      </c>
      <c r="C556">
        <f t="shared" si="36"/>
        <v>0</v>
      </c>
      <c r="D556">
        <f t="shared" si="35"/>
        <v>-3.29034969354682E-2</v>
      </c>
    </row>
    <row r="557" spans="1:4">
      <c r="A557" s="1">
        <v>19078</v>
      </c>
      <c r="B557">
        <v>23.79</v>
      </c>
      <c r="C557">
        <f t="shared" si="36"/>
        <v>-5.850396991224428E-3</v>
      </c>
      <c r="D557">
        <f t="shared" si="35"/>
        <v>-0.65070343056220714</v>
      </c>
    </row>
    <row r="558" spans="1:4">
      <c r="A558" s="1">
        <v>19079</v>
      </c>
      <c r="B558">
        <v>23.78</v>
      </c>
      <c r="C558">
        <f t="shared" si="36"/>
        <v>-4.2034468263968101E-4</v>
      </c>
      <c r="D558">
        <f t="shared" si="35"/>
        <v>-7.7291752540118608E-2</v>
      </c>
    </row>
    <row r="559" spans="1:4">
      <c r="A559" s="1">
        <v>19080</v>
      </c>
      <c r="B559">
        <v>23.99</v>
      </c>
      <c r="C559">
        <f t="shared" si="36"/>
        <v>8.8309503784691872E-3</v>
      </c>
      <c r="D559">
        <f t="shared" si="35"/>
        <v>0.89964186124499512</v>
      </c>
    </row>
    <row r="560" spans="1:4">
      <c r="A560" s="1">
        <v>19081</v>
      </c>
      <c r="B560">
        <v>24.18</v>
      </c>
      <c r="C560">
        <f t="shared" si="36"/>
        <v>7.9199666527720418E-3</v>
      </c>
      <c r="D560">
        <f t="shared" si="35"/>
        <v>0.80344228946979035</v>
      </c>
    </row>
    <row r="561" spans="1:4">
      <c r="A561" s="1">
        <v>19084</v>
      </c>
      <c r="B561">
        <v>24.37</v>
      </c>
      <c r="C561">
        <f t="shared" si="36"/>
        <v>7.8577336641853304E-3</v>
      </c>
      <c r="D561">
        <f t="shared" si="35"/>
        <v>0.79687050702905426</v>
      </c>
    </row>
    <row r="562" spans="1:4">
      <c r="A562" s="1">
        <v>19085</v>
      </c>
      <c r="B562">
        <v>24.18</v>
      </c>
      <c r="C562">
        <f t="shared" si="36"/>
        <v>-7.7964710709889726E-3</v>
      </c>
      <c r="D562">
        <f t="shared" si="35"/>
        <v>-0.85620819188262254</v>
      </c>
    </row>
    <row r="563" spans="1:4">
      <c r="A563" s="1">
        <v>19086</v>
      </c>
      <c r="B563">
        <v>24.12</v>
      </c>
      <c r="C563">
        <f t="shared" si="36"/>
        <v>-2.4813895781637188E-3</v>
      </c>
      <c r="D563">
        <f t="shared" si="35"/>
        <v>-0.29493739292425741</v>
      </c>
    </row>
    <row r="564" spans="1:4">
      <c r="A564" s="1">
        <v>19087</v>
      </c>
      <c r="B564">
        <v>24.12</v>
      </c>
      <c r="C564">
        <f t="shared" si="36"/>
        <v>0</v>
      </c>
      <c r="D564">
        <f t="shared" si="35"/>
        <v>-3.29034969354682E-2</v>
      </c>
    </row>
    <row r="565" spans="1:4">
      <c r="A565" s="1">
        <v>19088</v>
      </c>
      <c r="B565">
        <v>24.02</v>
      </c>
      <c r="C565">
        <f t="shared" si="36"/>
        <v>-4.1459369817579356E-3</v>
      </c>
      <c r="D565">
        <f t="shared" si="35"/>
        <v>-0.47071303293665312</v>
      </c>
    </row>
    <row r="566" spans="1:4">
      <c r="A566" s="1">
        <v>19091</v>
      </c>
      <c r="B566">
        <v>23.8</v>
      </c>
      <c r="C566">
        <f t="shared" si="36"/>
        <v>-9.1590341382181036E-3</v>
      </c>
      <c r="D566">
        <f t="shared" si="35"/>
        <v>-1.0000943886243285</v>
      </c>
    </row>
    <row r="567" spans="1:4">
      <c r="A567" s="1">
        <v>19092</v>
      </c>
      <c r="B567">
        <v>23.91</v>
      </c>
      <c r="C567">
        <f t="shared" si="36"/>
        <v>4.6218487394957741E-3</v>
      </c>
      <c r="D567">
        <f t="shared" si="35"/>
        <v>0.4551621589125659</v>
      </c>
    </row>
    <row r="568" spans="1:4">
      <c r="A568" s="1">
        <v>19093</v>
      </c>
      <c r="B568">
        <v>23.94</v>
      </c>
      <c r="C568">
        <f t="shared" si="36"/>
        <v>1.2547051442911392E-3</v>
      </c>
      <c r="D568">
        <f t="shared" si="35"/>
        <v>9.9592939806675232E-2</v>
      </c>
    </row>
    <row r="569" spans="1:4">
      <c r="A569" s="1">
        <v>19094</v>
      </c>
      <c r="B569">
        <v>24.11</v>
      </c>
      <c r="C569">
        <f t="shared" si="36"/>
        <v>7.1010860484543919E-3</v>
      </c>
      <c r="D569">
        <f t="shared" si="35"/>
        <v>0.71696877600488829</v>
      </c>
    </row>
    <row r="570" spans="1:4">
      <c r="A570" s="1">
        <v>19098</v>
      </c>
      <c r="B570">
        <v>23.95</v>
      </c>
      <c r="C570">
        <f t="shared" si="36"/>
        <v>-6.6362505184570774E-3</v>
      </c>
      <c r="D570">
        <f t="shared" si="35"/>
        <v>-0.73368929591338217</v>
      </c>
    </row>
    <row r="571" spans="1:4">
      <c r="A571" s="1">
        <v>19099</v>
      </c>
      <c r="B571">
        <v>23.65</v>
      </c>
      <c r="C571">
        <f t="shared" si="36"/>
        <v>-1.2526096033402953E-2</v>
      </c>
      <c r="D571">
        <f t="shared" si="35"/>
        <v>-1.355654980235901</v>
      </c>
    </row>
    <row r="572" spans="1:4">
      <c r="A572" s="1">
        <v>19100</v>
      </c>
      <c r="B572">
        <v>23.58</v>
      </c>
      <c r="C572">
        <f t="shared" si="36"/>
        <v>-2.9598308668076232E-3</v>
      </c>
      <c r="D572">
        <f t="shared" si="35"/>
        <v>-0.34546063037495789</v>
      </c>
    </row>
    <row r="573" spans="1:4">
      <c r="A573" s="1">
        <v>19101</v>
      </c>
      <c r="B573">
        <v>23.41</v>
      </c>
      <c r="C573">
        <f t="shared" si="36"/>
        <v>-7.2094995759117118E-3</v>
      </c>
      <c r="D573">
        <f t="shared" si="35"/>
        <v>-0.79422420152376927</v>
      </c>
    </row>
    <row r="574" spans="1:4">
      <c r="A574" s="1">
        <v>19102</v>
      </c>
      <c r="B574">
        <v>23.5</v>
      </c>
      <c r="C574">
        <f t="shared" si="36"/>
        <v>3.8445108927808568E-3</v>
      </c>
      <c r="D574">
        <f t="shared" si="35"/>
        <v>0.37307554652944308</v>
      </c>
    </row>
    <row r="575" spans="1:4">
      <c r="A575" s="1">
        <v>19105</v>
      </c>
      <c r="B575">
        <v>23.69</v>
      </c>
      <c r="C575">
        <f t="shared" si="36"/>
        <v>8.0851063829787771E-3</v>
      </c>
      <c r="D575">
        <f t="shared" si="35"/>
        <v>0.82088098884589988</v>
      </c>
    </row>
    <row r="576" spans="1:4">
      <c r="A576" s="1">
        <v>19106</v>
      </c>
      <c r="B576">
        <v>23.58</v>
      </c>
      <c r="C576">
        <f t="shared" si="36"/>
        <v>-4.6433094132546631E-3</v>
      </c>
      <c r="D576">
        <f t="shared" si="35"/>
        <v>-0.52323539263760366</v>
      </c>
    </row>
    <row r="577" spans="1:4">
      <c r="A577" s="1">
        <v>19107</v>
      </c>
      <c r="B577">
        <v>23.48</v>
      </c>
      <c r="C577">
        <f t="shared" si="36"/>
        <v>-4.2408821034774329E-3</v>
      </c>
      <c r="D577">
        <f t="shared" si="35"/>
        <v>-0.48073920551681709</v>
      </c>
    </row>
    <row r="578" spans="1:4">
      <c r="A578" s="1">
        <v>19108</v>
      </c>
      <c r="B578">
        <v>23.43</v>
      </c>
      <c r="C578">
        <f t="shared" si="36"/>
        <v>-2.1294718909710695E-3</v>
      </c>
      <c r="D578">
        <f t="shared" si="35"/>
        <v>-0.25777500477934767</v>
      </c>
    </row>
    <row r="579" spans="1:4">
      <c r="A579" s="1">
        <v>19109</v>
      </c>
      <c r="B579">
        <v>23.54</v>
      </c>
      <c r="C579">
        <f t="shared" si="36"/>
        <v>4.6948356807511495E-3</v>
      </c>
      <c r="D579">
        <f t="shared" ref="D579:D642" si="37">(C579-avg)/sd</f>
        <v>0.46286955509966682</v>
      </c>
    </row>
    <row r="580" spans="1:4">
      <c r="A580" s="1">
        <v>19112</v>
      </c>
      <c r="B580">
        <v>23.55</v>
      </c>
      <c r="C580">
        <f t="shared" ref="C580:C643" si="38">(B580-B579)/B579</f>
        <v>4.2480883602385571E-4</v>
      </c>
      <c r="D580">
        <f t="shared" si="37"/>
        <v>1.1956171749111589E-2</v>
      </c>
    </row>
    <row r="581" spans="1:4">
      <c r="A581" s="1">
        <v>19113</v>
      </c>
      <c r="B581">
        <v>23.49</v>
      </c>
      <c r="C581">
        <f t="shared" si="38"/>
        <v>-2.5477707006370393E-3</v>
      </c>
      <c r="D581">
        <f t="shared" si="37"/>
        <v>-0.30194721689340021</v>
      </c>
    </row>
    <row r="582" spans="1:4">
      <c r="A582" s="1">
        <v>19114</v>
      </c>
      <c r="B582">
        <v>23.32</v>
      </c>
      <c r="C582">
        <f t="shared" si="38"/>
        <v>-7.2371221796508371E-3</v>
      </c>
      <c r="D582">
        <f t="shared" si="37"/>
        <v>-0.79714113908924167</v>
      </c>
    </row>
    <row r="583" spans="1:4">
      <c r="A583" s="1">
        <v>19115</v>
      </c>
      <c r="B583">
        <v>23.17</v>
      </c>
      <c r="C583">
        <f t="shared" si="38"/>
        <v>-6.4322469982846728E-3</v>
      </c>
      <c r="D583">
        <f t="shared" si="37"/>
        <v>-0.712146593527342</v>
      </c>
    </row>
    <row r="584" spans="1:4">
      <c r="A584" s="1">
        <v>19116</v>
      </c>
      <c r="B584">
        <v>23.56</v>
      </c>
      <c r="C584">
        <f t="shared" si="38"/>
        <v>1.6832110487699482E-2</v>
      </c>
      <c r="D584">
        <f t="shared" si="37"/>
        <v>1.7445616490532483</v>
      </c>
    </row>
    <row r="585" spans="1:4">
      <c r="A585" s="1">
        <v>19119</v>
      </c>
      <c r="B585">
        <v>23.66</v>
      </c>
      <c r="C585">
        <f t="shared" si="38"/>
        <v>4.2444821731749335E-3</v>
      </c>
      <c r="D585">
        <f t="shared" si="37"/>
        <v>0.41531237778221353</v>
      </c>
    </row>
    <row r="586" spans="1:4">
      <c r="A586" s="1">
        <v>19120</v>
      </c>
      <c r="B586">
        <v>23.67</v>
      </c>
      <c r="C586">
        <f t="shared" si="38"/>
        <v>4.2265426880818102E-4</v>
      </c>
      <c r="D586">
        <f t="shared" si="37"/>
        <v>1.1728650183509323E-2</v>
      </c>
    </row>
    <row r="587" spans="1:4">
      <c r="A587" s="1">
        <v>19121</v>
      </c>
      <c r="B587">
        <v>23.81</v>
      </c>
      <c r="C587">
        <f t="shared" si="38"/>
        <v>5.9146599070552175E-3</v>
      </c>
      <c r="D587">
        <f t="shared" si="37"/>
        <v>0.59168257875897556</v>
      </c>
    </row>
    <row r="588" spans="1:4">
      <c r="A588" s="1">
        <v>19122</v>
      </c>
      <c r="B588">
        <v>23.86</v>
      </c>
      <c r="C588">
        <f t="shared" si="38"/>
        <v>2.0999580008400132E-3</v>
      </c>
      <c r="D588">
        <f t="shared" si="37"/>
        <v>0.18885135414283047</v>
      </c>
    </row>
    <row r="589" spans="1:4">
      <c r="A589" s="1">
        <v>19123</v>
      </c>
      <c r="B589">
        <v>23.84</v>
      </c>
      <c r="C589">
        <f t="shared" si="38"/>
        <v>-8.3822296730928639E-4</v>
      </c>
      <c r="D589">
        <f t="shared" si="37"/>
        <v>-0.12141955735749843</v>
      </c>
    </row>
    <row r="590" spans="1:4">
      <c r="A590" s="1">
        <v>19126</v>
      </c>
      <c r="B590">
        <v>23.75</v>
      </c>
      <c r="C590">
        <f t="shared" si="38"/>
        <v>-3.7751677852348934E-3</v>
      </c>
      <c r="D590">
        <f t="shared" si="37"/>
        <v>-0.43155993181439323</v>
      </c>
    </row>
    <row r="591" spans="1:4">
      <c r="A591" s="1">
        <v>19127</v>
      </c>
      <c r="B591">
        <v>23.78</v>
      </c>
      <c r="C591">
        <f t="shared" si="38"/>
        <v>1.26315789473689E-3</v>
      </c>
      <c r="D591">
        <f t="shared" si="37"/>
        <v>0.10048554738051704</v>
      </c>
    </row>
    <row r="592" spans="1:4">
      <c r="A592" s="1">
        <v>19128</v>
      </c>
      <c r="B592">
        <v>23.68</v>
      </c>
      <c r="C592">
        <f t="shared" si="38"/>
        <v>-4.2052144659378227E-3</v>
      </c>
      <c r="D592">
        <f t="shared" si="37"/>
        <v>-0.47697271511665329</v>
      </c>
    </row>
    <row r="593" spans="1:4">
      <c r="A593" s="1">
        <v>19129</v>
      </c>
      <c r="B593">
        <v>23.6</v>
      </c>
      <c r="C593">
        <f t="shared" si="38"/>
        <v>-3.3783783783783066E-3</v>
      </c>
      <c r="D593">
        <f t="shared" si="37"/>
        <v>-0.38965910532561032</v>
      </c>
    </row>
    <row r="594" spans="1:4">
      <c r="A594" s="1">
        <v>19130</v>
      </c>
      <c r="B594">
        <v>23.56</v>
      </c>
      <c r="C594">
        <f t="shared" si="38"/>
        <v>-1.6949152542374024E-3</v>
      </c>
      <c r="D594">
        <f t="shared" si="37"/>
        <v>-0.21188597165325027</v>
      </c>
    </row>
    <row r="595" spans="1:4">
      <c r="A595" s="1">
        <v>19133</v>
      </c>
      <c r="B595">
        <v>23.61</v>
      </c>
      <c r="C595">
        <f t="shared" si="38"/>
        <v>2.1222410865874668E-3</v>
      </c>
      <c r="D595">
        <f t="shared" si="37"/>
        <v>0.19120444042337267</v>
      </c>
    </row>
    <row r="596" spans="1:4">
      <c r="A596" s="1">
        <v>19134</v>
      </c>
      <c r="B596">
        <v>23.74</v>
      </c>
      <c r="C596">
        <f t="shared" si="38"/>
        <v>5.5061414654806861E-3</v>
      </c>
      <c r="D596">
        <f t="shared" si="37"/>
        <v>0.5485431701908704</v>
      </c>
    </row>
    <row r="597" spans="1:4">
      <c r="A597" s="1">
        <v>19135</v>
      </c>
      <c r="B597">
        <v>23.78</v>
      </c>
      <c r="C597">
        <f t="shared" si="38"/>
        <v>1.6849199663017144E-3</v>
      </c>
      <c r="D597">
        <f t="shared" si="37"/>
        <v>0.14502347877386867</v>
      </c>
    </row>
    <row r="598" spans="1:4">
      <c r="A598" s="1">
        <v>19136</v>
      </c>
      <c r="B598">
        <v>23.91</v>
      </c>
      <c r="C598">
        <f t="shared" si="38"/>
        <v>5.4667788057190499E-3</v>
      </c>
      <c r="D598">
        <f t="shared" si="37"/>
        <v>0.54438648670005974</v>
      </c>
    </row>
    <row r="599" spans="1:4">
      <c r="A599" s="1">
        <v>19137</v>
      </c>
      <c r="B599">
        <v>23.89</v>
      </c>
      <c r="C599">
        <f t="shared" si="38"/>
        <v>-8.3647009619404326E-4</v>
      </c>
      <c r="D599">
        <f t="shared" si="37"/>
        <v>-0.1212344547635586</v>
      </c>
    </row>
    <row r="600" spans="1:4">
      <c r="A600" s="1">
        <v>19140</v>
      </c>
      <c r="B600">
        <v>23.94</v>
      </c>
      <c r="C600">
        <f t="shared" si="38"/>
        <v>2.0929259104228008E-3</v>
      </c>
      <c r="D600">
        <f t="shared" si="37"/>
        <v>0.1881087677850965</v>
      </c>
    </row>
    <row r="601" spans="1:4">
      <c r="A601" s="1">
        <v>19141</v>
      </c>
      <c r="B601">
        <v>23.88</v>
      </c>
      <c r="C601">
        <f t="shared" si="38"/>
        <v>-2.5062656641604958E-3</v>
      </c>
      <c r="D601">
        <f t="shared" si="37"/>
        <v>-0.2975642991497246</v>
      </c>
    </row>
    <row r="602" spans="1:4">
      <c r="A602" s="1">
        <v>19142</v>
      </c>
      <c r="B602">
        <v>23.84</v>
      </c>
      <c r="C602">
        <f t="shared" si="38"/>
        <v>-1.6750418760468656E-3</v>
      </c>
      <c r="D602">
        <f t="shared" si="37"/>
        <v>-0.20978734967161905</v>
      </c>
    </row>
    <row r="603" spans="1:4">
      <c r="A603" s="1">
        <v>19143</v>
      </c>
      <c r="B603">
        <v>23.86</v>
      </c>
      <c r="C603">
        <f t="shared" si="38"/>
        <v>8.3892617449662639E-4</v>
      </c>
      <c r="D603">
        <f t="shared" si="37"/>
        <v>5.5686821926513398E-2</v>
      </c>
    </row>
    <row r="604" spans="1:4">
      <c r="A604" s="1">
        <v>19147</v>
      </c>
      <c r="B604">
        <v>23.8</v>
      </c>
      <c r="C604">
        <f t="shared" si="38"/>
        <v>-2.5146689019278591E-3</v>
      </c>
      <c r="D604">
        <f t="shared" si="37"/>
        <v>-0.29845167820155882</v>
      </c>
    </row>
    <row r="605" spans="1:4">
      <c r="A605" s="1">
        <v>19148</v>
      </c>
      <c r="B605">
        <v>23.78</v>
      </c>
      <c r="C605">
        <f t="shared" si="38"/>
        <v>-8.4033613445376357E-4</v>
      </c>
      <c r="D605">
        <f t="shared" si="37"/>
        <v>-0.12164270708965479</v>
      </c>
    </row>
    <row r="606" spans="1:4">
      <c r="A606" s="1">
        <v>19149</v>
      </c>
      <c r="B606">
        <v>23.95</v>
      </c>
      <c r="C606">
        <f t="shared" si="38"/>
        <v>7.148864592094119E-3</v>
      </c>
      <c r="D606">
        <f t="shared" si="37"/>
        <v>0.72201417397252743</v>
      </c>
    </row>
    <row r="607" spans="1:4">
      <c r="A607" s="1">
        <v>19150</v>
      </c>
      <c r="B607">
        <v>24.1</v>
      </c>
      <c r="C607">
        <f t="shared" si="38"/>
        <v>6.263048016701551E-3</v>
      </c>
      <c r="D607">
        <f t="shared" si="37"/>
        <v>0.62847224471475605</v>
      </c>
    </row>
    <row r="608" spans="1:4">
      <c r="A608" s="1">
        <v>19151</v>
      </c>
      <c r="B608">
        <v>24.26</v>
      </c>
      <c r="C608">
        <f t="shared" si="38"/>
        <v>6.6390041493775993E-3</v>
      </c>
      <c r="D608">
        <f t="shared" si="37"/>
        <v>0.66817308453164814</v>
      </c>
    </row>
    <row r="609" spans="1:4">
      <c r="A609" s="1">
        <v>19154</v>
      </c>
      <c r="B609">
        <v>24.37</v>
      </c>
      <c r="C609">
        <f t="shared" si="38"/>
        <v>4.5342126957955246E-3</v>
      </c>
      <c r="D609">
        <f t="shared" si="37"/>
        <v>0.4459078224867582</v>
      </c>
    </row>
    <row r="610" spans="1:4">
      <c r="A610" s="1">
        <v>19155</v>
      </c>
      <c r="B610">
        <v>24.23</v>
      </c>
      <c r="C610">
        <f t="shared" si="38"/>
        <v>-5.744768157570807E-3</v>
      </c>
      <c r="D610">
        <f t="shared" si="37"/>
        <v>-0.63954906163336989</v>
      </c>
    </row>
    <row r="611" spans="1:4">
      <c r="A611" s="1">
        <v>19156</v>
      </c>
      <c r="B611">
        <v>24.31</v>
      </c>
      <c r="C611">
        <f t="shared" si="38"/>
        <v>3.3016921172099997E-3</v>
      </c>
      <c r="D611">
        <f t="shared" si="37"/>
        <v>0.31575406834222741</v>
      </c>
    </row>
    <row r="612" spans="1:4">
      <c r="A612" s="1">
        <v>19157</v>
      </c>
      <c r="B612">
        <v>24.31</v>
      </c>
      <c r="C612">
        <f t="shared" si="38"/>
        <v>0</v>
      </c>
      <c r="D612">
        <f t="shared" si="37"/>
        <v>-3.29034969354682E-2</v>
      </c>
    </row>
    <row r="613" spans="1:4">
      <c r="A613" s="1">
        <v>19158</v>
      </c>
      <c r="B613">
        <v>24.37</v>
      </c>
      <c r="C613">
        <f t="shared" si="38"/>
        <v>2.4681201151790324E-3</v>
      </c>
      <c r="D613">
        <f t="shared" si="37"/>
        <v>0.22772914827264776</v>
      </c>
    </row>
    <row r="614" spans="1:4">
      <c r="A614" s="1">
        <v>19161</v>
      </c>
      <c r="B614">
        <v>24.3</v>
      </c>
      <c r="C614">
        <f t="shared" si="38"/>
        <v>-2.8723840787854035E-3</v>
      </c>
      <c r="D614">
        <f t="shared" si="37"/>
        <v>-0.33622627928441901</v>
      </c>
    </row>
    <row r="615" spans="1:4">
      <c r="A615" s="1">
        <v>19162</v>
      </c>
      <c r="B615">
        <v>24.33</v>
      </c>
      <c r="C615">
        <f t="shared" si="38"/>
        <v>1.2345679012344683E-3</v>
      </c>
      <c r="D615">
        <f t="shared" si="37"/>
        <v>9.7466453784872287E-2</v>
      </c>
    </row>
    <row r="616" spans="1:4">
      <c r="A616" s="1">
        <v>19163</v>
      </c>
      <c r="B616">
        <v>24.43</v>
      </c>
      <c r="C616">
        <f t="shared" si="38"/>
        <v>4.1101520756268569E-3</v>
      </c>
      <c r="D616">
        <f t="shared" si="37"/>
        <v>0.40112716514215541</v>
      </c>
    </row>
    <row r="617" spans="1:4">
      <c r="A617" s="1">
        <v>19164</v>
      </c>
      <c r="B617">
        <v>24.51</v>
      </c>
      <c r="C617">
        <f t="shared" si="38"/>
        <v>3.2746623004503419E-3</v>
      </c>
      <c r="D617">
        <f t="shared" si="37"/>
        <v>0.31289972888028866</v>
      </c>
    </row>
    <row r="618" spans="1:4">
      <c r="A618" s="1">
        <v>19165</v>
      </c>
      <c r="B618">
        <v>24.59</v>
      </c>
      <c r="C618">
        <f t="shared" si="38"/>
        <v>3.2639738882088245E-3</v>
      </c>
      <c r="D618">
        <f t="shared" si="37"/>
        <v>0.3117710361807523</v>
      </c>
    </row>
    <row r="619" spans="1:4">
      <c r="A619" s="1">
        <v>19168</v>
      </c>
      <c r="B619">
        <v>24.56</v>
      </c>
      <c r="C619">
        <f t="shared" si="38"/>
        <v>-1.2200081333876023E-3</v>
      </c>
      <c r="D619">
        <f t="shared" si="37"/>
        <v>-0.16173594112028516</v>
      </c>
    </row>
    <row r="620" spans="1:4">
      <c r="A620" s="1">
        <v>19169</v>
      </c>
      <c r="B620">
        <v>24.6</v>
      </c>
      <c r="C620">
        <f t="shared" si="38"/>
        <v>1.6286644951141165E-3</v>
      </c>
      <c r="D620">
        <f t="shared" si="37"/>
        <v>0.13908292013862211</v>
      </c>
    </row>
    <row r="621" spans="1:4">
      <c r="A621" s="1">
        <v>19170</v>
      </c>
      <c r="B621">
        <v>24.66</v>
      </c>
      <c r="C621">
        <f t="shared" si="38"/>
        <v>2.4390243902438504E-3</v>
      </c>
      <c r="D621">
        <f t="shared" si="37"/>
        <v>0.22465664960960999</v>
      </c>
    </row>
    <row r="622" spans="1:4">
      <c r="A622" s="1">
        <v>19171</v>
      </c>
      <c r="B622">
        <v>24.75</v>
      </c>
      <c r="C622">
        <f t="shared" si="38"/>
        <v>3.6496350364963446E-3</v>
      </c>
      <c r="D622">
        <f t="shared" si="37"/>
        <v>0.35249672234732066</v>
      </c>
    </row>
    <row r="623" spans="1:4">
      <c r="A623" s="1">
        <v>19172</v>
      </c>
      <c r="B623">
        <v>24.83</v>
      </c>
      <c r="C623">
        <f t="shared" si="38"/>
        <v>3.2323232323231634E-3</v>
      </c>
      <c r="D623">
        <f t="shared" si="37"/>
        <v>0.30842873767780715</v>
      </c>
    </row>
    <row r="624" spans="1:4">
      <c r="A624" s="1">
        <v>19175</v>
      </c>
      <c r="B624">
        <v>24.96</v>
      </c>
      <c r="C624">
        <f t="shared" si="38"/>
        <v>5.2356020942409412E-3</v>
      </c>
      <c r="D624">
        <f t="shared" si="37"/>
        <v>0.51997430454875371</v>
      </c>
    </row>
    <row r="625" spans="1:4">
      <c r="A625" s="1">
        <v>19176</v>
      </c>
      <c r="B625">
        <v>25.12</v>
      </c>
      <c r="C625">
        <f t="shared" si="38"/>
        <v>6.4102564102564161E-3</v>
      </c>
      <c r="D625">
        <f t="shared" si="37"/>
        <v>0.64401740103558558</v>
      </c>
    </row>
    <row r="626" spans="1:4">
      <c r="A626" s="1">
        <v>19177</v>
      </c>
      <c r="B626">
        <v>25.06</v>
      </c>
      <c r="C626">
        <f t="shared" si="38"/>
        <v>-2.3885350318472243E-3</v>
      </c>
      <c r="D626">
        <f t="shared" si="37"/>
        <v>-0.28513198439602944</v>
      </c>
    </row>
    <row r="627" spans="1:4">
      <c r="A627" s="1">
        <v>19178</v>
      </c>
      <c r="B627">
        <v>25.05</v>
      </c>
      <c r="C627">
        <f t="shared" si="38"/>
        <v>-3.9904229848355992E-4</v>
      </c>
      <c r="D627">
        <f t="shared" si="37"/>
        <v>-7.5042228014264412E-2</v>
      </c>
    </row>
    <row r="628" spans="1:4">
      <c r="A628" s="1">
        <v>19182</v>
      </c>
      <c r="B628">
        <v>24.97</v>
      </c>
      <c r="C628">
        <f t="shared" si="38"/>
        <v>-3.1936127744511713E-3</v>
      </c>
      <c r="D628">
        <f t="shared" si="37"/>
        <v>-0.37014792035578514</v>
      </c>
    </row>
    <row r="629" spans="1:4">
      <c r="A629" s="1">
        <v>19183</v>
      </c>
      <c r="B629">
        <v>24.96</v>
      </c>
      <c r="C629">
        <f t="shared" si="38"/>
        <v>-4.004805766919508E-4</v>
      </c>
      <c r="D629">
        <f t="shared" si="37"/>
        <v>-7.5194109704175977E-2</v>
      </c>
    </row>
    <row r="630" spans="1:4">
      <c r="A630" s="1">
        <v>19184</v>
      </c>
      <c r="B630">
        <v>24.86</v>
      </c>
      <c r="C630">
        <f t="shared" si="38"/>
        <v>-4.0064102564103133E-3</v>
      </c>
      <c r="D630">
        <f t="shared" si="37"/>
        <v>-0.45597905816738254</v>
      </c>
    </row>
    <row r="631" spans="1:4">
      <c r="A631" s="1">
        <v>19185</v>
      </c>
      <c r="B631">
        <v>24.81</v>
      </c>
      <c r="C631">
        <f t="shared" si="38"/>
        <v>-2.0112630732100046E-3</v>
      </c>
      <c r="D631">
        <f t="shared" si="37"/>
        <v>-0.24529219380490869</v>
      </c>
    </row>
    <row r="632" spans="1:4">
      <c r="A632" s="1">
        <v>19186</v>
      </c>
      <c r="B632">
        <v>24.98</v>
      </c>
      <c r="C632">
        <f t="shared" si="38"/>
        <v>6.8520757758968849E-3</v>
      </c>
      <c r="D632">
        <f t="shared" si="37"/>
        <v>0.6906733758655198</v>
      </c>
    </row>
    <row r="633" spans="1:4">
      <c r="A633" s="1">
        <v>19189</v>
      </c>
      <c r="B633">
        <v>25.03</v>
      </c>
      <c r="C633">
        <f t="shared" si="38"/>
        <v>2.0016012810248483E-3</v>
      </c>
      <c r="D633">
        <f t="shared" si="37"/>
        <v>0.17846491796342254</v>
      </c>
    </row>
    <row r="634" spans="1:4">
      <c r="A634" s="1">
        <v>19190</v>
      </c>
      <c r="B634">
        <v>25.16</v>
      </c>
      <c r="C634">
        <f t="shared" si="38"/>
        <v>5.1937674790251296E-3</v>
      </c>
      <c r="D634">
        <f t="shared" si="37"/>
        <v>0.51555658340224064</v>
      </c>
    </row>
    <row r="635" spans="1:4">
      <c r="A635" s="1">
        <v>19191</v>
      </c>
      <c r="B635">
        <v>25.16</v>
      </c>
      <c r="C635">
        <f t="shared" si="38"/>
        <v>0</v>
      </c>
      <c r="D635">
        <f t="shared" si="37"/>
        <v>-3.29034969354682E-2</v>
      </c>
    </row>
    <row r="636" spans="1:4">
      <c r="A636" s="1">
        <v>19192</v>
      </c>
      <c r="B636">
        <v>25.05</v>
      </c>
      <c r="C636">
        <f t="shared" si="38"/>
        <v>-4.372019077901408E-3</v>
      </c>
      <c r="D636">
        <f t="shared" si="37"/>
        <v>-0.49458722544036543</v>
      </c>
    </row>
    <row r="637" spans="1:4">
      <c r="A637" s="1">
        <v>19193</v>
      </c>
      <c r="B637">
        <v>24.85</v>
      </c>
      <c r="C637">
        <f t="shared" si="38"/>
        <v>-7.9840319361277161E-3</v>
      </c>
      <c r="D637">
        <f t="shared" si="37"/>
        <v>-0.87601455548623808</v>
      </c>
    </row>
    <row r="638" spans="1:4">
      <c r="A638" s="1">
        <v>19196</v>
      </c>
      <c r="B638">
        <v>24.95</v>
      </c>
      <c r="C638">
        <f t="shared" si="38"/>
        <v>4.0241448692152054E-3</v>
      </c>
      <c r="D638">
        <f t="shared" si="37"/>
        <v>0.3920448333803549</v>
      </c>
    </row>
    <row r="639" spans="1:4">
      <c r="A639" s="1">
        <v>19197</v>
      </c>
      <c r="B639">
        <v>25</v>
      </c>
      <c r="C639">
        <f t="shared" si="38"/>
        <v>2.0040080160320926E-3</v>
      </c>
      <c r="D639">
        <f t="shared" si="37"/>
        <v>0.17871906836209855</v>
      </c>
    </row>
    <row r="640" spans="1:4">
      <c r="A640" s="1">
        <v>19198</v>
      </c>
      <c r="B640">
        <v>25.11</v>
      </c>
      <c r="C640">
        <f t="shared" si="38"/>
        <v>4.3999999999999768E-3</v>
      </c>
      <c r="D640">
        <f t="shared" si="37"/>
        <v>0.43173500743186027</v>
      </c>
    </row>
    <row r="641" spans="1:4">
      <c r="A641" s="1">
        <v>19199</v>
      </c>
      <c r="B641">
        <v>25.24</v>
      </c>
      <c r="C641">
        <f t="shared" si="38"/>
        <v>5.1772202309836321E-3</v>
      </c>
      <c r="D641">
        <f t="shared" si="37"/>
        <v>0.51380919963374139</v>
      </c>
    </row>
    <row r="642" spans="1:4">
      <c r="A642" s="1">
        <v>19200</v>
      </c>
      <c r="B642">
        <v>25.16</v>
      </c>
      <c r="C642">
        <f t="shared" si="38"/>
        <v>-3.1695721077653841E-3</v>
      </c>
      <c r="D642">
        <f t="shared" si="37"/>
        <v>-0.36760923412558566</v>
      </c>
    </row>
    <row r="643" spans="1:4">
      <c r="A643" s="1">
        <v>19203</v>
      </c>
      <c r="B643">
        <v>25.2</v>
      </c>
      <c r="C643">
        <f t="shared" si="38"/>
        <v>1.58982511923685E-3</v>
      </c>
      <c r="D643">
        <f t="shared" ref="D643:D706" si="39">(C643-avg)/sd</f>
        <v>0.13498149524812808</v>
      </c>
    </row>
    <row r="644" spans="1:4">
      <c r="A644" s="1">
        <v>19204</v>
      </c>
      <c r="B644">
        <v>25.26</v>
      </c>
      <c r="C644">
        <f t="shared" ref="C644:C707" si="40">(B644-B643)/B643</f>
        <v>2.3809523809524714E-3</v>
      </c>
      <c r="D644">
        <f t="shared" si="39"/>
        <v>0.21852426516807541</v>
      </c>
    </row>
    <row r="645" spans="1:4">
      <c r="A645" s="1">
        <v>19205</v>
      </c>
      <c r="B645">
        <v>25.37</v>
      </c>
      <c r="C645">
        <f t="shared" si="40"/>
        <v>4.3547110055423364E-3</v>
      </c>
      <c r="D645">
        <f t="shared" si="39"/>
        <v>0.42695250501161064</v>
      </c>
    </row>
    <row r="646" spans="1:4">
      <c r="A646" s="1">
        <v>19206</v>
      </c>
      <c r="B646">
        <v>25.4</v>
      </c>
      <c r="C646">
        <f t="shared" si="40"/>
        <v>1.1824990145840593E-3</v>
      </c>
      <c r="D646">
        <f t="shared" si="39"/>
        <v>9.1967997053663625E-2</v>
      </c>
    </row>
    <row r="647" spans="1:4">
      <c r="A647" s="1">
        <v>19207</v>
      </c>
      <c r="B647">
        <v>25.45</v>
      </c>
      <c r="C647">
        <f t="shared" si="40"/>
        <v>1.9685039370079022E-3</v>
      </c>
      <c r="D647">
        <f t="shared" si="39"/>
        <v>0.17496984968556689</v>
      </c>
    </row>
    <row r="648" spans="1:4">
      <c r="A648" s="1">
        <v>19210</v>
      </c>
      <c r="B648">
        <v>25.43</v>
      </c>
      <c r="C648">
        <f t="shared" si="40"/>
        <v>-7.8585461689585753E-4</v>
      </c>
      <c r="D648">
        <f t="shared" si="39"/>
        <v>-0.11588947735470755</v>
      </c>
    </row>
    <row r="649" spans="1:4">
      <c r="A649" s="1">
        <v>19211</v>
      </c>
      <c r="B649">
        <v>25.46</v>
      </c>
      <c r="C649">
        <f t="shared" si="40"/>
        <v>1.179709005112117E-3</v>
      </c>
      <c r="D649">
        <f t="shared" si="39"/>
        <v>9.1673373001796815E-2</v>
      </c>
    </row>
    <row r="650" spans="1:4">
      <c r="A650" s="1">
        <v>19212</v>
      </c>
      <c r="B650">
        <v>25.44</v>
      </c>
      <c r="C650">
        <f t="shared" si="40"/>
        <v>-7.8554595443831789E-4</v>
      </c>
      <c r="D650">
        <f t="shared" si="39"/>
        <v>-0.11585688270411082</v>
      </c>
    </row>
    <row r="651" spans="1:4">
      <c r="A651" s="1">
        <v>19213</v>
      </c>
      <c r="B651">
        <v>25.52</v>
      </c>
      <c r="C651">
        <f t="shared" si="40"/>
        <v>3.1446540880502474E-3</v>
      </c>
      <c r="D651">
        <f t="shared" si="39"/>
        <v>0.29917090584277728</v>
      </c>
    </row>
    <row r="652" spans="1:4">
      <c r="A652" s="1">
        <v>19214</v>
      </c>
      <c r="B652">
        <v>25.55</v>
      </c>
      <c r="C652">
        <f t="shared" si="40"/>
        <v>1.1755485893417373E-3</v>
      </c>
      <c r="D652">
        <f t="shared" si="39"/>
        <v>9.1234034510638745E-2</v>
      </c>
    </row>
    <row r="653" spans="1:4">
      <c r="A653" s="1">
        <v>19217</v>
      </c>
      <c r="B653">
        <v>25.52</v>
      </c>
      <c r="C653">
        <f t="shared" si="40"/>
        <v>-1.1741682974560131E-3</v>
      </c>
      <c r="D653">
        <f t="shared" si="39"/>
        <v>-0.15689527002762668</v>
      </c>
    </row>
    <row r="654" spans="1:4">
      <c r="A654" s="1">
        <v>19218</v>
      </c>
      <c r="B654">
        <v>25.31</v>
      </c>
      <c r="C654">
        <f t="shared" si="40"/>
        <v>-8.2288401253918838E-3</v>
      </c>
      <c r="D654">
        <f t="shared" si="39"/>
        <v>-0.90186621705818748</v>
      </c>
    </row>
    <row r="655" spans="1:4">
      <c r="A655" s="1">
        <v>19219</v>
      </c>
      <c r="B655">
        <v>25.28</v>
      </c>
      <c r="C655">
        <f t="shared" si="40"/>
        <v>-1.1853022520741836E-3</v>
      </c>
      <c r="D655">
        <f t="shared" si="39"/>
        <v>-0.15807101185069042</v>
      </c>
    </row>
    <row r="656" spans="1:4">
      <c r="A656" s="1">
        <v>19220</v>
      </c>
      <c r="B656">
        <v>25.28</v>
      </c>
      <c r="C656">
        <f t="shared" si="40"/>
        <v>0</v>
      </c>
      <c r="D656">
        <f t="shared" si="39"/>
        <v>-3.29034969354682E-2</v>
      </c>
    </row>
    <row r="657" spans="1:4">
      <c r="A657" s="1">
        <v>19221</v>
      </c>
      <c r="B657">
        <v>25.2</v>
      </c>
      <c r="C657">
        <f t="shared" si="40"/>
        <v>-3.1645569620253893E-3</v>
      </c>
      <c r="D657">
        <f t="shared" si="39"/>
        <v>-0.36707963644017305</v>
      </c>
    </row>
    <row r="658" spans="1:4">
      <c r="A658" s="1">
        <v>19224</v>
      </c>
      <c r="B658">
        <v>24.94</v>
      </c>
      <c r="C658">
        <f t="shared" si="40"/>
        <v>-1.0317460317460239E-2</v>
      </c>
      <c r="D658">
        <f t="shared" si="39"/>
        <v>-1.1224237993841075</v>
      </c>
    </row>
    <row r="659" spans="1:4">
      <c r="A659" s="1">
        <v>19225</v>
      </c>
      <c r="B659">
        <v>24.89</v>
      </c>
      <c r="C659">
        <f t="shared" si="40"/>
        <v>-2.0048115477145434E-3</v>
      </c>
      <c r="D659">
        <f t="shared" si="39"/>
        <v>-0.24461091490556805</v>
      </c>
    </row>
    <row r="660" spans="1:4">
      <c r="A660" s="1">
        <v>19226</v>
      </c>
      <c r="B660">
        <v>24.95</v>
      </c>
      <c r="C660">
        <f t="shared" si="40"/>
        <v>2.4106066693450673E-3</v>
      </c>
      <c r="D660">
        <f t="shared" si="39"/>
        <v>0.22165574794235116</v>
      </c>
    </row>
    <row r="661" spans="1:4">
      <c r="A661" s="1">
        <v>19227</v>
      </c>
      <c r="B661">
        <v>24.98</v>
      </c>
      <c r="C661">
        <f t="shared" si="40"/>
        <v>1.2024048096192842E-3</v>
      </c>
      <c r="D661">
        <f t="shared" si="39"/>
        <v>9.4070042243074872E-2</v>
      </c>
    </row>
    <row r="662" spans="1:4">
      <c r="A662" s="1">
        <v>19228</v>
      </c>
      <c r="B662">
        <v>24.99</v>
      </c>
      <c r="C662">
        <f t="shared" si="40"/>
        <v>4.0032025620488431E-4</v>
      </c>
      <c r="D662">
        <f t="shared" si="39"/>
        <v>9.3701860443009353E-3</v>
      </c>
    </row>
    <row r="663" spans="1:4">
      <c r="A663" s="1">
        <v>19231</v>
      </c>
      <c r="B663">
        <v>24.87</v>
      </c>
      <c r="C663">
        <f t="shared" si="40"/>
        <v>-4.8019207683072211E-3</v>
      </c>
      <c r="D663">
        <f t="shared" si="39"/>
        <v>-0.53998469781653458</v>
      </c>
    </row>
    <row r="664" spans="1:4">
      <c r="A664" s="1">
        <v>19232</v>
      </c>
      <c r="B664">
        <v>24.83</v>
      </c>
      <c r="C664">
        <f t="shared" si="40"/>
        <v>-1.6083634901488822E-3</v>
      </c>
      <c r="D664">
        <f t="shared" si="39"/>
        <v>-0.20274613478587661</v>
      </c>
    </row>
    <row r="665" spans="1:4">
      <c r="A665" s="1">
        <v>19233</v>
      </c>
      <c r="B665">
        <v>24.94</v>
      </c>
      <c r="C665">
        <f t="shared" si="40"/>
        <v>4.4301248489731371E-3</v>
      </c>
      <c r="D665">
        <f t="shared" si="39"/>
        <v>0.43491618124349229</v>
      </c>
    </row>
    <row r="666" spans="1:4">
      <c r="A666" s="1">
        <v>19234</v>
      </c>
      <c r="B666">
        <v>24.97</v>
      </c>
      <c r="C666">
        <f t="shared" si="40"/>
        <v>1.202886928628612E-3</v>
      </c>
      <c r="D666">
        <f t="shared" si="39"/>
        <v>9.4120953846579675E-2</v>
      </c>
    </row>
    <row r="667" spans="1:4">
      <c r="A667" s="1">
        <v>19235</v>
      </c>
      <c r="B667">
        <v>25.03</v>
      </c>
      <c r="C667">
        <f t="shared" si="40"/>
        <v>2.4028834601522737E-3</v>
      </c>
      <c r="D667">
        <f t="shared" si="39"/>
        <v>0.22084017967683853</v>
      </c>
    </row>
    <row r="668" spans="1:4">
      <c r="A668" s="1">
        <v>19239</v>
      </c>
      <c r="B668">
        <v>25.15</v>
      </c>
      <c r="C668">
        <f t="shared" si="40"/>
        <v>4.7942469037154387E-3</v>
      </c>
      <c r="D668">
        <f t="shared" si="39"/>
        <v>0.47336734645317918</v>
      </c>
    </row>
    <row r="669" spans="1:4">
      <c r="A669" s="1">
        <v>19240</v>
      </c>
      <c r="B669">
        <v>25.25</v>
      </c>
      <c r="C669">
        <f t="shared" si="40"/>
        <v>3.9761431411531383E-3</v>
      </c>
      <c r="D669">
        <f t="shared" si="39"/>
        <v>0.38697586721358079</v>
      </c>
    </row>
    <row r="670" spans="1:4">
      <c r="A670" s="1">
        <v>19241</v>
      </c>
      <c r="B670">
        <v>25.24</v>
      </c>
      <c r="C670">
        <f t="shared" si="40"/>
        <v>-3.9603960396045797E-4</v>
      </c>
      <c r="D670">
        <f t="shared" si="39"/>
        <v>-7.4725144493290305E-2</v>
      </c>
    </row>
    <row r="671" spans="1:4">
      <c r="A671" s="1">
        <v>19242</v>
      </c>
      <c r="B671">
        <v>25.21</v>
      </c>
      <c r="C671">
        <f t="shared" si="40"/>
        <v>-1.1885895404119488E-3</v>
      </c>
      <c r="D671">
        <f t="shared" si="39"/>
        <v>-0.15841814838175483</v>
      </c>
    </row>
    <row r="672" spans="1:4">
      <c r="A672" s="1">
        <v>19245</v>
      </c>
      <c r="B672">
        <v>25.11</v>
      </c>
      <c r="C672">
        <f t="shared" si="40"/>
        <v>-3.9666798889330191E-3</v>
      </c>
      <c r="D672">
        <f t="shared" si="39"/>
        <v>-0.45178354486678834</v>
      </c>
    </row>
    <row r="673" spans="1:4">
      <c r="A673" s="1">
        <v>19246</v>
      </c>
      <c r="B673">
        <v>24.86</v>
      </c>
      <c r="C673">
        <f t="shared" si="40"/>
        <v>-9.9561927518916765E-3</v>
      </c>
      <c r="D673">
        <f t="shared" si="39"/>
        <v>-1.0842740672608795</v>
      </c>
    </row>
    <row r="674" spans="1:4">
      <c r="A674" s="1">
        <v>19247</v>
      </c>
      <c r="B674">
        <v>24.69</v>
      </c>
      <c r="C674">
        <f t="shared" si="40"/>
        <v>-6.8382944489138436E-3</v>
      </c>
      <c r="D674">
        <f t="shared" si="39"/>
        <v>-0.75502506629154775</v>
      </c>
    </row>
    <row r="675" spans="1:4">
      <c r="A675" s="1">
        <v>19248</v>
      </c>
      <c r="B675">
        <v>24.72</v>
      </c>
      <c r="C675">
        <f t="shared" si="40"/>
        <v>1.2150668286754793E-3</v>
      </c>
      <c r="D675">
        <f t="shared" si="39"/>
        <v>9.5407147151379684E-2</v>
      </c>
    </row>
    <row r="676" spans="1:4">
      <c r="A676" s="1">
        <v>19249</v>
      </c>
      <c r="B676">
        <v>24.71</v>
      </c>
      <c r="C676">
        <f t="shared" si="40"/>
        <v>-4.045307443364891E-4</v>
      </c>
      <c r="D676">
        <f t="shared" si="39"/>
        <v>-7.5621806030720329E-2</v>
      </c>
    </row>
    <row r="677" spans="1:4">
      <c r="A677" s="1">
        <v>19252</v>
      </c>
      <c r="B677">
        <v>24.45</v>
      </c>
      <c r="C677">
        <f t="shared" si="40"/>
        <v>-1.0522055847834947E-2</v>
      </c>
      <c r="D677">
        <f t="shared" si="39"/>
        <v>-1.1440290178462769</v>
      </c>
    </row>
    <row r="678" spans="1:4">
      <c r="A678" s="1">
        <v>19253</v>
      </c>
      <c r="B678">
        <v>24.53</v>
      </c>
      <c r="C678">
        <f t="shared" si="40"/>
        <v>3.2719836400818751E-3</v>
      </c>
      <c r="D678">
        <f t="shared" si="39"/>
        <v>0.31261686325589949</v>
      </c>
    </row>
    <row r="679" spans="1:4">
      <c r="A679" s="1">
        <v>19254</v>
      </c>
      <c r="B679">
        <v>24.58</v>
      </c>
      <c r="C679">
        <f t="shared" si="40"/>
        <v>2.0383204239705324E-3</v>
      </c>
      <c r="D679">
        <f t="shared" si="39"/>
        <v>0.18234244697704366</v>
      </c>
    </row>
    <row r="680" spans="1:4">
      <c r="A680" s="1">
        <v>19255</v>
      </c>
      <c r="B680">
        <v>24.51</v>
      </c>
      <c r="C680">
        <f t="shared" si="40"/>
        <v>-2.8478437754270438E-3</v>
      </c>
      <c r="D680">
        <f t="shared" si="39"/>
        <v>-0.33363483159143065</v>
      </c>
    </row>
    <row r="681" spans="1:4">
      <c r="A681" s="1">
        <v>19256</v>
      </c>
      <c r="B681">
        <v>24.57</v>
      </c>
      <c r="C681">
        <f t="shared" si="40"/>
        <v>2.4479804161566185E-3</v>
      </c>
      <c r="D681">
        <f t="shared" si="39"/>
        <v>0.22560240290169717</v>
      </c>
    </row>
    <row r="682" spans="1:4">
      <c r="A682" s="1">
        <v>19259</v>
      </c>
      <c r="B682">
        <v>24.59</v>
      </c>
      <c r="C682">
        <f t="shared" si="40"/>
        <v>8.1400081400079662E-4</v>
      </c>
      <c r="D682">
        <f t="shared" si="39"/>
        <v>5.3054712330695454E-2</v>
      </c>
    </row>
    <row r="683" spans="1:4">
      <c r="A683" s="1">
        <v>19260</v>
      </c>
      <c r="B683">
        <v>24.7</v>
      </c>
      <c r="C683">
        <f t="shared" si="40"/>
        <v>4.4733631557543488E-3</v>
      </c>
      <c r="D683">
        <f t="shared" si="39"/>
        <v>0.43948213174217365</v>
      </c>
    </row>
    <row r="684" spans="1:4">
      <c r="A684" s="1">
        <v>19261</v>
      </c>
      <c r="B684">
        <v>24.79</v>
      </c>
      <c r="C684">
        <f t="shared" si="40"/>
        <v>3.6437246963562696E-3</v>
      </c>
      <c r="D684">
        <f t="shared" si="39"/>
        <v>0.35187259243755092</v>
      </c>
    </row>
    <row r="685" spans="1:4">
      <c r="A685" s="1">
        <v>19262</v>
      </c>
      <c r="B685">
        <v>24.81</v>
      </c>
      <c r="C685">
        <f t="shared" si="40"/>
        <v>8.0677692617989411E-4</v>
      </c>
      <c r="D685">
        <f t="shared" si="39"/>
        <v>5.2291872232326925E-2</v>
      </c>
    </row>
    <row r="686" spans="1:4">
      <c r="A686" s="1">
        <v>19263</v>
      </c>
      <c r="B686">
        <v>24.73</v>
      </c>
      <c r="C686">
        <f t="shared" si="40"/>
        <v>-3.2245062474807861E-3</v>
      </c>
      <c r="D686">
        <f t="shared" si="39"/>
        <v>-0.37341026060651072</v>
      </c>
    </row>
    <row r="687" spans="1:4">
      <c r="A687" s="1">
        <v>19266</v>
      </c>
      <c r="B687">
        <v>24.68</v>
      </c>
      <c r="C687">
        <f t="shared" si="40"/>
        <v>-2.0218358269308819E-3</v>
      </c>
      <c r="D687">
        <f t="shared" si="39"/>
        <v>-0.24640867300397973</v>
      </c>
    </row>
    <row r="688" spans="1:4">
      <c r="A688" s="1">
        <v>19267</v>
      </c>
      <c r="B688">
        <v>24.54</v>
      </c>
      <c r="C688">
        <f t="shared" si="40"/>
        <v>-5.6726094003241726E-3</v>
      </c>
      <c r="D688">
        <f t="shared" si="39"/>
        <v>-0.6319291213960786</v>
      </c>
    </row>
    <row r="689" spans="1:4">
      <c r="A689" s="1">
        <v>19268</v>
      </c>
      <c r="B689">
        <v>24.48</v>
      </c>
      <c r="C689">
        <f t="shared" si="40"/>
        <v>-2.4449877750610726E-3</v>
      </c>
      <c r="D689">
        <f t="shared" si="39"/>
        <v>-0.29109337489019205</v>
      </c>
    </row>
    <row r="690" spans="1:4">
      <c r="A690" s="1">
        <v>19269</v>
      </c>
      <c r="B690">
        <v>24.52</v>
      </c>
      <c r="C690">
        <f t="shared" si="40"/>
        <v>1.6339869281045403E-3</v>
      </c>
      <c r="D690">
        <f t="shared" si="39"/>
        <v>0.13964496725322798</v>
      </c>
    </row>
    <row r="691" spans="1:4">
      <c r="A691" s="1">
        <v>19270</v>
      </c>
      <c r="B691">
        <v>24.5</v>
      </c>
      <c r="C691">
        <f t="shared" si="40"/>
        <v>-8.1566068515495811E-4</v>
      </c>
      <c r="D691">
        <f t="shared" si="39"/>
        <v>-0.11903698803129369</v>
      </c>
    </row>
    <row r="692" spans="1:4">
      <c r="A692" s="1">
        <v>19273</v>
      </c>
      <c r="B692">
        <v>24.44</v>
      </c>
      <c r="C692">
        <f t="shared" si="40"/>
        <v>-2.4489795918366825E-3</v>
      </c>
      <c r="D692">
        <f t="shared" si="39"/>
        <v>-0.291514909384812</v>
      </c>
    </row>
    <row r="693" spans="1:4">
      <c r="A693" s="1">
        <v>19274</v>
      </c>
      <c r="B693">
        <v>24.4</v>
      </c>
      <c r="C693">
        <f t="shared" si="40"/>
        <v>-1.6366612111294067E-3</v>
      </c>
      <c r="D693">
        <f t="shared" si="39"/>
        <v>-0.20573436450255728</v>
      </c>
    </row>
    <row r="694" spans="1:4">
      <c r="A694" s="1">
        <v>19275</v>
      </c>
      <c r="B694">
        <v>24.58</v>
      </c>
      <c r="C694">
        <f t="shared" si="40"/>
        <v>7.3770491803278578E-3</v>
      </c>
      <c r="D694">
        <f t="shared" si="39"/>
        <v>0.74611038892630011</v>
      </c>
    </row>
    <row r="695" spans="1:4">
      <c r="A695" s="1">
        <v>19276</v>
      </c>
      <c r="B695">
        <v>24.57</v>
      </c>
      <c r="C695">
        <f t="shared" si="40"/>
        <v>-4.0683482506094433E-4</v>
      </c>
      <c r="D695">
        <f t="shared" si="39"/>
        <v>-7.5865116172027722E-2</v>
      </c>
    </row>
    <row r="696" spans="1:4">
      <c r="A696" s="1">
        <v>19277</v>
      </c>
      <c r="B696">
        <v>24.55</v>
      </c>
      <c r="C696">
        <f t="shared" si="40"/>
        <v>-8.1400081400079662E-4</v>
      </c>
      <c r="D696">
        <f t="shared" si="39"/>
        <v>-0.11886170620163186</v>
      </c>
    </row>
    <row r="697" spans="1:4">
      <c r="A697" s="1">
        <v>19281</v>
      </c>
      <c r="B697">
        <v>24.48</v>
      </c>
      <c r="C697">
        <f t="shared" si="40"/>
        <v>-2.8513238289205817E-3</v>
      </c>
      <c r="D697">
        <f t="shared" si="39"/>
        <v>-0.33400232405742059</v>
      </c>
    </row>
    <row r="698" spans="1:4">
      <c r="A698" s="1">
        <v>19282</v>
      </c>
      <c r="B698">
        <v>24.06</v>
      </c>
      <c r="C698">
        <f t="shared" si="40"/>
        <v>-1.715686274509811E-2</v>
      </c>
      <c r="D698">
        <f t="shared" si="39"/>
        <v>-1.8446623709168242</v>
      </c>
    </row>
    <row r="699" spans="1:4">
      <c r="A699" s="1">
        <v>19283</v>
      </c>
      <c r="B699">
        <v>23.91</v>
      </c>
      <c r="C699">
        <f t="shared" si="40"/>
        <v>-6.2344139650872231E-3</v>
      </c>
      <c r="D699">
        <f t="shared" si="39"/>
        <v>-0.69125549246840656</v>
      </c>
    </row>
    <row r="700" spans="1:4">
      <c r="A700" s="1">
        <v>19284</v>
      </c>
      <c r="B700">
        <v>24.2</v>
      </c>
      <c r="C700">
        <f t="shared" si="40"/>
        <v>1.2128816394813849E-2</v>
      </c>
      <c r="D700">
        <f t="shared" si="39"/>
        <v>1.2478953915718658</v>
      </c>
    </row>
    <row r="701" spans="1:4">
      <c r="A701" s="1">
        <v>19287</v>
      </c>
      <c r="B701">
        <v>24.13</v>
      </c>
      <c r="C701">
        <f t="shared" si="40"/>
        <v>-2.8925619834710863E-3</v>
      </c>
      <c r="D701">
        <f t="shared" si="39"/>
        <v>-0.33835705916042408</v>
      </c>
    </row>
    <row r="702" spans="1:4">
      <c r="A702" s="1">
        <v>19288</v>
      </c>
      <c r="B702">
        <v>24.07</v>
      </c>
      <c r="C702">
        <f t="shared" si="40"/>
        <v>-2.4865312888519985E-3</v>
      </c>
      <c r="D702">
        <f t="shared" si="39"/>
        <v>-0.29548035582518734</v>
      </c>
    </row>
    <row r="703" spans="1:4">
      <c r="A703" s="1">
        <v>19289</v>
      </c>
      <c r="B703">
        <v>23.8</v>
      </c>
      <c r="C703">
        <f t="shared" si="40"/>
        <v>-1.1217282924802641E-2</v>
      </c>
      <c r="D703">
        <f t="shared" si="39"/>
        <v>-1.2174447608548997</v>
      </c>
    </row>
    <row r="704" spans="1:4">
      <c r="A704" s="1">
        <v>19290</v>
      </c>
      <c r="B704">
        <v>23.87</v>
      </c>
      <c r="C704">
        <f t="shared" si="40"/>
        <v>2.941176470588247E-3</v>
      </c>
      <c r="D704">
        <f t="shared" si="39"/>
        <v>0.27768373860419276</v>
      </c>
    </row>
    <row r="705" spans="1:4">
      <c r="A705" s="1">
        <v>19291</v>
      </c>
      <c r="B705">
        <v>24.03</v>
      </c>
      <c r="C705">
        <f t="shared" si="40"/>
        <v>6.7029744449099348E-3</v>
      </c>
      <c r="D705">
        <f t="shared" si="39"/>
        <v>0.67492832599530284</v>
      </c>
    </row>
    <row r="706" spans="1:4">
      <c r="A706" s="1">
        <v>19294</v>
      </c>
      <c r="B706">
        <v>24.09</v>
      </c>
      <c r="C706">
        <f t="shared" si="40"/>
        <v>2.4968789013732301E-3</v>
      </c>
      <c r="D706">
        <f t="shared" si="39"/>
        <v>0.23076606631916866</v>
      </c>
    </row>
    <row r="707" spans="1:4">
      <c r="A707" s="1">
        <v>19295</v>
      </c>
      <c r="B707">
        <v>24.13</v>
      </c>
      <c r="C707">
        <f t="shared" si="40"/>
        <v>1.6604400166043648E-3</v>
      </c>
      <c r="D707">
        <f t="shared" ref="D707:D770" si="41">(C707-avg)/sd</f>
        <v>0.14243840440696778</v>
      </c>
    </row>
    <row r="708" spans="1:4">
      <c r="A708" s="1">
        <v>19296</v>
      </c>
      <c r="B708">
        <v>24.15</v>
      </c>
      <c r="C708">
        <f t="shared" ref="C708:C771" si="42">(B708-B707)/B707</f>
        <v>8.2884376295066619E-4</v>
      </c>
      <c r="D708">
        <f t="shared" si="41"/>
        <v>5.462212269443819E-2</v>
      </c>
    </row>
    <row r="709" spans="1:4">
      <c r="A709" s="1">
        <v>19297</v>
      </c>
      <c r="B709">
        <v>24.15</v>
      </c>
      <c r="C709">
        <f t="shared" si="42"/>
        <v>0</v>
      </c>
      <c r="D709">
        <f t="shared" si="41"/>
        <v>-3.29034969354682E-2</v>
      </c>
    </row>
    <row r="710" spans="1:4">
      <c r="A710" s="1">
        <v>19298</v>
      </c>
      <c r="B710">
        <v>24.52</v>
      </c>
      <c r="C710">
        <f t="shared" si="42"/>
        <v>1.5320910973084929E-2</v>
      </c>
      <c r="D710">
        <f t="shared" si="41"/>
        <v>1.5849794939916251</v>
      </c>
    </row>
    <row r="711" spans="1:4">
      <c r="A711" s="1">
        <v>19301</v>
      </c>
      <c r="B711">
        <v>24.6</v>
      </c>
      <c r="C711">
        <f t="shared" si="42"/>
        <v>3.2626427406199777E-3</v>
      </c>
      <c r="D711">
        <f t="shared" si="41"/>
        <v>0.31163046744784911</v>
      </c>
    </row>
    <row r="712" spans="1:4">
      <c r="A712" s="1">
        <v>19303</v>
      </c>
      <c r="B712">
        <v>24.67</v>
      </c>
      <c r="C712">
        <f t="shared" si="42"/>
        <v>2.8455284552845643E-3</v>
      </c>
      <c r="D712">
        <f t="shared" si="41"/>
        <v>0.26758334070046397</v>
      </c>
    </row>
    <row r="713" spans="1:4">
      <c r="A713" s="1">
        <v>19304</v>
      </c>
      <c r="B713">
        <v>24.77</v>
      </c>
      <c r="C713">
        <f t="shared" si="42"/>
        <v>4.0535062829346515E-3</v>
      </c>
      <c r="D713">
        <f t="shared" si="41"/>
        <v>0.39514538868869897</v>
      </c>
    </row>
    <row r="714" spans="1:4">
      <c r="A714" s="1">
        <v>19305</v>
      </c>
      <c r="B714">
        <v>24.78</v>
      </c>
      <c r="C714">
        <f t="shared" si="42"/>
        <v>4.0371417036744303E-4</v>
      </c>
      <c r="D714">
        <f t="shared" si="41"/>
        <v>9.7285822262196588E-3</v>
      </c>
    </row>
    <row r="715" spans="1:4">
      <c r="A715" s="1">
        <v>19308</v>
      </c>
      <c r="B715">
        <v>24.77</v>
      </c>
      <c r="C715">
        <f t="shared" si="42"/>
        <v>-4.0355125100894121E-4</v>
      </c>
      <c r="D715">
        <f t="shared" si="41"/>
        <v>-7.5518371868277243E-2</v>
      </c>
    </row>
    <row r="716" spans="1:4">
      <c r="A716" s="1">
        <v>19310</v>
      </c>
      <c r="B716">
        <v>24.65</v>
      </c>
      <c r="C716">
        <f t="shared" si="42"/>
        <v>-4.8445700444085986E-3</v>
      </c>
      <c r="D716">
        <f t="shared" si="41"/>
        <v>-0.54448844687564668</v>
      </c>
    </row>
    <row r="717" spans="1:4">
      <c r="A717" s="1">
        <v>19311</v>
      </c>
      <c r="B717">
        <v>24.71</v>
      </c>
      <c r="C717">
        <f t="shared" si="42"/>
        <v>2.4340770791075974E-3</v>
      </c>
      <c r="D717">
        <f t="shared" si="41"/>
        <v>0.22413421523529445</v>
      </c>
    </row>
    <row r="718" spans="1:4">
      <c r="A718" s="1">
        <v>19312</v>
      </c>
      <c r="B718">
        <v>24.75</v>
      </c>
      <c r="C718">
        <f t="shared" si="42"/>
        <v>1.6187778227437939E-3</v>
      </c>
      <c r="D718">
        <f t="shared" si="41"/>
        <v>0.13803889089695925</v>
      </c>
    </row>
    <row r="719" spans="1:4">
      <c r="A719" s="1">
        <v>19315</v>
      </c>
      <c r="B719">
        <v>24.8</v>
      </c>
      <c r="C719">
        <f t="shared" si="42"/>
        <v>2.0202020202020488E-3</v>
      </c>
      <c r="D719">
        <f t="shared" si="41"/>
        <v>0.18042914969783647</v>
      </c>
    </row>
    <row r="720" spans="1:4">
      <c r="A720" s="1">
        <v>19316</v>
      </c>
      <c r="B720">
        <v>25.16</v>
      </c>
      <c r="C720">
        <f t="shared" si="42"/>
        <v>1.4516129032258041E-2</v>
      </c>
      <c r="D720">
        <f t="shared" si="41"/>
        <v>1.4999947945989789</v>
      </c>
    </row>
    <row r="721" spans="1:4">
      <c r="A721" s="1">
        <v>19317</v>
      </c>
      <c r="B721">
        <v>25.33</v>
      </c>
      <c r="C721">
        <f t="shared" si="42"/>
        <v>6.7567567567566834E-3</v>
      </c>
      <c r="D721">
        <f t="shared" si="41"/>
        <v>0.68060771984482338</v>
      </c>
    </row>
    <row r="722" spans="1:4">
      <c r="A722" s="1">
        <v>19318</v>
      </c>
      <c r="B722">
        <v>25.28</v>
      </c>
      <c r="C722">
        <f t="shared" si="42"/>
        <v>-1.9739439399919919E-3</v>
      </c>
      <c r="D722">
        <f t="shared" si="41"/>
        <v>-0.24135130602247629</v>
      </c>
    </row>
    <row r="723" spans="1:4">
      <c r="A723" s="1">
        <v>19319</v>
      </c>
      <c r="B723">
        <v>25.27</v>
      </c>
      <c r="C723">
        <f t="shared" si="42"/>
        <v>-3.9556962025322635E-4</v>
      </c>
      <c r="D723">
        <f t="shared" si="41"/>
        <v>-7.4675514373561874E-2</v>
      </c>
    </row>
    <row r="724" spans="1:4">
      <c r="A724" s="1">
        <v>19322</v>
      </c>
      <c r="B724">
        <v>25.42</v>
      </c>
      <c r="C724">
        <f t="shared" si="42"/>
        <v>5.9358923624852448E-3</v>
      </c>
      <c r="D724">
        <f t="shared" si="41"/>
        <v>0.59392471883512421</v>
      </c>
    </row>
    <row r="725" spans="1:4">
      <c r="A725" s="1">
        <v>19323</v>
      </c>
      <c r="B725">
        <v>25.36</v>
      </c>
      <c r="C725">
        <f t="shared" si="42"/>
        <v>-2.3603461841070917E-3</v>
      </c>
      <c r="D725">
        <f t="shared" si="41"/>
        <v>-0.28215525165652633</v>
      </c>
    </row>
    <row r="726" spans="1:4">
      <c r="A726" s="1">
        <v>19324</v>
      </c>
      <c r="B726">
        <v>25.52</v>
      </c>
      <c r="C726">
        <f t="shared" si="42"/>
        <v>6.309148264984233E-3</v>
      </c>
      <c r="D726">
        <f t="shared" si="41"/>
        <v>0.63334041526317153</v>
      </c>
    </row>
    <row r="727" spans="1:4">
      <c r="A727" s="1">
        <v>19326</v>
      </c>
      <c r="B727">
        <v>25.66</v>
      </c>
      <c r="C727">
        <f t="shared" si="42"/>
        <v>5.4858934169279222E-3</v>
      </c>
      <c r="D727">
        <f t="shared" si="41"/>
        <v>0.54640498314634456</v>
      </c>
    </row>
    <row r="728" spans="1:4">
      <c r="A728" s="1">
        <v>19329</v>
      </c>
      <c r="B728">
        <v>25.68</v>
      </c>
      <c r="C728">
        <f t="shared" si="42"/>
        <v>7.7942322681214243E-4</v>
      </c>
      <c r="D728">
        <f t="shared" si="41"/>
        <v>4.9403330877066533E-2</v>
      </c>
    </row>
    <row r="729" spans="1:4">
      <c r="A729" s="1">
        <v>19330</v>
      </c>
      <c r="B729">
        <v>25.74</v>
      </c>
      <c r="C729">
        <f t="shared" si="42"/>
        <v>2.3364485981307915E-3</v>
      </c>
      <c r="D729">
        <f t="shared" si="41"/>
        <v>0.21382468082967682</v>
      </c>
    </row>
    <row r="730" spans="1:4">
      <c r="A730" s="1">
        <v>19331</v>
      </c>
      <c r="B730">
        <v>25.71</v>
      </c>
      <c r="C730">
        <f t="shared" si="42"/>
        <v>-1.1655011655010716E-3</v>
      </c>
      <c r="D730">
        <f t="shared" si="41"/>
        <v>-0.15598002383928614</v>
      </c>
    </row>
    <row r="731" spans="1:4">
      <c r="A731" s="1">
        <v>19332</v>
      </c>
      <c r="B731">
        <v>25.61</v>
      </c>
      <c r="C731">
        <f t="shared" si="42"/>
        <v>-3.8895371450797908E-3</v>
      </c>
      <c r="D731">
        <f t="shared" si="41"/>
        <v>-0.44363729733798007</v>
      </c>
    </row>
    <row r="732" spans="1:4">
      <c r="A732" s="1">
        <v>19333</v>
      </c>
      <c r="B732">
        <v>25.62</v>
      </c>
      <c r="C732">
        <f t="shared" si="42"/>
        <v>3.9047247169080685E-4</v>
      </c>
      <c r="D732">
        <f t="shared" si="41"/>
        <v>8.3302633470389541E-3</v>
      </c>
    </row>
    <row r="733" spans="1:4">
      <c r="A733" s="1">
        <v>19336</v>
      </c>
      <c r="B733">
        <v>25.76</v>
      </c>
      <c r="C733">
        <f t="shared" si="42"/>
        <v>5.4644808743169616E-3</v>
      </c>
      <c r="D733">
        <f t="shared" si="41"/>
        <v>0.54414382592510402</v>
      </c>
    </row>
    <row r="734" spans="1:4">
      <c r="A734" s="1">
        <v>19337</v>
      </c>
      <c r="B734">
        <v>25.93</v>
      </c>
      <c r="C734">
        <f t="shared" si="42"/>
        <v>6.5993788819875051E-3</v>
      </c>
      <c r="D734">
        <f t="shared" si="41"/>
        <v>0.66398866976453697</v>
      </c>
    </row>
    <row r="735" spans="1:4">
      <c r="A735" s="1">
        <v>19338</v>
      </c>
      <c r="B735">
        <v>25.98</v>
      </c>
      <c r="C735">
        <f t="shared" si="42"/>
        <v>1.9282684149633904E-3</v>
      </c>
      <c r="D735">
        <f t="shared" si="41"/>
        <v>0.17072099223438489</v>
      </c>
    </row>
    <row r="736" spans="1:4">
      <c r="A736" s="1">
        <v>19339</v>
      </c>
      <c r="B736">
        <v>25.96</v>
      </c>
      <c r="C736">
        <f t="shared" si="42"/>
        <v>-7.6982294072361714E-4</v>
      </c>
      <c r="D736">
        <f t="shared" si="41"/>
        <v>-0.11419653780035045</v>
      </c>
    </row>
    <row r="737" spans="1:4">
      <c r="A737" s="1">
        <v>19340</v>
      </c>
      <c r="B737">
        <v>26.04</v>
      </c>
      <c r="C737">
        <f t="shared" si="42"/>
        <v>3.0816640986131853E-3</v>
      </c>
      <c r="D737">
        <f t="shared" si="41"/>
        <v>0.29251918436956126</v>
      </c>
    </row>
    <row r="738" spans="1:4">
      <c r="A738" s="1">
        <v>19343</v>
      </c>
      <c r="B738">
        <v>26.04</v>
      </c>
      <c r="C738">
        <f t="shared" si="42"/>
        <v>0</v>
      </c>
      <c r="D738">
        <f t="shared" si="41"/>
        <v>-3.29034969354682E-2</v>
      </c>
    </row>
    <row r="739" spans="1:4">
      <c r="A739" s="1">
        <v>19344</v>
      </c>
      <c r="B739">
        <v>26.07</v>
      </c>
      <c r="C739">
        <f t="shared" si="42"/>
        <v>1.1520737327189378E-3</v>
      </c>
      <c r="D739">
        <f t="shared" si="41"/>
        <v>8.87550976307626E-2</v>
      </c>
    </row>
    <row r="740" spans="1:4">
      <c r="A740" s="1">
        <v>19345</v>
      </c>
      <c r="B740">
        <v>26.04</v>
      </c>
      <c r="C740">
        <f t="shared" si="42"/>
        <v>-1.1507479861910678E-3</v>
      </c>
      <c r="D740">
        <f t="shared" si="41"/>
        <v>-0.15442209311899904</v>
      </c>
    </row>
    <row r="741" spans="1:4">
      <c r="A741" s="1">
        <v>19346</v>
      </c>
      <c r="B741">
        <v>26.03</v>
      </c>
      <c r="C741">
        <f t="shared" si="42"/>
        <v>-3.8402457757288829E-4</v>
      </c>
      <c r="D741">
        <f t="shared" si="41"/>
        <v>-7.3456361790868854E-2</v>
      </c>
    </row>
    <row r="742" spans="1:4">
      <c r="A742" s="1">
        <v>19347</v>
      </c>
      <c r="B742">
        <v>26.15</v>
      </c>
      <c r="C742">
        <f t="shared" si="42"/>
        <v>4.6100653092584496E-3</v>
      </c>
      <c r="D742">
        <f t="shared" si="41"/>
        <v>0.453917832684887</v>
      </c>
    </row>
    <row r="743" spans="1:4">
      <c r="A743" s="1">
        <v>19350</v>
      </c>
      <c r="B743">
        <v>26.3</v>
      </c>
      <c r="C743">
        <f t="shared" si="42"/>
        <v>5.7361376673040971E-3</v>
      </c>
      <c r="D743">
        <f t="shared" si="41"/>
        <v>0.57283069092391503</v>
      </c>
    </row>
    <row r="744" spans="1:4">
      <c r="A744" s="1">
        <v>19351</v>
      </c>
      <c r="B744">
        <v>26.19</v>
      </c>
      <c r="C744">
        <f t="shared" si="42"/>
        <v>-4.1825095057034002E-3</v>
      </c>
      <c r="D744">
        <f t="shared" si="41"/>
        <v>-0.47457507903368928</v>
      </c>
    </row>
    <row r="745" spans="1:4">
      <c r="A745" s="1">
        <v>19352</v>
      </c>
      <c r="B745">
        <v>26.21</v>
      </c>
      <c r="C745">
        <f t="shared" si="42"/>
        <v>7.6365024818631432E-4</v>
      </c>
      <c r="D745">
        <f t="shared" si="41"/>
        <v>4.7737709695675021E-2</v>
      </c>
    </row>
    <row r="746" spans="1:4">
      <c r="A746" s="1">
        <v>19354</v>
      </c>
      <c r="B746">
        <v>26.25</v>
      </c>
      <c r="C746">
        <f t="shared" si="42"/>
        <v>1.5261350629530387E-3</v>
      </c>
      <c r="D746">
        <f t="shared" si="41"/>
        <v>0.12825584695385961</v>
      </c>
    </row>
    <row r="747" spans="1:4">
      <c r="A747" s="1">
        <v>19357</v>
      </c>
      <c r="B747">
        <v>26.4</v>
      </c>
      <c r="C747">
        <f t="shared" si="42"/>
        <v>5.7142857142856605E-3</v>
      </c>
      <c r="D747">
        <f t="shared" si="41"/>
        <v>0.57052313211300787</v>
      </c>
    </row>
    <row r="748" spans="1:4">
      <c r="A748" s="1">
        <v>19358</v>
      </c>
      <c r="B748">
        <v>26.59</v>
      </c>
      <c r="C748">
        <f t="shared" si="42"/>
        <v>7.1969696969697459E-3</v>
      </c>
      <c r="D748">
        <f t="shared" si="41"/>
        <v>0.72709405669567395</v>
      </c>
    </row>
    <row r="749" spans="1:4">
      <c r="A749" s="1">
        <v>19359</v>
      </c>
      <c r="B749">
        <v>26.57</v>
      </c>
      <c r="C749">
        <f t="shared" si="42"/>
        <v>-7.52162467092876E-4</v>
      </c>
      <c r="D749">
        <f t="shared" si="41"/>
        <v>-0.11233159778803085</v>
      </c>
    </row>
    <row r="750" spans="1:4">
      <c r="A750" s="1">
        <v>19361</v>
      </c>
      <c r="B750">
        <v>26.54</v>
      </c>
      <c r="C750">
        <f t="shared" si="42"/>
        <v>-1.1290929619872463E-3</v>
      </c>
      <c r="D750">
        <f t="shared" si="41"/>
        <v>-0.15213532992397588</v>
      </c>
    </row>
    <row r="751" spans="1:4">
      <c r="A751" s="1">
        <v>19364</v>
      </c>
      <c r="B751">
        <v>26.66</v>
      </c>
      <c r="C751">
        <f t="shared" si="42"/>
        <v>4.5214770158252069E-3</v>
      </c>
      <c r="D751">
        <f t="shared" si="41"/>
        <v>0.44456293901096061</v>
      </c>
    </row>
    <row r="752" spans="1:4">
      <c r="A752" s="1">
        <v>19365</v>
      </c>
      <c r="B752">
        <v>26.48</v>
      </c>
      <c r="C752">
        <f t="shared" si="42"/>
        <v>-6.7516879219804843E-3</v>
      </c>
      <c r="D752">
        <f t="shared" si="41"/>
        <v>-0.74587944648637394</v>
      </c>
    </row>
    <row r="753" spans="1:4">
      <c r="A753" s="1">
        <v>19366</v>
      </c>
      <c r="B753">
        <v>26.37</v>
      </c>
      <c r="C753">
        <f t="shared" si="42"/>
        <v>-4.154078549848921E-3</v>
      </c>
      <c r="D753">
        <f t="shared" si="41"/>
        <v>-0.47157277975960771</v>
      </c>
    </row>
    <row r="754" spans="1:4">
      <c r="A754" s="1">
        <v>19367</v>
      </c>
      <c r="B754">
        <v>26.33</v>
      </c>
      <c r="C754">
        <f t="shared" si="42"/>
        <v>-1.5168752370118581E-3</v>
      </c>
      <c r="D754">
        <f t="shared" si="41"/>
        <v>-0.1930850063529751</v>
      </c>
    </row>
    <row r="755" spans="1:4">
      <c r="A755" s="1">
        <v>19368</v>
      </c>
      <c r="B755">
        <v>26.08</v>
      </c>
      <c r="C755">
        <f t="shared" si="42"/>
        <v>-9.4948727687048998E-3</v>
      </c>
      <c r="D755">
        <f t="shared" si="41"/>
        <v>-1.0355588338466371</v>
      </c>
    </row>
    <row r="756" spans="1:4">
      <c r="A756" s="1">
        <v>19371</v>
      </c>
      <c r="B756">
        <v>25.86</v>
      </c>
      <c r="C756">
        <f t="shared" si="42"/>
        <v>-8.4355828220858461E-3</v>
      </c>
      <c r="D756">
        <f t="shared" si="41"/>
        <v>-0.92369817555381273</v>
      </c>
    </row>
    <row r="757" spans="1:4">
      <c r="A757" s="1">
        <v>19372</v>
      </c>
      <c r="B757">
        <v>26.02</v>
      </c>
      <c r="C757">
        <f t="shared" si="42"/>
        <v>6.18716163959784E-3</v>
      </c>
      <c r="D757">
        <f t="shared" si="41"/>
        <v>0.62045866908763714</v>
      </c>
    </row>
    <row r="758" spans="1:4">
      <c r="A758" s="1">
        <v>19373</v>
      </c>
      <c r="B758">
        <v>26.08</v>
      </c>
      <c r="C758">
        <f t="shared" si="42"/>
        <v>2.3059185242120953E-3</v>
      </c>
      <c r="D758">
        <f t="shared" si="41"/>
        <v>0.21060071540153885</v>
      </c>
    </row>
    <row r="759" spans="1:4">
      <c r="A759" s="1">
        <v>19374</v>
      </c>
      <c r="B759">
        <v>26.13</v>
      </c>
      <c r="C759">
        <f t="shared" si="42"/>
        <v>1.9171779141104568E-3</v>
      </c>
      <c r="D759">
        <f t="shared" si="41"/>
        <v>0.16954983911415952</v>
      </c>
    </row>
    <row r="760" spans="1:4">
      <c r="A760" s="1">
        <v>19375</v>
      </c>
      <c r="B760">
        <v>26.02</v>
      </c>
      <c r="C760">
        <f t="shared" si="42"/>
        <v>-4.209720627631054E-3</v>
      </c>
      <c r="D760">
        <f t="shared" si="41"/>
        <v>-0.47744856425973975</v>
      </c>
    </row>
    <row r="761" spans="1:4">
      <c r="A761" s="1">
        <v>19378</v>
      </c>
      <c r="B761">
        <v>26.01</v>
      </c>
      <c r="C761">
        <f t="shared" si="42"/>
        <v>-3.8431975403528098E-4</v>
      </c>
      <c r="D761">
        <f t="shared" si="41"/>
        <v>-7.3487532324962163E-2</v>
      </c>
    </row>
    <row r="762" spans="1:4">
      <c r="A762" s="1">
        <v>19379</v>
      </c>
      <c r="B762">
        <v>26.14</v>
      </c>
      <c r="C762">
        <f t="shared" si="42"/>
        <v>4.9980776624374851E-3</v>
      </c>
      <c r="D762">
        <f t="shared" si="41"/>
        <v>0.49489180528878601</v>
      </c>
    </row>
    <row r="763" spans="1:4">
      <c r="A763" s="1">
        <v>19380</v>
      </c>
      <c r="B763">
        <v>26.09</v>
      </c>
      <c r="C763">
        <f t="shared" si="42"/>
        <v>-1.912777352716171E-3</v>
      </c>
      <c r="D763">
        <f t="shared" si="41"/>
        <v>-0.23489213519768282</v>
      </c>
    </row>
    <row r="764" spans="1:4">
      <c r="A764" s="1">
        <v>19381</v>
      </c>
      <c r="B764">
        <v>26.12</v>
      </c>
      <c r="C764">
        <f t="shared" si="42"/>
        <v>1.1498658489843287E-3</v>
      </c>
      <c r="D764">
        <f t="shared" si="41"/>
        <v>8.8521945858884024E-2</v>
      </c>
    </row>
    <row r="765" spans="1:4">
      <c r="A765" s="1">
        <v>19382</v>
      </c>
      <c r="B765">
        <v>26.07</v>
      </c>
      <c r="C765">
        <f t="shared" si="42"/>
        <v>-1.9142419601837944E-3</v>
      </c>
      <c r="D765">
        <f t="shared" si="41"/>
        <v>-0.23504679724841959</v>
      </c>
    </row>
    <row r="766" spans="1:4">
      <c r="A766" s="1">
        <v>19385</v>
      </c>
      <c r="B766">
        <v>26.02</v>
      </c>
      <c r="C766">
        <f t="shared" si="42"/>
        <v>-1.9179133103184008E-3</v>
      </c>
      <c r="D766">
        <f t="shared" si="41"/>
        <v>-0.23543449057468149</v>
      </c>
    </row>
    <row r="767" spans="1:4">
      <c r="A767" s="1">
        <v>19386</v>
      </c>
      <c r="B767">
        <v>26.05</v>
      </c>
      <c r="C767">
        <f t="shared" si="42"/>
        <v>1.1529592621061159E-3</v>
      </c>
      <c r="D767">
        <f t="shared" si="41"/>
        <v>8.8848609233042539E-2</v>
      </c>
    </row>
    <row r="768" spans="1:4">
      <c r="A768" s="1">
        <v>19387</v>
      </c>
      <c r="B768">
        <v>26.13</v>
      </c>
      <c r="C768">
        <f t="shared" si="42"/>
        <v>3.0710172744721036E-3</v>
      </c>
      <c r="D768">
        <f t="shared" si="41"/>
        <v>0.29139488335929437</v>
      </c>
    </row>
    <row r="769" spans="1:4">
      <c r="A769" s="1">
        <v>19388</v>
      </c>
      <c r="B769">
        <v>26.2</v>
      </c>
      <c r="C769">
        <f t="shared" si="42"/>
        <v>2.6789131266743318E-3</v>
      </c>
      <c r="D769">
        <f t="shared" si="41"/>
        <v>0.24998881863452538</v>
      </c>
    </row>
    <row r="770" spans="1:4">
      <c r="A770" s="1">
        <v>19389</v>
      </c>
      <c r="B770">
        <v>26.38</v>
      </c>
      <c r="C770">
        <f t="shared" si="42"/>
        <v>6.8702290076335772E-3</v>
      </c>
      <c r="D770">
        <f t="shared" si="41"/>
        <v>0.69259035096633126</v>
      </c>
    </row>
    <row r="771" spans="1:4">
      <c r="A771" s="1">
        <v>19392</v>
      </c>
      <c r="B771">
        <v>26.51</v>
      </c>
      <c r="C771">
        <f t="shared" si="42"/>
        <v>4.9279757391964578E-3</v>
      </c>
      <c r="D771">
        <f t="shared" ref="D771:D834" si="43">(C771-avg)/sd</f>
        <v>0.48748906602333503</v>
      </c>
    </row>
    <row r="772" spans="1:4">
      <c r="A772" s="1">
        <v>19393</v>
      </c>
      <c r="B772">
        <v>26.54</v>
      </c>
      <c r="C772">
        <f t="shared" ref="C772:C835" si="44">(B772-B771)/B771</f>
        <v>1.1316484345529076E-3</v>
      </c>
      <c r="D772">
        <f t="shared" si="43"/>
        <v>8.6598193087325984E-2</v>
      </c>
    </row>
    <row r="773" spans="1:4">
      <c r="A773" s="1">
        <v>19394</v>
      </c>
      <c r="B773">
        <v>26.42</v>
      </c>
      <c r="C773">
        <f t="shared" si="44"/>
        <v>-4.5214770158250733E-3</v>
      </c>
      <c r="D773">
        <f t="shared" si="43"/>
        <v>-0.51036993288188293</v>
      </c>
    </row>
    <row r="774" spans="1:4">
      <c r="A774" s="1">
        <v>19395</v>
      </c>
      <c r="B774">
        <v>26.15</v>
      </c>
      <c r="C774">
        <f t="shared" si="44"/>
        <v>-1.0219530658592093E-2</v>
      </c>
      <c r="D774">
        <f t="shared" si="43"/>
        <v>-1.1120824606955397</v>
      </c>
    </row>
    <row r="775" spans="1:4">
      <c r="A775" s="1">
        <v>19396</v>
      </c>
      <c r="B775">
        <v>26.51</v>
      </c>
      <c r="C775">
        <f t="shared" si="44"/>
        <v>1.3766730401529752E-2</v>
      </c>
      <c r="D775">
        <f t="shared" si="43"/>
        <v>1.4208585539270431</v>
      </c>
    </row>
    <row r="776" spans="1:4">
      <c r="A776" s="1">
        <v>19399</v>
      </c>
      <c r="B776">
        <v>25.69</v>
      </c>
      <c r="C776">
        <f t="shared" si="44"/>
        <v>-3.0931723877781977E-2</v>
      </c>
      <c r="D776">
        <f t="shared" si="43"/>
        <v>-3.2992830242254403</v>
      </c>
    </row>
    <row r="777" spans="1:4">
      <c r="A777" s="1">
        <v>19400</v>
      </c>
      <c r="B777">
        <v>25.62</v>
      </c>
      <c r="C777">
        <f t="shared" si="44"/>
        <v>-2.7247956403269862E-3</v>
      </c>
      <c r="D777">
        <f t="shared" si="43"/>
        <v>-0.32064099035095789</v>
      </c>
    </row>
    <row r="778" spans="1:4">
      <c r="A778" s="1">
        <v>19401</v>
      </c>
      <c r="B778">
        <v>25.64</v>
      </c>
      <c r="C778">
        <f t="shared" si="44"/>
        <v>7.8064012490240329E-4</v>
      </c>
      <c r="D778">
        <f t="shared" si="43"/>
        <v>4.9531834901754321E-2</v>
      </c>
    </row>
    <row r="779" spans="1:4">
      <c r="A779" s="1">
        <v>19403</v>
      </c>
      <c r="B779">
        <v>25.74</v>
      </c>
      <c r="C779">
        <f t="shared" si="44"/>
        <v>3.9001560062401665E-3</v>
      </c>
      <c r="D779">
        <f t="shared" si="43"/>
        <v>0.3789516515960531</v>
      </c>
    </row>
    <row r="780" spans="1:4">
      <c r="A780" s="1">
        <v>19406</v>
      </c>
      <c r="B780">
        <v>25.65</v>
      </c>
      <c r="C780">
        <f t="shared" si="44"/>
        <v>-3.4965034965034913E-3</v>
      </c>
      <c r="D780">
        <f t="shared" si="43"/>
        <v>-0.40213307764695122</v>
      </c>
    </row>
    <row r="781" spans="1:4">
      <c r="A781" s="1">
        <v>19407</v>
      </c>
      <c r="B781">
        <v>25.5</v>
      </c>
      <c r="C781">
        <f t="shared" si="44"/>
        <v>-5.847953216374214E-3</v>
      </c>
      <c r="D781">
        <f t="shared" si="43"/>
        <v>-0.65044536876870396</v>
      </c>
    </row>
    <row r="782" spans="1:4">
      <c r="A782" s="1">
        <v>19408</v>
      </c>
      <c r="B782">
        <v>25.48</v>
      </c>
      <c r="C782">
        <f t="shared" si="44"/>
        <v>-7.8431372549017935E-4</v>
      </c>
      <c r="D782">
        <f t="shared" si="43"/>
        <v>-0.11572675974604237</v>
      </c>
    </row>
    <row r="783" spans="1:4">
      <c r="A783" s="1">
        <v>19409</v>
      </c>
      <c r="B783">
        <v>25.57</v>
      </c>
      <c r="C783">
        <f t="shared" si="44"/>
        <v>3.5321821036106696E-3</v>
      </c>
      <c r="D783">
        <f t="shared" si="43"/>
        <v>0.34009373255878506</v>
      </c>
    </row>
    <row r="784" spans="1:4">
      <c r="A784" s="1">
        <v>19410</v>
      </c>
      <c r="B784">
        <v>25.63</v>
      </c>
      <c r="C784">
        <f t="shared" si="44"/>
        <v>2.3464998044582996E-3</v>
      </c>
      <c r="D784">
        <f t="shared" si="43"/>
        <v>0.21488608480129065</v>
      </c>
    </row>
    <row r="785" spans="1:4">
      <c r="A785" s="1">
        <v>19414</v>
      </c>
      <c r="B785">
        <v>25.75</v>
      </c>
      <c r="C785">
        <f t="shared" si="44"/>
        <v>4.6820132657042915E-3</v>
      </c>
      <c r="D785">
        <f t="shared" si="43"/>
        <v>0.46151551242926925</v>
      </c>
    </row>
    <row r="786" spans="1:4">
      <c r="A786" s="1">
        <v>19415</v>
      </c>
      <c r="B786">
        <v>25.91</v>
      </c>
      <c r="C786">
        <f t="shared" si="44"/>
        <v>6.2135922330097144E-3</v>
      </c>
      <c r="D786">
        <f t="shared" si="43"/>
        <v>0.62324973076773582</v>
      </c>
    </row>
    <row r="787" spans="1:4">
      <c r="A787" s="1">
        <v>19416</v>
      </c>
      <c r="B787">
        <v>25.95</v>
      </c>
      <c r="C787">
        <f t="shared" si="44"/>
        <v>1.5438054805094229E-3</v>
      </c>
      <c r="D787">
        <f t="shared" si="43"/>
        <v>0.13012183704134703</v>
      </c>
    </row>
    <row r="788" spans="1:4">
      <c r="A788" s="1">
        <v>19417</v>
      </c>
      <c r="B788">
        <v>25.9</v>
      </c>
      <c r="C788">
        <f t="shared" si="44"/>
        <v>-1.9267822736031104E-3</v>
      </c>
      <c r="D788">
        <f t="shared" si="43"/>
        <v>-0.23637105008283971</v>
      </c>
    </row>
    <row r="789" spans="1:4">
      <c r="A789" s="1">
        <v>19420</v>
      </c>
      <c r="B789">
        <v>25.93</v>
      </c>
      <c r="C789">
        <f t="shared" si="44"/>
        <v>1.1583011583012023E-3</v>
      </c>
      <c r="D789">
        <f t="shared" si="43"/>
        <v>8.9412711655444913E-2</v>
      </c>
    </row>
    <row r="790" spans="1:4">
      <c r="A790" s="1">
        <v>19421</v>
      </c>
      <c r="B790">
        <v>26</v>
      </c>
      <c r="C790">
        <f t="shared" si="44"/>
        <v>2.699575780948719E-3</v>
      </c>
      <c r="D790">
        <f t="shared" si="43"/>
        <v>0.25217078790232322</v>
      </c>
    </row>
    <row r="791" spans="1:4">
      <c r="A791" s="1">
        <v>19422</v>
      </c>
      <c r="B791">
        <v>25.78</v>
      </c>
      <c r="C791">
        <f t="shared" si="44"/>
        <v>-8.4615384615384179E-3</v>
      </c>
      <c r="D791">
        <f t="shared" si="43"/>
        <v>-0.9264390822572538</v>
      </c>
    </row>
    <row r="792" spans="1:4">
      <c r="A792" s="1">
        <v>19423</v>
      </c>
      <c r="B792">
        <v>25.79</v>
      </c>
      <c r="C792">
        <f t="shared" si="44"/>
        <v>3.8789759503483358E-4</v>
      </c>
      <c r="D792">
        <f t="shared" si="43"/>
        <v>8.0583572474112793E-3</v>
      </c>
    </row>
    <row r="793" spans="1:4">
      <c r="A793" s="1">
        <v>19424</v>
      </c>
      <c r="B793">
        <v>25.84</v>
      </c>
      <c r="C793">
        <f t="shared" si="44"/>
        <v>1.9387359441644324E-3</v>
      </c>
      <c r="D793">
        <f t="shared" si="43"/>
        <v>0.17182635975992888</v>
      </c>
    </row>
    <row r="794" spans="1:4">
      <c r="A794" s="1">
        <v>19427</v>
      </c>
      <c r="B794">
        <v>25.83</v>
      </c>
      <c r="C794">
        <f t="shared" si="44"/>
        <v>-3.8699690402482832E-4</v>
      </c>
      <c r="D794">
        <f t="shared" si="43"/>
        <v>-7.3770238453850875E-2</v>
      </c>
    </row>
    <row r="795" spans="1:4">
      <c r="A795" s="1">
        <v>19428</v>
      </c>
      <c r="B795">
        <v>25.91</v>
      </c>
      <c r="C795">
        <f t="shared" si="44"/>
        <v>3.0971738288812175E-3</v>
      </c>
      <c r="D795">
        <f t="shared" si="43"/>
        <v>0.29415700661385197</v>
      </c>
    </row>
    <row r="796" spans="1:4">
      <c r="A796" s="1">
        <v>19429</v>
      </c>
      <c r="B796">
        <v>26.12</v>
      </c>
      <c r="C796">
        <f t="shared" si="44"/>
        <v>8.1049787726746765E-3</v>
      </c>
      <c r="D796">
        <f t="shared" si="43"/>
        <v>0.82297950644283346</v>
      </c>
    </row>
    <row r="797" spans="1:4">
      <c r="A797" s="1">
        <v>19430</v>
      </c>
      <c r="B797">
        <v>26.13</v>
      </c>
      <c r="C797">
        <f t="shared" si="44"/>
        <v>3.8284839203667724E-4</v>
      </c>
      <c r="D797">
        <f t="shared" si="43"/>
        <v>7.5251631271134592E-3</v>
      </c>
    </row>
    <row r="798" spans="1:4">
      <c r="A798" s="1">
        <v>19431</v>
      </c>
      <c r="B798">
        <v>26.18</v>
      </c>
      <c r="C798">
        <f t="shared" si="44"/>
        <v>1.9135093761959707E-3</v>
      </c>
      <c r="D798">
        <f t="shared" si="43"/>
        <v>0.16916244275738643</v>
      </c>
    </row>
    <row r="799" spans="1:4">
      <c r="A799" s="1">
        <v>19434</v>
      </c>
      <c r="B799">
        <v>26.22</v>
      </c>
      <c r="C799">
        <f t="shared" si="44"/>
        <v>1.5278838808250247E-3</v>
      </c>
      <c r="D799">
        <f t="shared" si="43"/>
        <v>0.12844052152668928</v>
      </c>
    </row>
    <row r="800" spans="1:4">
      <c r="A800" s="1">
        <v>19435</v>
      </c>
      <c r="B800">
        <v>26.33</v>
      </c>
      <c r="C800">
        <f t="shared" si="44"/>
        <v>4.1952707856597804E-3</v>
      </c>
      <c r="D800">
        <f t="shared" si="43"/>
        <v>0.41011567198837678</v>
      </c>
    </row>
    <row r="801" spans="1:4">
      <c r="A801" s="1">
        <v>19436</v>
      </c>
      <c r="B801">
        <v>26.24</v>
      </c>
      <c r="C801">
        <f t="shared" si="44"/>
        <v>-3.4181541967337587E-3</v>
      </c>
      <c r="D801">
        <f t="shared" si="43"/>
        <v>-0.39385941822348847</v>
      </c>
    </row>
    <row r="802" spans="1:4">
      <c r="A802" s="1">
        <v>19437</v>
      </c>
      <c r="B802">
        <v>26.22</v>
      </c>
      <c r="C802">
        <f t="shared" si="44"/>
        <v>-7.6219512195120328E-4</v>
      </c>
      <c r="D802">
        <f t="shared" si="43"/>
        <v>-0.11339104273080512</v>
      </c>
    </row>
    <row r="803" spans="1:4">
      <c r="A803" s="1">
        <v>19438</v>
      </c>
      <c r="B803">
        <v>26.18</v>
      </c>
      <c r="C803">
        <f t="shared" si="44"/>
        <v>-1.5255530129671682E-3</v>
      </c>
      <c r="D803">
        <f t="shared" si="43"/>
        <v>-0.19400137654413649</v>
      </c>
    </row>
    <row r="804" spans="1:4">
      <c r="A804" s="1">
        <v>19441</v>
      </c>
      <c r="B804">
        <v>26.02</v>
      </c>
      <c r="C804">
        <f t="shared" si="44"/>
        <v>-6.1115355233002343E-3</v>
      </c>
      <c r="D804">
        <f t="shared" si="43"/>
        <v>-0.67827957078411238</v>
      </c>
    </row>
    <row r="805" spans="1:4">
      <c r="A805" s="1">
        <v>19442</v>
      </c>
      <c r="B805">
        <v>26.17</v>
      </c>
      <c r="C805">
        <f t="shared" si="44"/>
        <v>5.7647963105304434E-3</v>
      </c>
      <c r="D805">
        <f t="shared" si="43"/>
        <v>0.57585703390707099</v>
      </c>
    </row>
    <row r="806" spans="1:4">
      <c r="A806" s="1">
        <v>19443</v>
      </c>
      <c r="B806">
        <v>26.1</v>
      </c>
      <c r="C806">
        <f t="shared" si="44"/>
        <v>-2.6748184944593153E-3</v>
      </c>
      <c r="D806">
        <f t="shared" si="43"/>
        <v>-0.31536342073538914</v>
      </c>
    </row>
    <row r="807" spans="1:4">
      <c r="A807" s="1">
        <v>19444</v>
      </c>
      <c r="B807">
        <v>25.95</v>
      </c>
      <c r="C807">
        <f t="shared" si="44"/>
        <v>-5.7471264367816906E-3</v>
      </c>
      <c r="D807">
        <f t="shared" si="43"/>
        <v>-0.63979809511642116</v>
      </c>
    </row>
    <row r="808" spans="1:4">
      <c r="A808" s="1">
        <v>19445</v>
      </c>
      <c r="B808">
        <v>25.99</v>
      </c>
      <c r="C808">
        <f t="shared" si="44"/>
        <v>1.5414258188824336E-3</v>
      </c>
      <c r="D808">
        <f t="shared" si="43"/>
        <v>0.12987054558242322</v>
      </c>
    </row>
    <row r="809" spans="1:4">
      <c r="A809" s="1">
        <v>19448</v>
      </c>
      <c r="B809">
        <v>25.61</v>
      </c>
      <c r="C809">
        <f t="shared" si="44"/>
        <v>-1.4621008080030744E-2</v>
      </c>
      <c r="D809">
        <f t="shared" si="43"/>
        <v>-1.5768769802645921</v>
      </c>
    </row>
    <row r="810" spans="1:4">
      <c r="A810" s="1">
        <v>19449</v>
      </c>
      <c r="B810">
        <v>25.29</v>
      </c>
      <c r="C810">
        <f t="shared" si="44"/>
        <v>-1.2495119094103876E-2</v>
      </c>
      <c r="D810">
        <f t="shared" si="43"/>
        <v>-1.3523838259754919</v>
      </c>
    </row>
    <row r="811" spans="1:4">
      <c r="A811" s="1">
        <v>19450</v>
      </c>
      <c r="B811">
        <v>25.25</v>
      </c>
      <c r="C811">
        <f t="shared" si="44"/>
        <v>-1.5816528272043951E-3</v>
      </c>
      <c r="D811">
        <f t="shared" si="43"/>
        <v>-0.19992549785833424</v>
      </c>
    </row>
    <row r="812" spans="1:4">
      <c r="A812" s="1">
        <v>19451</v>
      </c>
      <c r="B812">
        <v>25.23</v>
      </c>
      <c r="C812">
        <f t="shared" si="44"/>
        <v>-7.9207920792077522E-4</v>
      </c>
      <c r="D812">
        <f t="shared" si="43"/>
        <v>-0.11654679205109754</v>
      </c>
    </row>
    <row r="813" spans="1:4">
      <c r="A813" s="1">
        <v>19455</v>
      </c>
      <c r="B813">
        <v>24.61</v>
      </c>
      <c r="C813">
        <f t="shared" si="44"/>
        <v>-2.457391993658347E-2</v>
      </c>
      <c r="D813">
        <f t="shared" si="43"/>
        <v>-2.627901089157441</v>
      </c>
    </row>
    <row r="814" spans="1:4">
      <c r="A814" s="1">
        <v>19456</v>
      </c>
      <c r="B814">
        <v>24.71</v>
      </c>
      <c r="C814">
        <f t="shared" si="44"/>
        <v>4.0633888663145637E-3</v>
      </c>
      <c r="D814">
        <f t="shared" si="43"/>
        <v>0.39618898613436437</v>
      </c>
    </row>
    <row r="815" spans="1:4">
      <c r="A815" s="1">
        <v>19457</v>
      </c>
      <c r="B815">
        <v>24.93</v>
      </c>
      <c r="C815">
        <f t="shared" si="44"/>
        <v>8.9032780250910097E-3</v>
      </c>
      <c r="D815">
        <f t="shared" si="43"/>
        <v>0.90727963614289797</v>
      </c>
    </row>
    <row r="816" spans="1:4">
      <c r="A816" s="1">
        <v>19458</v>
      </c>
      <c r="B816">
        <v>24.88</v>
      </c>
      <c r="C816">
        <f t="shared" si="44"/>
        <v>-2.0056157240273048E-3</v>
      </c>
      <c r="D816">
        <f t="shared" si="43"/>
        <v>-0.24469583565084285</v>
      </c>
    </row>
    <row r="817" spans="1:4">
      <c r="A817" s="1">
        <v>19459</v>
      </c>
      <c r="B817">
        <v>24.82</v>
      </c>
      <c r="C817">
        <f t="shared" si="44"/>
        <v>-2.4115755627009132E-3</v>
      </c>
      <c r="D817">
        <f t="shared" si="43"/>
        <v>-0.28756505662232201</v>
      </c>
    </row>
    <row r="818" spans="1:4">
      <c r="A818" s="1">
        <v>19462</v>
      </c>
      <c r="B818">
        <v>24.77</v>
      </c>
      <c r="C818">
        <f t="shared" si="44"/>
        <v>-2.0145044319097786E-3</v>
      </c>
      <c r="D818">
        <f t="shared" si="43"/>
        <v>-0.24563448018181347</v>
      </c>
    </row>
    <row r="819" spans="1:4">
      <c r="A819" s="1">
        <v>19463</v>
      </c>
      <c r="B819">
        <v>24.86</v>
      </c>
      <c r="C819">
        <f t="shared" si="44"/>
        <v>3.6334275333064132E-3</v>
      </c>
      <c r="D819">
        <f t="shared" si="43"/>
        <v>0.35078521551966191</v>
      </c>
    </row>
    <row r="820" spans="1:4">
      <c r="A820" s="1">
        <v>19464</v>
      </c>
      <c r="B820">
        <v>24.96</v>
      </c>
      <c r="C820">
        <f t="shared" si="44"/>
        <v>4.0225261464200092E-3</v>
      </c>
      <c r="D820">
        <f t="shared" si="43"/>
        <v>0.39187389680341278</v>
      </c>
    </row>
    <row r="821" spans="1:4">
      <c r="A821" s="1">
        <v>19465</v>
      </c>
      <c r="B821">
        <v>24.91</v>
      </c>
      <c r="C821">
        <f t="shared" si="44"/>
        <v>-2.0032051282051567E-3</v>
      </c>
      <c r="D821">
        <f t="shared" si="43"/>
        <v>-0.24444127755142533</v>
      </c>
    </row>
    <row r="822" spans="1:4">
      <c r="A822" s="1">
        <v>19466</v>
      </c>
      <c r="B822">
        <v>24.62</v>
      </c>
      <c r="C822">
        <f t="shared" si="44"/>
        <v>-1.164191087916496E-2</v>
      </c>
      <c r="D822">
        <f t="shared" si="43"/>
        <v>-1.2622853284975057</v>
      </c>
    </row>
    <row r="823" spans="1:4">
      <c r="A823" s="1">
        <v>19469</v>
      </c>
      <c r="B823">
        <v>24.73</v>
      </c>
      <c r="C823">
        <f t="shared" si="44"/>
        <v>4.4679122664500175E-3</v>
      </c>
      <c r="D823">
        <f t="shared" si="43"/>
        <v>0.43890651968448358</v>
      </c>
    </row>
    <row r="824" spans="1:4">
      <c r="A824" s="1">
        <v>19470</v>
      </c>
      <c r="B824">
        <v>24.67</v>
      </c>
      <c r="C824">
        <f t="shared" si="44"/>
        <v>-2.4262029923169722E-3</v>
      </c>
      <c r="D824">
        <f t="shared" si="43"/>
        <v>-0.28910970821767296</v>
      </c>
    </row>
    <row r="825" spans="1:4">
      <c r="A825" s="1">
        <v>19471</v>
      </c>
      <c r="B825">
        <v>24.46</v>
      </c>
      <c r="C825">
        <f t="shared" si="44"/>
        <v>-8.5123631941629845E-3</v>
      </c>
      <c r="D825">
        <f t="shared" si="43"/>
        <v>-0.93180615674624201</v>
      </c>
    </row>
    <row r="826" spans="1:4">
      <c r="A826" s="1">
        <v>19472</v>
      </c>
      <c r="B826">
        <v>24.19</v>
      </c>
      <c r="C826">
        <f t="shared" si="44"/>
        <v>-1.1038430089942746E-2</v>
      </c>
      <c r="D826">
        <f t="shared" si="43"/>
        <v>-1.1985579622887272</v>
      </c>
    </row>
    <row r="827" spans="1:4">
      <c r="A827" s="1">
        <v>19473</v>
      </c>
      <c r="B827">
        <v>24.2</v>
      </c>
      <c r="C827">
        <f t="shared" si="44"/>
        <v>4.133939644480368E-4</v>
      </c>
      <c r="D827">
        <f t="shared" si="43"/>
        <v>1.0750765190808484E-2</v>
      </c>
    </row>
    <row r="828" spans="1:4">
      <c r="A828" s="1">
        <v>19476</v>
      </c>
      <c r="B828">
        <v>24.34</v>
      </c>
      <c r="C828">
        <f t="shared" si="44"/>
        <v>5.7851239669421727E-3</v>
      </c>
      <c r="D828">
        <f t="shared" si="43"/>
        <v>0.57800362751444345</v>
      </c>
    </row>
    <row r="829" spans="1:4">
      <c r="A829" s="1">
        <v>19477</v>
      </c>
      <c r="B829">
        <v>24.52</v>
      </c>
      <c r="C829">
        <f t="shared" si="44"/>
        <v>7.3952341824157644E-3</v>
      </c>
      <c r="D829">
        <f t="shared" si="43"/>
        <v>0.74803071896540052</v>
      </c>
    </row>
    <row r="830" spans="1:4">
      <c r="A830" s="1">
        <v>19478</v>
      </c>
      <c r="B830">
        <v>24.68</v>
      </c>
      <c r="C830">
        <f t="shared" si="44"/>
        <v>6.5252854812398097E-3</v>
      </c>
      <c r="D830">
        <f t="shared" si="43"/>
        <v>0.65616443183115103</v>
      </c>
    </row>
    <row r="831" spans="1:4">
      <c r="A831" s="1">
        <v>19479</v>
      </c>
      <c r="B831">
        <v>24.62</v>
      </c>
      <c r="C831">
        <f t="shared" si="44"/>
        <v>-2.4311183144245835E-3</v>
      </c>
      <c r="D831">
        <f t="shared" si="43"/>
        <v>-0.28962876456143755</v>
      </c>
    </row>
    <row r="832" spans="1:4">
      <c r="A832" s="1">
        <v>19480</v>
      </c>
      <c r="B832">
        <v>24.73</v>
      </c>
      <c r="C832">
        <f t="shared" si="44"/>
        <v>4.4679122664500175E-3</v>
      </c>
      <c r="D832">
        <f t="shared" si="43"/>
        <v>0.43890651968448358</v>
      </c>
    </row>
    <row r="833" spans="1:4">
      <c r="A833" s="1">
        <v>19483</v>
      </c>
      <c r="B833">
        <v>25</v>
      </c>
      <c r="C833">
        <f t="shared" si="44"/>
        <v>1.0917913465426589E-2</v>
      </c>
      <c r="D833">
        <f t="shared" si="43"/>
        <v>1.1200244538344759</v>
      </c>
    </row>
    <row r="834" spans="1:4">
      <c r="A834" s="1">
        <v>19484</v>
      </c>
      <c r="B834">
        <v>25.03</v>
      </c>
      <c r="C834">
        <f t="shared" si="44"/>
        <v>1.2000000000000454E-3</v>
      </c>
      <c r="D834">
        <f t="shared" si="43"/>
        <v>9.3816095164717769E-2</v>
      </c>
    </row>
    <row r="835" spans="1:4">
      <c r="A835" s="1">
        <v>19485</v>
      </c>
      <c r="B835">
        <v>25</v>
      </c>
      <c r="C835">
        <f t="shared" si="44"/>
        <v>-1.1985617259289308E-3</v>
      </c>
      <c r="D835">
        <f t="shared" ref="D835:D898" si="45">(C835-avg)/sd</f>
        <v>-0.15947120778263757</v>
      </c>
    </row>
    <row r="836" spans="1:4">
      <c r="A836" s="1">
        <v>19486</v>
      </c>
      <c r="B836">
        <v>24.9</v>
      </c>
      <c r="C836">
        <f t="shared" ref="C836:C899" si="46">(B836-B835)/B835</f>
        <v>-4.0000000000000565E-3</v>
      </c>
      <c r="D836">
        <f t="shared" si="45"/>
        <v>-0.45530213726941143</v>
      </c>
    </row>
    <row r="837" spans="1:4">
      <c r="A837" s="1">
        <v>19487</v>
      </c>
      <c r="B837">
        <v>24.9</v>
      </c>
      <c r="C837">
        <f t="shared" si="46"/>
        <v>0</v>
      </c>
      <c r="D837">
        <f t="shared" si="45"/>
        <v>-3.29034969354682E-2</v>
      </c>
    </row>
    <row r="838" spans="1:4">
      <c r="A838" s="1">
        <v>19490</v>
      </c>
      <c r="B838">
        <v>24.91</v>
      </c>
      <c r="C838">
        <f t="shared" si="46"/>
        <v>4.0160642570287404E-4</v>
      </c>
      <c r="D838">
        <f t="shared" si="45"/>
        <v>9.5060051060983954E-3</v>
      </c>
    </row>
    <row r="839" spans="1:4">
      <c r="A839" s="1">
        <v>19491</v>
      </c>
      <c r="B839">
        <v>24.74</v>
      </c>
      <c r="C839">
        <f t="shared" si="46"/>
        <v>-6.824568446407134E-3</v>
      </c>
      <c r="D839">
        <f t="shared" si="45"/>
        <v>-0.75357560509253418</v>
      </c>
    </row>
    <row r="840" spans="1:4">
      <c r="A840" s="1">
        <v>19492</v>
      </c>
      <c r="B840">
        <v>24.71</v>
      </c>
      <c r="C840">
        <f t="shared" si="46"/>
        <v>-1.2126111560225379E-3</v>
      </c>
      <c r="D840">
        <f t="shared" si="45"/>
        <v>-0.16095482282488915</v>
      </c>
    </row>
    <row r="841" spans="1:4">
      <c r="A841" s="1">
        <v>19493</v>
      </c>
      <c r="B841">
        <v>24.85</v>
      </c>
      <c r="C841">
        <f t="shared" si="46"/>
        <v>5.6657223796034223E-3</v>
      </c>
      <c r="D841">
        <f t="shared" si="45"/>
        <v>0.56539486047804299</v>
      </c>
    </row>
    <row r="842" spans="1:4">
      <c r="A842" s="1">
        <v>19494</v>
      </c>
      <c r="B842">
        <v>24.84</v>
      </c>
      <c r="C842">
        <f t="shared" si="46"/>
        <v>-4.0241448692159205E-4</v>
      </c>
      <c r="D842">
        <f t="shared" si="45"/>
        <v>-7.5398329967058059E-2</v>
      </c>
    </row>
    <row r="843" spans="1:4">
      <c r="A843" s="1">
        <v>19497</v>
      </c>
      <c r="B843">
        <v>24.75</v>
      </c>
      <c r="C843">
        <f t="shared" si="46"/>
        <v>-3.6231884057970959E-3</v>
      </c>
      <c r="D843">
        <f t="shared" si="45"/>
        <v>-0.41551096100606294</v>
      </c>
    </row>
    <row r="844" spans="1:4">
      <c r="A844" s="1">
        <v>19498</v>
      </c>
      <c r="B844">
        <v>24.7</v>
      </c>
      <c r="C844">
        <f t="shared" si="46"/>
        <v>-2.0202020202020488E-3</v>
      </c>
      <c r="D844">
        <f t="shared" si="45"/>
        <v>-0.24623614356877285</v>
      </c>
    </row>
    <row r="845" spans="1:4">
      <c r="A845" s="1">
        <v>19499</v>
      </c>
      <c r="B845">
        <v>24.93</v>
      </c>
      <c r="C845">
        <f t="shared" si="46"/>
        <v>9.3117408906882772E-3</v>
      </c>
      <c r="D845">
        <f t="shared" si="45"/>
        <v>0.95041317590669538</v>
      </c>
    </row>
    <row r="846" spans="1:4">
      <c r="A846" s="1">
        <v>19500</v>
      </c>
      <c r="B846">
        <v>25.06</v>
      </c>
      <c r="C846">
        <f t="shared" si="46"/>
        <v>5.2146008824708791E-3</v>
      </c>
      <c r="D846">
        <f t="shared" si="45"/>
        <v>0.51775658372449385</v>
      </c>
    </row>
    <row r="847" spans="1:4">
      <c r="A847" s="1">
        <v>19501</v>
      </c>
      <c r="B847">
        <v>25.03</v>
      </c>
      <c r="C847">
        <f t="shared" si="46"/>
        <v>-1.1971268954508215E-3</v>
      </c>
      <c r="D847">
        <f t="shared" si="45"/>
        <v>-0.15931969017187181</v>
      </c>
    </row>
    <row r="848" spans="1:4">
      <c r="A848" s="1">
        <v>19504</v>
      </c>
      <c r="B848">
        <v>24.99</v>
      </c>
      <c r="C848">
        <f t="shared" si="46"/>
        <v>-1.5980823012386215E-3</v>
      </c>
      <c r="D848">
        <f t="shared" si="45"/>
        <v>-0.201660444731699</v>
      </c>
    </row>
    <row r="849" spans="1:4">
      <c r="A849" s="1">
        <v>19505</v>
      </c>
      <c r="B849">
        <v>24.87</v>
      </c>
      <c r="C849">
        <f t="shared" si="46"/>
        <v>-4.8019207683072211E-3</v>
      </c>
      <c r="D849">
        <f t="shared" si="45"/>
        <v>-0.53998469781653458</v>
      </c>
    </row>
    <row r="850" spans="1:4">
      <c r="A850" s="1">
        <v>19506</v>
      </c>
      <c r="B850">
        <v>24.64</v>
      </c>
      <c r="C850">
        <f t="shared" si="46"/>
        <v>-9.2480900683554659E-3</v>
      </c>
      <c r="D850">
        <f t="shared" si="45"/>
        <v>-1.0094986645752524</v>
      </c>
    </row>
    <row r="851" spans="1:4">
      <c r="A851" s="1">
        <v>19507</v>
      </c>
      <c r="B851">
        <v>24.46</v>
      </c>
      <c r="C851">
        <f t="shared" si="46"/>
        <v>-7.3051948051947938E-3</v>
      </c>
      <c r="D851">
        <f t="shared" si="45"/>
        <v>-0.80432958520767384</v>
      </c>
    </row>
    <row r="852" spans="1:4">
      <c r="A852" s="1">
        <v>19508</v>
      </c>
      <c r="B852">
        <v>24.54</v>
      </c>
      <c r="C852">
        <f t="shared" si="46"/>
        <v>3.270645952575564E-3</v>
      </c>
      <c r="D852">
        <f t="shared" si="45"/>
        <v>0.31247560390993512</v>
      </c>
    </row>
    <row r="853" spans="1:4">
      <c r="A853" s="1">
        <v>19511</v>
      </c>
      <c r="B853">
        <v>24.15</v>
      </c>
      <c r="C853">
        <f t="shared" si="46"/>
        <v>-1.5892420537897335E-2</v>
      </c>
      <c r="D853">
        <f t="shared" si="45"/>
        <v>-1.7111377036412116</v>
      </c>
    </row>
    <row r="854" spans="1:4">
      <c r="A854" s="1">
        <v>19512</v>
      </c>
      <c r="B854">
        <v>24.22</v>
      </c>
      <c r="C854">
        <f t="shared" si="46"/>
        <v>2.8985507246376929E-3</v>
      </c>
      <c r="D854">
        <f t="shared" si="45"/>
        <v>0.27318247432100928</v>
      </c>
    </row>
    <row r="855" spans="1:4">
      <c r="A855" s="1">
        <v>19513</v>
      </c>
      <c r="B855">
        <v>24.18</v>
      </c>
      <c r="C855">
        <f t="shared" si="46"/>
        <v>-1.6515276630883215E-3</v>
      </c>
      <c r="D855">
        <f t="shared" si="45"/>
        <v>-0.20730425677606615</v>
      </c>
    </row>
    <row r="856" spans="1:4">
      <c r="A856" s="1">
        <v>19514</v>
      </c>
      <c r="B856">
        <v>24.03</v>
      </c>
      <c r="C856">
        <f t="shared" si="46"/>
        <v>-6.2034739454093707E-3</v>
      </c>
      <c r="D856">
        <f t="shared" si="45"/>
        <v>-0.68798823690744904</v>
      </c>
    </row>
    <row r="857" spans="1:4">
      <c r="A857" s="1">
        <v>19515</v>
      </c>
      <c r="B857">
        <v>24.09</v>
      </c>
      <c r="C857">
        <f t="shared" si="46"/>
        <v>2.4968789013732301E-3</v>
      </c>
      <c r="D857">
        <f t="shared" si="45"/>
        <v>0.23076606631916866</v>
      </c>
    </row>
    <row r="858" spans="1:4">
      <c r="A858" s="1">
        <v>19518</v>
      </c>
      <c r="B858">
        <v>24.01</v>
      </c>
      <c r="C858">
        <f t="shared" si="46"/>
        <v>-3.3208800332087296E-3</v>
      </c>
      <c r="D858">
        <f t="shared" si="45"/>
        <v>-0.38358729962034011</v>
      </c>
    </row>
    <row r="859" spans="1:4">
      <c r="A859" s="1">
        <v>19519</v>
      </c>
      <c r="B859">
        <v>23.6</v>
      </c>
      <c r="C859">
        <f t="shared" si="46"/>
        <v>-1.7076218242399004E-2</v>
      </c>
      <c r="D859">
        <f t="shared" si="45"/>
        <v>-1.836146338844197</v>
      </c>
    </row>
    <row r="860" spans="1:4">
      <c r="A860" s="1">
        <v>19520</v>
      </c>
      <c r="B860">
        <v>23.54</v>
      </c>
      <c r="C860">
        <f t="shared" si="46"/>
        <v>-2.5423728813560283E-3</v>
      </c>
      <c r="D860">
        <f t="shared" si="45"/>
        <v>-0.30137720901213338</v>
      </c>
    </row>
    <row r="861" spans="1:4">
      <c r="A861" s="1">
        <v>19521</v>
      </c>
      <c r="B861">
        <v>23.75</v>
      </c>
      <c r="C861">
        <f t="shared" si="46"/>
        <v>8.9209855564996113E-3</v>
      </c>
      <c r="D861">
        <f t="shared" si="45"/>
        <v>0.90914954544056392</v>
      </c>
    </row>
    <row r="862" spans="1:4">
      <c r="A862" s="1">
        <v>19522</v>
      </c>
      <c r="B862">
        <v>23.82</v>
      </c>
      <c r="C862">
        <f t="shared" si="46"/>
        <v>2.9473684210526434E-3</v>
      </c>
      <c r="D862">
        <f t="shared" si="45"/>
        <v>0.27833760646848682</v>
      </c>
    </row>
    <row r="863" spans="1:4">
      <c r="A863" s="1">
        <v>19525</v>
      </c>
      <c r="B863">
        <v>23.62</v>
      </c>
      <c r="C863">
        <f t="shared" si="46"/>
        <v>-8.3963056255247394E-3</v>
      </c>
      <c r="D863">
        <f t="shared" si="45"/>
        <v>-0.91955051694792767</v>
      </c>
    </row>
    <row r="864" spans="1:4">
      <c r="A864" s="1">
        <v>19526</v>
      </c>
      <c r="B864">
        <v>23.55</v>
      </c>
      <c r="C864">
        <f t="shared" si="46"/>
        <v>-2.9635901778154224E-3</v>
      </c>
      <c r="D864">
        <f t="shared" si="45"/>
        <v>-0.34585761233952961</v>
      </c>
    </row>
    <row r="865" spans="1:4">
      <c r="A865" s="1">
        <v>19527</v>
      </c>
      <c r="B865">
        <v>23.85</v>
      </c>
      <c r="C865">
        <f t="shared" si="46"/>
        <v>1.2738853503184744E-2</v>
      </c>
      <c r="D865">
        <f t="shared" si="45"/>
        <v>1.312315102854144</v>
      </c>
    </row>
    <row r="866" spans="1:4">
      <c r="A866" s="1">
        <v>19528</v>
      </c>
      <c r="B866">
        <v>23.84</v>
      </c>
      <c r="C866">
        <f t="shared" si="46"/>
        <v>-4.1928721174010745E-4</v>
      </c>
      <c r="D866">
        <f t="shared" si="45"/>
        <v>-7.7180083972575461E-2</v>
      </c>
    </row>
    <row r="867" spans="1:4">
      <c r="A867" s="1">
        <v>19529</v>
      </c>
      <c r="B867">
        <v>23.84</v>
      </c>
      <c r="C867">
        <f t="shared" si="46"/>
        <v>0</v>
      </c>
      <c r="D867">
        <f t="shared" si="45"/>
        <v>-3.29034969354682E-2</v>
      </c>
    </row>
    <row r="868" spans="1:4">
      <c r="A868" s="1">
        <v>19532</v>
      </c>
      <c r="B868">
        <v>23.96</v>
      </c>
      <c r="C868">
        <f t="shared" si="46"/>
        <v>5.0335570469799079E-3</v>
      </c>
      <c r="D868">
        <f t="shared" si="45"/>
        <v>0.49863841623643707</v>
      </c>
    </row>
    <row r="869" spans="1:4">
      <c r="A869" s="1">
        <v>19533</v>
      </c>
      <c r="B869">
        <v>24.12</v>
      </c>
      <c r="C869">
        <f t="shared" si="46"/>
        <v>6.6777963272120254E-3</v>
      </c>
      <c r="D869">
        <f t="shared" si="45"/>
        <v>0.67226952532486162</v>
      </c>
    </row>
    <row r="870" spans="1:4">
      <c r="A870" s="1">
        <v>19534</v>
      </c>
      <c r="B870">
        <v>24.09</v>
      </c>
      <c r="C870">
        <f t="shared" si="46"/>
        <v>-1.2437810945274102E-3</v>
      </c>
      <c r="D870">
        <f t="shared" si="45"/>
        <v>-0.16424635773582677</v>
      </c>
    </row>
    <row r="871" spans="1:4">
      <c r="A871" s="1">
        <v>19535</v>
      </c>
      <c r="B871">
        <v>24.19</v>
      </c>
      <c r="C871">
        <f t="shared" si="46"/>
        <v>4.1511000415110598E-3</v>
      </c>
      <c r="D871">
        <f t="shared" si="45"/>
        <v>0.40545125642063734</v>
      </c>
    </row>
    <row r="872" spans="1:4">
      <c r="A872" s="1">
        <v>19536</v>
      </c>
      <c r="B872">
        <v>24.21</v>
      </c>
      <c r="C872">
        <f t="shared" si="46"/>
        <v>8.2678792889622041E-4</v>
      </c>
      <c r="D872">
        <f t="shared" si="45"/>
        <v>5.4405027317100674E-2</v>
      </c>
    </row>
    <row r="873" spans="1:4">
      <c r="A873" s="1">
        <v>19539</v>
      </c>
      <c r="B873">
        <v>24.14</v>
      </c>
      <c r="C873">
        <f t="shared" si="46"/>
        <v>-2.8913672036348734E-3</v>
      </c>
      <c r="D873">
        <f t="shared" si="45"/>
        <v>-0.3382308908158454</v>
      </c>
    </row>
    <row r="874" spans="1:4">
      <c r="A874" s="1">
        <v>19540</v>
      </c>
      <c r="B874">
        <v>24.14</v>
      </c>
      <c r="C874">
        <f t="shared" si="46"/>
        <v>0</v>
      </c>
      <c r="D874">
        <f t="shared" si="45"/>
        <v>-3.29034969354682E-2</v>
      </c>
    </row>
    <row r="875" spans="1:4">
      <c r="A875" s="1">
        <v>19541</v>
      </c>
      <c r="B875">
        <v>24.24</v>
      </c>
      <c r="C875">
        <f t="shared" si="46"/>
        <v>4.1425020712509471E-3</v>
      </c>
      <c r="D875">
        <f t="shared" si="45"/>
        <v>0.40454331368376151</v>
      </c>
    </row>
    <row r="876" spans="1:4">
      <c r="A876" s="1">
        <v>19542</v>
      </c>
      <c r="B876">
        <v>24.31</v>
      </c>
      <c r="C876">
        <f t="shared" si="46"/>
        <v>2.8877887788778998E-3</v>
      </c>
      <c r="D876">
        <f t="shared" si="45"/>
        <v>0.27204601650693827</v>
      </c>
    </row>
    <row r="877" spans="1:4">
      <c r="A877" s="1">
        <v>19543</v>
      </c>
      <c r="B877">
        <v>24.36</v>
      </c>
      <c r="C877">
        <f t="shared" si="46"/>
        <v>2.056766762649145E-3</v>
      </c>
      <c r="D877">
        <f t="shared" si="45"/>
        <v>0.18429037407128998</v>
      </c>
    </row>
    <row r="878" spans="1:4">
      <c r="A878" s="1">
        <v>19546</v>
      </c>
      <c r="B878">
        <v>24.38</v>
      </c>
      <c r="C878">
        <f t="shared" si="46"/>
        <v>8.2101806239735526E-4</v>
      </c>
      <c r="D878">
        <f t="shared" si="45"/>
        <v>5.3795731376093434E-2</v>
      </c>
    </row>
    <row r="879" spans="1:4">
      <c r="A879" s="1">
        <v>19547</v>
      </c>
      <c r="B879">
        <v>24.51</v>
      </c>
      <c r="C879">
        <f t="shared" si="46"/>
        <v>5.3322395406071605E-3</v>
      </c>
      <c r="D879">
        <f t="shared" si="45"/>
        <v>0.53017918603636238</v>
      </c>
    </row>
    <row r="880" spans="1:4">
      <c r="A880" s="1">
        <v>19548</v>
      </c>
      <c r="B880">
        <v>24.5</v>
      </c>
      <c r="C880">
        <f t="shared" si="46"/>
        <v>-4.0799673602617554E-4</v>
      </c>
      <c r="D880">
        <f t="shared" si="45"/>
        <v>-7.5987813575003421E-2</v>
      </c>
    </row>
    <row r="881" spans="1:4">
      <c r="A881" s="1">
        <v>19549</v>
      </c>
      <c r="B881">
        <v>24.43</v>
      </c>
      <c r="C881">
        <f t="shared" si="46"/>
        <v>-2.8571428571428688E-3</v>
      </c>
      <c r="D881">
        <f t="shared" si="45"/>
        <v>-0.33461681145971028</v>
      </c>
    </row>
    <row r="882" spans="1:4">
      <c r="A882" s="1">
        <v>19550</v>
      </c>
      <c r="B882">
        <v>24.41</v>
      </c>
      <c r="C882">
        <f t="shared" si="46"/>
        <v>-8.1866557511254905E-4</v>
      </c>
      <c r="D882">
        <f t="shared" si="45"/>
        <v>-0.11935430338940356</v>
      </c>
    </row>
    <row r="883" spans="1:4">
      <c r="A883" s="1">
        <v>19553</v>
      </c>
      <c r="B883">
        <v>24.17</v>
      </c>
      <c r="C883">
        <f t="shared" si="46"/>
        <v>-9.8320360507987894E-3</v>
      </c>
      <c r="D883">
        <f t="shared" si="45"/>
        <v>-1.0711631618283837</v>
      </c>
    </row>
    <row r="884" spans="1:4">
      <c r="A884" s="1">
        <v>19554</v>
      </c>
      <c r="B884">
        <v>24.08</v>
      </c>
      <c r="C884">
        <f t="shared" si="46"/>
        <v>-3.7236243276790818E-3</v>
      </c>
      <c r="D884">
        <f t="shared" si="45"/>
        <v>-0.42611696021697204</v>
      </c>
    </row>
    <row r="885" spans="1:4">
      <c r="A885" s="1">
        <v>19555</v>
      </c>
      <c r="B885">
        <v>24.15</v>
      </c>
      <c r="C885">
        <f t="shared" si="46"/>
        <v>2.9069767441860586E-3</v>
      </c>
      <c r="D885">
        <f t="shared" si="45"/>
        <v>0.2740722591211735</v>
      </c>
    </row>
    <row r="886" spans="1:4">
      <c r="A886" s="1">
        <v>19556</v>
      </c>
      <c r="B886">
        <v>24.18</v>
      </c>
      <c r="C886">
        <f t="shared" si="46"/>
        <v>1.2422360248447676E-3</v>
      </c>
      <c r="D886">
        <f t="shared" si="45"/>
        <v>9.8276205031598035E-2</v>
      </c>
    </row>
    <row r="887" spans="1:4">
      <c r="A887" s="1">
        <v>19557</v>
      </c>
      <c r="B887">
        <v>24.35</v>
      </c>
      <c r="C887">
        <f t="shared" si="46"/>
        <v>7.0306038047974239E-3</v>
      </c>
      <c r="D887">
        <f t="shared" si="45"/>
        <v>0.70952587503279119</v>
      </c>
    </row>
    <row r="888" spans="1:4">
      <c r="A888" s="1">
        <v>19560</v>
      </c>
      <c r="B888">
        <v>24.22</v>
      </c>
      <c r="C888">
        <f t="shared" si="46"/>
        <v>-5.3388090349077025E-3</v>
      </c>
      <c r="D888">
        <f t="shared" si="45"/>
        <v>-0.5966799162723565</v>
      </c>
    </row>
    <row r="889" spans="1:4">
      <c r="A889" s="1">
        <v>19561</v>
      </c>
      <c r="B889">
        <v>24.16</v>
      </c>
      <c r="C889">
        <f t="shared" si="46"/>
        <v>-2.4772914946324825E-3</v>
      </c>
      <c r="D889">
        <f t="shared" si="45"/>
        <v>-0.29450463669636512</v>
      </c>
    </row>
    <row r="890" spans="1:4">
      <c r="A890" s="1">
        <v>19562</v>
      </c>
      <c r="B890">
        <v>24.19</v>
      </c>
      <c r="C890">
        <f t="shared" si="46"/>
        <v>1.2417218543046829E-3</v>
      </c>
      <c r="D890">
        <f t="shared" si="45"/>
        <v>9.8221908797340149E-2</v>
      </c>
    </row>
    <row r="891" spans="1:4">
      <c r="A891" s="1">
        <v>19563</v>
      </c>
      <c r="B891">
        <v>24.23</v>
      </c>
      <c r="C891">
        <f t="shared" si="46"/>
        <v>1.6535758577924408E-3</v>
      </c>
      <c r="D891">
        <f t="shared" si="45"/>
        <v>0.14171355156966955</v>
      </c>
    </row>
    <row r="892" spans="1:4">
      <c r="A892" s="1">
        <v>19564</v>
      </c>
      <c r="B892">
        <v>24.23</v>
      </c>
      <c r="C892">
        <f t="shared" si="46"/>
        <v>0</v>
      </c>
      <c r="D892">
        <f t="shared" si="45"/>
        <v>-3.29034969354682E-2</v>
      </c>
    </row>
    <row r="893" spans="1:4">
      <c r="A893" s="1">
        <v>19567</v>
      </c>
      <c r="B893">
        <v>24.07</v>
      </c>
      <c r="C893">
        <f t="shared" si="46"/>
        <v>-6.603384234420146E-3</v>
      </c>
      <c r="D893">
        <f t="shared" si="45"/>
        <v>-0.73021862749087485</v>
      </c>
    </row>
    <row r="894" spans="1:4">
      <c r="A894" s="1">
        <v>19568</v>
      </c>
      <c r="B894">
        <v>24.11</v>
      </c>
      <c r="C894">
        <f t="shared" si="46"/>
        <v>1.6618196925633215E-3</v>
      </c>
      <c r="D894">
        <f t="shared" si="45"/>
        <v>0.14258409771925895</v>
      </c>
    </row>
    <row r="895" spans="1:4">
      <c r="A895" s="1">
        <v>19569</v>
      </c>
      <c r="B895">
        <v>24.26</v>
      </c>
      <c r="C895">
        <f t="shared" si="46"/>
        <v>6.2214848610535932E-3</v>
      </c>
      <c r="D895">
        <f t="shared" si="45"/>
        <v>0.6240831896063348</v>
      </c>
    </row>
    <row r="896" spans="1:4">
      <c r="A896" s="1">
        <v>19570</v>
      </c>
      <c r="B896">
        <v>24.49</v>
      </c>
      <c r="C896">
        <f t="shared" si="46"/>
        <v>9.4806265457541995E-3</v>
      </c>
      <c r="D896">
        <f t="shared" si="45"/>
        <v>0.96824744367463333</v>
      </c>
    </row>
    <row r="897" spans="1:4">
      <c r="A897" s="1">
        <v>19571</v>
      </c>
      <c r="B897">
        <v>24.75</v>
      </c>
      <c r="C897">
        <f t="shared" si="46"/>
        <v>1.0616578195181772E-2</v>
      </c>
      <c r="D897">
        <f t="shared" si="45"/>
        <v>1.0882035517254582</v>
      </c>
    </row>
    <row r="898" spans="1:4">
      <c r="A898" s="1">
        <v>19574</v>
      </c>
      <c r="B898">
        <v>24.84</v>
      </c>
      <c r="C898">
        <f t="shared" si="46"/>
        <v>3.6363636363636307E-3</v>
      </c>
      <c r="D898">
        <f t="shared" si="45"/>
        <v>0.35109526700447413</v>
      </c>
    </row>
    <row r="899" spans="1:4">
      <c r="A899" s="1">
        <v>19575</v>
      </c>
      <c r="B899">
        <v>24.78</v>
      </c>
      <c r="C899">
        <f t="shared" si="46"/>
        <v>-2.4154589371980163E-3</v>
      </c>
      <c r="D899">
        <f t="shared" ref="D899:D962" si="47">(C899-avg)/sd</f>
        <v>-0.28797513964919297</v>
      </c>
    </row>
    <row r="900" spans="1:4">
      <c r="A900" s="1">
        <v>19576</v>
      </c>
      <c r="B900">
        <v>24.68</v>
      </c>
      <c r="C900">
        <f t="shared" ref="C900:C963" si="48">(B900-B899)/B899</f>
        <v>-4.0355125100888381E-3</v>
      </c>
      <c r="D900">
        <f t="shared" si="47"/>
        <v>-0.45905224626349805</v>
      </c>
    </row>
    <row r="901" spans="1:4">
      <c r="A901" s="1">
        <v>19577</v>
      </c>
      <c r="B901">
        <v>24.8</v>
      </c>
      <c r="C901">
        <f t="shared" si="48"/>
        <v>4.862236628849311E-3</v>
      </c>
      <c r="D901">
        <f t="shared" si="47"/>
        <v>0.48054703831648565</v>
      </c>
    </row>
    <row r="902" spans="1:4">
      <c r="A902" s="1">
        <v>19578</v>
      </c>
      <c r="B902">
        <v>24.78</v>
      </c>
      <c r="C902">
        <f t="shared" si="48"/>
        <v>-8.0645161290320857E-4</v>
      </c>
      <c r="D902">
        <f t="shared" si="47"/>
        <v>-0.11806451313182469</v>
      </c>
    </row>
    <row r="903" spans="1:4">
      <c r="A903" s="1">
        <v>19581</v>
      </c>
      <c r="B903">
        <v>24.75</v>
      </c>
      <c r="C903">
        <f t="shared" si="48"/>
        <v>-1.2106537530266802E-3</v>
      </c>
      <c r="D903">
        <f t="shared" si="47"/>
        <v>-0.16074812173388017</v>
      </c>
    </row>
    <row r="904" spans="1:4">
      <c r="A904" s="1">
        <v>19582</v>
      </c>
      <c r="B904">
        <v>24.72</v>
      </c>
      <c r="C904">
        <f t="shared" si="48"/>
        <v>-1.2121212121212581E-3</v>
      </c>
      <c r="D904">
        <f t="shared" si="47"/>
        <v>-0.16090308491545402</v>
      </c>
    </row>
    <row r="905" spans="1:4">
      <c r="A905" s="1">
        <v>19583</v>
      </c>
      <c r="B905">
        <v>24.78</v>
      </c>
      <c r="C905">
        <f t="shared" si="48"/>
        <v>2.4271844660195096E-3</v>
      </c>
      <c r="D905">
        <f t="shared" si="47"/>
        <v>0.22340635763610539</v>
      </c>
    </row>
    <row r="906" spans="1:4">
      <c r="A906" s="1">
        <v>19584</v>
      </c>
      <c r="B906">
        <v>24.73</v>
      </c>
      <c r="C906">
        <f t="shared" si="48"/>
        <v>-2.0177562550444191E-3</v>
      </c>
      <c r="D906">
        <f t="shared" si="47"/>
        <v>-0.24597787159948312</v>
      </c>
    </row>
    <row r="907" spans="1:4">
      <c r="A907" s="1">
        <v>19585</v>
      </c>
      <c r="B907">
        <v>24.62</v>
      </c>
      <c r="C907">
        <f t="shared" si="48"/>
        <v>-4.4480388192478541E-3</v>
      </c>
      <c r="D907">
        <f t="shared" si="47"/>
        <v>-0.5026148842861845</v>
      </c>
    </row>
    <row r="908" spans="1:4">
      <c r="A908" s="1">
        <v>19588</v>
      </c>
      <c r="B908">
        <v>24.56</v>
      </c>
      <c r="C908">
        <f t="shared" si="48"/>
        <v>-2.4370430544273869E-3</v>
      </c>
      <c r="D908">
        <f t="shared" si="47"/>
        <v>-0.2902544150918166</v>
      </c>
    </row>
    <row r="909" spans="1:4">
      <c r="A909" s="1">
        <v>19589</v>
      </c>
      <c r="B909">
        <v>24.46</v>
      </c>
      <c r="C909">
        <f t="shared" si="48"/>
        <v>-4.0716612377849296E-3</v>
      </c>
      <c r="D909">
        <f t="shared" si="47"/>
        <v>-0.4628695396206558</v>
      </c>
    </row>
    <row r="910" spans="1:4">
      <c r="A910" s="1">
        <v>19590</v>
      </c>
      <c r="B910">
        <v>24.31</v>
      </c>
      <c r="C910">
        <f t="shared" si="48"/>
        <v>-6.1324611610794003E-3</v>
      </c>
      <c r="D910">
        <f t="shared" si="47"/>
        <v>-0.68048931102062238</v>
      </c>
    </row>
    <row r="911" spans="1:4">
      <c r="A911" s="1">
        <v>19591</v>
      </c>
      <c r="B911">
        <v>24.29</v>
      </c>
      <c r="C911">
        <f t="shared" si="48"/>
        <v>-8.2270670505962872E-4</v>
      </c>
      <c r="D911">
        <f t="shared" si="47"/>
        <v>-0.11978104533816837</v>
      </c>
    </row>
    <row r="912" spans="1:4">
      <c r="A912" s="1">
        <v>19592</v>
      </c>
      <c r="B912">
        <v>24.35</v>
      </c>
      <c r="C912">
        <f t="shared" si="48"/>
        <v>2.4701523260602007E-3</v>
      </c>
      <c r="D912">
        <f t="shared" si="47"/>
        <v>0.2279437490509171</v>
      </c>
    </row>
    <row r="913" spans="1:4">
      <c r="A913" s="1">
        <v>19595</v>
      </c>
      <c r="B913">
        <v>24.09</v>
      </c>
      <c r="C913">
        <f t="shared" si="48"/>
        <v>-1.0677618069815259E-2</v>
      </c>
      <c r="D913">
        <f t="shared" si="47"/>
        <v>-1.1604563356092292</v>
      </c>
    </row>
    <row r="914" spans="1:4">
      <c r="A914" s="1">
        <v>19596</v>
      </c>
      <c r="B914">
        <v>23.93</v>
      </c>
      <c r="C914">
        <f t="shared" si="48"/>
        <v>-6.6417600664176067E-3</v>
      </c>
      <c r="D914">
        <f t="shared" si="47"/>
        <v>-0.73427110230522763</v>
      </c>
    </row>
    <row r="915" spans="1:4">
      <c r="A915" s="1">
        <v>19597</v>
      </c>
      <c r="B915">
        <v>23.86</v>
      </c>
      <c r="C915">
        <f t="shared" si="48"/>
        <v>-2.925198495612214E-3</v>
      </c>
      <c r="D915">
        <f t="shared" si="47"/>
        <v>-0.34180346374883763</v>
      </c>
    </row>
    <row r="916" spans="1:4">
      <c r="A916" s="1">
        <v>19598</v>
      </c>
      <c r="B916">
        <v>23.79</v>
      </c>
      <c r="C916">
        <f t="shared" si="48"/>
        <v>-2.9337803855825771E-3</v>
      </c>
      <c r="D916">
        <f t="shared" si="47"/>
        <v>-0.34270970841258186</v>
      </c>
    </row>
    <row r="917" spans="1:4">
      <c r="A917" s="1">
        <v>19599</v>
      </c>
      <c r="B917">
        <v>23.74</v>
      </c>
      <c r="C917">
        <f t="shared" si="48"/>
        <v>-2.101723413198853E-3</v>
      </c>
      <c r="D917">
        <f t="shared" si="47"/>
        <v>-0.25484477495876751</v>
      </c>
    </row>
    <row r="918" spans="1:4">
      <c r="A918" s="1">
        <v>19602</v>
      </c>
      <c r="B918">
        <v>23.32</v>
      </c>
      <c r="C918">
        <f t="shared" si="48"/>
        <v>-1.769165964616673E-2</v>
      </c>
      <c r="D918">
        <f t="shared" si="47"/>
        <v>-1.9011367418833713</v>
      </c>
    </row>
    <row r="919" spans="1:4">
      <c r="A919" s="1">
        <v>19603</v>
      </c>
      <c r="B919">
        <v>23.42</v>
      </c>
      <c r="C919">
        <f t="shared" si="48"/>
        <v>4.288164665523217E-3</v>
      </c>
      <c r="D919">
        <f t="shared" si="47"/>
        <v>0.41992523412579164</v>
      </c>
    </row>
    <row r="920" spans="1:4">
      <c r="A920" s="1">
        <v>19604</v>
      </c>
      <c r="B920">
        <v>23.56</v>
      </c>
      <c r="C920">
        <f t="shared" si="48"/>
        <v>5.9777967549102052E-3</v>
      </c>
      <c r="D920">
        <f t="shared" si="47"/>
        <v>0.598349808431205</v>
      </c>
    </row>
    <row r="921" spans="1:4">
      <c r="A921" s="1">
        <v>19605</v>
      </c>
      <c r="B921">
        <v>23.51</v>
      </c>
      <c r="C921">
        <f t="shared" si="48"/>
        <v>-2.1222410865873158E-3</v>
      </c>
      <c r="D921">
        <f t="shared" si="47"/>
        <v>-0.25701143429429313</v>
      </c>
    </row>
    <row r="922" spans="1:4">
      <c r="A922" s="1">
        <v>19606</v>
      </c>
      <c r="B922">
        <v>23.57</v>
      </c>
      <c r="C922">
        <f t="shared" si="48"/>
        <v>2.5521054870267425E-3</v>
      </c>
      <c r="D922">
        <f t="shared" si="47"/>
        <v>0.23659797499175098</v>
      </c>
    </row>
    <row r="923" spans="1:4">
      <c r="A923" s="1">
        <v>19610</v>
      </c>
      <c r="B923">
        <v>23.61</v>
      </c>
      <c r="C923">
        <f t="shared" si="48"/>
        <v>1.6970725498514699E-3</v>
      </c>
      <c r="D923">
        <f t="shared" si="47"/>
        <v>0.14630678746585901</v>
      </c>
    </row>
    <row r="924" spans="1:4">
      <c r="A924" s="1">
        <v>19611</v>
      </c>
      <c r="B924">
        <v>23.65</v>
      </c>
      <c r="C924">
        <f t="shared" si="48"/>
        <v>1.6941973739940342E-3</v>
      </c>
      <c r="D924">
        <f t="shared" si="47"/>
        <v>0.14600316987263356</v>
      </c>
    </row>
    <row r="925" spans="1:4">
      <c r="A925" s="1">
        <v>19612</v>
      </c>
      <c r="B925">
        <v>23.41</v>
      </c>
      <c r="C925">
        <f t="shared" si="48"/>
        <v>-1.0147991543340316E-2</v>
      </c>
      <c r="D925">
        <f t="shared" si="47"/>
        <v>-1.1045279544422788</v>
      </c>
    </row>
    <row r="926" spans="1:4">
      <c r="A926" s="1">
        <v>19613</v>
      </c>
      <c r="B926">
        <v>23.14</v>
      </c>
      <c r="C926">
        <f t="shared" si="48"/>
        <v>-1.153353267834257E-2</v>
      </c>
      <c r="D926">
        <f t="shared" si="47"/>
        <v>-1.250840627330202</v>
      </c>
    </row>
    <row r="927" spans="1:4">
      <c r="A927" s="1">
        <v>19616</v>
      </c>
      <c r="B927">
        <v>22.71</v>
      </c>
      <c r="C927">
        <f t="shared" si="48"/>
        <v>-1.8582541054451153E-2</v>
      </c>
      <c r="D927">
        <f t="shared" si="47"/>
        <v>-1.9952135157729021</v>
      </c>
    </row>
    <row r="928" spans="1:4">
      <c r="A928" s="1">
        <v>19617</v>
      </c>
      <c r="B928">
        <v>22.9</v>
      </c>
      <c r="C928">
        <f t="shared" si="48"/>
        <v>8.3663584324085299E-3</v>
      </c>
      <c r="D928">
        <f t="shared" si="47"/>
        <v>0.85058110966346523</v>
      </c>
    </row>
    <row r="929" spans="1:4">
      <c r="A929" s="1">
        <v>19618</v>
      </c>
      <c r="B929">
        <v>23.01</v>
      </c>
      <c r="C929">
        <f t="shared" si="48"/>
        <v>4.8034934497817898E-3</v>
      </c>
      <c r="D929">
        <f t="shared" si="47"/>
        <v>0.47434377857473214</v>
      </c>
    </row>
    <row r="930" spans="1:4">
      <c r="A930" s="1">
        <v>19619</v>
      </c>
      <c r="B930">
        <v>23.07</v>
      </c>
      <c r="C930">
        <f t="shared" si="48"/>
        <v>2.6075619295957723E-3</v>
      </c>
      <c r="D930">
        <f t="shared" si="47"/>
        <v>0.2424541564764798</v>
      </c>
    </row>
    <row r="931" spans="1:4">
      <c r="A931" s="1">
        <v>19620</v>
      </c>
      <c r="B931">
        <v>22.95</v>
      </c>
      <c r="C931">
        <f t="shared" si="48"/>
        <v>-5.2015604681404856E-3</v>
      </c>
      <c r="D931">
        <f t="shared" si="47"/>
        <v>-0.58218651427479307</v>
      </c>
    </row>
    <row r="932" spans="1:4">
      <c r="A932" s="1">
        <v>19623</v>
      </c>
      <c r="B932">
        <v>22.88</v>
      </c>
      <c r="C932">
        <f t="shared" si="48"/>
        <v>-3.0501089324618861E-3</v>
      </c>
      <c r="D932">
        <f t="shared" si="47"/>
        <v>-0.35499396342104256</v>
      </c>
    </row>
    <row r="933" spans="1:4">
      <c r="A933" s="1">
        <v>19624</v>
      </c>
      <c r="B933">
        <v>23.2</v>
      </c>
      <c r="C933">
        <f t="shared" si="48"/>
        <v>1.3986013986014E-2</v>
      </c>
      <c r="D933">
        <f t="shared" si="47"/>
        <v>1.4440148259104677</v>
      </c>
    </row>
    <row r="934" spans="1:4">
      <c r="A934" s="1">
        <v>19625</v>
      </c>
      <c r="B934">
        <v>23.23</v>
      </c>
      <c r="C934">
        <f t="shared" si="48"/>
        <v>1.2931034482759111E-3</v>
      </c>
      <c r="D934">
        <f t="shared" si="47"/>
        <v>0.10364778765524944</v>
      </c>
    </row>
    <row r="935" spans="1:4">
      <c r="A935" s="1">
        <v>19626</v>
      </c>
      <c r="B935">
        <v>23.24</v>
      </c>
      <c r="C935">
        <f t="shared" si="48"/>
        <v>4.3047783039164918E-4</v>
      </c>
      <c r="D935">
        <f t="shared" si="47"/>
        <v>1.2554815627365766E-2</v>
      </c>
    </row>
    <row r="936" spans="1:4">
      <c r="A936" s="1">
        <v>19627</v>
      </c>
      <c r="B936">
        <v>23.3</v>
      </c>
      <c r="C936">
        <f t="shared" si="48"/>
        <v>2.5817555938038848E-3</v>
      </c>
      <c r="D936">
        <f t="shared" si="47"/>
        <v>0.23972901618885623</v>
      </c>
    </row>
    <row r="937" spans="1:4">
      <c r="A937" s="1">
        <v>19630</v>
      </c>
      <c r="B937">
        <v>23.45</v>
      </c>
      <c r="C937">
        <f t="shared" si="48"/>
        <v>6.437768240343286E-3</v>
      </c>
      <c r="D937">
        <f t="shared" si="47"/>
        <v>0.64692264094103369</v>
      </c>
    </row>
    <row r="938" spans="1:4">
      <c r="A938" s="1">
        <v>19631</v>
      </c>
      <c r="B938">
        <v>23.49</v>
      </c>
      <c r="C938">
        <f t="shared" si="48"/>
        <v>1.7057569296374904E-3</v>
      </c>
      <c r="D938">
        <f t="shared" si="47"/>
        <v>0.14722385501929866</v>
      </c>
    </row>
    <row r="939" spans="1:4">
      <c r="A939" s="1">
        <v>19632</v>
      </c>
      <c r="B939">
        <v>23.35</v>
      </c>
      <c r="C939">
        <f t="shared" si="48"/>
        <v>-5.9599829714770975E-3</v>
      </c>
      <c r="D939">
        <f t="shared" si="47"/>
        <v>-0.66227567282680444</v>
      </c>
    </row>
    <row r="940" spans="1:4">
      <c r="A940" s="1">
        <v>19633</v>
      </c>
      <c r="B940">
        <v>23.49</v>
      </c>
      <c r="C940">
        <f t="shared" si="48"/>
        <v>5.9957173447536191E-3</v>
      </c>
      <c r="D940">
        <f t="shared" si="47"/>
        <v>0.60024221662716504</v>
      </c>
    </row>
    <row r="941" spans="1:4">
      <c r="A941" s="1">
        <v>19634</v>
      </c>
      <c r="B941">
        <v>23.59</v>
      </c>
      <c r="C941">
        <f t="shared" si="48"/>
        <v>4.2571306939123638E-3</v>
      </c>
      <c r="D941">
        <f t="shared" si="47"/>
        <v>0.41664805727264503</v>
      </c>
    </row>
    <row r="942" spans="1:4">
      <c r="A942" s="1">
        <v>19637</v>
      </c>
      <c r="B942">
        <v>23.48</v>
      </c>
      <c r="C942">
        <f t="shared" si="48"/>
        <v>-4.662992793556568E-3</v>
      </c>
      <c r="D942">
        <f t="shared" si="47"/>
        <v>-0.52531395090677868</v>
      </c>
    </row>
    <row r="943" spans="1:4">
      <c r="A943" s="1">
        <v>19638</v>
      </c>
      <c r="B943">
        <v>23.39</v>
      </c>
      <c r="C943">
        <f t="shared" si="48"/>
        <v>-3.8330494037478644E-3</v>
      </c>
      <c r="D943">
        <f t="shared" si="47"/>
        <v>-0.43767221105444487</v>
      </c>
    </row>
    <row r="944" spans="1:4">
      <c r="A944" s="1">
        <v>19639</v>
      </c>
      <c r="B944">
        <v>23.58</v>
      </c>
      <c r="C944">
        <f t="shared" si="48"/>
        <v>8.1231295425394489E-3</v>
      </c>
      <c r="D944">
        <f t="shared" si="47"/>
        <v>0.82489622157080689</v>
      </c>
    </row>
    <row r="945" spans="1:4">
      <c r="A945" s="1">
        <v>19640</v>
      </c>
      <c r="B945">
        <v>23.62</v>
      </c>
      <c r="C945">
        <f t="shared" si="48"/>
        <v>1.696352841391124E-3</v>
      </c>
      <c r="D945">
        <f t="shared" si="47"/>
        <v>0.14623078649708726</v>
      </c>
    </row>
    <row r="946" spans="1:4">
      <c r="A946" s="1">
        <v>19641</v>
      </c>
      <c r="B946">
        <v>23.66</v>
      </c>
      <c r="C946">
        <f t="shared" si="48"/>
        <v>1.6934801016087698E-3</v>
      </c>
      <c r="D946">
        <f t="shared" si="47"/>
        <v>0.14592742615256238</v>
      </c>
    </row>
    <row r="947" spans="1:4">
      <c r="A947" s="1">
        <v>19645</v>
      </c>
      <c r="B947">
        <v>23.57</v>
      </c>
      <c r="C947">
        <f t="shared" si="48"/>
        <v>-3.8038884192730287E-3</v>
      </c>
      <c r="D947">
        <f t="shared" si="47"/>
        <v>-0.4345928210062025</v>
      </c>
    </row>
    <row r="948" spans="1:4">
      <c r="A948" s="1">
        <v>19646</v>
      </c>
      <c r="B948">
        <v>23.68</v>
      </c>
      <c r="C948">
        <f t="shared" si="48"/>
        <v>4.6669495120916175E-3</v>
      </c>
      <c r="D948">
        <f t="shared" si="47"/>
        <v>0.45992478516818952</v>
      </c>
    </row>
    <row r="949" spans="1:4">
      <c r="A949" s="1">
        <v>19647</v>
      </c>
      <c r="B949">
        <v>23.95</v>
      </c>
      <c r="C949">
        <f t="shared" si="48"/>
        <v>1.1402027027027009E-2</v>
      </c>
      <c r="D949">
        <f t="shared" si="47"/>
        <v>1.1711466813812852</v>
      </c>
    </row>
    <row r="950" spans="1:4">
      <c r="A950" s="1">
        <v>19648</v>
      </c>
      <c r="B950">
        <v>24.14</v>
      </c>
      <c r="C950">
        <f t="shared" si="48"/>
        <v>7.9331941544885706E-3</v>
      </c>
      <c r="D950">
        <f t="shared" si="47"/>
        <v>0.8048391091548095</v>
      </c>
    </row>
    <row r="951" spans="1:4">
      <c r="A951" s="1">
        <v>19651</v>
      </c>
      <c r="B951">
        <v>24.16</v>
      </c>
      <c r="C951">
        <f t="shared" si="48"/>
        <v>8.2850041425018941E-4</v>
      </c>
      <c r="D951">
        <f t="shared" si="47"/>
        <v>5.4585865188377734E-2</v>
      </c>
    </row>
    <row r="952" spans="1:4">
      <c r="A952" s="1">
        <v>19652</v>
      </c>
      <c r="B952">
        <v>24.17</v>
      </c>
      <c r="C952">
        <f t="shared" si="48"/>
        <v>4.1390728476827659E-4</v>
      </c>
      <c r="D952">
        <f t="shared" si="47"/>
        <v>1.0804971642139751E-2</v>
      </c>
    </row>
    <row r="953" spans="1:4">
      <c r="A953" s="1">
        <v>19653</v>
      </c>
      <c r="B953">
        <v>24.19</v>
      </c>
      <c r="C953">
        <f t="shared" si="48"/>
        <v>8.2747207281752468E-4</v>
      </c>
      <c r="D953">
        <f t="shared" si="47"/>
        <v>5.4477272682638592E-2</v>
      </c>
    </row>
    <row r="954" spans="1:4">
      <c r="A954" s="1">
        <v>19654</v>
      </c>
      <c r="B954">
        <v>24.3</v>
      </c>
      <c r="C954">
        <f t="shared" si="48"/>
        <v>4.5473336089292861E-3</v>
      </c>
      <c r="D954">
        <f t="shared" si="47"/>
        <v>0.44729338645366834</v>
      </c>
    </row>
    <row r="955" spans="1:4">
      <c r="A955" s="1">
        <v>19655</v>
      </c>
      <c r="B955">
        <v>24.35</v>
      </c>
      <c r="C955">
        <f t="shared" si="48"/>
        <v>2.0576131687243091E-3</v>
      </c>
      <c r="D955">
        <f t="shared" si="47"/>
        <v>0.18437975426511988</v>
      </c>
    </row>
    <row r="956" spans="1:4">
      <c r="A956" s="1">
        <v>19658</v>
      </c>
      <c r="B956">
        <v>24.31</v>
      </c>
      <c r="C956">
        <f t="shared" si="48"/>
        <v>-1.6427104722793716E-3</v>
      </c>
      <c r="D956">
        <f t="shared" si="47"/>
        <v>-0.20637316442374981</v>
      </c>
    </row>
    <row r="957" spans="1:4">
      <c r="A957" s="1">
        <v>19659</v>
      </c>
      <c r="B957">
        <v>24.26</v>
      </c>
      <c r="C957">
        <f t="shared" si="48"/>
        <v>-2.0567667626489989E-3</v>
      </c>
      <c r="D957">
        <f t="shared" si="47"/>
        <v>-0.25009736794221094</v>
      </c>
    </row>
    <row r="958" spans="1:4">
      <c r="A958" s="1">
        <v>19660</v>
      </c>
      <c r="B958">
        <v>24.29</v>
      </c>
      <c r="C958">
        <f t="shared" si="48"/>
        <v>1.2366034624895954E-3</v>
      </c>
      <c r="D958">
        <f t="shared" si="47"/>
        <v>9.7681408361492819E-2</v>
      </c>
    </row>
    <row r="959" spans="1:4">
      <c r="A959" s="1">
        <v>19661</v>
      </c>
      <c r="B959">
        <v>24.58</v>
      </c>
      <c r="C959">
        <f t="shared" si="48"/>
        <v>1.193906957595715E-2</v>
      </c>
      <c r="D959">
        <f t="shared" si="47"/>
        <v>1.227858191998676</v>
      </c>
    </row>
    <row r="960" spans="1:4">
      <c r="A960" s="1">
        <v>19662</v>
      </c>
      <c r="B960">
        <v>24.54</v>
      </c>
      <c r="C960">
        <f t="shared" si="48"/>
        <v>-1.6273393002440664E-3</v>
      </c>
      <c r="D960">
        <f t="shared" si="47"/>
        <v>-0.20474997388173682</v>
      </c>
    </row>
    <row r="961" spans="1:4">
      <c r="A961" s="1">
        <v>19665</v>
      </c>
      <c r="B961">
        <v>24.66</v>
      </c>
      <c r="C961">
        <f t="shared" si="48"/>
        <v>4.8899755501222901E-3</v>
      </c>
      <c r="D961">
        <f t="shared" si="47"/>
        <v>0.48347625897399477</v>
      </c>
    </row>
    <row r="962" spans="1:4">
      <c r="A962" s="1">
        <v>19667</v>
      </c>
      <c r="B962">
        <v>24.51</v>
      </c>
      <c r="C962">
        <f t="shared" si="48"/>
        <v>-6.0827250608271929E-3</v>
      </c>
      <c r="D962">
        <f t="shared" si="47"/>
        <v>-0.67523719574011121</v>
      </c>
    </row>
    <row r="963" spans="1:4">
      <c r="A963" s="1">
        <v>19668</v>
      </c>
      <c r="B963">
        <v>24.64</v>
      </c>
      <c r="C963">
        <f t="shared" si="48"/>
        <v>5.3039575683394126E-3</v>
      </c>
      <c r="D963">
        <f t="shared" ref="D963:D1026" si="49">(C963-avg)/sd</f>
        <v>0.52719261937839768</v>
      </c>
    </row>
    <row r="964" spans="1:4">
      <c r="A964" s="1">
        <v>19669</v>
      </c>
      <c r="B964">
        <v>24.61</v>
      </c>
      <c r="C964">
        <f t="shared" ref="C964:C1027" si="50">(B964-B963)/B963</f>
        <v>-1.2175324675325137E-3</v>
      </c>
      <c r="D964">
        <f t="shared" si="49"/>
        <v>-0.16147451164750753</v>
      </c>
    </row>
    <row r="965" spans="1:4">
      <c r="A965" s="1">
        <v>19672</v>
      </c>
      <c r="B965">
        <v>24.66</v>
      </c>
      <c r="C965">
        <f t="shared" si="50"/>
        <v>2.0316944331572819E-3</v>
      </c>
      <c r="D965">
        <f t="shared" si="49"/>
        <v>0.1816427445994481</v>
      </c>
    </row>
    <row r="966" spans="1:4">
      <c r="A966" s="1">
        <v>19673</v>
      </c>
      <c r="B966">
        <v>24.37</v>
      </c>
      <c r="C966">
        <f t="shared" si="50"/>
        <v>-1.1759935117599317E-2</v>
      </c>
      <c r="D966">
        <f t="shared" si="49"/>
        <v>-1.2747486479577861</v>
      </c>
    </row>
    <row r="967" spans="1:4">
      <c r="A967" s="1">
        <v>19675</v>
      </c>
      <c r="B967">
        <v>24.46</v>
      </c>
      <c r="C967">
        <f t="shared" si="50"/>
        <v>3.6930652441526405E-3</v>
      </c>
      <c r="D967">
        <f t="shared" si="49"/>
        <v>0.35708293751318065</v>
      </c>
    </row>
    <row r="968" spans="1:4">
      <c r="A968" s="1">
        <v>19676</v>
      </c>
      <c r="B968">
        <v>24.54</v>
      </c>
      <c r="C968">
        <f t="shared" si="50"/>
        <v>3.270645952575564E-3</v>
      </c>
      <c r="D968">
        <f t="shared" si="49"/>
        <v>0.31247560390993512</v>
      </c>
    </row>
    <row r="969" spans="1:4">
      <c r="A969" s="1">
        <v>19679</v>
      </c>
      <c r="B969">
        <v>24.38</v>
      </c>
      <c r="C969">
        <f t="shared" si="50"/>
        <v>-6.5199674001630049E-3</v>
      </c>
      <c r="D969">
        <f t="shared" si="49"/>
        <v>-0.72140983814808046</v>
      </c>
    </row>
    <row r="970" spans="1:4">
      <c r="A970" s="1">
        <v>19680</v>
      </c>
      <c r="B970">
        <v>24.25</v>
      </c>
      <c r="C970">
        <f t="shared" si="50"/>
        <v>-5.3322395406070148E-3</v>
      </c>
      <c r="D970">
        <f t="shared" si="49"/>
        <v>-0.59598617990728353</v>
      </c>
    </row>
    <row r="971" spans="1:4">
      <c r="A971" s="1">
        <v>19681</v>
      </c>
      <c r="B971">
        <v>24.29</v>
      </c>
      <c r="C971">
        <f t="shared" si="50"/>
        <v>1.649484536082439E-3</v>
      </c>
      <c r="D971">
        <f t="shared" si="49"/>
        <v>0.14128150938780118</v>
      </c>
    </row>
    <row r="972" spans="1:4">
      <c r="A972" s="1">
        <v>19682</v>
      </c>
      <c r="B972">
        <v>24.4</v>
      </c>
      <c r="C972">
        <f t="shared" si="50"/>
        <v>4.5286125977768397E-3</v>
      </c>
      <c r="D972">
        <f t="shared" si="49"/>
        <v>0.44531645403955089</v>
      </c>
    </row>
    <row r="973" spans="1:4">
      <c r="A973" s="1">
        <v>19683</v>
      </c>
      <c r="B973">
        <v>24.44</v>
      </c>
      <c r="C973">
        <f t="shared" si="50"/>
        <v>1.6393442622951928E-3</v>
      </c>
      <c r="D973">
        <f t="shared" si="49"/>
        <v>0.14021069992271451</v>
      </c>
    </row>
    <row r="974" spans="1:4">
      <c r="A974" s="1">
        <v>19686</v>
      </c>
      <c r="B974">
        <v>24.36</v>
      </c>
      <c r="C974">
        <f t="shared" si="50"/>
        <v>-3.2733224222586681E-3</v>
      </c>
      <c r="D974">
        <f t="shared" si="49"/>
        <v>-0.37856523206963105</v>
      </c>
    </row>
    <row r="975" spans="1:4">
      <c r="A975" s="1">
        <v>19687</v>
      </c>
      <c r="B975">
        <v>24.5</v>
      </c>
      <c r="C975">
        <f t="shared" si="50"/>
        <v>5.7471264367816325E-3</v>
      </c>
      <c r="D975">
        <f t="shared" si="49"/>
        <v>0.57399110124547847</v>
      </c>
    </row>
    <row r="976" spans="1:4">
      <c r="A976" s="1">
        <v>19688</v>
      </c>
      <c r="B976">
        <v>24.52</v>
      </c>
      <c r="C976">
        <f t="shared" si="50"/>
        <v>8.1632653061222747E-4</v>
      </c>
      <c r="D976">
        <f t="shared" si="49"/>
        <v>5.3300307214313065E-2</v>
      </c>
    </row>
    <row r="977" spans="1:4">
      <c r="A977" s="1">
        <v>19690</v>
      </c>
      <c r="B977">
        <v>24.66</v>
      </c>
      <c r="C977">
        <f t="shared" si="50"/>
        <v>5.7096247960848516E-3</v>
      </c>
      <c r="D977">
        <f t="shared" si="49"/>
        <v>0.57003094073532545</v>
      </c>
    </row>
    <row r="978" spans="1:4">
      <c r="A978" s="1">
        <v>19693</v>
      </c>
      <c r="B978">
        <v>24.76</v>
      </c>
      <c r="C978">
        <f t="shared" si="50"/>
        <v>4.0551500405515582E-3</v>
      </c>
      <c r="D978">
        <f t="shared" si="49"/>
        <v>0.39531896893430396</v>
      </c>
    </row>
    <row r="979" spans="1:4">
      <c r="A979" s="1">
        <v>19694</v>
      </c>
      <c r="B979">
        <v>24.78</v>
      </c>
      <c r="C979">
        <f t="shared" si="50"/>
        <v>8.0775444264941727E-4</v>
      </c>
      <c r="D979">
        <f t="shared" si="49"/>
        <v>5.239509763923459E-2</v>
      </c>
    </row>
    <row r="980" spans="1:4">
      <c r="A980" s="1">
        <v>19695</v>
      </c>
      <c r="B980">
        <v>24.95</v>
      </c>
      <c r="C980">
        <f t="shared" si="50"/>
        <v>6.8603712671508532E-3</v>
      </c>
      <c r="D980">
        <f t="shared" si="49"/>
        <v>0.69154937692216434</v>
      </c>
    </row>
    <row r="981" spans="1:4">
      <c r="A981" s="1">
        <v>19696</v>
      </c>
      <c r="B981">
        <v>24.97</v>
      </c>
      <c r="C981">
        <f t="shared" si="50"/>
        <v>8.0160320641280863E-4</v>
      </c>
      <c r="D981">
        <f t="shared" si="49"/>
        <v>5.174552918355551E-2</v>
      </c>
    </row>
    <row r="982" spans="1:4">
      <c r="A982" s="1">
        <v>19697</v>
      </c>
      <c r="B982">
        <v>24.98</v>
      </c>
      <c r="C982">
        <f t="shared" si="50"/>
        <v>4.0048057669209305E-4</v>
      </c>
      <c r="D982">
        <f t="shared" si="49"/>
        <v>9.3871158332545952E-3</v>
      </c>
    </row>
    <row r="983" spans="1:4">
      <c r="A983" s="1">
        <v>19700</v>
      </c>
      <c r="B983">
        <v>24.95</v>
      </c>
      <c r="C983">
        <f t="shared" si="50"/>
        <v>-1.2009607686149374E-3</v>
      </c>
      <c r="D983">
        <f t="shared" si="49"/>
        <v>-0.15972454587480564</v>
      </c>
    </row>
    <row r="984" spans="1:4">
      <c r="A984" s="1">
        <v>19701</v>
      </c>
      <c r="B984">
        <v>24.87</v>
      </c>
      <c r="C984">
        <f t="shared" si="50"/>
        <v>-3.2064128256512345E-3</v>
      </c>
      <c r="D984">
        <f t="shared" si="49"/>
        <v>-0.37149960141156296</v>
      </c>
    </row>
    <row r="985" spans="1:4">
      <c r="A985" s="1">
        <v>19702</v>
      </c>
      <c r="B985">
        <v>24.84</v>
      </c>
      <c r="C985">
        <f t="shared" si="50"/>
        <v>-1.2062726176116259E-3</v>
      </c>
      <c r="D985">
        <f t="shared" si="49"/>
        <v>-0.16028547532327073</v>
      </c>
    </row>
    <row r="986" spans="1:4">
      <c r="A986" s="1">
        <v>19703</v>
      </c>
      <c r="B986">
        <v>24.78</v>
      </c>
      <c r="C986">
        <f t="shared" si="50"/>
        <v>-2.4154589371980163E-3</v>
      </c>
      <c r="D986">
        <f t="shared" si="49"/>
        <v>-0.28797513964919297</v>
      </c>
    </row>
    <row r="987" spans="1:4">
      <c r="A987" s="1">
        <v>19704</v>
      </c>
      <c r="B987">
        <v>24.76</v>
      </c>
      <c r="C987">
        <f t="shared" si="50"/>
        <v>-8.0710250201773898E-4</v>
      </c>
      <c r="D987">
        <f t="shared" si="49"/>
        <v>-0.11813324680107115</v>
      </c>
    </row>
    <row r="988" spans="1:4">
      <c r="A988" s="1">
        <v>19707</v>
      </c>
      <c r="B988">
        <v>24.69</v>
      </c>
      <c r="C988">
        <f t="shared" si="50"/>
        <v>-2.8271405492730321E-3</v>
      </c>
      <c r="D988">
        <f t="shared" si="49"/>
        <v>-0.3314485779469355</v>
      </c>
    </row>
    <row r="989" spans="1:4">
      <c r="A989" s="1">
        <v>19708</v>
      </c>
      <c r="B989">
        <v>24.71</v>
      </c>
      <c r="C989">
        <f t="shared" si="50"/>
        <v>8.1004455245036746E-4</v>
      </c>
      <c r="D989">
        <f t="shared" si="49"/>
        <v>5.2636932455768774E-2</v>
      </c>
    </row>
    <row r="990" spans="1:4">
      <c r="A990" s="1">
        <v>19709</v>
      </c>
      <c r="B990">
        <v>24.96</v>
      </c>
      <c r="C990">
        <f t="shared" si="50"/>
        <v>1.0117361392148928E-2</v>
      </c>
      <c r="D990">
        <f t="shared" si="49"/>
        <v>1.0354864270172262</v>
      </c>
    </row>
    <row r="991" spans="1:4">
      <c r="A991" s="1">
        <v>19710</v>
      </c>
      <c r="B991">
        <v>24.94</v>
      </c>
      <c r="C991">
        <f t="shared" si="50"/>
        <v>-8.0128205128203412E-4</v>
      </c>
      <c r="D991">
        <f t="shared" si="49"/>
        <v>-0.11751860918184803</v>
      </c>
    </row>
    <row r="992" spans="1:4">
      <c r="A992" s="1">
        <v>19711</v>
      </c>
      <c r="B992">
        <v>24.99</v>
      </c>
      <c r="C992">
        <f t="shared" si="50"/>
        <v>2.0048115477144007E-3</v>
      </c>
      <c r="D992">
        <f t="shared" si="49"/>
        <v>0.17880392103461662</v>
      </c>
    </row>
    <row r="993" spans="1:4">
      <c r="A993" s="1">
        <v>19714</v>
      </c>
      <c r="B993">
        <v>24.95</v>
      </c>
      <c r="C993">
        <f t="shared" si="50"/>
        <v>-1.600640256102407E-3</v>
      </c>
      <c r="D993">
        <f t="shared" si="49"/>
        <v>-0.20193056389582364</v>
      </c>
    </row>
    <row r="994" spans="1:4">
      <c r="A994" s="1">
        <v>19715</v>
      </c>
      <c r="B994">
        <v>24.76</v>
      </c>
      <c r="C994">
        <f t="shared" si="50"/>
        <v>-7.6152304609217528E-3</v>
      </c>
      <c r="D994">
        <f t="shared" si="49"/>
        <v>-0.83706924506620073</v>
      </c>
    </row>
    <row r="995" spans="1:4">
      <c r="A995" s="1">
        <v>19716</v>
      </c>
      <c r="B995">
        <v>24.69</v>
      </c>
      <c r="C995">
        <f t="shared" si="50"/>
        <v>-2.8271405492730321E-3</v>
      </c>
      <c r="D995">
        <f t="shared" si="49"/>
        <v>-0.3314485779469355</v>
      </c>
    </row>
    <row r="996" spans="1:4">
      <c r="A996" s="1">
        <v>19717</v>
      </c>
      <c r="B996">
        <v>24.8</v>
      </c>
      <c r="C996">
        <f t="shared" si="50"/>
        <v>4.4552450384770931E-3</v>
      </c>
      <c r="D996">
        <f t="shared" si="49"/>
        <v>0.43756886471634276</v>
      </c>
    </row>
    <row r="997" spans="1:4">
      <c r="A997" s="1">
        <v>19721</v>
      </c>
      <c r="B997">
        <v>24.71</v>
      </c>
      <c r="C997">
        <f t="shared" si="50"/>
        <v>-3.6290322580645102E-3</v>
      </c>
      <c r="D997">
        <f t="shared" si="49"/>
        <v>-0.41612806981907996</v>
      </c>
    </row>
    <row r="998" spans="1:4">
      <c r="A998" s="1">
        <v>19722</v>
      </c>
      <c r="B998">
        <v>24.55</v>
      </c>
      <c r="C998">
        <f t="shared" si="50"/>
        <v>-6.4751112909753189E-3</v>
      </c>
      <c r="D998">
        <f t="shared" si="49"/>
        <v>-0.71667304826519318</v>
      </c>
    </row>
    <row r="999" spans="1:4">
      <c r="A999" s="1">
        <v>19723</v>
      </c>
      <c r="B999">
        <v>24.76</v>
      </c>
      <c r="C999">
        <f t="shared" si="50"/>
        <v>8.553971486761746E-3</v>
      </c>
      <c r="D999">
        <f t="shared" si="49"/>
        <v>0.87039298443038915</v>
      </c>
    </row>
    <row r="1000" spans="1:4">
      <c r="A1000" s="1">
        <v>19724</v>
      </c>
      <c r="B1000">
        <v>24.81</v>
      </c>
      <c r="C1000">
        <f t="shared" si="50"/>
        <v>2.0193861066234715E-3</v>
      </c>
      <c r="D1000">
        <f t="shared" si="49"/>
        <v>0.18034298950128119</v>
      </c>
    </row>
    <row r="1001" spans="1:4">
      <c r="A1001" s="1">
        <v>19728</v>
      </c>
      <c r="B1001">
        <v>24.95</v>
      </c>
      <c r="C1001">
        <f t="shared" si="50"/>
        <v>5.6428859330915184E-3</v>
      </c>
      <c r="D1001">
        <f t="shared" si="49"/>
        <v>0.56298333948887125</v>
      </c>
    </row>
    <row r="1002" spans="1:4">
      <c r="A1002" s="1">
        <v>19729</v>
      </c>
      <c r="B1002">
        <v>25.1</v>
      </c>
      <c r="C1002">
        <f t="shared" si="50"/>
        <v>6.0120240480962782E-3</v>
      </c>
      <c r="D1002">
        <f t="shared" si="49"/>
        <v>0.60196419895723208</v>
      </c>
    </row>
    <row r="1003" spans="1:4">
      <c r="A1003" s="1">
        <v>19730</v>
      </c>
      <c r="B1003">
        <v>25.14</v>
      </c>
      <c r="C1003">
        <f t="shared" si="50"/>
        <v>1.5936254980079341E-3</v>
      </c>
      <c r="D1003">
        <f t="shared" si="49"/>
        <v>0.13538281395454305</v>
      </c>
    </row>
    <row r="1004" spans="1:4">
      <c r="A1004" s="1">
        <v>19731</v>
      </c>
      <c r="B1004">
        <v>25.06</v>
      </c>
      <c r="C1004">
        <f t="shared" si="50"/>
        <v>-3.1821797931583869E-3</v>
      </c>
      <c r="D1004">
        <f t="shared" si="49"/>
        <v>-0.36894060141752627</v>
      </c>
    </row>
    <row r="1005" spans="1:4">
      <c r="A1005" s="1">
        <v>19732</v>
      </c>
      <c r="B1005">
        <v>24.93</v>
      </c>
      <c r="C1005">
        <f t="shared" si="50"/>
        <v>-5.1875498802872707E-3</v>
      </c>
      <c r="D1005">
        <f t="shared" si="49"/>
        <v>-0.58070700095992378</v>
      </c>
    </row>
    <row r="1006" spans="1:4">
      <c r="A1006" s="1">
        <v>19735</v>
      </c>
      <c r="B1006">
        <v>24.8</v>
      </c>
      <c r="C1006">
        <f t="shared" si="50"/>
        <v>-5.2146008824708791E-3</v>
      </c>
      <c r="D1006">
        <f t="shared" si="49"/>
        <v>-0.58356357759543043</v>
      </c>
    </row>
    <row r="1007" spans="1:4">
      <c r="A1007" s="1">
        <v>19736</v>
      </c>
      <c r="B1007">
        <v>24.93</v>
      </c>
      <c r="C1007">
        <f t="shared" si="50"/>
        <v>5.2419354838709274E-3</v>
      </c>
      <c r="D1007">
        <f t="shared" si="49"/>
        <v>0.52064310834085648</v>
      </c>
    </row>
    <row r="1008" spans="1:4">
      <c r="A1008" s="1">
        <v>19737</v>
      </c>
      <c r="B1008">
        <v>25.07</v>
      </c>
      <c r="C1008">
        <f t="shared" si="50"/>
        <v>5.6157240272763963E-3</v>
      </c>
      <c r="D1008">
        <f t="shared" si="49"/>
        <v>0.56011505146757479</v>
      </c>
    </row>
    <row r="1009" spans="1:4">
      <c r="A1009" s="1">
        <v>19738</v>
      </c>
      <c r="B1009">
        <v>25.19</v>
      </c>
      <c r="C1009">
        <f t="shared" si="50"/>
        <v>4.7865975269246507E-3</v>
      </c>
      <c r="D1009">
        <f t="shared" si="49"/>
        <v>0.47255957486422151</v>
      </c>
    </row>
    <row r="1010" spans="1:4">
      <c r="A1010" s="1">
        <v>19739</v>
      </c>
      <c r="B1010">
        <v>25.43</v>
      </c>
      <c r="C1010">
        <f t="shared" si="50"/>
        <v>9.5275903136164512E-3</v>
      </c>
      <c r="D1010">
        <f t="shared" si="49"/>
        <v>0.9732068015971268</v>
      </c>
    </row>
    <row r="1011" spans="1:4">
      <c r="A1011" s="1">
        <v>19742</v>
      </c>
      <c r="B1011">
        <v>25.43</v>
      </c>
      <c r="C1011">
        <f t="shared" si="50"/>
        <v>0</v>
      </c>
      <c r="D1011">
        <f t="shared" si="49"/>
        <v>-3.29034969354682E-2</v>
      </c>
    </row>
    <row r="1012" spans="1:4">
      <c r="A1012" s="1">
        <v>19743</v>
      </c>
      <c r="B1012">
        <v>25.68</v>
      </c>
      <c r="C1012">
        <f t="shared" si="50"/>
        <v>9.8309083759339361E-3</v>
      </c>
      <c r="D1012">
        <f t="shared" si="49"/>
        <v>1.0052370858750344</v>
      </c>
    </row>
    <row r="1013" spans="1:4">
      <c r="A1013" s="1">
        <v>19744</v>
      </c>
      <c r="B1013">
        <v>25.75</v>
      </c>
      <c r="C1013">
        <f t="shared" si="50"/>
        <v>2.7258566978193258E-3</v>
      </c>
      <c r="D1013">
        <f t="shared" si="49"/>
        <v>0.25494604379054159</v>
      </c>
    </row>
    <row r="1014" spans="1:4">
      <c r="A1014" s="1">
        <v>19745</v>
      </c>
      <c r="B1014">
        <v>25.79</v>
      </c>
      <c r="C1014">
        <f t="shared" si="50"/>
        <v>1.5533980582523941E-3</v>
      </c>
      <c r="D1014">
        <f t="shared" si="49"/>
        <v>0.13113480999032917</v>
      </c>
    </row>
    <row r="1015" spans="1:4">
      <c r="A1015" s="1">
        <v>19746</v>
      </c>
      <c r="B1015">
        <v>25.85</v>
      </c>
      <c r="C1015">
        <f t="shared" si="50"/>
        <v>2.3264831329973738E-3</v>
      </c>
      <c r="D1015">
        <f t="shared" si="49"/>
        <v>0.21277233109901408</v>
      </c>
    </row>
    <row r="1016" spans="1:4">
      <c r="A1016" s="1">
        <v>19749</v>
      </c>
      <c r="B1016">
        <v>25.93</v>
      </c>
      <c r="C1016">
        <f t="shared" si="50"/>
        <v>3.0947775628626033E-3</v>
      </c>
      <c r="D1016">
        <f t="shared" si="49"/>
        <v>0.29390396173681671</v>
      </c>
    </row>
    <row r="1017" spans="1:4">
      <c r="A1017" s="1">
        <v>19750</v>
      </c>
      <c r="B1017">
        <v>26.09</v>
      </c>
      <c r="C1017">
        <f t="shared" si="50"/>
        <v>6.1704589278827665E-3</v>
      </c>
      <c r="D1017">
        <f t="shared" si="49"/>
        <v>0.61869486840805288</v>
      </c>
    </row>
    <row r="1018" spans="1:4">
      <c r="A1018" s="1">
        <v>19751</v>
      </c>
      <c r="B1018">
        <v>26.01</v>
      </c>
      <c r="C1018">
        <f t="shared" si="50"/>
        <v>-3.0663089306246952E-3</v>
      </c>
      <c r="D1018">
        <f t="shared" si="49"/>
        <v>-0.35670467772038827</v>
      </c>
    </row>
    <row r="1019" spans="1:4">
      <c r="A1019" s="1">
        <v>19752</v>
      </c>
      <c r="B1019">
        <v>26.02</v>
      </c>
      <c r="C1019">
        <f t="shared" si="50"/>
        <v>3.8446751249511762E-4</v>
      </c>
      <c r="D1019">
        <f t="shared" si="49"/>
        <v>7.6961416971589791E-3</v>
      </c>
    </row>
    <row r="1020" spans="1:4">
      <c r="A1020" s="1">
        <v>19753</v>
      </c>
      <c r="B1020">
        <v>26.08</v>
      </c>
      <c r="C1020">
        <f t="shared" si="50"/>
        <v>2.3059185242120953E-3</v>
      </c>
      <c r="D1020">
        <f t="shared" si="49"/>
        <v>0.21060071540153885</v>
      </c>
    </row>
    <row r="1021" spans="1:4">
      <c r="A1021" s="1">
        <v>19756</v>
      </c>
      <c r="B1021">
        <v>25.99</v>
      </c>
      <c r="C1021">
        <f t="shared" si="50"/>
        <v>-3.4509202453987678E-3</v>
      </c>
      <c r="D1021">
        <f t="shared" si="49"/>
        <v>-0.39731950182479231</v>
      </c>
    </row>
    <row r="1022" spans="1:4">
      <c r="A1022" s="1">
        <v>19757</v>
      </c>
      <c r="B1022">
        <v>25.92</v>
      </c>
      <c r="C1022">
        <f t="shared" si="50"/>
        <v>-2.6933435936897553E-3</v>
      </c>
      <c r="D1022">
        <f t="shared" si="49"/>
        <v>-0.31731966491713642</v>
      </c>
    </row>
    <row r="1023" spans="1:4">
      <c r="A1023" s="1">
        <v>19758</v>
      </c>
      <c r="B1023">
        <v>26.01</v>
      </c>
      <c r="C1023">
        <f t="shared" si="50"/>
        <v>3.4722222222222164E-3</v>
      </c>
      <c r="D1023">
        <f t="shared" si="49"/>
        <v>0.33376198946551838</v>
      </c>
    </row>
    <row r="1024" spans="1:4">
      <c r="A1024" s="1">
        <v>19759</v>
      </c>
      <c r="B1024">
        <v>26.2</v>
      </c>
      <c r="C1024">
        <f t="shared" si="50"/>
        <v>7.3048827374086007E-3</v>
      </c>
      <c r="D1024">
        <f t="shared" si="49"/>
        <v>0.73848963708459237</v>
      </c>
    </row>
    <row r="1025" spans="1:4">
      <c r="A1025" s="1">
        <v>19760</v>
      </c>
      <c r="B1025">
        <v>26.3</v>
      </c>
      <c r="C1025">
        <f t="shared" si="50"/>
        <v>3.8167938931298255E-3</v>
      </c>
      <c r="D1025">
        <f t="shared" si="49"/>
        <v>0.37014864078776011</v>
      </c>
    </row>
    <row r="1026" spans="1:4">
      <c r="A1026" s="1">
        <v>19763</v>
      </c>
      <c r="B1026">
        <v>26.23</v>
      </c>
      <c r="C1026">
        <f t="shared" si="50"/>
        <v>-2.6615969581749157E-3</v>
      </c>
      <c r="D1026">
        <f t="shared" si="49"/>
        <v>-0.31396723099797508</v>
      </c>
    </row>
    <row r="1027" spans="1:4">
      <c r="A1027" s="1">
        <v>19764</v>
      </c>
      <c r="B1027">
        <v>26.17</v>
      </c>
      <c r="C1027">
        <f t="shared" si="50"/>
        <v>-2.2874571101791355E-3</v>
      </c>
      <c r="D1027">
        <f t="shared" ref="D1027:D1090" si="51">(C1027-avg)/sd</f>
        <v>-0.27445819022593421</v>
      </c>
    </row>
    <row r="1028" spans="1:4">
      <c r="A1028" s="1">
        <v>19765</v>
      </c>
      <c r="B1028">
        <v>26.14</v>
      </c>
      <c r="C1028">
        <f t="shared" ref="C1028:C1091" si="52">(B1028-B1027)/B1027</f>
        <v>-1.1463507833397453E-3</v>
      </c>
      <c r="D1028">
        <f t="shared" si="51"/>
        <v>-0.15395774999258124</v>
      </c>
    </row>
    <row r="1029" spans="1:4">
      <c r="A1029" s="1">
        <v>19766</v>
      </c>
      <c r="B1029">
        <v>26.06</v>
      </c>
      <c r="C1029">
        <f t="shared" si="52"/>
        <v>-3.0604437643459007E-3</v>
      </c>
      <c r="D1029">
        <f t="shared" si="51"/>
        <v>-0.35608531815501449</v>
      </c>
    </row>
    <row r="1030" spans="1:4">
      <c r="A1030" s="1">
        <v>19767</v>
      </c>
      <c r="B1030">
        <v>26.12</v>
      </c>
      <c r="C1030">
        <f t="shared" si="52"/>
        <v>2.3023791250960197E-3</v>
      </c>
      <c r="D1030">
        <f t="shared" si="51"/>
        <v>0.21022695605798147</v>
      </c>
    </row>
    <row r="1031" spans="1:4">
      <c r="A1031" s="1">
        <v>19770</v>
      </c>
      <c r="B1031">
        <v>26.04</v>
      </c>
      <c r="C1031">
        <f t="shared" si="52"/>
        <v>-3.0627871362940984E-3</v>
      </c>
      <c r="D1031">
        <f t="shared" si="51"/>
        <v>-0.35633277743619329</v>
      </c>
    </row>
    <row r="1032" spans="1:4">
      <c r="A1032" s="1">
        <v>19771</v>
      </c>
      <c r="B1032">
        <v>25.81</v>
      </c>
      <c r="C1032">
        <f t="shared" si="52"/>
        <v>-8.8325652841782041E-3</v>
      </c>
      <c r="D1032">
        <f t="shared" si="51"/>
        <v>-0.96561938860987051</v>
      </c>
    </row>
    <row r="1033" spans="1:4">
      <c r="A1033" s="1">
        <v>19772</v>
      </c>
      <c r="B1033">
        <v>25.86</v>
      </c>
      <c r="C1033">
        <f t="shared" si="52"/>
        <v>1.9372336303758509E-3</v>
      </c>
      <c r="D1033">
        <f t="shared" si="51"/>
        <v>0.17166771593451594</v>
      </c>
    </row>
    <row r="1034" spans="1:4">
      <c r="A1034" s="1">
        <v>19773</v>
      </c>
      <c r="B1034">
        <v>25.86</v>
      </c>
      <c r="C1034">
        <f t="shared" si="52"/>
        <v>0</v>
      </c>
      <c r="D1034">
        <f t="shared" si="51"/>
        <v>-3.29034969354682E-2</v>
      </c>
    </row>
    <row r="1035" spans="1:4">
      <c r="A1035" s="1">
        <v>19774</v>
      </c>
      <c r="B1035">
        <v>25.92</v>
      </c>
      <c r="C1035">
        <f t="shared" si="52"/>
        <v>2.3201856148492759E-3</v>
      </c>
      <c r="D1035">
        <f t="shared" si="51"/>
        <v>0.21210731532320537</v>
      </c>
    </row>
    <row r="1036" spans="1:4">
      <c r="A1036" s="1">
        <v>19778</v>
      </c>
      <c r="B1036">
        <v>25.83</v>
      </c>
      <c r="C1036">
        <f t="shared" si="52"/>
        <v>-3.4722222222223534E-3</v>
      </c>
      <c r="D1036">
        <f t="shared" si="51"/>
        <v>-0.39956898333646923</v>
      </c>
    </row>
    <row r="1037" spans="1:4">
      <c r="A1037" s="1">
        <v>19779</v>
      </c>
      <c r="B1037">
        <v>25.83</v>
      </c>
      <c r="C1037">
        <f t="shared" si="52"/>
        <v>0</v>
      </c>
      <c r="D1037">
        <f t="shared" si="51"/>
        <v>-3.29034969354682E-2</v>
      </c>
    </row>
    <row r="1038" spans="1:4">
      <c r="A1038" s="1">
        <v>19780</v>
      </c>
      <c r="B1038">
        <v>25.91</v>
      </c>
      <c r="C1038">
        <f t="shared" si="52"/>
        <v>3.0971738288812175E-3</v>
      </c>
      <c r="D1038">
        <f t="shared" si="51"/>
        <v>0.29415700661385197</v>
      </c>
    </row>
    <row r="1039" spans="1:4">
      <c r="A1039" s="1">
        <v>19781</v>
      </c>
      <c r="B1039">
        <v>26.15</v>
      </c>
      <c r="C1039">
        <f t="shared" si="52"/>
        <v>9.262832883056675E-3</v>
      </c>
      <c r="D1039">
        <f t="shared" si="51"/>
        <v>0.94524850692543771</v>
      </c>
    </row>
    <row r="1040" spans="1:4">
      <c r="A1040" s="1">
        <v>19784</v>
      </c>
      <c r="B1040">
        <v>26.25</v>
      </c>
      <c r="C1040">
        <f t="shared" si="52"/>
        <v>3.8240917782027314E-3</v>
      </c>
      <c r="D1040">
        <f t="shared" si="51"/>
        <v>0.37091929497078729</v>
      </c>
    </row>
    <row r="1041" spans="1:4">
      <c r="A1041" s="1">
        <v>19785</v>
      </c>
      <c r="B1041">
        <v>26.32</v>
      </c>
      <c r="C1041">
        <f t="shared" si="52"/>
        <v>2.6666666666666774E-3</v>
      </c>
      <c r="D1041">
        <f t="shared" si="51"/>
        <v>0.24869559662049109</v>
      </c>
    </row>
    <row r="1042" spans="1:4">
      <c r="A1042" s="1">
        <v>19786</v>
      </c>
      <c r="B1042">
        <v>26.32</v>
      </c>
      <c r="C1042">
        <f t="shared" si="52"/>
        <v>0</v>
      </c>
      <c r="D1042">
        <f t="shared" si="51"/>
        <v>-3.29034969354682E-2</v>
      </c>
    </row>
    <row r="1043" spans="1:4">
      <c r="A1043" s="1">
        <v>19787</v>
      </c>
      <c r="B1043">
        <v>26.41</v>
      </c>
      <c r="C1043">
        <f t="shared" si="52"/>
        <v>3.4194528875379883E-3</v>
      </c>
      <c r="D1043">
        <f t="shared" si="51"/>
        <v>0.32818956566003227</v>
      </c>
    </row>
    <row r="1044" spans="1:4">
      <c r="A1044" s="1">
        <v>19788</v>
      </c>
      <c r="B1044">
        <v>26.52</v>
      </c>
      <c r="C1044">
        <f t="shared" si="52"/>
        <v>4.1650889814464007E-3</v>
      </c>
      <c r="D1044">
        <f t="shared" si="51"/>
        <v>0.4069284837227376</v>
      </c>
    </row>
    <row r="1045" spans="1:4">
      <c r="A1045" s="1">
        <v>19791</v>
      </c>
      <c r="B1045">
        <v>26.45</v>
      </c>
      <c r="C1045">
        <f t="shared" si="52"/>
        <v>-2.6395173453997089E-3</v>
      </c>
      <c r="D1045">
        <f t="shared" si="51"/>
        <v>-0.3116356313941383</v>
      </c>
    </row>
    <row r="1046" spans="1:4">
      <c r="A1046" s="1">
        <v>19792</v>
      </c>
      <c r="B1046">
        <v>26.51</v>
      </c>
      <c r="C1046">
        <f t="shared" si="52"/>
        <v>2.2684310018904453E-3</v>
      </c>
      <c r="D1046">
        <f t="shared" si="51"/>
        <v>0.20664204578700057</v>
      </c>
    </row>
    <row r="1047" spans="1:4">
      <c r="A1047" s="1">
        <v>19793</v>
      </c>
      <c r="B1047">
        <v>26.57</v>
      </c>
      <c r="C1047">
        <f t="shared" si="52"/>
        <v>2.2632968691059492E-3</v>
      </c>
      <c r="D1047">
        <f t="shared" si="51"/>
        <v>0.20609988311013433</v>
      </c>
    </row>
    <row r="1048" spans="1:4">
      <c r="A1048" s="1">
        <v>19794</v>
      </c>
      <c r="B1048">
        <v>26.69</v>
      </c>
      <c r="C1048">
        <f t="shared" si="52"/>
        <v>4.5163718479488517E-3</v>
      </c>
      <c r="D1048">
        <f t="shared" si="51"/>
        <v>0.44402383501854836</v>
      </c>
    </row>
    <row r="1049" spans="1:4">
      <c r="A1049" s="1">
        <v>19795</v>
      </c>
      <c r="B1049">
        <v>26.69</v>
      </c>
      <c r="C1049">
        <f t="shared" si="52"/>
        <v>0</v>
      </c>
      <c r="D1049">
        <f t="shared" si="51"/>
        <v>-3.29034969354682E-2</v>
      </c>
    </row>
    <row r="1050" spans="1:4">
      <c r="A1050" s="1">
        <v>19798</v>
      </c>
      <c r="B1050">
        <v>26.57</v>
      </c>
      <c r="C1050">
        <f t="shared" si="52"/>
        <v>-4.4960659423005245E-3</v>
      </c>
      <c r="D1050">
        <f t="shared" si="51"/>
        <v>-0.50768653215533421</v>
      </c>
    </row>
    <row r="1051" spans="1:4">
      <c r="A1051" s="1">
        <v>19799</v>
      </c>
      <c r="B1051">
        <v>26.56</v>
      </c>
      <c r="C1051">
        <f t="shared" si="52"/>
        <v>-3.7636432066246004E-4</v>
      </c>
      <c r="D1051">
        <f t="shared" si="51"/>
        <v>-7.2647441264975465E-2</v>
      </c>
    </row>
    <row r="1052" spans="1:4">
      <c r="A1052" s="1">
        <v>19800</v>
      </c>
      <c r="B1052">
        <v>26.62</v>
      </c>
      <c r="C1052">
        <f t="shared" si="52"/>
        <v>2.259036144578399E-3</v>
      </c>
      <c r="D1052">
        <f t="shared" si="51"/>
        <v>0.20564995204831565</v>
      </c>
    </row>
    <row r="1053" spans="1:4">
      <c r="A1053" s="1">
        <v>19801</v>
      </c>
      <c r="B1053">
        <v>26.73</v>
      </c>
      <c r="C1053">
        <f t="shared" si="52"/>
        <v>4.1322314049586561E-3</v>
      </c>
      <c r="D1053">
        <f t="shared" si="51"/>
        <v>0.4034587348144647</v>
      </c>
    </row>
    <row r="1054" spans="1:4">
      <c r="A1054" s="1">
        <v>19802</v>
      </c>
      <c r="B1054">
        <v>26.81</v>
      </c>
      <c r="C1054">
        <f t="shared" si="52"/>
        <v>2.9928918817807067E-3</v>
      </c>
      <c r="D1054">
        <f t="shared" si="51"/>
        <v>0.28314486844719416</v>
      </c>
    </row>
    <row r="1055" spans="1:4">
      <c r="A1055" s="1">
        <v>19805</v>
      </c>
      <c r="B1055">
        <v>26.79</v>
      </c>
      <c r="C1055">
        <f t="shared" si="52"/>
        <v>-7.4599030212605646E-4</v>
      </c>
      <c r="D1055">
        <f t="shared" si="51"/>
        <v>-0.11167981926555552</v>
      </c>
    </row>
    <row r="1056" spans="1:4">
      <c r="A1056" s="1">
        <v>19806</v>
      </c>
      <c r="B1056">
        <v>26.6</v>
      </c>
      <c r="C1056">
        <f t="shared" si="52"/>
        <v>-7.0921985815601994E-3</v>
      </c>
      <c r="D1056">
        <f t="shared" si="51"/>
        <v>-0.78183725639279489</v>
      </c>
    </row>
    <row r="1057" spans="1:4">
      <c r="A1057" s="1">
        <v>19807</v>
      </c>
      <c r="B1057">
        <v>26.47</v>
      </c>
      <c r="C1057">
        <f t="shared" si="52"/>
        <v>-4.8872180451128774E-3</v>
      </c>
      <c r="D1057">
        <f t="shared" si="51"/>
        <v>-0.54899206125325872</v>
      </c>
    </row>
    <row r="1058" spans="1:4">
      <c r="A1058" s="1">
        <v>19808</v>
      </c>
      <c r="B1058">
        <v>26.42</v>
      </c>
      <c r="C1058">
        <f t="shared" si="52"/>
        <v>-1.888930865130229E-3</v>
      </c>
      <c r="D1058">
        <f t="shared" si="51"/>
        <v>-0.23237395421442233</v>
      </c>
    </row>
    <row r="1059" spans="1:4">
      <c r="A1059" s="1">
        <v>19809</v>
      </c>
      <c r="B1059">
        <v>26.56</v>
      </c>
      <c r="C1059">
        <f t="shared" si="52"/>
        <v>5.2990158970475775E-3</v>
      </c>
      <c r="D1059">
        <f t="shared" si="51"/>
        <v>0.5266707805697356</v>
      </c>
    </row>
    <row r="1060" spans="1:4">
      <c r="A1060" s="1">
        <v>19812</v>
      </c>
      <c r="B1060">
        <v>26.66</v>
      </c>
      <c r="C1060">
        <f t="shared" si="52"/>
        <v>3.7650602409639092E-3</v>
      </c>
      <c r="D1060">
        <f t="shared" si="51"/>
        <v>0.36468558470416212</v>
      </c>
    </row>
    <row r="1061" spans="1:4">
      <c r="A1061" s="1">
        <v>19813</v>
      </c>
      <c r="B1061">
        <v>26.69</v>
      </c>
      <c r="C1061">
        <f t="shared" si="52"/>
        <v>1.1252813203301252E-3</v>
      </c>
      <c r="D1061">
        <f t="shared" si="51"/>
        <v>8.5925827989687439E-2</v>
      </c>
    </row>
    <row r="1062" spans="1:4">
      <c r="A1062" s="1">
        <v>19814</v>
      </c>
      <c r="B1062">
        <v>26.94</v>
      </c>
      <c r="C1062">
        <f t="shared" si="52"/>
        <v>9.3668040464593479E-3</v>
      </c>
      <c r="D1062">
        <f t="shared" si="51"/>
        <v>0.95622782643924431</v>
      </c>
    </row>
    <row r="1063" spans="1:4">
      <c r="A1063" s="1">
        <v>19815</v>
      </c>
      <c r="B1063">
        <v>27.17</v>
      </c>
      <c r="C1063">
        <f t="shared" si="52"/>
        <v>8.5374907201187979E-3</v>
      </c>
      <c r="D1063">
        <f t="shared" si="51"/>
        <v>0.86865262107497854</v>
      </c>
    </row>
    <row r="1064" spans="1:4">
      <c r="A1064" s="1">
        <v>19816</v>
      </c>
      <c r="B1064">
        <v>27.21</v>
      </c>
      <c r="C1064">
        <f t="shared" si="52"/>
        <v>1.4722119985277565E-3</v>
      </c>
      <c r="D1064">
        <f t="shared" si="51"/>
        <v>0.12256158967988999</v>
      </c>
    </row>
    <row r="1065" spans="1:4">
      <c r="A1065" s="1">
        <v>19819</v>
      </c>
      <c r="B1065">
        <v>27.26</v>
      </c>
      <c r="C1065">
        <f t="shared" si="52"/>
        <v>1.8375597206909484E-3</v>
      </c>
      <c r="D1065">
        <f t="shared" si="51"/>
        <v>0.16114218495259833</v>
      </c>
    </row>
    <row r="1066" spans="1:4">
      <c r="A1066" s="1">
        <v>19820</v>
      </c>
      <c r="B1066">
        <v>27.01</v>
      </c>
      <c r="C1066">
        <f t="shared" si="52"/>
        <v>-9.1709464416727809E-3</v>
      </c>
      <c r="D1066">
        <f t="shared" si="51"/>
        <v>-1.0013523238199538</v>
      </c>
    </row>
    <row r="1067" spans="1:4">
      <c r="A1067" s="1">
        <v>19821</v>
      </c>
      <c r="B1067">
        <v>27.11</v>
      </c>
      <c r="C1067">
        <f t="shared" si="52"/>
        <v>3.7023324694556779E-3</v>
      </c>
      <c r="D1067">
        <f t="shared" si="51"/>
        <v>0.35806155335509843</v>
      </c>
    </row>
    <row r="1068" spans="1:4">
      <c r="A1068" s="1">
        <v>19822</v>
      </c>
      <c r="B1068">
        <v>27.38</v>
      </c>
      <c r="C1068">
        <f t="shared" si="52"/>
        <v>9.9594245665805825E-3</v>
      </c>
      <c r="D1068">
        <f t="shared" si="51"/>
        <v>1.0188083519225444</v>
      </c>
    </row>
    <row r="1069" spans="1:4">
      <c r="A1069" s="1">
        <v>19823</v>
      </c>
      <c r="B1069">
        <v>27.38</v>
      </c>
      <c r="C1069">
        <f t="shared" si="52"/>
        <v>0</v>
      </c>
      <c r="D1069">
        <f t="shared" si="51"/>
        <v>-3.29034969354682E-2</v>
      </c>
    </row>
    <row r="1070" spans="1:4">
      <c r="A1070" s="1">
        <v>19826</v>
      </c>
      <c r="B1070">
        <v>27.57</v>
      </c>
      <c r="C1070">
        <f t="shared" si="52"/>
        <v>6.939371804236716E-3</v>
      </c>
      <c r="D1070">
        <f t="shared" si="51"/>
        <v>0.69989180678484419</v>
      </c>
    </row>
    <row r="1071" spans="1:4">
      <c r="A1071" s="1">
        <v>19827</v>
      </c>
      <c r="B1071">
        <v>27.64</v>
      </c>
      <c r="C1071">
        <f t="shared" si="52"/>
        <v>2.5389916575988495E-3</v>
      </c>
      <c r="D1071">
        <f t="shared" si="51"/>
        <v>0.2352131590617727</v>
      </c>
    </row>
    <row r="1072" spans="1:4">
      <c r="A1072" s="1">
        <v>19828</v>
      </c>
      <c r="B1072">
        <v>27.85</v>
      </c>
      <c r="C1072">
        <f t="shared" si="52"/>
        <v>7.5976845151953997E-3</v>
      </c>
      <c r="D1072">
        <f t="shared" si="51"/>
        <v>0.76940940529071822</v>
      </c>
    </row>
    <row r="1073" spans="1:4">
      <c r="A1073" s="1">
        <v>19829</v>
      </c>
      <c r="B1073">
        <v>27.94</v>
      </c>
      <c r="C1073">
        <f t="shared" si="52"/>
        <v>3.231597845601431E-3</v>
      </c>
      <c r="D1073">
        <f t="shared" si="51"/>
        <v>0.30835213708656312</v>
      </c>
    </row>
    <row r="1074" spans="1:4">
      <c r="A1074" s="1">
        <v>19833</v>
      </c>
      <c r="B1074">
        <v>27.76</v>
      </c>
      <c r="C1074">
        <f t="shared" si="52"/>
        <v>-6.4423765211166677E-3</v>
      </c>
      <c r="D1074">
        <f t="shared" si="51"/>
        <v>-0.71321626769520852</v>
      </c>
    </row>
    <row r="1075" spans="1:4">
      <c r="A1075" s="1">
        <v>19834</v>
      </c>
      <c r="B1075">
        <v>27.75</v>
      </c>
      <c r="C1075">
        <f t="shared" si="52"/>
        <v>-3.6023054755048858E-4</v>
      </c>
      <c r="D1075">
        <f t="shared" si="51"/>
        <v>-7.0943720308487224E-2</v>
      </c>
    </row>
    <row r="1076" spans="1:4">
      <c r="A1076" s="1">
        <v>19835</v>
      </c>
      <c r="B1076">
        <v>27.64</v>
      </c>
      <c r="C1076">
        <f t="shared" si="52"/>
        <v>-3.9639639639639434E-3</v>
      </c>
      <c r="D1076">
        <f t="shared" si="51"/>
        <v>-0.4514967441132417</v>
      </c>
    </row>
    <row r="1077" spans="1:4">
      <c r="A1077" s="1">
        <v>19836</v>
      </c>
      <c r="B1077">
        <v>27.68</v>
      </c>
      <c r="C1077">
        <f t="shared" si="52"/>
        <v>1.4471780028943251E-3</v>
      </c>
      <c r="D1077">
        <f t="shared" si="51"/>
        <v>0.11991800825046821</v>
      </c>
    </row>
    <row r="1078" spans="1:4">
      <c r="A1078" s="1">
        <v>19837</v>
      </c>
      <c r="B1078">
        <v>27.78</v>
      </c>
      <c r="C1078">
        <f t="shared" si="52"/>
        <v>3.6127167630058319E-3</v>
      </c>
      <c r="D1078">
        <f t="shared" si="51"/>
        <v>0.34859816521585341</v>
      </c>
    </row>
    <row r="1079" spans="1:4">
      <c r="A1079" s="1">
        <v>19840</v>
      </c>
      <c r="B1079">
        <v>27.88</v>
      </c>
      <c r="C1079">
        <f t="shared" si="52"/>
        <v>3.5997120230380803E-3</v>
      </c>
      <c r="D1079">
        <f t="shared" si="51"/>
        <v>0.34722486909578471</v>
      </c>
    </row>
    <row r="1080" spans="1:4">
      <c r="A1080" s="1">
        <v>19841</v>
      </c>
      <c r="B1080">
        <v>27.71</v>
      </c>
      <c r="C1080">
        <f t="shared" si="52"/>
        <v>-6.0975609756096904E-3</v>
      </c>
      <c r="D1080">
        <f t="shared" si="51"/>
        <v>-0.67680386329817044</v>
      </c>
    </row>
    <row r="1081" spans="1:4">
      <c r="A1081" s="1">
        <v>19842</v>
      </c>
      <c r="B1081">
        <v>27.76</v>
      </c>
      <c r="C1081">
        <f t="shared" si="52"/>
        <v>1.8044027426921945E-3</v>
      </c>
      <c r="D1081">
        <f t="shared" si="51"/>
        <v>0.15764081934653434</v>
      </c>
    </row>
    <row r="1082" spans="1:4">
      <c r="A1082" s="1">
        <v>19843</v>
      </c>
      <c r="B1082">
        <v>28.18</v>
      </c>
      <c r="C1082">
        <f t="shared" si="52"/>
        <v>1.5129682997118088E-2</v>
      </c>
      <c r="D1082">
        <f t="shared" si="51"/>
        <v>1.5647858847310741</v>
      </c>
    </row>
    <row r="1083" spans="1:4">
      <c r="A1083" s="1">
        <v>19844</v>
      </c>
      <c r="B1083">
        <v>28.26</v>
      </c>
      <c r="C1083">
        <f t="shared" si="52"/>
        <v>2.8388928317956653E-3</v>
      </c>
      <c r="D1083">
        <f t="shared" si="51"/>
        <v>0.26688262111559424</v>
      </c>
    </row>
    <row r="1084" spans="1:4">
      <c r="A1084" s="1">
        <v>19847</v>
      </c>
      <c r="B1084">
        <v>28.21</v>
      </c>
      <c r="C1084">
        <f t="shared" si="52"/>
        <v>-1.7692852087756797E-3</v>
      </c>
      <c r="D1084">
        <f t="shared" si="51"/>
        <v>-0.21973941357291654</v>
      </c>
    </row>
    <row r="1085" spans="1:4">
      <c r="A1085" s="1">
        <v>19848</v>
      </c>
      <c r="B1085">
        <v>28.28</v>
      </c>
      <c r="C1085">
        <f t="shared" si="52"/>
        <v>2.4813895781637817E-3</v>
      </c>
      <c r="D1085">
        <f t="shared" si="51"/>
        <v>0.22913039905332766</v>
      </c>
    </row>
    <row r="1086" spans="1:4">
      <c r="A1086" s="1">
        <v>19849</v>
      </c>
      <c r="B1086">
        <v>28.29</v>
      </c>
      <c r="C1086">
        <f t="shared" si="52"/>
        <v>3.5360678925028325E-4</v>
      </c>
      <c r="D1086">
        <f t="shared" si="51"/>
        <v>4.4372598125739862E-3</v>
      </c>
    </row>
    <row r="1087" spans="1:4">
      <c r="A1087" s="1">
        <v>19850</v>
      </c>
      <c r="B1087">
        <v>28.51</v>
      </c>
      <c r="C1087">
        <f t="shared" si="52"/>
        <v>7.7765995051255719E-3</v>
      </c>
      <c r="D1087">
        <f t="shared" si="51"/>
        <v>0.78830276741118444</v>
      </c>
    </row>
    <row r="1088" spans="1:4">
      <c r="A1088" s="1">
        <v>19851</v>
      </c>
      <c r="B1088">
        <v>28.65</v>
      </c>
      <c r="C1088">
        <f t="shared" si="52"/>
        <v>4.9105576990528593E-3</v>
      </c>
      <c r="D1088">
        <f t="shared" si="51"/>
        <v>0.48564972690485053</v>
      </c>
    </row>
    <row r="1089" spans="1:4">
      <c r="A1089" s="1">
        <v>19854</v>
      </c>
      <c r="B1089">
        <v>28.62</v>
      </c>
      <c r="C1089">
        <f t="shared" si="52"/>
        <v>-1.0471204188480833E-3</v>
      </c>
      <c r="D1089">
        <f t="shared" si="51"/>
        <v>-0.1434790572323015</v>
      </c>
    </row>
    <row r="1090" spans="1:4">
      <c r="A1090" s="1">
        <v>19855</v>
      </c>
      <c r="B1090">
        <v>28.49</v>
      </c>
      <c r="C1090">
        <f t="shared" si="52"/>
        <v>-4.5422781271838766E-3</v>
      </c>
      <c r="D1090">
        <f t="shared" si="51"/>
        <v>-0.51256652317073126</v>
      </c>
    </row>
    <row r="1091" spans="1:4">
      <c r="A1091" s="1">
        <v>19856</v>
      </c>
      <c r="B1091">
        <v>28.72</v>
      </c>
      <c r="C1091">
        <f t="shared" si="52"/>
        <v>8.0730080730080887E-3</v>
      </c>
      <c r="D1091">
        <f t="shared" ref="D1091:D1154" si="53">(C1091-avg)/sd</f>
        <v>0.8196034114254106</v>
      </c>
    </row>
    <row r="1092" spans="1:4">
      <c r="A1092" s="1">
        <v>19857</v>
      </c>
      <c r="B1092">
        <v>28.56</v>
      </c>
      <c r="C1092">
        <f t="shared" ref="C1092:C1155" si="54">(B1092-B1091)/B1091</f>
        <v>-5.5710306406685289E-3</v>
      </c>
      <c r="D1092">
        <f t="shared" si="53"/>
        <v>-0.62120243890474069</v>
      </c>
    </row>
    <row r="1093" spans="1:4">
      <c r="A1093" s="1">
        <v>19858</v>
      </c>
      <c r="B1093">
        <v>28.8</v>
      </c>
      <c r="C1093">
        <f t="shared" si="54"/>
        <v>8.4033613445378859E-3</v>
      </c>
      <c r="D1093">
        <f t="shared" si="53"/>
        <v>0.85448860460642428</v>
      </c>
    </row>
    <row r="1094" spans="1:4">
      <c r="A1094" s="1">
        <v>19861</v>
      </c>
      <c r="B1094">
        <v>28.84</v>
      </c>
      <c r="C1094">
        <f t="shared" si="54"/>
        <v>1.3888888888888592E-3</v>
      </c>
      <c r="D1094">
        <f t="shared" si="53"/>
        <v>0.11376269762492355</v>
      </c>
    </row>
    <row r="1095" spans="1:4">
      <c r="A1095" s="1">
        <v>19862</v>
      </c>
      <c r="B1095">
        <v>28.85</v>
      </c>
      <c r="C1095">
        <f t="shared" si="54"/>
        <v>3.4674063800282814E-4</v>
      </c>
      <c r="D1095">
        <f t="shared" si="53"/>
        <v>3.7121965747609351E-3</v>
      </c>
    </row>
    <row r="1096" spans="1:4">
      <c r="A1096" s="1">
        <v>19863</v>
      </c>
      <c r="B1096">
        <v>28.72</v>
      </c>
      <c r="C1096">
        <f t="shared" si="54"/>
        <v>-4.5060658578857035E-3</v>
      </c>
      <c r="D1096">
        <f t="shared" si="53"/>
        <v>-0.50874251984199259</v>
      </c>
    </row>
    <row r="1097" spans="1:4">
      <c r="A1097" s="1">
        <v>19864</v>
      </c>
      <c r="B1097">
        <v>28.82</v>
      </c>
      <c r="C1097">
        <f t="shared" si="54"/>
        <v>3.4818941504178771E-3</v>
      </c>
      <c r="D1097">
        <f t="shared" si="53"/>
        <v>0.33478334179533198</v>
      </c>
    </row>
    <row r="1098" spans="1:4">
      <c r="A1098" s="1">
        <v>19865</v>
      </c>
      <c r="B1098">
        <v>28.99</v>
      </c>
      <c r="C1098">
        <f t="shared" si="54"/>
        <v>5.8986814712004912E-3</v>
      </c>
      <c r="D1098">
        <f t="shared" si="53"/>
        <v>0.58999526136405078</v>
      </c>
    </row>
    <row r="1099" spans="1:4">
      <c r="A1099" s="1">
        <v>19868</v>
      </c>
      <c r="B1099">
        <v>29</v>
      </c>
      <c r="C1099">
        <f t="shared" si="54"/>
        <v>3.4494653328739439E-4</v>
      </c>
      <c r="D1099">
        <f t="shared" si="53"/>
        <v>3.5227397266569542E-3</v>
      </c>
    </row>
    <row r="1100" spans="1:4">
      <c r="A1100" s="1">
        <v>19869</v>
      </c>
      <c r="B1100">
        <v>28.93</v>
      </c>
      <c r="C1100">
        <f t="shared" si="54"/>
        <v>-2.4137931034482855E-3</v>
      </c>
      <c r="D1100">
        <f t="shared" si="53"/>
        <v>-0.2877992281714658</v>
      </c>
    </row>
    <row r="1101" spans="1:4">
      <c r="A1101" s="1">
        <v>19870</v>
      </c>
      <c r="B1101">
        <v>29.17</v>
      </c>
      <c r="C1101">
        <f t="shared" si="54"/>
        <v>8.2958866228828899E-3</v>
      </c>
      <c r="D1101">
        <f t="shared" si="53"/>
        <v>0.84313931053208957</v>
      </c>
    </row>
    <row r="1102" spans="1:4">
      <c r="A1102" s="1">
        <v>19871</v>
      </c>
      <c r="B1102">
        <v>29.05</v>
      </c>
      <c r="C1102">
        <f t="shared" si="54"/>
        <v>-4.1138155639355838E-3</v>
      </c>
      <c r="D1102">
        <f t="shared" si="53"/>
        <v>-0.46732102213321319</v>
      </c>
    </row>
    <row r="1103" spans="1:4">
      <c r="A1103" s="1">
        <v>19872</v>
      </c>
      <c r="B1103">
        <v>29.19</v>
      </c>
      <c r="C1103">
        <f t="shared" si="54"/>
        <v>4.8192771084337544E-3</v>
      </c>
      <c r="D1103">
        <f t="shared" si="53"/>
        <v>0.47601052756325335</v>
      </c>
    </row>
    <row r="1104" spans="1:4">
      <c r="A1104" s="1">
        <v>19876</v>
      </c>
      <c r="B1104">
        <v>29.19</v>
      </c>
      <c r="C1104">
        <f t="shared" si="54"/>
        <v>0</v>
      </c>
      <c r="D1104">
        <f t="shared" si="53"/>
        <v>-3.29034969354682E-2</v>
      </c>
    </row>
    <row r="1105" spans="1:4">
      <c r="A1105" s="1">
        <v>19877</v>
      </c>
      <c r="B1105">
        <v>29.16</v>
      </c>
      <c r="C1105">
        <f t="shared" si="54"/>
        <v>-1.0277492291881169E-3</v>
      </c>
      <c r="D1105">
        <f t="shared" si="53"/>
        <v>-0.14143346618879635</v>
      </c>
    </row>
    <row r="1106" spans="1:4">
      <c r="A1106" s="1">
        <v>19878</v>
      </c>
      <c r="B1106">
        <v>29.15</v>
      </c>
      <c r="C1106">
        <f t="shared" si="54"/>
        <v>-3.4293552812076689E-4</v>
      </c>
      <c r="D1106">
        <f t="shared" si="53"/>
        <v>-6.9117372135571356E-2</v>
      </c>
    </row>
    <row r="1107" spans="1:4">
      <c r="A1107" s="1">
        <v>19879</v>
      </c>
      <c r="B1107">
        <v>29.1</v>
      </c>
      <c r="C1107">
        <f t="shared" si="54"/>
        <v>-1.715265866209165E-3</v>
      </c>
      <c r="D1107">
        <f t="shared" si="53"/>
        <v>-0.21403498935995932</v>
      </c>
    </row>
    <row r="1108" spans="1:4">
      <c r="A1108" s="1">
        <v>19882</v>
      </c>
      <c r="B1108">
        <v>28.99</v>
      </c>
      <c r="C1108">
        <f t="shared" si="54"/>
        <v>-3.7800687285224391E-3</v>
      </c>
      <c r="D1108">
        <f t="shared" si="53"/>
        <v>-0.4320774697596465</v>
      </c>
    </row>
    <row r="1109" spans="1:4">
      <c r="A1109" s="1">
        <v>19883</v>
      </c>
      <c r="B1109">
        <v>28.34</v>
      </c>
      <c r="C1109">
        <f t="shared" si="54"/>
        <v>-2.2421524663677084E-2</v>
      </c>
      <c r="D1109">
        <f t="shared" si="53"/>
        <v>-2.4006088799732281</v>
      </c>
    </row>
    <row r="1110" spans="1:4">
      <c r="A1110" s="1">
        <v>19884</v>
      </c>
      <c r="B1110">
        <v>28.15</v>
      </c>
      <c r="C1110">
        <f t="shared" si="54"/>
        <v>-6.7043048694425296E-3</v>
      </c>
      <c r="D1110">
        <f t="shared" si="53"/>
        <v>-0.74087581224464805</v>
      </c>
    </row>
    <row r="1111" spans="1:4">
      <c r="A1111" s="1">
        <v>19885</v>
      </c>
      <c r="B1111">
        <v>28.34</v>
      </c>
      <c r="C1111">
        <f t="shared" si="54"/>
        <v>6.7495559502664757E-3</v>
      </c>
      <c r="D1111">
        <f t="shared" si="53"/>
        <v>0.67984731712713053</v>
      </c>
    </row>
    <row r="1112" spans="1:4">
      <c r="A1112" s="1">
        <v>19886</v>
      </c>
      <c r="B1112">
        <v>28.58</v>
      </c>
      <c r="C1112">
        <f t="shared" si="54"/>
        <v>8.4685956245588723E-3</v>
      </c>
      <c r="D1112">
        <f t="shared" si="53"/>
        <v>0.86137732240243126</v>
      </c>
    </row>
    <row r="1113" spans="1:4">
      <c r="A1113" s="1">
        <v>19889</v>
      </c>
      <c r="B1113">
        <v>28.62</v>
      </c>
      <c r="C1113">
        <f t="shared" si="54"/>
        <v>1.399580125962306E-3</v>
      </c>
      <c r="D1113">
        <f t="shared" si="53"/>
        <v>0.11489168862575147</v>
      </c>
    </row>
    <row r="1114" spans="1:4">
      <c r="A1114" s="1">
        <v>19890</v>
      </c>
      <c r="B1114">
        <v>28.83</v>
      </c>
      <c r="C1114">
        <f t="shared" si="54"/>
        <v>7.3375262054506387E-3</v>
      </c>
      <c r="D1114">
        <f t="shared" si="53"/>
        <v>0.74193677621377763</v>
      </c>
    </row>
    <row r="1115" spans="1:4">
      <c r="A1115" s="1">
        <v>19891</v>
      </c>
      <c r="B1115">
        <v>29.04</v>
      </c>
      <c r="C1115">
        <f t="shared" si="54"/>
        <v>7.2840790842872306E-3</v>
      </c>
      <c r="D1115">
        <f t="shared" si="53"/>
        <v>0.73629277838648099</v>
      </c>
    </row>
    <row r="1116" spans="1:4">
      <c r="A1116" s="1">
        <v>19892</v>
      </c>
      <c r="B1116">
        <v>28.96</v>
      </c>
      <c r="C1116">
        <f t="shared" si="54"/>
        <v>-2.75482093663906E-3</v>
      </c>
      <c r="D1116">
        <f t="shared" si="53"/>
        <v>-0.32381165143541879</v>
      </c>
    </row>
    <row r="1117" spans="1:4">
      <c r="A1117" s="1">
        <v>19893</v>
      </c>
      <c r="B1117">
        <v>29.04</v>
      </c>
      <c r="C1117">
        <f t="shared" si="54"/>
        <v>2.7624309392264602E-3</v>
      </c>
      <c r="D1117">
        <f t="shared" si="53"/>
        <v>0.2588082712509463</v>
      </c>
    </row>
    <row r="1118" spans="1:4">
      <c r="A1118" s="1">
        <v>19896</v>
      </c>
      <c r="B1118">
        <v>29.06</v>
      </c>
      <c r="C1118">
        <f t="shared" si="54"/>
        <v>6.88705234159765E-4</v>
      </c>
      <c r="D1118">
        <f t="shared" si="53"/>
        <v>3.9823541689519452E-2</v>
      </c>
    </row>
    <row r="1119" spans="1:4">
      <c r="A1119" s="1">
        <v>19897</v>
      </c>
      <c r="B1119">
        <v>29.08</v>
      </c>
      <c r="C1119">
        <f t="shared" si="54"/>
        <v>6.8823124569854005E-4</v>
      </c>
      <c r="D1119">
        <f t="shared" si="53"/>
        <v>3.9773488669130601E-2</v>
      </c>
    </row>
    <row r="1120" spans="1:4">
      <c r="A1120" s="1">
        <v>19898</v>
      </c>
      <c r="B1120">
        <v>29.13</v>
      </c>
      <c r="C1120">
        <f t="shared" si="54"/>
        <v>1.7193947730399146E-3</v>
      </c>
      <c r="D1120">
        <f t="shared" si="53"/>
        <v>0.14866400664686644</v>
      </c>
    </row>
    <row r="1121" spans="1:4">
      <c r="A1121" s="1">
        <v>19899</v>
      </c>
      <c r="B1121">
        <v>29.26</v>
      </c>
      <c r="C1121">
        <f t="shared" si="54"/>
        <v>4.4627531754206163E-3</v>
      </c>
      <c r="D1121">
        <f t="shared" si="53"/>
        <v>0.43836172142543905</v>
      </c>
    </row>
    <row r="1122" spans="1:4">
      <c r="A1122" s="1">
        <v>19900</v>
      </c>
      <c r="B1122">
        <v>29.2</v>
      </c>
      <c r="C1122">
        <f t="shared" si="54"/>
        <v>-2.0505809979494967E-3</v>
      </c>
      <c r="D1122">
        <f t="shared" si="53"/>
        <v>-0.24944415329258707</v>
      </c>
    </row>
    <row r="1123" spans="1:4">
      <c r="A1123" s="1">
        <v>19903</v>
      </c>
      <c r="B1123">
        <v>29.28</v>
      </c>
      <c r="C1123">
        <f t="shared" si="54"/>
        <v>2.7397260273973236E-3</v>
      </c>
      <c r="D1123">
        <f t="shared" si="53"/>
        <v>0.25641064027956401</v>
      </c>
    </row>
    <row r="1124" spans="1:4">
      <c r="A1124" s="1">
        <v>19904</v>
      </c>
      <c r="B1124">
        <v>29.43</v>
      </c>
      <c r="C1124">
        <f t="shared" si="54"/>
        <v>5.1229508196720822E-3</v>
      </c>
      <c r="D1124">
        <f t="shared" si="53"/>
        <v>0.50807836824631092</v>
      </c>
    </row>
    <row r="1125" spans="1:4">
      <c r="A1125" s="1">
        <v>19905</v>
      </c>
      <c r="B1125">
        <v>29.21</v>
      </c>
      <c r="C1125">
        <f t="shared" si="54"/>
        <v>-7.4753652735303723E-3</v>
      </c>
      <c r="D1125">
        <f t="shared" si="53"/>
        <v>-0.82229952882015822</v>
      </c>
    </row>
    <row r="1126" spans="1:4">
      <c r="A1126" s="1">
        <v>19906</v>
      </c>
      <c r="B1126">
        <v>29.21</v>
      </c>
      <c r="C1126">
        <f t="shared" si="54"/>
        <v>0</v>
      </c>
      <c r="D1126">
        <f t="shared" si="53"/>
        <v>-3.29034969354682E-2</v>
      </c>
    </row>
    <row r="1127" spans="1:4">
      <c r="A1127" s="1">
        <v>19907</v>
      </c>
      <c r="B1127">
        <v>29.59</v>
      </c>
      <c r="C1127">
        <f t="shared" si="54"/>
        <v>1.3009243409791134E-2</v>
      </c>
      <c r="D1127">
        <f t="shared" si="53"/>
        <v>1.3408681850817838</v>
      </c>
    </row>
    <row r="1128" spans="1:4">
      <c r="A1128" s="1">
        <v>19911</v>
      </c>
      <c r="B1128">
        <v>29.92</v>
      </c>
      <c r="C1128">
        <f t="shared" si="54"/>
        <v>1.1152416356877385E-2</v>
      </c>
      <c r="D1128">
        <f t="shared" si="53"/>
        <v>1.1447878794602742</v>
      </c>
    </row>
    <row r="1129" spans="1:4">
      <c r="A1129" s="1">
        <v>19912</v>
      </c>
      <c r="B1129">
        <v>29.94</v>
      </c>
      <c r="C1129">
        <f t="shared" si="54"/>
        <v>6.6844919786094832E-4</v>
      </c>
      <c r="D1129">
        <f t="shared" si="53"/>
        <v>3.7684511141725691E-2</v>
      </c>
    </row>
    <row r="1130" spans="1:4">
      <c r="A1130" s="1">
        <v>19913</v>
      </c>
      <c r="B1130">
        <v>29.94</v>
      </c>
      <c r="C1130">
        <f t="shared" si="54"/>
        <v>0</v>
      </c>
      <c r="D1130">
        <f t="shared" si="53"/>
        <v>-3.29034969354682E-2</v>
      </c>
    </row>
    <row r="1131" spans="1:4">
      <c r="A1131" s="1">
        <v>19914</v>
      </c>
      <c r="B1131">
        <v>30.14</v>
      </c>
      <c r="C1131">
        <f t="shared" si="54"/>
        <v>6.6800267201068565E-3</v>
      </c>
      <c r="D1131">
        <f t="shared" si="53"/>
        <v>0.67250505405640837</v>
      </c>
    </row>
    <row r="1132" spans="1:4">
      <c r="A1132" s="1">
        <v>19917</v>
      </c>
      <c r="B1132">
        <v>30.12</v>
      </c>
      <c r="C1132">
        <f t="shared" si="54"/>
        <v>-6.6357000663568586E-4</v>
      </c>
      <c r="D1132">
        <f t="shared" si="53"/>
        <v>-0.10297626407779206</v>
      </c>
    </row>
    <row r="1133" spans="1:4">
      <c r="A1133" s="1">
        <v>19918</v>
      </c>
      <c r="B1133">
        <v>30.02</v>
      </c>
      <c r="C1133">
        <f t="shared" si="54"/>
        <v>-3.3200531208499805E-3</v>
      </c>
      <c r="D1133">
        <f t="shared" si="53"/>
        <v>-0.38349997795633739</v>
      </c>
    </row>
    <row r="1134" spans="1:4">
      <c r="A1134" s="1">
        <v>19919</v>
      </c>
      <c r="B1134">
        <v>30.09</v>
      </c>
      <c r="C1134">
        <f t="shared" si="54"/>
        <v>2.3317788141239268E-3</v>
      </c>
      <c r="D1134">
        <f t="shared" si="53"/>
        <v>0.21333155322588862</v>
      </c>
    </row>
    <row r="1135" spans="1:4">
      <c r="A1135" s="1">
        <v>19920</v>
      </c>
      <c r="B1135">
        <v>30.19</v>
      </c>
      <c r="C1135">
        <f t="shared" si="54"/>
        <v>3.3233632436025732E-3</v>
      </c>
      <c r="D1135">
        <f t="shared" si="53"/>
        <v>0.31804253192290938</v>
      </c>
    </row>
    <row r="1136" spans="1:4">
      <c r="A1136" s="1">
        <v>19921</v>
      </c>
      <c r="B1136">
        <v>30.06</v>
      </c>
      <c r="C1136">
        <f t="shared" si="54"/>
        <v>-4.3060616098046555E-3</v>
      </c>
      <c r="D1136">
        <f t="shared" si="53"/>
        <v>-0.48762213922938108</v>
      </c>
    </row>
    <row r="1137" spans="1:4">
      <c r="A1137" s="1">
        <v>19924</v>
      </c>
      <c r="B1137">
        <v>29.98</v>
      </c>
      <c r="C1137">
        <f t="shared" si="54"/>
        <v>-2.6613439787091914E-3</v>
      </c>
      <c r="D1137">
        <f t="shared" si="53"/>
        <v>-0.31394051645238652</v>
      </c>
    </row>
    <row r="1138" spans="1:4">
      <c r="A1138" s="1">
        <v>19925</v>
      </c>
      <c r="B1138">
        <v>29.84</v>
      </c>
      <c r="C1138">
        <f t="shared" si="54"/>
        <v>-4.6697798532355089E-3</v>
      </c>
      <c r="D1138">
        <f t="shared" si="53"/>
        <v>-0.52603066210184124</v>
      </c>
    </row>
    <row r="1139" spans="1:4">
      <c r="A1139" s="1">
        <v>19926</v>
      </c>
      <c r="B1139">
        <v>30.03</v>
      </c>
      <c r="C1139">
        <f t="shared" si="54"/>
        <v>6.3672922252011157E-3</v>
      </c>
      <c r="D1139">
        <f t="shared" si="53"/>
        <v>0.63948039769798204</v>
      </c>
    </row>
    <row r="1140" spans="1:4">
      <c r="A1140" s="1">
        <v>19927</v>
      </c>
      <c r="B1140">
        <v>30.27</v>
      </c>
      <c r="C1140">
        <f t="shared" si="54"/>
        <v>7.99200799200794E-3</v>
      </c>
      <c r="D1140">
        <f t="shared" si="53"/>
        <v>0.81104983040506018</v>
      </c>
    </row>
    <row r="1141" spans="1:4">
      <c r="A1141" s="1">
        <v>19928</v>
      </c>
      <c r="B1141">
        <v>30.31</v>
      </c>
      <c r="C1141">
        <f t="shared" si="54"/>
        <v>1.3214403700032755E-3</v>
      </c>
      <c r="D1141">
        <f t="shared" si="53"/>
        <v>0.10664015695747144</v>
      </c>
    </row>
    <row r="1142" spans="1:4">
      <c r="A1142" s="1">
        <v>19931</v>
      </c>
      <c r="B1142">
        <v>30.34</v>
      </c>
      <c r="C1142">
        <f t="shared" si="54"/>
        <v>9.8977235235899494E-4</v>
      </c>
      <c r="D1142">
        <f t="shared" si="53"/>
        <v>7.161612703367233E-2</v>
      </c>
    </row>
    <row r="1143" spans="1:4">
      <c r="A1143" s="1">
        <v>19932</v>
      </c>
      <c r="B1143">
        <v>30.52</v>
      </c>
      <c r="C1143">
        <f t="shared" si="54"/>
        <v>5.932762030322997E-3</v>
      </c>
      <c r="D1143">
        <f t="shared" si="53"/>
        <v>0.59359415682284244</v>
      </c>
    </row>
    <row r="1144" spans="1:4">
      <c r="A1144" s="1">
        <v>19933</v>
      </c>
      <c r="B1144">
        <v>30.58</v>
      </c>
      <c r="C1144">
        <f t="shared" si="54"/>
        <v>1.9659239842725663E-3</v>
      </c>
      <c r="D1144">
        <f t="shared" si="53"/>
        <v>0.17469740755368396</v>
      </c>
    </row>
    <row r="1145" spans="1:4">
      <c r="A1145" s="1">
        <v>19934</v>
      </c>
      <c r="B1145">
        <v>30.69</v>
      </c>
      <c r="C1145">
        <f t="shared" si="54"/>
        <v>3.5971223021583711E-3</v>
      </c>
      <c r="D1145">
        <f t="shared" si="53"/>
        <v>0.34695139545117631</v>
      </c>
    </row>
    <row r="1146" spans="1:4">
      <c r="A1146" s="1">
        <v>19935</v>
      </c>
      <c r="B1146">
        <v>30.88</v>
      </c>
      <c r="C1146">
        <f t="shared" si="54"/>
        <v>6.190941674812568E-3</v>
      </c>
      <c r="D1146">
        <f t="shared" si="53"/>
        <v>0.62085783952141593</v>
      </c>
    </row>
    <row r="1147" spans="1:4">
      <c r="A1147" s="1">
        <v>19938</v>
      </c>
      <c r="B1147">
        <v>30.99</v>
      </c>
      <c r="C1147">
        <f t="shared" si="54"/>
        <v>3.5621761658030907E-3</v>
      </c>
      <c r="D1147">
        <f t="shared" si="53"/>
        <v>0.3432610953308276</v>
      </c>
    </row>
    <row r="1148" spans="1:4">
      <c r="A1148" s="1">
        <v>19939</v>
      </c>
      <c r="B1148">
        <v>30.93</v>
      </c>
      <c r="C1148">
        <f t="shared" si="54"/>
        <v>-1.9361084220715949E-3</v>
      </c>
      <c r="D1148">
        <f t="shared" si="53"/>
        <v>-0.23735588819099979</v>
      </c>
    </row>
    <row r="1149" spans="1:4">
      <c r="A1149" s="1">
        <v>19940</v>
      </c>
      <c r="B1149">
        <v>30.9</v>
      </c>
      <c r="C1149">
        <f t="shared" si="54"/>
        <v>-9.6993210475270408E-4</v>
      </c>
      <c r="D1149">
        <f t="shared" si="53"/>
        <v>-0.13532799750141222</v>
      </c>
    </row>
    <row r="1150" spans="1:4">
      <c r="A1150" s="1">
        <v>19941</v>
      </c>
      <c r="B1150">
        <v>30.77</v>
      </c>
      <c r="C1150">
        <f t="shared" si="54"/>
        <v>-4.2071197411002919E-3</v>
      </c>
      <c r="D1150">
        <f t="shared" si="53"/>
        <v>-0.47717391152617555</v>
      </c>
    </row>
    <row r="1151" spans="1:4">
      <c r="A1151" s="1">
        <v>19942</v>
      </c>
      <c r="B1151">
        <v>30.38</v>
      </c>
      <c r="C1151">
        <f t="shared" si="54"/>
        <v>-1.2674683132921695E-2</v>
      </c>
      <c r="D1151">
        <f t="shared" si="53"/>
        <v>-1.3713457274378711</v>
      </c>
    </row>
    <row r="1152" spans="1:4">
      <c r="A1152" s="1">
        <v>19945</v>
      </c>
      <c r="B1152">
        <v>30.12</v>
      </c>
      <c r="C1152">
        <f t="shared" si="54"/>
        <v>-8.5582620144831478E-3</v>
      </c>
      <c r="D1152">
        <f t="shared" si="53"/>
        <v>-0.93665305657028419</v>
      </c>
    </row>
    <row r="1153" spans="1:4">
      <c r="A1153" s="1">
        <v>19946</v>
      </c>
      <c r="B1153">
        <v>30.37</v>
      </c>
      <c r="C1153">
        <f t="shared" si="54"/>
        <v>8.3001328021248336E-3</v>
      </c>
      <c r="D1153">
        <f t="shared" si="53"/>
        <v>0.84358770561669238</v>
      </c>
    </row>
    <row r="1154" spans="1:4">
      <c r="A1154" s="1">
        <v>19947</v>
      </c>
      <c r="B1154">
        <v>30.72</v>
      </c>
      <c r="C1154">
        <f t="shared" si="54"/>
        <v>1.1524530786960746E-2</v>
      </c>
      <c r="D1154">
        <f t="shared" si="53"/>
        <v>1.1840830367892365</v>
      </c>
    </row>
    <row r="1155" spans="1:4">
      <c r="A1155" s="1">
        <v>19948</v>
      </c>
      <c r="B1155">
        <v>30.59</v>
      </c>
      <c r="C1155">
        <f t="shared" si="54"/>
        <v>-4.231770833333301E-3</v>
      </c>
      <c r="D1155">
        <f t="shared" ref="D1155:D1218" si="55">(C1155-avg)/sd</f>
        <v>-0.47977705848666796</v>
      </c>
    </row>
    <row r="1156" spans="1:4">
      <c r="A1156" s="1">
        <v>19949</v>
      </c>
      <c r="B1156">
        <v>30.72</v>
      </c>
      <c r="C1156">
        <f t="shared" ref="C1156:C1219" si="56">(B1156-B1155)/B1155</f>
        <v>4.2497548218371692E-3</v>
      </c>
      <c r="D1156">
        <f t="shared" si="55"/>
        <v>0.41586916768868526</v>
      </c>
    </row>
    <row r="1157" spans="1:4">
      <c r="A1157" s="1">
        <v>19952</v>
      </c>
      <c r="B1157">
        <v>31.05</v>
      </c>
      <c r="C1157">
        <f t="shared" si="56"/>
        <v>1.0742187500000061E-2</v>
      </c>
      <c r="D1157">
        <f t="shared" si="55"/>
        <v>1.1014678516175924</v>
      </c>
    </row>
    <row r="1158" spans="1:4">
      <c r="A1158" s="1">
        <v>19953</v>
      </c>
      <c r="B1158">
        <v>31.12</v>
      </c>
      <c r="C1158">
        <f t="shared" si="56"/>
        <v>2.2544283413848724E-3</v>
      </c>
      <c r="D1158">
        <f t="shared" si="55"/>
        <v>0.20516336959734766</v>
      </c>
    </row>
    <row r="1159" spans="1:4">
      <c r="A1159" s="1">
        <v>19954</v>
      </c>
      <c r="B1159">
        <v>31.09</v>
      </c>
      <c r="C1159">
        <f t="shared" si="56"/>
        <v>-9.6401028277638614E-4</v>
      </c>
      <c r="D1159">
        <f t="shared" si="55"/>
        <v>-0.13470265511363816</v>
      </c>
    </row>
    <row r="1160" spans="1:4">
      <c r="A1160" s="1">
        <v>19955</v>
      </c>
      <c r="B1160">
        <v>31.16</v>
      </c>
      <c r="C1160">
        <f t="shared" si="56"/>
        <v>2.2515278224509582E-3</v>
      </c>
      <c r="D1160">
        <f t="shared" si="55"/>
        <v>0.20485707578386059</v>
      </c>
    </row>
    <row r="1161" spans="1:4">
      <c r="A1161" s="1">
        <v>19956</v>
      </c>
      <c r="B1161">
        <v>31.21</v>
      </c>
      <c r="C1161">
        <f t="shared" si="56"/>
        <v>1.6046213093710113E-3</v>
      </c>
      <c r="D1161">
        <f t="shared" si="55"/>
        <v>0.1365439678968261</v>
      </c>
    </row>
    <row r="1162" spans="1:4">
      <c r="A1162" s="1">
        <v>19959</v>
      </c>
      <c r="B1162">
        <v>31</v>
      </c>
      <c r="C1162">
        <f t="shared" si="56"/>
        <v>-6.7286126241589504E-3</v>
      </c>
      <c r="D1162">
        <f t="shared" si="55"/>
        <v>-0.74344270288009473</v>
      </c>
    </row>
    <row r="1163" spans="1:4">
      <c r="A1163" s="1">
        <v>19960</v>
      </c>
      <c r="B1163">
        <v>30.87</v>
      </c>
      <c r="C1163">
        <f t="shared" si="56"/>
        <v>-4.1935483870967419E-3</v>
      </c>
      <c r="D1163">
        <f t="shared" si="55"/>
        <v>-0.47574078115652807</v>
      </c>
    </row>
    <row r="1164" spans="1:4">
      <c r="A1164" s="1">
        <v>19961</v>
      </c>
      <c r="B1164">
        <v>30.65</v>
      </c>
      <c r="C1164">
        <f t="shared" si="56"/>
        <v>-7.1266601878847554E-3</v>
      </c>
      <c r="D1164">
        <f t="shared" si="55"/>
        <v>-0.78547639030659877</v>
      </c>
    </row>
    <row r="1165" spans="1:4">
      <c r="A1165" s="1">
        <v>19962</v>
      </c>
      <c r="B1165">
        <v>30.57</v>
      </c>
      <c r="C1165">
        <f t="shared" si="56"/>
        <v>-2.6101141924958662E-3</v>
      </c>
      <c r="D1165">
        <f t="shared" si="55"/>
        <v>-0.3085306684421098</v>
      </c>
    </row>
    <row r="1166" spans="1:4">
      <c r="A1166" s="1">
        <v>19963</v>
      </c>
      <c r="B1166">
        <v>30.66</v>
      </c>
      <c r="C1166">
        <f t="shared" si="56"/>
        <v>2.9440628066732043E-3</v>
      </c>
      <c r="D1166">
        <f t="shared" si="55"/>
        <v>0.27798853471365093</v>
      </c>
    </row>
    <row r="1167" spans="1:4">
      <c r="A1167" s="1">
        <v>19966</v>
      </c>
      <c r="B1167">
        <v>30.35</v>
      </c>
      <c r="C1167">
        <f t="shared" si="56"/>
        <v>-1.0110893672537466E-2</v>
      </c>
      <c r="D1167">
        <f t="shared" si="55"/>
        <v>-1.1006104318956769</v>
      </c>
    </row>
    <row r="1168" spans="1:4">
      <c r="A1168" s="1">
        <v>19967</v>
      </c>
      <c r="B1168">
        <v>29.83</v>
      </c>
      <c r="C1168">
        <f t="shared" si="56"/>
        <v>-1.7133443163097301E-2</v>
      </c>
      <c r="D1168">
        <f t="shared" si="55"/>
        <v>-1.8421892710182415</v>
      </c>
    </row>
    <row r="1169" spans="1:4">
      <c r="A1169" s="1">
        <v>19968</v>
      </c>
      <c r="B1169">
        <v>30.04</v>
      </c>
      <c r="C1169">
        <f t="shared" si="56"/>
        <v>7.0398927254442124E-3</v>
      </c>
      <c r="D1169">
        <f t="shared" si="55"/>
        <v>0.71050678189563454</v>
      </c>
    </row>
    <row r="1170" spans="1:4">
      <c r="A1170" s="1">
        <v>19969</v>
      </c>
      <c r="B1170">
        <v>30.27</v>
      </c>
      <c r="C1170">
        <f t="shared" si="56"/>
        <v>7.6564580559254471E-3</v>
      </c>
      <c r="D1170">
        <f t="shared" si="55"/>
        <v>0.775615871213714</v>
      </c>
    </row>
    <row r="1171" spans="1:4">
      <c r="A1171" s="1">
        <v>19970</v>
      </c>
      <c r="B1171">
        <v>30.5</v>
      </c>
      <c r="C1171">
        <f t="shared" si="56"/>
        <v>7.5982821275190097E-3</v>
      </c>
      <c r="D1171">
        <f t="shared" si="55"/>
        <v>0.76947251294895314</v>
      </c>
    </row>
    <row r="1172" spans="1:4">
      <c r="A1172" s="1">
        <v>19974</v>
      </c>
      <c r="B1172">
        <v>30.66</v>
      </c>
      <c r="C1172">
        <f t="shared" si="56"/>
        <v>5.2459016393442666E-3</v>
      </c>
      <c r="D1172">
        <f t="shared" si="55"/>
        <v>0.52106193301067938</v>
      </c>
    </row>
    <row r="1173" spans="1:4">
      <c r="A1173" s="1">
        <v>19975</v>
      </c>
      <c r="B1173">
        <v>30.68</v>
      </c>
      <c r="C1173">
        <f t="shared" si="56"/>
        <v>6.5231572080885758E-4</v>
      </c>
      <c r="D1173">
        <f t="shared" si="55"/>
        <v>3.5980821449060216E-2</v>
      </c>
    </row>
    <row r="1174" spans="1:4">
      <c r="A1174" s="1">
        <v>19976</v>
      </c>
      <c r="B1174">
        <v>30.73</v>
      </c>
      <c r="C1174">
        <f t="shared" si="56"/>
        <v>1.6297262059974157E-3</v>
      </c>
      <c r="D1174">
        <f t="shared" si="55"/>
        <v>0.13919503644700543</v>
      </c>
    </row>
    <row r="1175" spans="1:4">
      <c r="A1175" s="1">
        <v>19977</v>
      </c>
      <c r="B1175">
        <v>30.84</v>
      </c>
      <c r="C1175">
        <f t="shared" si="56"/>
        <v>3.5795639440286179E-3</v>
      </c>
      <c r="D1175">
        <f t="shared" si="55"/>
        <v>0.34509723880105031</v>
      </c>
    </row>
    <row r="1176" spans="1:4">
      <c r="A1176" s="1">
        <v>19980</v>
      </c>
      <c r="B1176">
        <v>31.12</v>
      </c>
      <c r="C1176">
        <f t="shared" si="56"/>
        <v>9.0791180285344081E-3</v>
      </c>
      <c r="D1176">
        <f t="shared" si="55"/>
        <v>0.92584828073559955</v>
      </c>
    </row>
    <row r="1177" spans="1:4">
      <c r="A1177" s="1">
        <v>19981</v>
      </c>
      <c r="B1177">
        <v>31.28</v>
      </c>
      <c r="C1177">
        <f t="shared" si="56"/>
        <v>5.1413881748072028E-3</v>
      </c>
      <c r="D1177">
        <f t="shared" si="55"/>
        <v>0.51002534668141819</v>
      </c>
    </row>
    <row r="1178" spans="1:4">
      <c r="A1178" s="1">
        <v>19982</v>
      </c>
      <c r="B1178">
        <v>31.29</v>
      </c>
      <c r="C1178">
        <f t="shared" si="56"/>
        <v>3.1969309462909239E-4</v>
      </c>
      <c r="D1178">
        <f t="shared" si="55"/>
        <v>8.5598518840114156E-4</v>
      </c>
    </row>
    <row r="1179" spans="1:4">
      <c r="A1179" s="1">
        <v>19983</v>
      </c>
      <c r="B1179">
        <v>31.46</v>
      </c>
      <c r="C1179">
        <f t="shared" si="56"/>
        <v>5.4330457015021316E-3</v>
      </c>
      <c r="D1179">
        <f t="shared" si="55"/>
        <v>0.5408242823611924</v>
      </c>
    </row>
    <row r="1180" spans="1:4">
      <c r="A1180" s="1">
        <v>19984</v>
      </c>
      <c r="B1180">
        <v>31.71</v>
      </c>
      <c r="C1180">
        <f t="shared" si="56"/>
        <v>7.9465988556897647E-3</v>
      </c>
      <c r="D1180">
        <f t="shared" si="55"/>
        <v>0.8062546410451763</v>
      </c>
    </row>
    <row r="1181" spans="1:4">
      <c r="A1181" s="1">
        <v>19987</v>
      </c>
      <c r="B1181">
        <v>31.57</v>
      </c>
      <c r="C1181">
        <f t="shared" si="56"/>
        <v>-4.415011037527612E-3</v>
      </c>
      <c r="D1181">
        <f t="shared" si="55"/>
        <v>-0.49912716176321542</v>
      </c>
    </row>
    <row r="1182" spans="1:4">
      <c r="A1182" s="1">
        <v>19988</v>
      </c>
      <c r="B1182">
        <v>31.79</v>
      </c>
      <c r="C1182">
        <f t="shared" si="56"/>
        <v>6.968641114982542E-3</v>
      </c>
      <c r="D1182">
        <f t="shared" si="55"/>
        <v>0.70298263605048128</v>
      </c>
    </row>
    <row r="1183" spans="1:4">
      <c r="A1183" s="1">
        <v>19989</v>
      </c>
      <c r="B1183">
        <v>32</v>
      </c>
      <c r="C1183">
        <f t="shared" si="56"/>
        <v>6.6058508965083631E-3</v>
      </c>
      <c r="D1183">
        <f t="shared" si="55"/>
        <v>0.66467211229799494</v>
      </c>
    </row>
    <row r="1184" spans="1:4">
      <c r="A1184" s="1">
        <v>19990</v>
      </c>
      <c r="B1184">
        <v>32.18</v>
      </c>
      <c r="C1184">
        <f t="shared" si="56"/>
        <v>5.6249999999999911E-3</v>
      </c>
      <c r="D1184">
        <f t="shared" si="55"/>
        <v>0.56109459103413006</v>
      </c>
    </row>
    <row r="1185" spans="1:4">
      <c r="A1185" s="1">
        <v>19991</v>
      </c>
      <c r="B1185">
        <v>32.4</v>
      </c>
      <c r="C1185">
        <f t="shared" si="56"/>
        <v>6.836544437538809E-3</v>
      </c>
      <c r="D1185">
        <f t="shared" si="55"/>
        <v>0.68903327181426544</v>
      </c>
    </row>
    <row r="1186" spans="1:4">
      <c r="A1186" s="1">
        <v>19994</v>
      </c>
      <c r="B1186">
        <v>32.53</v>
      </c>
      <c r="C1186">
        <f t="shared" si="56"/>
        <v>4.0123456790124249E-3</v>
      </c>
      <c r="D1186">
        <f t="shared" si="55"/>
        <v>0.3907988429056809</v>
      </c>
    </row>
    <row r="1187" spans="1:4">
      <c r="A1187" s="1">
        <v>19995</v>
      </c>
      <c r="B1187">
        <v>32.69</v>
      </c>
      <c r="C1187">
        <f t="shared" si="56"/>
        <v>4.9185367353211367E-3</v>
      </c>
      <c r="D1187">
        <f t="shared" si="55"/>
        <v>0.4864923104225744</v>
      </c>
    </row>
    <row r="1188" spans="1:4">
      <c r="A1188" s="1">
        <v>19996</v>
      </c>
      <c r="B1188">
        <v>32.5</v>
      </c>
      <c r="C1188">
        <f t="shared" si="56"/>
        <v>-5.8121749770571347E-3</v>
      </c>
      <c r="D1188">
        <f t="shared" si="55"/>
        <v>-0.64666719885843482</v>
      </c>
    </row>
    <row r="1189" spans="1:4">
      <c r="A1189" s="1">
        <v>19997</v>
      </c>
      <c r="B1189">
        <v>32.31</v>
      </c>
      <c r="C1189">
        <f t="shared" si="56"/>
        <v>-5.8461538461537762E-3</v>
      </c>
      <c r="D1189">
        <f t="shared" si="55"/>
        <v>-0.65025535588506145</v>
      </c>
    </row>
    <row r="1190" spans="1:4">
      <c r="A1190" s="1">
        <v>19998</v>
      </c>
      <c r="B1190">
        <v>32.29</v>
      </c>
      <c r="C1190">
        <f t="shared" si="56"/>
        <v>-6.1900340451882157E-4</v>
      </c>
      <c r="D1190">
        <f t="shared" si="55"/>
        <v>-9.8270046043175283E-2</v>
      </c>
    </row>
    <row r="1191" spans="1:4">
      <c r="A1191" s="1">
        <v>20001</v>
      </c>
      <c r="B1191">
        <v>32.47</v>
      </c>
      <c r="C1191">
        <f t="shared" si="56"/>
        <v>5.5744812635490776E-3</v>
      </c>
      <c r="D1191">
        <f t="shared" si="55"/>
        <v>0.55575982963706649</v>
      </c>
    </row>
    <row r="1192" spans="1:4">
      <c r="A1192" s="1">
        <v>20002</v>
      </c>
      <c r="B1192">
        <v>32.630000000000003</v>
      </c>
      <c r="C1192">
        <f t="shared" si="56"/>
        <v>4.9276255004620786E-3</v>
      </c>
      <c r="D1192">
        <f t="shared" si="55"/>
        <v>0.48745208093203651</v>
      </c>
    </row>
    <row r="1193" spans="1:4">
      <c r="A1193" s="1">
        <v>20003</v>
      </c>
      <c r="B1193">
        <v>32.76</v>
      </c>
      <c r="C1193">
        <f t="shared" si="56"/>
        <v>3.9840637450197806E-3</v>
      </c>
      <c r="D1193">
        <f t="shared" si="55"/>
        <v>0.38781228028955411</v>
      </c>
    </row>
    <row r="1194" spans="1:4">
      <c r="A1194" s="1">
        <v>20004</v>
      </c>
      <c r="B1194">
        <v>32.69</v>
      </c>
      <c r="C1194">
        <f t="shared" si="56"/>
        <v>-2.1367521367521456E-3</v>
      </c>
      <c r="D1194">
        <f t="shared" si="55"/>
        <v>-0.25854379625915352</v>
      </c>
    </row>
    <row r="1195" spans="1:4">
      <c r="A1195" s="1">
        <v>20005</v>
      </c>
      <c r="B1195">
        <v>32.67</v>
      </c>
      <c r="C1195">
        <f t="shared" si="56"/>
        <v>-6.1180789232168932E-4</v>
      </c>
      <c r="D1195">
        <f t="shared" si="55"/>
        <v>-9.7510202401031559E-2</v>
      </c>
    </row>
    <row r="1196" spans="1:4">
      <c r="A1196" s="1">
        <v>20008</v>
      </c>
      <c r="B1196">
        <v>32.409999999999997</v>
      </c>
      <c r="C1196">
        <f t="shared" si="56"/>
        <v>-7.9583715947353865E-3</v>
      </c>
      <c r="D1196">
        <f t="shared" si="55"/>
        <v>-0.87330483215758192</v>
      </c>
    </row>
    <row r="1197" spans="1:4">
      <c r="A1197" s="1">
        <v>20009</v>
      </c>
      <c r="B1197">
        <v>32.28</v>
      </c>
      <c r="C1197">
        <f t="shared" si="56"/>
        <v>-4.0111076828138062E-3</v>
      </c>
      <c r="D1197">
        <f t="shared" si="55"/>
        <v>-0.45647510479885856</v>
      </c>
    </row>
    <row r="1198" spans="1:4">
      <c r="A1198" s="1">
        <v>20010</v>
      </c>
      <c r="B1198">
        <v>32.270000000000003</v>
      </c>
      <c r="C1198">
        <f t="shared" si="56"/>
        <v>-3.0978934324653068E-4</v>
      </c>
      <c r="D1198">
        <f t="shared" si="55"/>
        <v>-6.5617146279787694E-2</v>
      </c>
    </row>
    <row r="1199" spans="1:4">
      <c r="A1199" s="1">
        <v>20011</v>
      </c>
      <c r="B1199">
        <v>31.88</v>
      </c>
      <c r="C1199">
        <f t="shared" si="56"/>
        <v>-1.2085528354508959E-2</v>
      </c>
      <c r="D1199">
        <f t="shared" si="55"/>
        <v>-1.3091311831009256</v>
      </c>
    </row>
    <row r="1200" spans="1:4">
      <c r="A1200" s="1">
        <v>20012</v>
      </c>
      <c r="B1200">
        <v>31.71</v>
      </c>
      <c r="C1200">
        <f t="shared" si="56"/>
        <v>-5.3324968632370816E-3</v>
      </c>
      <c r="D1200">
        <f t="shared" si="55"/>
        <v>-0.59601335308955039</v>
      </c>
    </row>
    <row r="1201" spans="1:4">
      <c r="A1201" s="1">
        <v>20015</v>
      </c>
      <c r="B1201">
        <v>31.83</v>
      </c>
      <c r="C1201">
        <f t="shared" si="56"/>
        <v>3.7842951750235712E-3</v>
      </c>
      <c r="D1201">
        <f t="shared" si="55"/>
        <v>0.36671678720259065</v>
      </c>
    </row>
    <row r="1202" spans="1:4">
      <c r="A1202" s="1">
        <v>20016</v>
      </c>
      <c r="B1202">
        <v>31.91</v>
      </c>
      <c r="C1202">
        <f t="shared" si="56"/>
        <v>2.5133521834747674E-3</v>
      </c>
      <c r="D1202">
        <f t="shared" si="55"/>
        <v>0.23250563930955034</v>
      </c>
    </row>
    <row r="1203" spans="1:4">
      <c r="A1203" s="1">
        <v>20017</v>
      </c>
      <c r="B1203">
        <v>32.17</v>
      </c>
      <c r="C1203">
        <f t="shared" si="56"/>
        <v>8.1479160137888293E-3</v>
      </c>
      <c r="D1203">
        <f t="shared" si="55"/>
        <v>0.82751366450941066</v>
      </c>
    </row>
    <row r="1204" spans="1:4">
      <c r="A1204" s="1">
        <v>20018</v>
      </c>
      <c r="B1204">
        <v>32.130000000000003</v>
      </c>
      <c r="C1204">
        <f t="shared" si="56"/>
        <v>-1.2433944668945958E-3</v>
      </c>
      <c r="D1204">
        <f t="shared" si="55"/>
        <v>-0.16420552998922269</v>
      </c>
    </row>
    <row r="1205" spans="1:4">
      <c r="A1205" s="1">
        <v>20019</v>
      </c>
      <c r="B1205">
        <v>32.130000000000003</v>
      </c>
      <c r="C1205">
        <f t="shared" si="56"/>
        <v>0</v>
      </c>
      <c r="D1205">
        <f t="shared" si="55"/>
        <v>-3.29034969354682E-2</v>
      </c>
    </row>
    <row r="1206" spans="1:4">
      <c r="A1206" s="1">
        <v>20022</v>
      </c>
      <c r="B1206">
        <v>31.96</v>
      </c>
      <c r="C1206">
        <f t="shared" si="56"/>
        <v>-5.2910052910053436E-3</v>
      </c>
      <c r="D1206">
        <f t="shared" si="55"/>
        <v>-0.59163185716554945</v>
      </c>
    </row>
    <row r="1207" spans="1:4">
      <c r="A1207" s="1">
        <v>20023</v>
      </c>
      <c r="B1207">
        <v>31.94</v>
      </c>
      <c r="C1207">
        <f t="shared" si="56"/>
        <v>-6.2578222778471759E-4</v>
      </c>
      <c r="D1207">
        <f t="shared" si="55"/>
        <v>-9.898588747581992E-2</v>
      </c>
    </row>
    <row r="1208" spans="1:4">
      <c r="A1208" s="1">
        <v>20024</v>
      </c>
      <c r="B1208">
        <v>32.020000000000003</v>
      </c>
      <c r="C1208">
        <f t="shared" si="56"/>
        <v>2.5046963055730068E-3</v>
      </c>
      <c r="D1208">
        <f t="shared" si="55"/>
        <v>0.23159158154540027</v>
      </c>
    </row>
    <row r="1209" spans="1:4">
      <c r="A1209" s="1">
        <v>20025</v>
      </c>
      <c r="B1209">
        <v>31.88</v>
      </c>
      <c r="C1209">
        <f t="shared" si="56"/>
        <v>-4.372267332917055E-3</v>
      </c>
      <c r="D1209">
        <f t="shared" si="55"/>
        <v>-0.49461344108563177</v>
      </c>
    </row>
    <row r="1210" spans="1:4">
      <c r="A1210" s="1">
        <v>20026</v>
      </c>
      <c r="B1210">
        <v>31.68</v>
      </c>
      <c r="C1210">
        <f t="shared" si="56"/>
        <v>-6.2735257214554356E-3</v>
      </c>
      <c r="D1210">
        <f t="shared" si="55"/>
        <v>-0.69538568064615791</v>
      </c>
    </row>
    <row r="1211" spans="1:4">
      <c r="A1211" s="1">
        <v>20029</v>
      </c>
      <c r="B1211">
        <v>31.79</v>
      </c>
      <c r="C1211">
        <f t="shared" si="56"/>
        <v>3.4722222222222042E-3</v>
      </c>
      <c r="D1211">
        <f t="shared" si="55"/>
        <v>0.33376198946551711</v>
      </c>
    </row>
    <row r="1212" spans="1:4">
      <c r="A1212" s="1">
        <v>20031</v>
      </c>
      <c r="B1212">
        <v>32.44</v>
      </c>
      <c r="C1212">
        <f t="shared" si="56"/>
        <v>2.0446681346335281E-2</v>
      </c>
      <c r="D1212">
        <f t="shared" si="55"/>
        <v>2.1262591030728566</v>
      </c>
    </row>
    <row r="1213" spans="1:4">
      <c r="A1213" s="1">
        <v>20032</v>
      </c>
      <c r="B1213">
        <v>32.82</v>
      </c>
      <c r="C1213">
        <f t="shared" si="56"/>
        <v>1.1713933415536455E-2</v>
      </c>
      <c r="D1213">
        <f t="shared" si="55"/>
        <v>1.2040838899857498</v>
      </c>
    </row>
    <row r="1214" spans="1:4">
      <c r="A1214" s="1">
        <v>20033</v>
      </c>
      <c r="B1214">
        <v>32.71</v>
      </c>
      <c r="C1214">
        <f t="shared" si="56"/>
        <v>-3.3516148689823103E-3</v>
      </c>
      <c r="D1214">
        <f t="shared" si="55"/>
        <v>-0.38683288783075193</v>
      </c>
    </row>
    <row r="1215" spans="1:4">
      <c r="A1215" s="1">
        <v>20036</v>
      </c>
      <c r="B1215">
        <v>33.020000000000003</v>
      </c>
      <c r="C1215">
        <f t="shared" si="56"/>
        <v>9.4772240904922728E-3</v>
      </c>
      <c r="D1215">
        <f t="shared" si="55"/>
        <v>0.9678881455555246</v>
      </c>
    </row>
    <row r="1216" spans="1:4">
      <c r="A1216" s="1">
        <v>20037</v>
      </c>
      <c r="B1216">
        <v>33.15</v>
      </c>
      <c r="C1216">
        <f t="shared" si="56"/>
        <v>3.9370078740156101E-3</v>
      </c>
      <c r="D1216">
        <f t="shared" si="55"/>
        <v>0.38284319630658142</v>
      </c>
    </row>
    <row r="1217" spans="1:4">
      <c r="A1217" s="1">
        <v>20038</v>
      </c>
      <c r="B1217">
        <v>33.18</v>
      </c>
      <c r="C1217">
        <f t="shared" si="56"/>
        <v>9.0497737556564516E-4</v>
      </c>
      <c r="D1217">
        <f t="shared" si="55"/>
        <v>6.2661806307507659E-2</v>
      </c>
    </row>
    <row r="1218" spans="1:4">
      <c r="A1218" s="1">
        <v>20039</v>
      </c>
      <c r="B1218">
        <v>33.47</v>
      </c>
      <c r="C1218">
        <f t="shared" si="56"/>
        <v>8.7402049427365621E-3</v>
      </c>
      <c r="D1218">
        <f t="shared" si="55"/>
        <v>0.89005917407750224</v>
      </c>
    </row>
    <row r="1219" spans="1:4">
      <c r="A1219" s="1">
        <v>20040</v>
      </c>
      <c r="B1219">
        <v>33.54</v>
      </c>
      <c r="C1219">
        <f t="shared" si="56"/>
        <v>2.0914251568568951E-3</v>
      </c>
      <c r="D1219">
        <f t="shared" ref="D1219:D1282" si="57">(C1219-avg)/sd</f>
        <v>0.18795028871866779</v>
      </c>
    </row>
    <row r="1220" spans="1:4">
      <c r="A1220" s="1">
        <v>20043</v>
      </c>
      <c r="B1220">
        <v>33.47</v>
      </c>
      <c r="C1220">
        <f t="shared" ref="C1220:C1283" si="58">(B1220-B1219)/B1219</f>
        <v>-2.0870602265951189E-3</v>
      </c>
      <c r="D1220">
        <f t="shared" si="57"/>
        <v>-0.25329634743767249</v>
      </c>
    </row>
    <row r="1221" spans="1:4">
      <c r="A1221" s="1">
        <v>20044</v>
      </c>
      <c r="B1221">
        <v>33.57</v>
      </c>
      <c r="C1221">
        <f t="shared" si="58"/>
        <v>2.9877502240813095E-3</v>
      </c>
      <c r="D1221">
        <f t="shared" si="57"/>
        <v>0.28260191114187216</v>
      </c>
    </row>
    <row r="1222" spans="1:4">
      <c r="A1222" s="1">
        <v>20045</v>
      </c>
      <c r="B1222">
        <v>33.630000000000003</v>
      </c>
      <c r="C1222">
        <f t="shared" si="58"/>
        <v>1.787310098302123E-3</v>
      </c>
      <c r="D1222">
        <f t="shared" si="57"/>
        <v>0.15583584190901492</v>
      </c>
    </row>
    <row r="1223" spans="1:4">
      <c r="A1223" s="1">
        <v>20046</v>
      </c>
      <c r="B1223">
        <v>33.44</v>
      </c>
      <c r="C1223">
        <f t="shared" si="58"/>
        <v>-5.6497175141244369E-3</v>
      </c>
      <c r="D1223">
        <f t="shared" si="57"/>
        <v>-0.62951174599471671</v>
      </c>
    </row>
    <row r="1224" spans="1:4">
      <c r="A1224" s="1">
        <v>20047</v>
      </c>
      <c r="B1224">
        <v>33.450000000000003</v>
      </c>
      <c r="C1224">
        <f t="shared" si="58"/>
        <v>2.9904306220110996E-4</v>
      </c>
      <c r="D1224">
        <f t="shared" si="57"/>
        <v>-1.3246512167067316E-3</v>
      </c>
    </row>
    <row r="1225" spans="1:4">
      <c r="A1225" s="1">
        <v>20050</v>
      </c>
      <c r="B1225">
        <v>33.58</v>
      </c>
      <c r="C1225">
        <f t="shared" si="58"/>
        <v>3.8863976083705664E-3</v>
      </c>
      <c r="D1225">
        <f t="shared" si="57"/>
        <v>0.37749876945772998</v>
      </c>
    </row>
    <row r="1226" spans="1:4">
      <c r="A1226" s="1">
        <v>20051</v>
      </c>
      <c r="B1226">
        <v>34.03</v>
      </c>
      <c r="C1226">
        <f t="shared" si="58"/>
        <v>1.3400833829660598E-2</v>
      </c>
      <c r="D1226">
        <f t="shared" si="57"/>
        <v>1.3822200003119482</v>
      </c>
    </row>
    <row r="1227" spans="1:4">
      <c r="A1227" s="1">
        <v>20052</v>
      </c>
      <c r="B1227">
        <v>34.22</v>
      </c>
      <c r="C1227">
        <f t="shared" si="58"/>
        <v>5.5833088451365774E-3</v>
      </c>
      <c r="D1227">
        <f t="shared" si="57"/>
        <v>0.55669201925206568</v>
      </c>
    </row>
    <row r="1228" spans="1:4">
      <c r="A1228" s="1">
        <v>20054</v>
      </c>
      <c r="B1228">
        <v>34.549999999999997</v>
      </c>
      <c r="C1228">
        <f t="shared" si="58"/>
        <v>9.6434833430741763E-3</v>
      </c>
      <c r="D1228">
        <f t="shared" si="57"/>
        <v>0.9854450661139077</v>
      </c>
    </row>
    <row r="1229" spans="1:4">
      <c r="A1229" s="1">
        <v>20057</v>
      </c>
      <c r="B1229">
        <v>34.54</v>
      </c>
      <c r="C1229">
        <f t="shared" si="58"/>
        <v>-2.8943560057881362E-4</v>
      </c>
      <c r="D1229">
        <f t="shared" si="57"/>
        <v>-6.346779797265005E-2</v>
      </c>
    </row>
    <row r="1230" spans="1:4">
      <c r="A1230" s="1">
        <v>20058</v>
      </c>
      <c r="B1230">
        <v>34.24</v>
      </c>
      <c r="C1230">
        <f t="shared" si="58"/>
        <v>-8.6855819339894946E-3</v>
      </c>
      <c r="D1230">
        <f t="shared" si="57"/>
        <v>-0.95009799679201101</v>
      </c>
    </row>
    <row r="1231" spans="1:4">
      <c r="A1231" s="1">
        <v>20059</v>
      </c>
      <c r="B1231">
        <v>33.99</v>
      </c>
      <c r="C1231">
        <f t="shared" si="58"/>
        <v>-7.3014018691588784E-3</v>
      </c>
      <c r="D1231">
        <f t="shared" si="57"/>
        <v>-0.80392905245156276</v>
      </c>
    </row>
    <row r="1232" spans="1:4">
      <c r="A1232" s="1">
        <v>20060</v>
      </c>
      <c r="B1232">
        <v>34.18</v>
      </c>
      <c r="C1232">
        <f t="shared" si="58"/>
        <v>5.589879376287076E-3</v>
      </c>
      <c r="D1232">
        <f t="shared" si="57"/>
        <v>0.55738586510812627</v>
      </c>
    </row>
    <row r="1233" spans="1:4">
      <c r="A1233" s="1">
        <v>20061</v>
      </c>
      <c r="B1233">
        <v>34.49</v>
      </c>
      <c r="C1233">
        <f t="shared" si="58"/>
        <v>9.0696313633704586E-3</v>
      </c>
      <c r="D1233">
        <f t="shared" si="57"/>
        <v>0.92484649211896064</v>
      </c>
    </row>
    <row r="1234" spans="1:4">
      <c r="A1234" s="1">
        <v>20064</v>
      </c>
      <c r="B1234">
        <v>34.76</v>
      </c>
      <c r="C1234">
        <f t="shared" si="58"/>
        <v>7.8283560452303853E-3</v>
      </c>
      <c r="D1234">
        <f t="shared" si="57"/>
        <v>0.79376824045334993</v>
      </c>
    </row>
    <row r="1235" spans="1:4">
      <c r="A1235" s="1">
        <v>20065</v>
      </c>
      <c r="B1235">
        <v>34.92</v>
      </c>
      <c r="C1235">
        <f t="shared" si="58"/>
        <v>4.6029919447642034E-3</v>
      </c>
      <c r="D1235">
        <f t="shared" si="57"/>
        <v>0.453170887798648</v>
      </c>
    </row>
    <row r="1236" spans="1:4">
      <c r="A1236" s="1">
        <v>20066</v>
      </c>
      <c r="B1236">
        <v>34.86</v>
      </c>
      <c r="C1236">
        <f t="shared" si="58"/>
        <v>-1.718213058419309E-3</v>
      </c>
      <c r="D1236">
        <f t="shared" si="57"/>
        <v>-0.21434621185555119</v>
      </c>
    </row>
    <row r="1237" spans="1:4">
      <c r="A1237" s="1">
        <v>20067</v>
      </c>
      <c r="B1237">
        <v>34.69</v>
      </c>
      <c r="C1237">
        <f t="shared" si="58"/>
        <v>-4.876649454962757E-3</v>
      </c>
      <c r="D1237">
        <f t="shared" si="57"/>
        <v>-0.54787602172584438</v>
      </c>
    </row>
    <row r="1238" spans="1:4">
      <c r="A1238" s="1">
        <v>20068</v>
      </c>
      <c r="B1238">
        <v>34.56</v>
      </c>
      <c r="C1238">
        <f t="shared" si="58"/>
        <v>-3.7474776592676695E-3</v>
      </c>
      <c r="D1238">
        <f t="shared" si="57"/>
        <v>-0.42863586392458553</v>
      </c>
    </row>
    <row r="1239" spans="1:4">
      <c r="A1239" s="1">
        <v>20071</v>
      </c>
      <c r="B1239">
        <v>34.590000000000003</v>
      </c>
      <c r="C1239">
        <f t="shared" si="58"/>
        <v>8.6805555555558836E-4</v>
      </c>
      <c r="D1239">
        <f t="shared" si="57"/>
        <v>5.8762874664782055E-2</v>
      </c>
    </row>
    <row r="1240" spans="1:4">
      <c r="A1240" s="1">
        <v>20072</v>
      </c>
      <c r="B1240">
        <v>34.35</v>
      </c>
      <c r="C1240">
        <f t="shared" si="58"/>
        <v>-6.9384215091067352E-3</v>
      </c>
      <c r="D1240">
        <f t="shared" si="57"/>
        <v>-0.76559844981307568</v>
      </c>
    </row>
    <row r="1241" spans="1:4">
      <c r="A1241" s="1">
        <v>20073</v>
      </c>
      <c r="B1241">
        <v>34.56</v>
      </c>
      <c r="C1241">
        <f t="shared" si="58"/>
        <v>6.1135371179039544E-3</v>
      </c>
      <c r="D1241">
        <f t="shared" si="57"/>
        <v>0.61268394462295372</v>
      </c>
    </row>
    <row r="1242" spans="1:4">
      <c r="A1242" s="1">
        <v>20074</v>
      </c>
      <c r="B1242">
        <v>34.93</v>
      </c>
      <c r="C1242">
        <f t="shared" si="58"/>
        <v>1.0706018518518445E-2</v>
      </c>
      <c r="D1242">
        <f t="shared" si="57"/>
        <v>1.0976484194675677</v>
      </c>
    </row>
    <row r="1243" spans="1:4">
      <c r="A1243" s="1">
        <v>20075</v>
      </c>
      <c r="B1243">
        <v>35.92</v>
      </c>
      <c r="C1243">
        <f t="shared" si="58"/>
        <v>2.8342399083882107E-2</v>
      </c>
      <c r="D1243">
        <f t="shared" si="57"/>
        <v>2.9600442122729391</v>
      </c>
    </row>
    <row r="1244" spans="1:4">
      <c r="A1244" s="1">
        <v>20078</v>
      </c>
      <c r="B1244">
        <v>35.33</v>
      </c>
      <c r="C1244">
        <f t="shared" si="58"/>
        <v>-1.6425389755011229E-2</v>
      </c>
      <c r="D1244">
        <f t="shared" si="57"/>
        <v>-1.7674190718033997</v>
      </c>
    </row>
    <row r="1245" spans="1:4">
      <c r="A1245" s="1">
        <v>20079</v>
      </c>
      <c r="B1245">
        <v>35.380000000000003</v>
      </c>
      <c r="C1245">
        <f t="shared" si="58"/>
        <v>1.4152278516842418E-3</v>
      </c>
      <c r="D1245">
        <f t="shared" si="57"/>
        <v>0.11654408314306748</v>
      </c>
    </row>
    <row r="1246" spans="1:4">
      <c r="A1246" s="1">
        <v>20080</v>
      </c>
      <c r="B1246">
        <v>35.340000000000003</v>
      </c>
      <c r="C1246">
        <f t="shared" si="58"/>
        <v>-1.1305822498586531E-3</v>
      </c>
      <c r="D1246">
        <f t="shared" si="57"/>
        <v>-0.15229259821696289</v>
      </c>
    </row>
    <row r="1247" spans="1:4">
      <c r="A1247" s="1">
        <v>20081</v>
      </c>
      <c r="B1247">
        <v>35.369999999999997</v>
      </c>
      <c r="C1247">
        <f t="shared" si="58"/>
        <v>8.488964346348056E-4</v>
      </c>
      <c r="D1247">
        <f t="shared" si="57"/>
        <v>5.6739678008049035E-2</v>
      </c>
    </row>
    <row r="1248" spans="1:4">
      <c r="A1248" s="1">
        <v>20085</v>
      </c>
      <c r="B1248">
        <v>35.07</v>
      </c>
      <c r="C1248">
        <f t="shared" si="58"/>
        <v>-8.4817642069549663E-3</v>
      </c>
      <c r="D1248">
        <f t="shared" si="57"/>
        <v>-0.92857491409817638</v>
      </c>
    </row>
    <row r="1249" spans="1:4">
      <c r="A1249" s="1">
        <v>20086</v>
      </c>
      <c r="B1249">
        <v>35.43</v>
      </c>
      <c r="C1249">
        <f t="shared" si="58"/>
        <v>1.0265183917878512E-2</v>
      </c>
      <c r="D1249">
        <f t="shared" si="57"/>
        <v>1.0510964354869523</v>
      </c>
    </row>
    <row r="1250" spans="1:4">
      <c r="A1250" s="1">
        <v>20087</v>
      </c>
      <c r="B1250">
        <v>35.74</v>
      </c>
      <c r="C1250">
        <f t="shared" si="58"/>
        <v>8.7496471916455616E-3</v>
      </c>
      <c r="D1250">
        <f t="shared" si="57"/>
        <v>0.89105627235271623</v>
      </c>
    </row>
    <row r="1251" spans="1:4">
      <c r="A1251" s="1">
        <v>20088</v>
      </c>
      <c r="B1251">
        <v>35.74</v>
      </c>
      <c r="C1251">
        <f t="shared" si="58"/>
        <v>0</v>
      </c>
      <c r="D1251">
        <f t="shared" si="57"/>
        <v>-3.29034969354682E-2</v>
      </c>
    </row>
    <row r="1252" spans="1:4">
      <c r="A1252" s="1">
        <v>20089</v>
      </c>
      <c r="B1252">
        <v>35.979999999999997</v>
      </c>
      <c r="C1252">
        <f t="shared" si="58"/>
        <v>6.7151650811414342E-3</v>
      </c>
      <c r="D1252">
        <f t="shared" si="57"/>
        <v>0.67621565303755049</v>
      </c>
    </row>
    <row r="1253" spans="1:4">
      <c r="A1253" s="1">
        <v>20092</v>
      </c>
      <c r="B1253">
        <v>36.75</v>
      </c>
      <c r="C1253">
        <f t="shared" si="58"/>
        <v>2.1400778210116819E-2</v>
      </c>
      <c r="D1253">
        <f t="shared" si="57"/>
        <v>2.2270114075749055</v>
      </c>
    </row>
    <row r="1254" spans="1:4">
      <c r="A1254" s="1">
        <v>20093</v>
      </c>
      <c r="B1254">
        <v>36.42</v>
      </c>
      <c r="C1254">
        <f t="shared" si="58"/>
        <v>-8.9795918367346472E-3</v>
      </c>
      <c r="D1254">
        <f t="shared" si="57"/>
        <v>-0.9811453425830774</v>
      </c>
    </row>
    <row r="1255" spans="1:4">
      <c r="A1255" s="1">
        <v>20094</v>
      </c>
      <c r="B1255">
        <v>35.520000000000003</v>
      </c>
      <c r="C1255">
        <f t="shared" si="58"/>
        <v>-2.4711696869851689E-2</v>
      </c>
      <c r="D1255">
        <f t="shared" si="57"/>
        <v>-2.64245028647791</v>
      </c>
    </row>
    <row r="1256" spans="1:4">
      <c r="A1256" s="1">
        <v>20095</v>
      </c>
      <c r="B1256">
        <v>35.04</v>
      </c>
      <c r="C1256">
        <f t="shared" si="58"/>
        <v>-1.3513513513513624E-2</v>
      </c>
      <c r="D1256">
        <f t="shared" si="57"/>
        <v>-1.4599259304960785</v>
      </c>
    </row>
    <row r="1257" spans="1:4">
      <c r="A1257" s="1">
        <v>20096</v>
      </c>
      <c r="B1257">
        <v>35.33</v>
      </c>
      <c r="C1257">
        <f t="shared" si="58"/>
        <v>8.2762557077625323E-3</v>
      </c>
      <c r="D1257">
        <f t="shared" si="57"/>
        <v>0.84106629256825205</v>
      </c>
    </row>
    <row r="1258" spans="1:4">
      <c r="A1258" s="1">
        <v>20099</v>
      </c>
      <c r="B1258">
        <v>35.79</v>
      </c>
      <c r="C1258">
        <f t="shared" si="58"/>
        <v>1.3020096235493939E-2</v>
      </c>
      <c r="D1258">
        <f t="shared" si="57"/>
        <v>1.3420142397869455</v>
      </c>
    </row>
    <row r="1259" spans="1:4">
      <c r="A1259" s="1">
        <v>20100</v>
      </c>
      <c r="B1259">
        <v>35.68</v>
      </c>
      <c r="C1259">
        <f t="shared" si="58"/>
        <v>-3.073484213467433E-3</v>
      </c>
      <c r="D1259">
        <f t="shared" si="57"/>
        <v>-0.35746238514958423</v>
      </c>
    </row>
    <row r="1260" spans="1:4">
      <c r="A1260" s="1">
        <v>20101</v>
      </c>
      <c r="B1260">
        <v>35.58</v>
      </c>
      <c r="C1260">
        <f t="shared" si="58"/>
        <v>-2.802690582959681E-3</v>
      </c>
      <c r="D1260">
        <f t="shared" si="57"/>
        <v>-0.32886666981519297</v>
      </c>
    </row>
    <row r="1261" spans="1:4">
      <c r="A1261" s="1">
        <v>20102</v>
      </c>
      <c r="B1261">
        <v>35.43</v>
      </c>
      <c r="C1261">
        <f t="shared" si="58"/>
        <v>-4.2158516020235686E-3</v>
      </c>
      <c r="D1261">
        <f t="shared" si="57"/>
        <v>-0.47809599307156986</v>
      </c>
    </row>
    <row r="1262" spans="1:4">
      <c r="A1262" s="1">
        <v>20103</v>
      </c>
      <c r="B1262">
        <v>35.28</v>
      </c>
      <c r="C1262">
        <f t="shared" si="58"/>
        <v>-4.2337002540219753E-3</v>
      </c>
      <c r="D1262">
        <f t="shared" si="57"/>
        <v>-0.47998080465554999</v>
      </c>
    </row>
    <row r="1263" spans="1:4">
      <c r="A1263" s="1">
        <v>20106</v>
      </c>
      <c r="B1263">
        <v>34.58</v>
      </c>
      <c r="C1263">
        <f t="shared" si="58"/>
        <v>-1.984126984126992E-2</v>
      </c>
      <c r="D1263">
        <f t="shared" si="57"/>
        <v>-2.1281348477982607</v>
      </c>
    </row>
    <row r="1264" spans="1:4">
      <c r="A1264" s="1">
        <v>20107</v>
      </c>
      <c r="B1264">
        <v>34.799999999999997</v>
      </c>
      <c r="C1264">
        <f t="shared" si="58"/>
        <v>6.3620589936379084E-3</v>
      </c>
      <c r="D1264">
        <f t="shared" si="57"/>
        <v>0.63892777022376912</v>
      </c>
    </row>
    <row r="1265" spans="1:4">
      <c r="A1265" s="1">
        <v>20108</v>
      </c>
      <c r="B1265">
        <v>34.96</v>
      </c>
      <c r="C1265">
        <f t="shared" si="58"/>
        <v>4.597701149425394E-3</v>
      </c>
      <c r="D1265">
        <f t="shared" si="57"/>
        <v>0.45261218160929845</v>
      </c>
    </row>
    <row r="1266" spans="1:4">
      <c r="A1266" s="1">
        <v>20109</v>
      </c>
      <c r="B1266">
        <v>35.130000000000003</v>
      </c>
      <c r="C1266">
        <f t="shared" si="58"/>
        <v>4.8627002288330005E-3</v>
      </c>
      <c r="D1266">
        <f t="shared" si="57"/>
        <v>0.48059599431717798</v>
      </c>
    </row>
    <row r="1267" spans="1:4">
      <c r="A1267" s="1">
        <v>20110</v>
      </c>
      <c r="B1267">
        <v>35.44</v>
      </c>
      <c r="C1267">
        <f t="shared" si="58"/>
        <v>8.8243666382008291E-3</v>
      </c>
      <c r="D1267">
        <f t="shared" si="57"/>
        <v>0.89894662051057861</v>
      </c>
    </row>
    <row r="1268" spans="1:4">
      <c r="A1268" s="1">
        <v>20113</v>
      </c>
      <c r="B1268">
        <v>35.520000000000003</v>
      </c>
      <c r="C1268">
        <f t="shared" si="58"/>
        <v>2.2573363431152766E-3</v>
      </c>
      <c r="D1268">
        <f t="shared" si="57"/>
        <v>0.20547045359160052</v>
      </c>
    </row>
    <row r="1269" spans="1:4">
      <c r="A1269" s="1">
        <v>20114</v>
      </c>
      <c r="B1269">
        <v>35.51</v>
      </c>
      <c r="C1269">
        <f t="shared" si="58"/>
        <v>-2.8153153153167551E-4</v>
      </c>
      <c r="D1269">
        <f t="shared" si="57"/>
        <v>-6.2633130967995873E-2</v>
      </c>
    </row>
    <row r="1270" spans="1:4">
      <c r="A1270" s="1">
        <v>20115</v>
      </c>
      <c r="B1270">
        <v>35.950000000000003</v>
      </c>
      <c r="C1270">
        <f t="shared" si="58"/>
        <v>1.2390875809631226E-2</v>
      </c>
      <c r="D1270">
        <f t="shared" si="57"/>
        <v>1.2755687766982577</v>
      </c>
    </row>
    <row r="1271" spans="1:4">
      <c r="A1271" s="1">
        <v>20116</v>
      </c>
      <c r="B1271">
        <v>35.99</v>
      </c>
      <c r="C1271">
        <f t="shared" si="58"/>
        <v>1.1126564673156925E-3</v>
      </c>
      <c r="D1271">
        <f t="shared" si="57"/>
        <v>8.4592647802759408E-2</v>
      </c>
    </row>
    <row r="1272" spans="1:4">
      <c r="A1272" s="1">
        <v>20117</v>
      </c>
      <c r="B1272">
        <v>36.19</v>
      </c>
      <c r="C1272">
        <f t="shared" si="58"/>
        <v>5.5570991942204984E-3</v>
      </c>
      <c r="D1272">
        <f t="shared" si="57"/>
        <v>0.55392428902442092</v>
      </c>
    </row>
    <row r="1273" spans="1:4">
      <c r="A1273" s="1">
        <v>20120</v>
      </c>
      <c r="B1273">
        <v>36.630000000000003</v>
      </c>
      <c r="C1273">
        <f t="shared" si="58"/>
        <v>1.2158054711246334E-2</v>
      </c>
      <c r="D1273">
        <f t="shared" si="57"/>
        <v>1.2509829478485497</v>
      </c>
    </row>
    <row r="1274" spans="1:4">
      <c r="A1274" s="1">
        <v>20121</v>
      </c>
      <c r="B1274">
        <v>36.72</v>
      </c>
      <c r="C1274">
        <f t="shared" si="58"/>
        <v>2.4570024570023559E-3</v>
      </c>
      <c r="D1274">
        <f t="shared" si="57"/>
        <v>0.22655512734826636</v>
      </c>
    </row>
    <row r="1275" spans="1:4">
      <c r="A1275" s="1">
        <v>20122</v>
      </c>
      <c r="B1275">
        <v>36.61</v>
      </c>
      <c r="C1275">
        <f t="shared" si="58"/>
        <v>-2.9956427015250392E-3</v>
      </c>
      <c r="D1275">
        <f t="shared" si="57"/>
        <v>-0.34924234794808295</v>
      </c>
    </row>
    <row r="1276" spans="1:4">
      <c r="A1276" s="1">
        <v>20123</v>
      </c>
      <c r="B1276">
        <v>36.44</v>
      </c>
      <c r="C1276">
        <f t="shared" si="58"/>
        <v>-4.6435400163890115E-3</v>
      </c>
      <c r="D1276">
        <f t="shared" si="57"/>
        <v>-0.52325974425020505</v>
      </c>
    </row>
    <row r="1277" spans="1:4">
      <c r="A1277" s="1">
        <v>20124</v>
      </c>
      <c r="B1277">
        <v>36.96</v>
      </c>
      <c r="C1277">
        <f t="shared" si="58"/>
        <v>1.4270032930845312E-2</v>
      </c>
      <c r="D1277">
        <f t="shared" si="57"/>
        <v>1.4740071299419242</v>
      </c>
    </row>
    <row r="1278" spans="1:4">
      <c r="A1278" s="1">
        <v>20127</v>
      </c>
      <c r="B1278">
        <v>36.96</v>
      </c>
      <c r="C1278">
        <f t="shared" si="58"/>
        <v>0</v>
      </c>
      <c r="D1278">
        <f t="shared" si="57"/>
        <v>-3.29034969354682E-2</v>
      </c>
    </row>
    <row r="1279" spans="1:4">
      <c r="A1279" s="1">
        <v>20128</v>
      </c>
      <c r="B1279">
        <v>36.46</v>
      </c>
      <c r="C1279">
        <f t="shared" si="58"/>
        <v>-1.3528138528138528E-2</v>
      </c>
      <c r="D1279">
        <f t="shared" si="57"/>
        <v>-1.4614703270691844</v>
      </c>
    </row>
    <row r="1280" spans="1:4">
      <c r="A1280" s="1">
        <v>20129</v>
      </c>
      <c r="B1280">
        <v>36.75</v>
      </c>
      <c r="C1280">
        <f t="shared" si="58"/>
        <v>7.9539221064179686E-3</v>
      </c>
      <c r="D1280">
        <f t="shared" si="57"/>
        <v>0.80702797383278069</v>
      </c>
    </row>
    <row r="1281" spans="1:4">
      <c r="A1281" s="1">
        <v>20130</v>
      </c>
      <c r="B1281">
        <v>37.08</v>
      </c>
      <c r="C1281">
        <f t="shared" si="58"/>
        <v>8.9795918367346472E-3</v>
      </c>
      <c r="D1281">
        <f t="shared" si="57"/>
        <v>0.91533834871214115</v>
      </c>
    </row>
    <row r="1282" spans="1:4">
      <c r="A1282" s="1">
        <v>20131</v>
      </c>
      <c r="B1282">
        <v>37.15</v>
      </c>
      <c r="C1282">
        <f t="shared" si="58"/>
        <v>1.8878101402373326E-3</v>
      </c>
      <c r="D1282">
        <f t="shared" si="57"/>
        <v>0.16644861217574897</v>
      </c>
    </row>
    <row r="1283" spans="1:4">
      <c r="A1283" s="1">
        <v>20134</v>
      </c>
      <c r="B1283">
        <v>36.89</v>
      </c>
      <c r="C1283">
        <f t="shared" si="58"/>
        <v>-6.9986541049797584E-3</v>
      </c>
      <c r="D1283">
        <f t="shared" ref="D1283:D1346" si="59">(C1283-avg)/sd</f>
        <v>-0.77195899146321278</v>
      </c>
    </row>
    <row r="1284" spans="1:4">
      <c r="A1284" s="1">
        <v>20135</v>
      </c>
      <c r="B1284">
        <v>36.89</v>
      </c>
      <c r="C1284">
        <f t="shared" ref="C1284:C1347" si="60">(B1284-B1283)/B1283</f>
        <v>0</v>
      </c>
      <c r="D1284">
        <f t="shared" si="59"/>
        <v>-3.29034969354682E-2</v>
      </c>
    </row>
    <row r="1285" spans="1:4">
      <c r="A1285" s="1">
        <v>20136</v>
      </c>
      <c r="B1285">
        <v>36.770000000000003</v>
      </c>
      <c r="C1285">
        <f t="shared" si="60"/>
        <v>-3.2529140688532785E-3</v>
      </c>
      <c r="D1285">
        <f t="shared" si="59"/>
        <v>-0.37641011688715825</v>
      </c>
    </row>
    <row r="1286" spans="1:4">
      <c r="A1286" s="1">
        <v>20137</v>
      </c>
      <c r="B1286">
        <v>36.840000000000003</v>
      </c>
      <c r="C1286">
        <f t="shared" si="60"/>
        <v>1.903725863475667E-3</v>
      </c>
      <c r="D1286">
        <f t="shared" si="59"/>
        <v>0.1681293071396999</v>
      </c>
    </row>
    <row r="1287" spans="1:4">
      <c r="A1287" s="1">
        <v>20138</v>
      </c>
      <c r="B1287">
        <v>36.89</v>
      </c>
      <c r="C1287">
        <f t="shared" si="60"/>
        <v>1.3572204125949282E-3</v>
      </c>
      <c r="D1287">
        <f t="shared" si="59"/>
        <v>0.11041851729292254</v>
      </c>
    </row>
    <row r="1288" spans="1:4">
      <c r="A1288" s="1">
        <v>20141</v>
      </c>
      <c r="B1288">
        <v>36.85</v>
      </c>
      <c r="C1288">
        <f t="shared" si="60"/>
        <v>-1.0843046896177595E-3</v>
      </c>
      <c r="D1288">
        <f t="shared" si="59"/>
        <v>-0.14740570358603156</v>
      </c>
    </row>
    <row r="1289" spans="1:4">
      <c r="A1289" s="1">
        <v>20143</v>
      </c>
      <c r="B1289">
        <v>36.82</v>
      </c>
      <c r="C1289">
        <f t="shared" si="60"/>
        <v>-8.1411126187248676E-4</v>
      </c>
      <c r="D1289">
        <f t="shared" si="59"/>
        <v>-0.11887336945933927</v>
      </c>
    </row>
    <row r="1290" spans="1:4">
      <c r="A1290" s="1">
        <v>20144</v>
      </c>
      <c r="B1290">
        <v>36.619999999999997</v>
      </c>
      <c r="C1290">
        <f t="shared" si="60"/>
        <v>-5.431830526887638E-3</v>
      </c>
      <c r="D1290">
        <f t="shared" si="59"/>
        <v>-0.60650295420589628</v>
      </c>
    </row>
    <row r="1291" spans="1:4">
      <c r="A1291" s="1">
        <v>20145</v>
      </c>
      <c r="B1291">
        <v>36.57</v>
      </c>
      <c r="C1291">
        <f t="shared" si="60"/>
        <v>-1.3653741125067493E-3</v>
      </c>
      <c r="D1291">
        <f t="shared" si="59"/>
        <v>-0.17708653910296998</v>
      </c>
    </row>
    <row r="1292" spans="1:4">
      <c r="A1292" s="1">
        <v>20148</v>
      </c>
      <c r="B1292">
        <v>36.76</v>
      </c>
      <c r="C1292">
        <f t="shared" si="60"/>
        <v>5.1955154498221964E-3</v>
      </c>
      <c r="D1292">
        <f t="shared" si="59"/>
        <v>0.51574116852424678</v>
      </c>
    </row>
    <row r="1293" spans="1:4">
      <c r="A1293" s="1">
        <v>20149</v>
      </c>
      <c r="B1293">
        <v>36.83</v>
      </c>
      <c r="C1293">
        <f t="shared" si="60"/>
        <v>1.9042437431991373E-3</v>
      </c>
      <c r="D1293">
        <f t="shared" si="59"/>
        <v>0.16818399506246248</v>
      </c>
    </row>
    <row r="1294" spans="1:4">
      <c r="A1294" s="1">
        <v>20150</v>
      </c>
      <c r="B1294">
        <v>37.15</v>
      </c>
      <c r="C1294">
        <f t="shared" si="60"/>
        <v>8.6885691012761421E-3</v>
      </c>
      <c r="D1294">
        <f t="shared" si="59"/>
        <v>0.88460644677115718</v>
      </c>
    </row>
    <row r="1295" spans="1:4">
      <c r="A1295" s="1">
        <v>20151</v>
      </c>
      <c r="B1295">
        <v>37.29</v>
      </c>
      <c r="C1295">
        <f t="shared" si="60"/>
        <v>3.7685060565276064E-3</v>
      </c>
      <c r="D1295">
        <f t="shared" si="59"/>
        <v>0.36504946165639895</v>
      </c>
    </row>
    <row r="1296" spans="1:4">
      <c r="A1296" s="1">
        <v>20152</v>
      </c>
      <c r="B1296">
        <v>37.520000000000003</v>
      </c>
      <c r="C1296">
        <f t="shared" si="60"/>
        <v>6.1678734245106991E-3</v>
      </c>
      <c r="D1296">
        <f t="shared" si="59"/>
        <v>0.61842184013081791</v>
      </c>
    </row>
    <row r="1297" spans="1:4">
      <c r="A1297" s="1">
        <v>20155</v>
      </c>
      <c r="B1297">
        <v>37.28</v>
      </c>
      <c r="C1297">
        <f t="shared" si="60"/>
        <v>-6.3965884861407777E-3</v>
      </c>
      <c r="D1297">
        <f t="shared" si="59"/>
        <v>-0.70838106676586388</v>
      </c>
    </row>
    <row r="1298" spans="1:4">
      <c r="A1298" s="1">
        <v>20156</v>
      </c>
      <c r="B1298">
        <v>36.58</v>
      </c>
      <c r="C1298">
        <f t="shared" si="60"/>
        <v>-1.8776824034334838E-2</v>
      </c>
      <c r="D1298">
        <f t="shared" si="59"/>
        <v>-2.0157297324086256</v>
      </c>
    </row>
    <row r="1299" spans="1:4">
      <c r="A1299" s="1">
        <v>20157</v>
      </c>
      <c r="B1299">
        <v>36.22</v>
      </c>
      <c r="C1299">
        <f t="shared" si="60"/>
        <v>-9.8414434117003683E-3</v>
      </c>
      <c r="D1299">
        <f t="shared" si="59"/>
        <v>-1.0721565759418732</v>
      </c>
    </row>
    <row r="1300" spans="1:4">
      <c r="A1300" s="1">
        <v>20158</v>
      </c>
      <c r="B1300">
        <v>36.450000000000003</v>
      </c>
      <c r="C1300">
        <f t="shared" si="60"/>
        <v>6.3500828271674213E-3</v>
      </c>
      <c r="D1300">
        <f t="shared" si="59"/>
        <v>0.63766309111538244</v>
      </c>
    </row>
    <row r="1301" spans="1:4">
      <c r="A1301" s="1">
        <v>20159</v>
      </c>
      <c r="B1301">
        <v>35.82</v>
      </c>
      <c r="C1301">
        <f t="shared" si="60"/>
        <v>-1.7283950617284018E-2</v>
      </c>
      <c r="D1301">
        <f t="shared" si="59"/>
        <v>-1.8580828070203894</v>
      </c>
    </row>
    <row r="1302" spans="1:4">
      <c r="A1302" s="1">
        <v>20162</v>
      </c>
      <c r="B1302">
        <v>34.96</v>
      </c>
      <c r="C1302">
        <f t="shared" si="60"/>
        <v>-2.4008933556672236E-2</v>
      </c>
      <c r="D1302">
        <f t="shared" si="59"/>
        <v>-2.5682387194870162</v>
      </c>
    </row>
    <row r="1303" spans="1:4">
      <c r="A1303" s="1">
        <v>20163</v>
      </c>
      <c r="B1303">
        <v>35.71</v>
      </c>
      <c r="C1303">
        <f t="shared" si="60"/>
        <v>2.1453089244851259E-2</v>
      </c>
      <c r="D1303">
        <f t="shared" si="59"/>
        <v>2.2325354350614774</v>
      </c>
    </row>
    <row r="1304" spans="1:4">
      <c r="A1304" s="1">
        <v>20164</v>
      </c>
      <c r="B1304">
        <v>35.979999999999997</v>
      </c>
      <c r="C1304">
        <f t="shared" si="60"/>
        <v>7.5609073088769539E-3</v>
      </c>
      <c r="D1304">
        <f t="shared" si="59"/>
        <v>0.76552574480467017</v>
      </c>
    </row>
    <row r="1305" spans="1:4">
      <c r="A1305" s="1">
        <v>20165</v>
      </c>
      <c r="B1305">
        <v>36.119999999999997</v>
      </c>
      <c r="C1305">
        <f t="shared" si="60"/>
        <v>3.8910505836576036E-3</v>
      </c>
      <c r="D1305">
        <f t="shared" si="59"/>
        <v>0.37799012206641797</v>
      </c>
    </row>
    <row r="1306" spans="1:4">
      <c r="A1306" s="1">
        <v>20166</v>
      </c>
      <c r="B1306">
        <v>36.18</v>
      </c>
      <c r="C1306">
        <f t="shared" si="60"/>
        <v>1.6611295681063754E-3</v>
      </c>
      <c r="D1306">
        <f t="shared" si="59"/>
        <v>0.14251122081119014</v>
      </c>
    </row>
    <row r="1307" spans="1:4">
      <c r="A1307" s="1">
        <v>20169</v>
      </c>
      <c r="B1307">
        <v>35.950000000000003</v>
      </c>
      <c r="C1307">
        <f t="shared" si="60"/>
        <v>-6.357103372028659E-3</v>
      </c>
      <c r="D1307">
        <f t="shared" si="59"/>
        <v>-0.70421145213726655</v>
      </c>
    </row>
    <row r="1308" spans="1:4">
      <c r="A1308" s="1">
        <v>20170</v>
      </c>
      <c r="B1308">
        <v>36.17</v>
      </c>
      <c r="C1308">
        <f t="shared" si="60"/>
        <v>6.1196105702364077E-3</v>
      </c>
      <c r="D1308">
        <f t="shared" si="59"/>
        <v>0.61332529912479394</v>
      </c>
    </row>
    <row r="1309" spans="1:4">
      <c r="A1309" s="1">
        <v>20171</v>
      </c>
      <c r="B1309">
        <v>36.64</v>
      </c>
      <c r="C1309">
        <f t="shared" si="60"/>
        <v>1.2994194083494576E-2</v>
      </c>
      <c r="D1309">
        <f t="shared" si="59"/>
        <v>1.339278981340382</v>
      </c>
    </row>
    <row r="1310" spans="1:4">
      <c r="A1310" s="1">
        <v>20172</v>
      </c>
      <c r="B1310">
        <v>36.93</v>
      </c>
      <c r="C1310">
        <f t="shared" si="60"/>
        <v>7.9148471615720292E-3</v>
      </c>
      <c r="D1310">
        <f t="shared" si="59"/>
        <v>0.80290167293926862</v>
      </c>
    </row>
    <row r="1311" spans="1:4">
      <c r="A1311" s="1">
        <v>20173</v>
      </c>
      <c r="B1311">
        <v>36.96</v>
      </c>
      <c r="C1311">
        <f t="shared" si="60"/>
        <v>8.1234768480912905E-4</v>
      </c>
      <c r="D1311">
        <f t="shared" si="59"/>
        <v>5.2880142449981286E-2</v>
      </c>
    </row>
    <row r="1312" spans="1:4">
      <c r="A1312" s="1">
        <v>20176</v>
      </c>
      <c r="B1312">
        <v>36.83</v>
      </c>
      <c r="C1312">
        <f t="shared" si="60"/>
        <v>-3.5173160173160864E-3</v>
      </c>
      <c r="D1312">
        <f t="shared" si="59"/>
        <v>-0.40433087277024171</v>
      </c>
    </row>
    <row r="1313" spans="1:4">
      <c r="A1313" s="1">
        <v>20177</v>
      </c>
      <c r="B1313">
        <v>36.85</v>
      </c>
      <c r="C1313">
        <f t="shared" si="60"/>
        <v>5.4303556882984323E-4</v>
      </c>
      <c r="D1313">
        <f t="shared" si="59"/>
        <v>2.4440874546204795E-2</v>
      </c>
    </row>
    <row r="1314" spans="1:4">
      <c r="A1314" s="1">
        <v>20178</v>
      </c>
      <c r="B1314">
        <v>36.520000000000003</v>
      </c>
      <c r="C1314">
        <f t="shared" si="60"/>
        <v>-8.9552238805969686E-3</v>
      </c>
      <c r="D1314">
        <f t="shared" si="59"/>
        <v>-0.97857209469800932</v>
      </c>
    </row>
    <row r="1315" spans="1:4">
      <c r="A1315" s="1">
        <v>20179</v>
      </c>
      <c r="B1315">
        <v>36.58</v>
      </c>
      <c r="C1315">
        <f t="shared" si="60"/>
        <v>1.6429353778750044E-3</v>
      </c>
      <c r="D1315">
        <f t="shared" si="59"/>
        <v>0.14058992050726313</v>
      </c>
    </row>
    <row r="1316" spans="1:4">
      <c r="A1316" s="1">
        <v>20180</v>
      </c>
      <c r="B1316">
        <v>36.950000000000003</v>
      </c>
      <c r="C1316">
        <f t="shared" si="60"/>
        <v>1.0114816839803297E-2</v>
      </c>
      <c r="D1316">
        <f t="shared" si="59"/>
        <v>1.035217723154463</v>
      </c>
    </row>
    <row r="1317" spans="1:4">
      <c r="A1317" s="1">
        <v>20183</v>
      </c>
      <c r="B1317">
        <v>36.83</v>
      </c>
      <c r="C1317">
        <f t="shared" si="60"/>
        <v>-3.2476319350474843E-3</v>
      </c>
      <c r="D1317">
        <f t="shared" si="59"/>
        <v>-0.37585232535275093</v>
      </c>
    </row>
    <row r="1318" spans="1:4">
      <c r="A1318" s="1">
        <v>20184</v>
      </c>
      <c r="B1318">
        <v>36.979999999999997</v>
      </c>
      <c r="C1318">
        <f t="shared" si="60"/>
        <v>4.0727667662231494E-3</v>
      </c>
      <c r="D1318">
        <f t="shared" si="59"/>
        <v>0.39717928917700795</v>
      </c>
    </row>
    <row r="1319" spans="1:4">
      <c r="A1319" s="1">
        <v>20185</v>
      </c>
      <c r="B1319">
        <v>37.17</v>
      </c>
      <c r="C1319">
        <f t="shared" si="60"/>
        <v>5.1379123850731432E-3</v>
      </c>
      <c r="D1319">
        <f t="shared" si="59"/>
        <v>0.50965830446697979</v>
      </c>
    </row>
    <row r="1320" spans="1:4">
      <c r="A1320" s="1">
        <v>20186</v>
      </c>
      <c r="B1320">
        <v>37.340000000000003</v>
      </c>
      <c r="C1320">
        <f t="shared" si="60"/>
        <v>4.5735808447673314E-3</v>
      </c>
      <c r="D1320">
        <f t="shared" si="59"/>
        <v>0.45006508563629699</v>
      </c>
    </row>
    <row r="1321" spans="1:4">
      <c r="A1321" s="1">
        <v>20190</v>
      </c>
      <c r="B1321">
        <v>37.44</v>
      </c>
      <c r="C1321">
        <f t="shared" si="60"/>
        <v>2.6780931976431257E-3</v>
      </c>
      <c r="D1321">
        <f t="shared" si="59"/>
        <v>0.24990223440753745</v>
      </c>
    </row>
    <row r="1322" spans="1:4">
      <c r="A1322" s="1">
        <v>20191</v>
      </c>
      <c r="B1322">
        <v>37.659999999999997</v>
      </c>
      <c r="C1322">
        <f t="shared" si="60"/>
        <v>5.8760683760683457E-3</v>
      </c>
      <c r="D1322">
        <f t="shared" si="59"/>
        <v>0.58760732620466072</v>
      </c>
    </row>
    <row r="1323" spans="1:4">
      <c r="A1323" s="1">
        <v>20192</v>
      </c>
      <c r="B1323">
        <v>37.71</v>
      </c>
      <c r="C1323">
        <f t="shared" si="60"/>
        <v>1.3276686139140803E-3</v>
      </c>
      <c r="D1323">
        <f t="shared" si="59"/>
        <v>0.10729785739736945</v>
      </c>
    </row>
    <row r="1324" spans="1:4">
      <c r="A1324" s="1">
        <v>20193</v>
      </c>
      <c r="B1324">
        <v>37.79</v>
      </c>
      <c r="C1324">
        <f t="shared" si="60"/>
        <v>2.1214531954388302E-3</v>
      </c>
      <c r="D1324">
        <f t="shared" si="59"/>
        <v>0.19112123938589387</v>
      </c>
    </row>
    <row r="1325" spans="1:4">
      <c r="A1325" s="1">
        <v>20194</v>
      </c>
      <c r="B1325">
        <v>37.96</v>
      </c>
      <c r="C1325">
        <f t="shared" si="60"/>
        <v>4.4985445885155255E-3</v>
      </c>
      <c r="D1325">
        <f t="shared" si="59"/>
        <v>0.44214128248216905</v>
      </c>
    </row>
    <row r="1326" spans="1:4">
      <c r="A1326" s="1">
        <v>20197</v>
      </c>
      <c r="B1326">
        <v>38.270000000000003</v>
      </c>
      <c r="C1326">
        <f t="shared" si="60"/>
        <v>8.1664910432034318E-3</v>
      </c>
      <c r="D1326">
        <f t="shared" si="59"/>
        <v>0.82947518130163345</v>
      </c>
    </row>
    <row r="1327" spans="1:4">
      <c r="A1327" s="1">
        <v>20198</v>
      </c>
      <c r="B1327">
        <v>38.22</v>
      </c>
      <c r="C1327">
        <f t="shared" si="60"/>
        <v>-1.3065064018814806E-3</v>
      </c>
      <c r="D1327">
        <f t="shared" si="59"/>
        <v>-0.17087012887104869</v>
      </c>
    </row>
    <row r="1328" spans="1:4">
      <c r="A1328" s="1">
        <v>20199</v>
      </c>
      <c r="B1328">
        <v>38.28</v>
      </c>
      <c r="C1328">
        <f t="shared" si="60"/>
        <v>1.5698587127159151E-3</v>
      </c>
      <c r="D1328">
        <f t="shared" si="59"/>
        <v>0.13287304950642867</v>
      </c>
    </row>
    <row r="1329" spans="1:4">
      <c r="A1329" s="1">
        <v>20200</v>
      </c>
      <c r="B1329">
        <v>38.32</v>
      </c>
      <c r="C1329">
        <f t="shared" si="60"/>
        <v>1.0449320794148158E-3</v>
      </c>
      <c r="D1329">
        <f t="shared" si="59"/>
        <v>7.7440975461064793E-2</v>
      </c>
    </row>
    <row r="1330" spans="1:4">
      <c r="A1330" s="1">
        <v>20201</v>
      </c>
      <c r="B1330">
        <v>38.01</v>
      </c>
      <c r="C1330">
        <f t="shared" si="60"/>
        <v>-8.0897703549061128E-3</v>
      </c>
      <c r="D1330">
        <f t="shared" si="59"/>
        <v>-0.88718049656700182</v>
      </c>
    </row>
    <row r="1331" spans="1:4">
      <c r="A1331" s="1">
        <v>20204</v>
      </c>
      <c r="B1331">
        <v>38.11</v>
      </c>
      <c r="C1331">
        <f t="shared" si="60"/>
        <v>2.6308866087871989E-3</v>
      </c>
      <c r="D1331">
        <f t="shared" si="59"/>
        <v>0.24491723467065077</v>
      </c>
    </row>
    <row r="1332" spans="1:4">
      <c r="A1332" s="1">
        <v>20205</v>
      </c>
      <c r="B1332">
        <v>38.31</v>
      </c>
      <c r="C1332">
        <f t="shared" si="60"/>
        <v>5.2479664130150316E-3</v>
      </c>
      <c r="D1332">
        <f t="shared" si="59"/>
        <v>0.52127997240846147</v>
      </c>
    </row>
    <row r="1333" spans="1:4">
      <c r="A1333" s="1">
        <v>20206</v>
      </c>
      <c r="B1333">
        <v>38.11</v>
      </c>
      <c r="C1333">
        <f t="shared" si="60"/>
        <v>-5.2205690420256551E-3</v>
      </c>
      <c r="D1333">
        <f t="shared" si="59"/>
        <v>-0.58419381321573871</v>
      </c>
    </row>
    <row r="1334" spans="1:4">
      <c r="A1334" s="1">
        <v>20207</v>
      </c>
      <c r="B1334">
        <v>37.68</v>
      </c>
      <c r="C1334">
        <f t="shared" si="60"/>
        <v>-1.128312778798215E-2</v>
      </c>
      <c r="D1334">
        <f t="shared" si="59"/>
        <v>-1.2243979560248994</v>
      </c>
    </row>
    <row r="1335" spans="1:4">
      <c r="A1335" s="1">
        <v>20208</v>
      </c>
      <c r="B1335">
        <v>37.96</v>
      </c>
      <c r="C1335">
        <f t="shared" si="60"/>
        <v>7.4309978768577799E-3</v>
      </c>
      <c r="D1335">
        <f t="shared" si="59"/>
        <v>0.75180735294180689</v>
      </c>
    </row>
    <row r="1336" spans="1:4">
      <c r="A1336" s="1">
        <v>20211</v>
      </c>
      <c r="B1336">
        <v>38.04</v>
      </c>
      <c r="C1336">
        <f t="shared" si="60"/>
        <v>2.1074815595363092E-3</v>
      </c>
      <c r="D1336">
        <f t="shared" si="59"/>
        <v>0.18964583938377746</v>
      </c>
    </row>
    <row r="1337" spans="1:4">
      <c r="A1337" s="1">
        <v>20212</v>
      </c>
      <c r="B1337">
        <v>37.700000000000003</v>
      </c>
      <c r="C1337">
        <f t="shared" si="60"/>
        <v>-8.9379600420608912E-3</v>
      </c>
      <c r="D1337">
        <f t="shared" si="59"/>
        <v>-0.9767490392168634</v>
      </c>
    </row>
    <row r="1338" spans="1:4">
      <c r="A1338" s="1">
        <v>20213</v>
      </c>
      <c r="B1338">
        <v>37.64</v>
      </c>
      <c r="C1338">
        <f t="shared" si="60"/>
        <v>-1.5915119363395828E-3</v>
      </c>
      <c r="D1338">
        <f t="shared" si="59"/>
        <v>-0.20096661643173605</v>
      </c>
    </row>
    <row r="1339" spans="1:4">
      <c r="A1339" s="1">
        <v>20214</v>
      </c>
      <c r="B1339">
        <v>37.82</v>
      </c>
      <c r="C1339">
        <f t="shared" si="60"/>
        <v>4.7821466524973358E-3</v>
      </c>
      <c r="D1339">
        <f t="shared" si="59"/>
        <v>0.47208956403762276</v>
      </c>
    </row>
    <row r="1340" spans="1:4">
      <c r="A1340" s="1">
        <v>20215</v>
      </c>
      <c r="B1340">
        <v>37.89</v>
      </c>
      <c r="C1340">
        <f t="shared" si="60"/>
        <v>1.8508725542041324E-3</v>
      </c>
      <c r="D1340">
        <f t="shared" si="59"/>
        <v>0.16254801564633858</v>
      </c>
    </row>
    <row r="1341" spans="1:4">
      <c r="A1341" s="1">
        <v>20218</v>
      </c>
      <c r="B1341">
        <v>37.93</v>
      </c>
      <c r="C1341">
        <f t="shared" si="60"/>
        <v>1.055687516495095E-3</v>
      </c>
      <c r="D1341">
        <f t="shared" si="59"/>
        <v>7.8576745960791575E-2</v>
      </c>
    </row>
    <row r="1342" spans="1:4">
      <c r="A1342" s="1">
        <v>20219</v>
      </c>
      <c r="B1342">
        <v>37.85</v>
      </c>
      <c r="C1342">
        <f t="shared" si="60"/>
        <v>-2.1091484313208093E-3</v>
      </c>
      <c r="D1342">
        <f t="shared" si="59"/>
        <v>-0.25562885434855981</v>
      </c>
    </row>
    <row r="1343" spans="1:4">
      <c r="A1343" s="1">
        <v>20220</v>
      </c>
      <c r="B1343">
        <v>37.42</v>
      </c>
      <c r="C1343">
        <f t="shared" si="60"/>
        <v>-1.1360634081902238E-2</v>
      </c>
      <c r="D1343">
        <f t="shared" si="59"/>
        <v>-1.2325825943171913</v>
      </c>
    </row>
    <row r="1344" spans="1:4">
      <c r="A1344" s="1">
        <v>20221</v>
      </c>
      <c r="B1344">
        <v>37.200000000000003</v>
      </c>
      <c r="C1344">
        <f t="shared" si="60"/>
        <v>-5.879208979155501E-3</v>
      </c>
      <c r="D1344">
        <f t="shared" si="59"/>
        <v>-0.65374596669405793</v>
      </c>
    </row>
    <row r="1345" spans="1:4">
      <c r="A1345" s="1">
        <v>20222</v>
      </c>
      <c r="B1345">
        <v>37.44</v>
      </c>
      <c r="C1345">
        <f t="shared" si="60"/>
        <v>6.4516129032256685E-3</v>
      </c>
      <c r="D1345">
        <f t="shared" si="59"/>
        <v>0.64838463263538371</v>
      </c>
    </row>
    <row r="1346" spans="1:4">
      <c r="A1346" s="1">
        <v>20225</v>
      </c>
      <c r="B1346">
        <v>37.020000000000003</v>
      </c>
      <c r="C1346">
        <f t="shared" si="60"/>
        <v>-1.1217948717948574E-2</v>
      </c>
      <c r="D1346">
        <f t="shared" si="59"/>
        <v>-1.2175150683847962</v>
      </c>
    </row>
    <row r="1347" spans="1:4">
      <c r="A1347" s="1">
        <v>20226</v>
      </c>
      <c r="B1347">
        <v>36.97</v>
      </c>
      <c r="C1347">
        <f t="shared" si="60"/>
        <v>-1.3506212857915792E-3</v>
      </c>
      <c r="D1347">
        <f t="shared" ref="D1347:D1410" si="61">(C1347-avg)/sd</f>
        <v>-0.17552864561657747</v>
      </c>
    </row>
    <row r="1348" spans="1:4">
      <c r="A1348" s="1">
        <v>20227</v>
      </c>
      <c r="B1348">
        <v>37.28</v>
      </c>
      <c r="C1348">
        <f t="shared" ref="C1348:C1411" si="62">(B1348-B1347)/B1347</f>
        <v>8.3851771706789906E-3</v>
      </c>
      <c r="D1348">
        <f t="shared" si="61"/>
        <v>0.85256836202802599</v>
      </c>
    </row>
    <row r="1349" spans="1:4">
      <c r="A1349" s="1">
        <v>20228</v>
      </c>
      <c r="B1349">
        <v>37.49</v>
      </c>
      <c r="C1349">
        <f t="shared" si="62"/>
        <v>5.6330472103004519E-3</v>
      </c>
      <c r="D1349">
        <f t="shared" si="61"/>
        <v>0.56194437370647898</v>
      </c>
    </row>
    <row r="1350" spans="1:4">
      <c r="A1350" s="1">
        <v>20229</v>
      </c>
      <c r="B1350">
        <v>37.74</v>
      </c>
      <c r="C1350">
        <f t="shared" si="62"/>
        <v>6.6684449186449717E-3</v>
      </c>
      <c r="D1350">
        <f t="shared" si="61"/>
        <v>0.67128201975887891</v>
      </c>
    </row>
    <row r="1351" spans="1:4">
      <c r="A1351" s="1">
        <v>20232</v>
      </c>
      <c r="B1351">
        <v>37.479999999999997</v>
      </c>
      <c r="C1351">
        <f t="shared" si="62"/>
        <v>-6.8892421833599655E-3</v>
      </c>
      <c r="D1351">
        <f t="shared" si="61"/>
        <v>-0.76040512973108187</v>
      </c>
    </row>
    <row r="1352" spans="1:4">
      <c r="A1352" s="1">
        <v>20233</v>
      </c>
      <c r="B1352">
        <v>37.46</v>
      </c>
      <c r="C1352">
        <f t="shared" si="62"/>
        <v>-5.3361792956232719E-4</v>
      </c>
      <c r="D1352">
        <f t="shared" si="61"/>
        <v>-8.9253368911702616E-2</v>
      </c>
    </row>
    <row r="1353" spans="1:4">
      <c r="A1353" s="1">
        <v>20234</v>
      </c>
      <c r="B1353">
        <v>37.6</v>
      </c>
      <c r="C1353">
        <f t="shared" si="62"/>
        <v>3.7373198077949965E-3</v>
      </c>
      <c r="D1353">
        <f t="shared" si="61"/>
        <v>0.36175620439095635</v>
      </c>
    </row>
    <row r="1354" spans="1:4">
      <c r="A1354" s="1">
        <v>20235</v>
      </c>
      <c r="B1354">
        <v>37.85</v>
      </c>
      <c r="C1354">
        <f t="shared" si="62"/>
        <v>6.648936170212766E-3</v>
      </c>
      <c r="D1354">
        <f t="shared" si="61"/>
        <v>0.66922190255578384</v>
      </c>
    </row>
    <row r="1355" spans="1:4">
      <c r="A1355" s="1">
        <v>20236</v>
      </c>
      <c r="B1355">
        <v>37.93</v>
      </c>
      <c r="C1355">
        <f t="shared" si="62"/>
        <v>2.1136063408189773E-3</v>
      </c>
      <c r="D1355">
        <f t="shared" si="61"/>
        <v>0.1902926142053129</v>
      </c>
    </row>
    <row r="1356" spans="1:4">
      <c r="A1356" s="1">
        <v>20240</v>
      </c>
      <c r="B1356">
        <v>37.909999999999997</v>
      </c>
      <c r="C1356">
        <f t="shared" si="62"/>
        <v>-5.27287107830296E-4</v>
      </c>
      <c r="D1356">
        <f t="shared" si="61"/>
        <v>-8.8584836288750995E-2</v>
      </c>
    </row>
    <row r="1357" spans="1:4">
      <c r="A1357" s="1">
        <v>20241</v>
      </c>
      <c r="B1357">
        <v>37.96</v>
      </c>
      <c r="C1357">
        <f t="shared" si="62"/>
        <v>1.3189132155105321E-3</v>
      </c>
      <c r="D1357">
        <f t="shared" si="61"/>
        <v>0.10637329030205928</v>
      </c>
    </row>
    <row r="1358" spans="1:4">
      <c r="A1358" s="1">
        <v>20242</v>
      </c>
      <c r="B1358">
        <v>38.01</v>
      </c>
      <c r="C1358">
        <f t="shared" si="62"/>
        <v>1.3171759747101464E-3</v>
      </c>
      <c r="D1358">
        <f t="shared" si="61"/>
        <v>0.1061898382640554</v>
      </c>
    </row>
    <row r="1359" spans="1:4">
      <c r="A1359" s="1">
        <v>20243</v>
      </c>
      <c r="B1359">
        <v>38.369999999999997</v>
      </c>
      <c r="C1359">
        <f t="shared" si="62"/>
        <v>9.4711917916337658E-3</v>
      </c>
      <c r="D1359">
        <f t="shared" si="61"/>
        <v>0.96725113684654429</v>
      </c>
    </row>
    <row r="1360" spans="1:4">
      <c r="A1360" s="1">
        <v>20246</v>
      </c>
      <c r="B1360">
        <v>39.69</v>
      </c>
      <c r="C1360">
        <f t="shared" si="62"/>
        <v>3.4401876465989065E-2</v>
      </c>
      <c r="D1360">
        <f t="shared" si="61"/>
        <v>3.5999229641069959</v>
      </c>
    </row>
    <row r="1361" spans="1:4">
      <c r="A1361" s="1">
        <v>20247</v>
      </c>
      <c r="B1361">
        <v>39.96</v>
      </c>
      <c r="C1361">
        <f t="shared" si="62"/>
        <v>6.8027210884354537E-3</v>
      </c>
      <c r="D1361">
        <f t="shared" si="61"/>
        <v>0.6854615376460661</v>
      </c>
    </row>
    <row r="1362" spans="1:4">
      <c r="A1362" s="1">
        <v>20248</v>
      </c>
      <c r="B1362">
        <v>39.22</v>
      </c>
      <c r="C1362">
        <f t="shared" si="62"/>
        <v>-1.851851851851857E-2</v>
      </c>
      <c r="D1362">
        <f t="shared" si="61"/>
        <v>-1.9884527577407387</v>
      </c>
    </row>
    <row r="1363" spans="1:4">
      <c r="A1363" s="1">
        <v>20249</v>
      </c>
      <c r="B1363">
        <v>39.01</v>
      </c>
      <c r="C1363">
        <f t="shared" si="62"/>
        <v>-5.3544110147883952E-3</v>
      </c>
      <c r="D1363">
        <f t="shared" si="61"/>
        <v>-0.59832748004438707</v>
      </c>
    </row>
    <row r="1364" spans="1:4">
      <c r="A1364" s="1">
        <v>20250</v>
      </c>
      <c r="B1364">
        <v>39.25</v>
      </c>
      <c r="C1364">
        <f t="shared" si="62"/>
        <v>6.152268649064394E-3</v>
      </c>
      <c r="D1364">
        <f t="shared" si="61"/>
        <v>0.61677398114800897</v>
      </c>
    </row>
    <row r="1365" spans="1:4">
      <c r="A1365" s="1">
        <v>20253</v>
      </c>
      <c r="B1365">
        <v>39.619999999999997</v>
      </c>
      <c r="C1365">
        <f t="shared" si="62"/>
        <v>9.4267515923566227E-3</v>
      </c>
      <c r="D1365">
        <f t="shared" si="61"/>
        <v>0.96255826690883561</v>
      </c>
    </row>
    <row r="1366" spans="1:4">
      <c r="A1366" s="1">
        <v>20254</v>
      </c>
      <c r="B1366">
        <v>39.67</v>
      </c>
      <c r="C1366">
        <f t="shared" si="62"/>
        <v>1.2619888944978362E-3</v>
      </c>
      <c r="D1366">
        <f t="shared" si="61"/>
        <v>0.10036210135263544</v>
      </c>
    </row>
    <row r="1367" spans="1:4">
      <c r="A1367" s="1">
        <v>20255</v>
      </c>
      <c r="B1367">
        <v>39.89</v>
      </c>
      <c r="C1367">
        <f t="shared" si="62"/>
        <v>5.5457524577766284E-3</v>
      </c>
      <c r="D1367">
        <f t="shared" si="61"/>
        <v>0.55272607751289138</v>
      </c>
    </row>
    <row r="1368" spans="1:4">
      <c r="A1368" s="1">
        <v>20256</v>
      </c>
      <c r="B1368">
        <v>39.96</v>
      </c>
      <c r="C1368">
        <f t="shared" si="62"/>
        <v>1.7548257708698994E-3</v>
      </c>
      <c r="D1368">
        <f t="shared" si="61"/>
        <v>0.15240550797413149</v>
      </c>
    </row>
    <row r="1369" spans="1:4">
      <c r="A1369" s="1">
        <v>20257</v>
      </c>
      <c r="B1369">
        <v>40.1</v>
      </c>
      <c r="C1369">
        <f t="shared" si="62"/>
        <v>3.5035035035035178E-3</v>
      </c>
      <c r="D1369">
        <f t="shared" si="61"/>
        <v>0.33706528213579967</v>
      </c>
    </row>
    <row r="1370" spans="1:4">
      <c r="A1370" s="1">
        <v>20260</v>
      </c>
      <c r="B1370">
        <v>40.14</v>
      </c>
      <c r="C1370">
        <f t="shared" si="62"/>
        <v>9.9750623441394377E-4</v>
      </c>
      <c r="D1370">
        <f t="shared" si="61"/>
        <v>7.2432822349800682E-2</v>
      </c>
    </row>
    <row r="1371" spans="1:4">
      <c r="A1371" s="1">
        <v>20261</v>
      </c>
      <c r="B1371">
        <v>40.51</v>
      </c>
      <c r="C1371">
        <f t="shared" si="62"/>
        <v>9.2177379172894234E-3</v>
      </c>
      <c r="D1371">
        <f t="shared" si="61"/>
        <v>0.94048649386893957</v>
      </c>
    </row>
    <row r="1372" spans="1:4">
      <c r="A1372" s="1">
        <v>20262</v>
      </c>
      <c r="B1372">
        <v>40.6</v>
      </c>
      <c r="C1372">
        <f t="shared" si="62"/>
        <v>2.2216736608245721E-3</v>
      </c>
      <c r="D1372">
        <f t="shared" si="61"/>
        <v>0.20170448646403683</v>
      </c>
    </row>
    <row r="1373" spans="1:4">
      <c r="A1373" s="1">
        <v>20263</v>
      </c>
      <c r="B1373">
        <v>40.75</v>
      </c>
      <c r="C1373">
        <f t="shared" si="62"/>
        <v>3.694581280788142E-3</v>
      </c>
      <c r="D1373">
        <f t="shared" si="61"/>
        <v>0.35724303046656369</v>
      </c>
    </row>
    <row r="1374" spans="1:4">
      <c r="A1374" s="1">
        <v>20264</v>
      </c>
      <c r="B1374">
        <v>40.96</v>
      </c>
      <c r="C1374">
        <f t="shared" si="62"/>
        <v>5.1533742331288553E-3</v>
      </c>
      <c r="D1374">
        <f t="shared" si="61"/>
        <v>0.51129107036592547</v>
      </c>
    </row>
    <row r="1375" spans="1:4">
      <c r="A1375" s="1">
        <v>20267</v>
      </c>
      <c r="B1375">
        <v>40.99</v>
      </c>
      <c r="C1375">
        <f t="shared" si="62"/>
        <v>7.3242187500002776E-4</v>
      </c>
      <c r="D1375">
        <f t="shared" si="61"/>
        <v>4.4440004102242962E-2</v>
      </c>
    </row>
    <row r="1376" spans="1:4">
      <c r="A1376" s="1">
        <v>20268</v>
      </c>
      <c r="B1376">
        <v>40.770000000000003</v>
      </c>
      <c r="C1376">
        <f t="shared" si="62"/>
        <v>-5.3671627226152437E-3</v>
      </c>
      <c r="D1376">
        <f t="shared" si="61"/>
        <v>-0.59967405605638613</v>
      </c>
    </row>
    <row r="1377" spans="1:4">
      <c r="A1377" s="1">
        <v>20269</v>
      </c>
      <c r="B1377">
        <v>40.79</v>
      </c>
      <c r="C1377">
        <f t="shared" si="62"/>
        <v>4.9055678194741281E-4</v>
      </c>
      <c r="D1377">
        <f t="shared" si="61"/>
        <v>1.8899132489826526E-2</v>
      </c>
    </row>
    <row r="1378" spans="1:4">
      <c r="A1378" s="1">
        <v>20270</v>
      </c>
      <c r="B1378">
        <v>41.03</v>
      </c>
      <c r="C1378">
        <f t="shared" si="62"/>
        <v>5.8837950478058841E-3</v>
      </c>
      <c r="D1378">
        <f t="shared" si="61"/>
        <v>0.58842326011372137</v>
      </c>
    </row>
    <row r="1379" spans="1:4">
      <c r="A1379" s="1">
        <v>20271</v>
      </c>
      <c r="B1379">
        <v>41.19</v>
      </c>
      <c r="C1379">
        <f t="shared" si="62"/>
        <v>3.8995856690225831E-3</v>
      </c>
      <c r="D1379">
        <f t="shared" si="61"/>
        <v>0.37889142417974331</v>
      </c>
    </row>
    <row r="1380" spans="1:4">
      <c r="A1380" s="1">
        <v>20275</v>
      </c>
      <c r="B1380">
        <v>41.69</v>
      </c>
      <c r="C1380">
        <f t="shared" si="62"/>
        <v>1.2138868657441126E-2</v>
      </c>
      <c r="D1380">
        <f t="shared" si="61"/>
        <v>1.2489569070883764</v>
      </c>
    </row>
    <row r="1381" spans="1:4">
      <c r="A1381" s="1">
        <v>20276</v>
      </c>
      <c r="B1381">
        <v>43.18</v>
      </c>
      <c r="C1381">
        <f t="shared" si="62"/>
        <v>3.5739985608059535E-2</v>
      </c>
      <c r="D1381">
        <f t="shared" si="61"/>
        <v>3.7412268346642401</v>
      </c>
    </row>
    <row r="1382" spans="1:4">
      <c r="A1382" s="1">
        <v>20277</v>
      </c>
      <c r="B1382">
        <v>42.58</v>
      </c>
      <c r="C1382">
        <f t="shared" si="62"/>
        <v>-1.3895321908290908E-2</v>
      </c>
      <c r="D1382">
        <f t="shared" si="61"/>
        <v>-1.5002447672015806</v>
      </c>
    </row>
    <row r="1383" spans="1:4">
      <c r="A1383" s="1">
        <v>20278</v>
      </c>
      <c r="B1383">
        <v>42.64</v>
      </c>
      <c r="C1383">
        <f t="shared" si="62"/>
        <v>1.4091122592767092E-3</v>
      </c>
      <c r="D1383">
        <f t="shared" si="61"/>
        <v>0.1158982786636229</v>
      </c>
    </row>
    <row r="1384" spans="1:4">
      <c r="A1384" s="1">
        <v>20281</v>
      </c>
      <c r="B1384">
        <v>42.75</v>
      </c>
      <c r="C1384">
        <f t="shared" si="62"/>
        <v>2.5797373358348833E-3</v>
      </c>
      <c r="D1384">
        <f t="shared" si="61"/>
        <v>0.23951588883336888</v>
      </c>
    </row>
    <row r="1385" spans="1:4">
      <c r="A1385" s="1">
        <v>20282</v>
      </c>
      <c r="B1385">
        <v>42.75</v>
      </c>
      <c r="C1385">
        <f t="shared" si="62"/>
        <v>0</v>
      </c>
      <c r="D1385">
        <f t="shared" si="61"/>
        <v>-3.29034969354682E-2</v>
      </c>
    </row>
    <row r="1386" spans="1:4">
      <c r="A1386" s="1">
        <v>20283</v>
      </c>
      <c r="B1386">
        <v>42.24</v>
      </c>
      <c r="C1386">
        <f t="shared" si="62"/>
        <v>-1.1929824561403462E-2</v>
      </c>
      <c r="D1386">
        <f t="shared" si="61"/>
        <v>-1.2926889154752761</v>
      </c>
    </row>
    <row r="1387" spans="1:4">
      <c r="A1387" s="1">
        <v>20284</v>
      </c>
      <c r="B1387">
        <v>42.25</v>
      </c>
      <c r="C1387">
        <f t="shared" si="62"/>
        <v>2.3674242424237714E-4</v>
      </c>
      <c r="D1387">
        <f t="shared" si="61"/>
        <v>-7.9035774081331368E-3</v>
      </c>
    </row>
    <row r="1388" spans="1:4">
      <c r="A1388" s="1">
        <v>20285</v>
      </c>
      <c r="B1388">
        <v>42.4</v>
      </c>
      <c r="C1388">
        <f t="shared" si="62"/>
        <v>3.5502958579881321E-3</v>
      </c>
      <c r="D1388">
        <f t="shared" si="61"/>
        <v>0.34200653886388083</v>
      </c>
    </row>
    <row r="1389" spans="1:4">
      <c r="A1389" s="1">
        <v>20288</v>
      </c>
      <c r="B1389">
        <v>42.36</v>
      </c>
      <c r="C1389">
        <f t="shared" si="62"/>
        <v>-9.4339622641507429E-4</v>
      </c>
      <c r="D1389">
        <f t="shared" si="61"/>
        <v>-0.13252581776894184</v>
      </c>
    </row>
    <row r="1390" spans="1:4">
      <c r="A1390" s="1">
        <v>20289</v>
      </c>
      <c r="B1390">
        <v>42.1</v>
      </c>
      <c r="C1390">
        <f t="shared" si="62"/>
        <v>-6.1378659112369689E-3</v>
      </c>
      <c r="D1390">
        <f t="shared" si="61"/>
        <v>-0.68106005080009779</v>
      </c>
    </row>
    <row r="1391" spans="1:4">
      <c r="A1391" s="1">
        <v>20290</v>
      </c>
      <c r="B1391">
        <v>42.23</v>
      </c>
      <c r="C1391">
        <f t="shared" si="62"/>
        <v>3.0878859857481106E-3</v>
      </c>
      <c r="D1391">
        <f t="shared" si="61"/>
        <v>0.29317621353608714</v>
      </c>
    </row>
    <row r="1392" spans="1:4">
      <c r="A1392" s="1">
        <v>20291</v>
      </c>
      <c r="B1392">
        <v>42.64</v>
      </c>
      <c r="C1392">
        <f t="shared" si="62"/>
        <v>9.7087378640777575E-3</v>
      </c>
      <c r="D1392">
        <f t="shared" si="61"/>
        <v>0.99233592135079651</v>
      </c>
    </row>
    <row r="1393" spans="1:4">
      <c r="A1393" s="1">
        <v>20292</v>
      </c>
      <c r="B1393">
        <v>43</v>
      </c>
      <c r="C1393">
        <f t="shared" si="62"/>
        <v>8.4427767354596488E-3</v>
      </c>
      <c r="D1393">
        <f t="shared" si="61"/>
        <v>0.85865085648982009</v>
      </c>
    </row>
    <row r="1394" spans="1:4">
      <c r="A1394" s="1">
        <v>20295</v>
      </c>
      <c r="B1394">
        <v>43.48</v>
      </c>
      <c r="C1394">
        <f t="shared" si="62"/>
        <v>1.1162790697674346E-2</v>
      </c>
      <c r="D1394">
        <f t="shared" si="61"/>
        <v>1.1458834063220233</v>
      </c>
    </row>
    <row r="1395" spans="1:4">
      <c r="A1395" s="1">
        <v>20296</v>
      </c>
      <c r="B1395">
        <v>43.58</v>
      </c>
      <c r="C1395">
        <f t="shared" si="62"/>
        <v>2.2999080036798856E-3</v>
      </c>
      <c r="D1395">
        <f t="shared" si="61"/>
        <v>0.2099660064764127</v>
      </c>
    </row>
    <row r="1396" spans="1:4">
      <c r="A1396" s="1">
        <v>20297</v>
      </c>
      <c r="B1396">
        <v>43.76</v>
      </c>
      <c r="C1396">
        <f t="shared" si="62"/>
        <v>4.1303350160624072E-3</v>
      </c>
      <c r="D1396">
        <f t="shared" si="61"/>
        <v>0.40325847679163468</v>
      </c>
    </row>
    <row r="1397" spans="1:4">
      <c r="A1397" s="1">
        <v>20298</v>
      </c>
      <c r="B1397">
        <v>43.5</v>
      </c>
      <c r="C1397">
        <f t="shared" si="62"/>
        <v>-5.9414990859231725E-3</v>
      </c>
      <c r="D1397">
        <f t="shared" si="61"/>
        <v>-0.66032378079528797</v>
      </c>
    </row>
    <row r="1398" spans="1:4">
      <c r="A1398" s="1">
        <v>20299</v>
      </c>
      <c r="B1398">
        <v>43.52</v>
      </c>
      <c r="C1398">
        <f t="shared" si="62"/>
        <v>4.597701149426006E-4</v>
      </c>
      <c r="D1398">
        <f t="shared" si="61"/>
        <v>1.5648070919014934E-2</v>
      </c>
    </row>
    <row r="1399" spans="1:4">
      <c r="A1399" s="1">
        <v>20302</v>
      </c>
      <c r="B1399">
        <v>42.93</v>
      </c>
      <c r="C1399">
        <f t="shared" si="62"/>
        <v>-1.3556985294117724E-2</v>
      </c>
      <c r="D1399">
        <f t="shared" si="61"/>
        <v>-1.4645165357510952</v>
      </c>
    </row>
    <row r="1400" spans="1:4">
      <c r="A1400" s="1">
        <v>20303</v>
      </c>
      <c r="B1400">
        <v>43.03</v>
      </c>
      <c r="C1400">
        <f t="shared" si="62"/>
        <v>2.3293733985558216E-3</v>
      </c>
      <c r="D1400">
        <f t="shared" si="61"/>
        <v>0.2130775421595372</v>
      </c>
    </row>
    <row r="1401" spans="1:4">
      <c r="A1401" s="1">
        <v>20304</v>
      </c>
      <c r="B1401">
        <v>43.09</v>
      </c>
      <c r="C1401">
        <f t="shared" si="62"/>
        <v>1.3943760167325651E-3</v>
      </c>
      <c r="D1401">
        <f t="shared" si="61"/>
        <v>0.11434213646005351</v>
      </c>
    </row>
    <row r="1402" spans="1:4">
      <c r="A1402" s="1">
        <v>20305</v>
      </c>
      <c r="B1402">
        <v>42.36</v>
      </c>
      <c r="C1402">
        <f t="shared" si="62"/>
        <v>-1.6941285681132606E-2</v>
      </c>
      <c r="D1402">
        <f t="shared" si="61"/>
        <v>-1.8218975062402714</v>
      </c>
    </row>
    <row r="1403" spans="1:4">
      <c r="A1403" s="1">
        <v>20306</v>
      </c>
      <c r="B1403">
        <v>42.56</v>
      </c>
      <c r="C1403">
        <f t="shared" si="62"/>
        <v>4.7214353163362336E-3</v>
      </c>
      <c r="D1403">
        <f t="shared" si="61"/>
        <v>0.46567846757579623</v>
      </c>
    </row>
    <row r="1404" spans="1:4">
      <c r="A1404" s="1">
        <v>20309</v>
      </c>
      <c r="B1404">
        <v>42.31</v>
      </c>
      <c r="C1404">
        <f t="shared" si="62"/>
        <v>-5.8740601503759395E-3</v>
      </c>
      <c r="D1404">
        <f t="shared" si="61"/>
        <v>-0.65320225212510818</v>
      </c>
    </row>
    <row r="1405" spans="1:4">
      <c r="A1405" s="1">
        <v>20310</v>
      </c>
      <c r="B1405">
        <v>41.75</v>
      </c>
      <c r="C1405">
        <f t="shared" si="62"/>
        <v>-1.3235641692271384E-2</v>
      </c>
      <c r="D1405">
        <f t="shared" si="61"/>
        <v>-1.4305827606261192</v>
      </c>
    </row>
    <row r="1406" spans="1:4">
      <c r="A1406" s="1">
        <v>20311</v>
      </c>
      <c r="B1406">
        <v>41.74</v>
      </c>
      <c r="C1406">
        <f t="shared" si="62"/>
        <v>-2.3952095808378468E-4</v>
      </c>
      <c r="D1406">
        <f t="shared" si="61"/>
        <v>-5.8196828691986356E-2</v>
      </c>
    </row>
    <row r="1407" spans="1:4">
      <c r="A1407" s="1">
        <v>20312</v>
      </c>
      <c r="B1407">
        <v>42.13</v>
      </c>
      <c r="C1407">
        <f t="shared" si="62"/>
        <v>9.3435553425970427E-3</v>
      </c>
      <c r="D1407">
        <f t="shared" si="61"/>
        <v>0.95377277121400328</v>
      </c>
    </row>
    <row r="1408" spans="1:4">
      <c r="A1408" s="1">
        <v>20313</v>
      </c>
      <c r="B1408">
        <v>42.21</v>
      </c>
      <c r="C1408">
        <f t="shared" si="62"/>
        <v>1.8988844054117799E-3</v>
      </c>
      <c r="D1408">
        <f t="shared" si="61"/>
        <v>0.16761805081384498</v>
      </c>
    </row>
    <row r="1409" spans="1:4">
      <c r="A1409" s="1">
        <v>20316</v>
      </c>
      <c r="B1409">
        <v>42.17</v>
      </c>
      <c r="C1409">
        <f t="shared" si="62"/>
        <v>-9.4764273868749459E-4</v>
      </c>
      <c r="D1409">
        <f t="shared" si="61"/>
        <v>-0.13297424802144978</v>
      </c>
    </row>
    <row r="1410" spans="1:4">
      <c r="A1410" s="1">
        <v>20317</v>
      </c>
      <c r="B1410">
        <v>41.86</v>
      </c>
      <c r="C1410">
        <f t="shared" si="62"/>
        <v>-7.3511975337918487E-3</v>
      </c>
      <c r="D1410">
        <f t="shared" si="61"/>
        <v>-0.80918745771043565</v>
      </c>
    </row>
    <row r="1411" spans="1:4">
      <c r="A1411" s="1">
        <v>20318</v>
      </c>
      <c r="B1411">
        <v>41.9</v>
      </c>
      <c r="C1411">
        <f t="shared" si="62"/>
        <v>9.5556617295745698E-4</v>
      </c>
      <c r="D1411">
        <f t="shared" ref="D1411:D1474" si="63">(C1411-avg)/sd</f>
        <v>6.8003966116115228E-2</v>
      </c>
    </row>
    <row r="1412" spans="1:4">
      <c r="A1412" s="1">
        <v>20319</v>
      </c>
      <c r="B1412">
        <v>41.84</v>
      </c>
      <c r="C1412">
        <f t="shared" ref="C1412:C1475" si="64">(B1412-B1411)/B1411</f>
        <v>-1.4319809069211259E-3</v>
      </c>
      <c r="D1412">
        <f t="shared" si="63"/>
        <v>-0.18412019395237866</v>
      </c>
    </row>
    <row r="1413" spans="1:4">
      <c r="A1413" s="1">
        <v>20320</v>
      </c>
      <c r="B1413">
        <v>42.02</v>
      </c>
      <c r="C1413">
        <f t="shared" si="64"/>
        <v>4.3021032504780045E-3</v>
      </c>
      <c r="D1413">
        <f t="shared" si="63"/>
        <v>0.42139714395906197</v>
      </c>
    </row>
    <row r="1414" spans="1:4">
      <c r="A1414" s="1">
        <v>20323</v>
      </c>
      <c r="B1414">
        <v>41.98</v>
      </c>
      <c r="C1414">
        <f t="shared" si="64"/>
        <v>-9.5192765349848285E-4</v>
      </c>
      <c r="D1414">
        <f t="shared" si="63"/>
        <v>-0.13342673356897683</v>
      </c>
    </row>
    <row r="1415" spans="1:4">
      <c r="A1415" s="1">
        <v>20324</v>
      </c>
      <c r="B1415">
        <v>42.55</v>
      </c>
      <c r="C1415">
        <f t="shared" si="64"/>
        <v>1.3577894235350175E-2</v>
      </c>
      <c r="D1415">
        <f t="shared" si="63"/>
        <v>1.4009175189670113</v>
      </c>
    </row>
    <row r="1416" spans="1:4">
      <c r="A1416" s="1">
        <v>20325</v>
      </c>
      <c r="B1416">
        <v>42.61</v>
      </c>
      <c r="C1416">
        <f t="shared" si="64"/>
        <v>1.4101057579318985E-3</v>
      </c>
      <c r="D1416">
        <f t="shared" si="63"/>
        <v>0.11600319178390429</v>
      </c>
    </row>
    <row r="1417" spans="1:4">
      <c r="A1417" s="1">
        <v>20326</v>
      </c>
      <c r="B1417">
        <v>42.8</v>
      </c>
      <c r="C1417">
        <f t="shared" si="64"/>
        <v>4.4590471720252932E-3</v>
      </c>
      <c r="D1417">
        <f t="shared" si="63"/>
        <v>0.4379703687266247</v>
      </c>
    </row>
    <row r="1418" spans="1:4">
      <c r="A1418" s="1">
        <v>20327</v>
      </c>
      <c r="B1418">
        <v>42.99</v>
      </c>
      <c r="C1418">
        <f t="shared" si="64"/>
        <v>4.4392523364487112E-3</v>
      </c>
      <c r="D1418">
        <f t="shared" si="63"/>
        <v>0.43588004081832915</v>
      </c>
    </row>
    <row r="1419" spans="1:4">
      <c r="A1419" s="1">
        <v>20330</v>
      </c>
      <c r="B1419">
        <v>42.96</v>
      </c>
      <c r="C1419">
        <f t="shared" si="64"/>
        <v>-6.9783670621077309E-4</v>
      </c>
      <c r="D1419">
        <f t="shared" si="63"/>
        <v>-0.10659481590510413</v>
      </c>
    </row>
    <row r="1420" spans="1:4">
      <c r="A1420" s="1">
        <v>20331</v>
      </c>
      <c r="B1420">
        <v>42.92</v>
      </c>
      <c r="C1420">
        <f t="shared" si="64"/>
        <v>-9.3109869646180511E-4</v>
      </c>
      <c r="D1420">
        <f t="shared" si="63"/>
        <v>-0.13122720278601013</v>
      </c>
    </row>
    <row r="1421" spans="1:4">
      <c r="A1421" s="1">
        <v>20332</v>
      </c>
      <c r="B1421">
        <v>43.18</v>
      </c>
      <c r="C1421">
        <f t="shared" si="64"/>
        <v>6.0577819198508387E-3</v>
      </c>
      <c r="D1421">
        <f t="shared" si="63"/>
        <v>0.60679621466065725</v>
      </c>
    </row>
    <row r="1422" spans="1:4">
      <c r="A1422" s="1">
        <v>20333</v>
      </c>
      <c r="B1422">
        <v>43.37</v>
      </c>
      <c r="C1422">
        <f t="shared" si="64"/>
        <v>4.4001852709587242E-3</v>
      </c>
      <c r="D1422">
        <f t="shared" si="63"/>
        <v>0.43175457198212736</v>
      </c>
    </row>
    <row r="1423" spans="1:4">
      <c r="A1423" s="1">
        <v>20334</v>
      </c>
      <c r="B1423">
        <v>43.6</v>
      </c>
      <c r="C1423">
        <f t="shared" si="64"/>
        <v>5.3032049804012911E-3</v>
      </c>
      <c r="D1423">
        <f t="shared" si="63"/>
        <v>0.52711314634794915</v>
      </c>
    </row>
    <row r="1424" spans="1:4">
      <c r="A1424" s="1">
        <v>20338</v>
      </c>
      <c r="B1424">
        <v>43.86</v>
      </c>
      <c r="C1424">
        <f t="shared" si="64"/>
        <v>5.9633027522935323E-3</v>
      </c>
      <c r="D1424">
        <f t="shared" si="63"/>
        <v>0.59681924668163522</v>
      </c>
    </row>
    <row r="1425" spans="1:4">
      <c r="A1425" s="1">
        <v>20339</v>
      </c>
      <c r="B1425">
        <v>43.85</v>
      </c>
      <c r="C1425">
        <f t="shared" si="64"/>
        <v>-2.2799817601454653E-4</v>
      </c>
      <c r="D1425">
        <f t="shared" si="63"/>
        <v>-5.6980026822258736E-2</v>
      </c>
    </row>
    <row r="1426" spans="1:4">
      <c r="A1426" s="1">
        <v>20340</v>
      </c>
      <c r="B1426">
        <v>43.88</v>
      </c>
      <c r="C1426">
        <f t="shared" si="64"/>
        <v>6.8415051311291079E-4</v>
      </c>
      <c r="D1426">
        <f t="shared" si="63"/>
        <v>3.9342564695196557E-2</v>
      </c>
    </row>
    <row r="1427" spans="1:4">
      <c r="A1427" s="1">
        <v>20341</v>
      </c>
      <c r="B1427">
        <v>43.89</v>
      </c>
      <c r="C1427">
        <f t="shared" si="64"/>
        <v>2.2789425706467662E-4</v>
      </c>
      <c r="D1427">
        <f t="shared" si="63"/>
        <v>-8.8379408544601544E-3</v>
      </c>
    </row>
    <row r="1428" spans="1:4">
      <c r="A1428" s="1">
        <v>20344</v>
      </c>
      <c r="B1428">
        <v>44.19</v>
      </c>
      <c r="C1428">
        <f t="shared" si="64"/>
        <v>6.8352699931646648E-3</v>
      </c>
      <c r="D1428">
        <f t="shared" si="63"/>
        <v>0.68889869092156042</v>
      </c>
    </row>
    <row r="1429" spans="1:4">
      <c r="A1429" s="1">
        <v>20345</v>
      </c>
      <c r="B1429">
        <v>44.8</v>
      </c>
      <c r="C1429">
        <f t="shared" si="64"/>
        <v>1.3804028060647193E-2</v>
      </c>
      <c r="D1429">
        <f t="shared" si="63"/>
        <v>1.4247971740517547</v>
      </c>
    </row>
    <row r="1430" spans="1:4">
      <c r="A1430" s="1">
        <v>20346</v>
      </c>
      <c r="B1430">
        <v>44.99</v>
      </c>
      <c r="C1430">
        <f t="shared" si="64"/>
        <v>4.2410714285715367E-3</v>
      </c>
      <c r="D1430">
        <f t="shared" si="63"/>
        <v>0.41495220431146324</v>
      </c>
    </row>
    <row r="1431" spans="1:4">
      <c r="A1431" s="1">
        <v>20347</v>
      </c>
      <c r="B1431">
        <v>44.75</v>
      </c>
      <c r="C1431">
        <f t="shared" si="64"/>
        <v>-5.3345187819515884E-3</v>
      </c>
      <c r="D1431">
        <f t="shared" si="63"/>
        <v>-0.59622686701851868</v>
      </c>
    </row>
    <row r="1432" spans="1:4">
      <c r="A1432" s="1">
        <v>20348</v>
      </c>
      <c r="B1432">
        <v>45.09</v>
      </c>
      <c r="C1432">
        <f t="shared" si="64"/>
        <v>7.5977653631285683E-3</v>
      </c>
      <c r="D1432">
        <f t="shared" si="63"/>
        <v>0.76941794280497933</v>
      </c>
    </row>
    <row r="1433" spans="1:4">
      <c r="A1433" s="1">
        <v>20351</v>
      </c>
      <c r="B1433">
        <v>45.16</v>
      </c>
      <c r="C1433">
        <f t="shared" si="64"/>
        <v>1.55245065424691E-3</v>
      </c>
      <c r="D1433">
        <f t="shared" si="63"/>
        <v>0.13103476444938833</v>
      </c>
    </row>
    <row r="1434" spans="1:4">
      <c r="A1434" s="1">
        <v>20352</v>
      </c>
      <c r="B1434">
        <v>45.13</v>
      </c>
      <c r="C1434">
        <f t="shared" si="64"/>
        <v>-6.6430469441970848E-4</v>
      </c>
      <c r="D1434">
        <f t="shared" si="63"/>
        <v>-0.10305384685805233</v>
      </c>
    </row>
    <row r="1435" spans="1:4">
      <c r="A1435" s="1">
        <v>20353</v>
      </c>
      <c r="B1435">
        <v>45.39</v>
      </c>
      <c r="C1435">
        <f t="shared" si="64"/>
        <v>5.7611345003323287E-3</v>
      </c>
      <c r="D1435">
        <f t="shared" si="63"/>
        <v>0.57547034799485985</v>
      </c>
    </row>
    <row r="1436" spans="1:4">
      <c r="A1436" s="1">
        <v>20354</v>
      </c>
      <c r="B1436">
        <v>45.39</v>
      </c>
      <c r="C1436">
        <f t="shared" si="64"/>
        <v>0</v>
      </c>
      <c r="D1436">
        <f t="shared" si="63"/>
        <v>-3.29034969354682E-2</v>
      </c>
    </row>
    <row r="1437" spans="1:4">
      <c r="A1437" s="1">
        <v>20355</v>
      </c>
      <c r="B1437">
        <v>45.63</v>
      </c>
      <c r="C1437">
        <f t="shared" si="64"/>
        <v>5.2875082617317029E-3</v>
      </c>
      <c r="D1437">
        <f t="shared" si="63"/>
        <v>0.52545557819201461</v>
      </c>
    </row>
    <row r="1438" spans="1:4">
      <c r="A1438" s="1">
        <v>20358</v>
      </c>
      <c r="B1438">
        <v>42.61</v>
      </c>
      <c r="C1438">
        <f t="shared" si="64"/>
        <v>-6.6184527722989328E-2</v>
      </c>
      <c r="D1438">
        <f t="shared" si="63"/>
        <v>-7.0219671272690842</v>
      </c>
    </row>
    <row r="1439" spans="1:4">
      <c r="A1439" s="1">
        <v>20359</v>
      </c>
      <c r="B1439">
        <v>43.58</v>
      </c>
      <c r="C1439">
        <f t="shared" si="64"/>
        <v>2.2764609246655687E-2</v>
      </c>
      <c r="D1439">
        <f t="shared" si="63"/>
        <v>2.3710315014447159</v>
      </c>
    </row>
    <row r="1440" spans="1:4">
      <c r="A1440" s="1">
        <v>20360</v>
      </c>
      <c r="B1440">
        <v>44.31</v>
      </c>
      <c r="C1440">
        <f t="shared" si="64"/>
        <v>1.6750803120697658E-2</v>
      </c>
      <c r="D1440">
        <f t="shared" si="63"/>
        <v>1.7359756187355726</v>
      </c>
    </row>
    <row r="1441" spans="1:4">
      <c r="A1441" s="1">
        <v>20361</v>
      </c>
      <c r="B1441">
        <v>44.03</v>
      </c>
      <c r="C1441">
        <f t="shared" si="64"/>
        <v>-6.3191153238546854E-3</v>
      </c>
      <c r="D1441">
        <f t="shared" si="63"/>
        <v>-0.70019992716285984</v>
      </c>
    </row>
    <row r="1442" spans="1:4">
      <c r="A1442" s="1">
        <v>20362</v>
      </c>
      <c r="B1442">
        <v>43.67</v>
      </c>
      <c r="C1442">
        <f t="shared" si="64"/>
        <v>-8.1762434703611039E-3</v>
      </c>
      <c r="D1442">
        <f t="shared" si="63"/>
        <v>-0.89631202816540878</v>
      </c>
    </row>
    <row r="1443" spans="1:4">
      <c r="A1443" s="1">
        <v>20365</v>
      </c>
      <c r="B1443">
        <v>42.49</v>
      </c>
      <c r="C1443">
        <f t="shared" si="64"/>
        <v>-2.7020838103961522E-2</v>
      </c>
      <c r="D1443">
        <f t="shared" si="63"/>
        <v>-2.8862948158846655</v>
      </c>
    </row>
    <row r="1444" spans="1:4">
      <c r="A1444" s="1">
        <v>20366</v>
      </c>
      <c r="B1444">
        <v>42.82</v>
      </c>
      <c r="C1444">
        <f t="shared" si="64"/>
        <v>7.7665333019533607E-3</v>
      </c>
      <c r="D1444">
        <f t="shared" si="63"/>
        <v>0.78723977977786763</v>
      </c>
    </row>
    <row r="1445" spans="1:4">
      <c r="A1445" s="1">
        <v>20367</v>
      </c>
      <c r="B1445">
        <v>42.99</v>
      </c>
      <c r="C1445">
        <f t="shared" si="64"/>
        <v>3.9701074264362844E-3</v>
      </c>
      <c r="D1445">
        <f t="shared" si="63"/>
        <v>0.38633849779112012</v>
      </c>
    </row>
    <row r="1446" spans="1:4">
      <c r="A1446" s="1">
        <v>20368</v>
      </c>
      <c r="B1446">
        <v>42.7</v>
      </c>
      <c r="C1446">
        <f t="shared" si="64"/>
        <v>-6.7457548267038647E-3</v>
      </c>
      <c r="D1446">
        <f t="shared" si="63"/>
        <v>-0.74525291364191992</v>
      </c>
    </row>
    <row r="1447" spans="1:4">
      <c r="A1447" s="1">
        <v>20369</v>
      </c>
      <c r="B1447">
        <v>42.38</v>
      </c>
      <c r="C1447">
        <f t="shared" si="64"/>
        <v>-7.4941451990632379E-3</v>
      </c>
      <c r="D1447">
        <f t="shared" si="63"/>
        <v>-0.824282682572822</v>
      </c>
    </row>
    <row r="1448" spans="1:4">
      <c r="A1448" s="1">
        <v>20372</v>
      </c>
      <c r="B1448">
        <v>41.15</v>
      </c>
      <c r="C1448">
        <f t="shared" si="64"/>
        <v>-2.9023124115148746E-2</v>
      </c>
      <c r="D1448">
        <f t="shared" si="63"/>
        <v>-3.0977355380559519</v>
      </c>
    </row>
    <row r="1449" spans="1:4">
      <c r="A1449" s="1">
        <v>20373</v>
      </c>
      <c r="B1449">
        <v>40.799999999999997</v>
      </c>
      <c r="C1449">
        <f t="shared" si="64"/>
        <v>-8.5054678007290743E-3</v>
      </c>
      <c r="D1449">
        <f t="shared" si="63"/>
        <v>-0.93107800554347919</v>
      </c>
    </row>
    <row r="1450" spans="1:4">
      <c r="A1450" s="1">
        <v>20374</v>
      </c>
      <c r="B1450">
        <v>41.52</v>
      </c>
      <c r="C1450">
        <f t="shared" si="64"/>
        <v>1.7647058823529561E-2</v>
      </c>
      <c r="D1450">
        <f t="shared" si="63"/>
        <v>1.8306199163025056</v>
      </c>
    </row>
    <row r="1451" spans="1:4">
      <c r="A1451" s="1">
        <v>20375</v>
      </c>
      <c r="B1451">
        <v>41.39</v>
      </c>
      <c r="C1451">
        <f t="shared" si="64"/>
        <v>-3.1310211946050711E-3</v>
      </c>
      <c r="D1451">
        <f t="shared" si="63"/>
        <v>-0.36353827079994866</v>
      </c>
    </row>
    <row r="1452" spans="1:4">
      <c r="A1452" s="1">
        <v>20376</v>
      </c>
      <c r="B1452">
        <v>41.22</v>
      </c>
      <c r="C1452">
        <f t="shared" si="64"/>
        <v>-4.10727228799231E-3</v>
      </c>
      <c r="D1452">
        <f t="shared" si="63"/>
        <v>-0.46663005441777106</v>
      </c>
    </row>
    <row r="1453" spans="1:4">
      <c r="A1453" s="1">
        <v>20379</v>
      </c>
      <c r="B1453">
        <v>41.35</v>
      </c>
      <c r="C1453">
        <f t="shared" si="64"/>
        <v>3.153808830664788E-3</v>
      </c>
      <c r="D1453">
        <f t="shared" si="63"/>
        <v>0.30013764355102451</v>
      </c>
    </row>
    <row r="1454" spans="1:4">
      <c r="A1454" s="1">
        <v>20380</v>
      </c>
      <c r="B1454">
        <v>41.65</v>
      </c>
      <c r="C1454">
        <f t="shared" si="64"/>
        <v>7.2551390568318533E-3</v>
      </c>
      <c r="D1454">
        <f t="shared" si="63"/>
        <v>0.73323672132438644</v>
      </c>
    </row>
    <row r="1455" spans="1:4">
      <c r="A1455" s="1">
        <v>20381</v>
      </c>
      <c r="B1455">
        <v>42.07</v>
      </c>
      <c r="C1455">
        <f t="shared" si="64"/>
        <v>1.0084033613445419E-2</v>
      </c>
      <c r="D1455">
        <f t="shared" si="63"/>
        <v>1.0319670249147981</v>
      </c>
    </row>
    <row r="1456" spans="1:4">
      <c r="A1456" s="1">
        <v>20382</v>
      </c>
      <c r="B1456">
        <v>42.59</v>
      </c>
      <c r="C1456">
        <f t="shared" si="64"/>
        <v>1.2360351794628075E-2</v>
      </c>
      <c r="D1456">
        <f t="shared" si="63"/>
        <v>1.2723454510895418</v>
      </c>
    </row>
    <row r="1457" spans="1:4">
      <c r="A1457" s="1">
        <v>20383</v>
      </c>
      <c r="B1457">
        <v>42.59</v>
      </c>
      <c r="C1457">
        <f t="shared" si="64"/>
        <v>0</v>
      </c>
      <c r="D1457">
        <f t="shared" si="63"/>
        <v>-3.29034969354682E-2</v>
      </c>
    </row>
    <row r="1458" spans="1:4">
      <c r="A1458" s="1">
        <v>20386</v>
      </c>
      <c r="B1458">
        <v>42.91</v>
      </c>
      <c r="C1458">
        <f t="shared" si="64"/>
        <v>7.5135008217889912E-3</v>
      </c>
      <c r="D1458">
        <f t="shared" si="63"/>
        <v>0.76051963588242921</v>
      </c>
    </row>
    <row r="1459" spans="1:4">
      <c r="A1459" s="1">
        <v>20387</v>
      </c>
      <c r="B1459">
        <v>42.63</v>
      </c>
      <c r="C1459">
        <f t="shared" si="64"/>
        <v>-6.5252854812396658E-3</v>
      </c>
      <c r="D1459">
        <f t="shared" si="63"/>
        <v>-0.72197142570207229</v>
      </c>
    </row>
    <row r="1460" spans="1:4">
      <c r="A1460" s="1">
        <v>20388</v>
      </c>
      <c r="B1460">
        <v>42.29</v>
      </c>
      <c r="C1460">
        <f t="shared" si="64"/>
        <v>-7.9756040347174154E-3</v>
      </c>
      <c r="D1460">
        <f t="shared" si="63"/>
        <v>-0.87512457196209315</v>
      </c>
    </row>
    <row r="1461" spans="1:4">
      <c r="A1461" s="1">
        <v>20389</v>
      </c>
      <c r="B1461">
        <v>42.34</v>
      </c>
      <c r="C1461">
        <f t="shared" si="64"/>
        <v>1.1823126034524536E-3</v>
      </c>
      <c r="D1461">
        <f t="shared" si="63"/>
        <v>9.1948312101530288E-2</v>
      </c>
    </row>
    <row r="1462" spans="1:4">
      <c r="A1462" s="1">
        <v>20390</v>
      </c>
      <c r="B1462">
        <v>42.37</v>
      </c>
      <c r="C1462">
        <f t="shared" si="64"/>
        <v>7.0854983467156423E-4</v>
      </c>
      <c r="D1462">
        <f t="shared" si="63"/>
        <v>4.1919124758057986E-2</v>
      </c>
    </row>
    <row r="1463" spans="1:4">
      <c r="A1463" s="1">
        <v>20393</v>
      </c>
      <c r="B1463">
        <v>42.34</v>
      </c>
      <c r="C1463">
        <f t="shared" si="64"/>
        <v>-7.0804814727387384E-4</v>
      </c>
      <c r="D1463">
        <f t="shared" si="63"/>
        <v>-0.10767314061033011</v>
      </c>
    </row>
    <row r="1464" spans="1:4">
      <c r="A1464" s="1">
        <v>20394</v>
      </c>
      <c r="B1464">
        <v>42.28</v>
      </c>
      <c r="C1464">
        <f t="shared" si="64"/>
        <v>-1.4170996693434641E-3</v>
      </c>
      <c r="D1464">
        <f t="shared" si="63"/>
        <v>-0.182548740322556</v>
      </c>
    </row>
    <row r="1465" spans="1:4">
      <c r="A1465" s="1">
        <v>20395</v>
      </c>
      <c r="B1465">
        <v>42.35</v>
      </c>
      <c r="C1465">
        <f t="shared" si="64"/>
        <v>1.6556291390728544E-3</v>
      </c>
      <c r="D1465">
        <f t="shared" si="63"/>
        <v>0.14193037737493699</v>
      </c>
    </row>
    <row r="1466" spans="1:4">
      <c r="A1466" s="1">
        <v>20396</v>
      </c>
      <c r="B1466">
        <v>43.24</v>
      </c>
      <c r="C1466">
        <f t="shared" si="64"/>
        <v>2.1015348288075573E-2</v>
      </c>
      <c r="D1466">
        <f t="shared" si="63"/>
        <v>2.1863101388213462</v>
      </c>
    </row>
    <row r="1467" spans="1:4">
      <c r="A1467" s="1">
        <v>20397</v>
      </c>
      <c r="B1467">
        <v>43.96</v>
      </c>
      <c r="C1467">
        <f t="shared" si="64"/>
        <v>1.6651248843663247E-2</v>
      </c>
      <c r="D1467">
        <f t="shared" si="63"/>
        <v>1.7254627209208817</v>
      </c>
    </row>
    <row r="1468" spans="1:4">
      <c r="A1468" s="1">
        <v>20400</v>
      </c>
      <c r="B1468">
        <v>44.15</v>
      </c>
      <c r="C1468">
        <f t="shared" si="64"/>
        <v>4.3221110100090474E-3</v>
      </c>
      <c r="D1468">
        <f t="shared" si="63"/>
        <v>0.42350995656457219</v>
      </c>
    </row>
    <row r="1469" spans="1:4">
      <c r="A1469" s="1">
        <v>20402</v>
      </c>
      <c r="B1469">
        <v>44.61</v>
      </c>
      <c r="C1469">
        <f t="shared" si="64"/>
        <v>1.0419026047565139E-2</v>
      </c>
      <c r="D1469">
        <f t="shared" si="63"/>
        <v>1.0673421120883795</v>
      </c>
    </row>
    <row r="1470" spans="1:4">
      <c r="A1470" s="1">
        <v>20403</v>
      </c>
      <c r="B1470">
        <v>44.72</v>
      </c>
      <c r="C1470">
        <f t="shared" si="64"/>
        <v>2.4658148397220226E-3</v>
      </c>
      <c r="D1470">
        <f t="shared" si="63"/>
        <v>0.22748571196798872</v>
      </c>
    </row>
    <row r="1471" spans="1:4">
      <c r="A1471" s="1">
        <v>20404</v>
      </c>
      <c r="B1471">
        <v>45.24</v>
      </c>
      <c r="C1471">
        <f t="shared" si="64"/>
        <v>1.1627906976744257E-2</v>
      </c>
      <c r="D1471">
        <f t="shared" si="63"/>
        <v>1.1949995272911011</v>
      </c>
    </row>
    <row r="1472" spans="1:4">
      <c r="A1472" s="1">
        <v>20407</v>
      </c>
      <c r="B1472">
        <v>46.41</v>
      </c>
      <c r="C1472">
        <f t="shared" si="64"/>
        <v>2.586206896551712E-2</v>
      </c>
      <c r="D1472">
        <f t="shared" si="63"/>
        <v>2.6981221948787679</v>
      </c>
    </row>
    <row r="1473" spans="1:4">
      <c r="A1473" s="1">
        <v>20408</v>
      </c>
      <c r="B1473">
        <v>46.21</v>
      </c>
      <c r="C1473">
        <f t="shared" si="64"/>
        <v>-4.3094160741218648E-3</v>
      </c>
      <c r="D1473">
        <f t="shared" si="63"/>
        <v>-0.48797636952104056</v>
      </c>
    </row>
    <row r="1474" spans="1:4">
      <c r="A1474" s="1">
        <v>20409</v>
      </c>
      <c r="B1474">
        <v>45.91</v>
      </c>
      <c r="C1474">
        <f t="shared" si="64"/>
        <v>-6.4921012767800096E-3</v>
      </c>
      <c r="D1474">
        <f t="shared" si="63"/>
        <v>-0.71846718499099171</v>
      </c>
    </row>
    <row r="1475" spans="1:4">
      <c r="A1475" s="1">
        <v>20410</v>
      </c>
      <c r="B1475">
        <v>45.59</v>
      </c>
      <c r="C1475">
        <f t="shared" si="64"/>
        <v>-6.9701590067521935E-3</v>
      </c>
      <c r="D1475">
        <f t="shared" ref="D1475:D1538" si="65">(C1475-avg)/sd</f>
        <v>-0.76894991877633645</v>
      </c>
    </row>
    <row r="1476" spans="1:4">
      <c r="A1476" s="1">
        <v>20411</v>
      </c>
      <c r="B1476">
        <v>45.54</v>
      </c>
      <c r="C1476">
        <f t="shared" ref="C1476:C1539" si="66">(B1476-B1475)/B1475</f>
        <v>-1.0967317394166322E-3</v>
      </c>
      <c r="D1476">
        <f t="shared" si="65"/>
        <v>-0.14871799582063303</v>
      </c>
    </row>
    <row r="1477" spans="1:4">
      <c r="A1477" s="1">
        <v>20414</v>
      </c>
      <c r="B1477">
        <v>45.22</v>
      </c>
      <c r="C1477">
        <f t="shared" si="66"/>
        <v>-7.026789635485294E-3</v>
      </c>
      <c r="D1477">
        <f t="shared" si="65"/>
        <v>-0.77493009392086587</v>
      </c>
    </row>
    <row r="1478" spans="1:4">
      <c r="A1478" s="1">
        <v>20415</v>
      </c>
      <c r="B1478">
        <v>45.66</v>
      </c>
      <c r="C1478">
        <f t="shared" si="66"/>
        <v>9.7302078726226836E-3</v>
      </c>
      <c r="D1478">
        <f t="shared" si="65"/>
        <v>0.99460314695513019</v>
      </c>
    </row>
    <row r="1479" spans="1:4">
      <c r="A1479" s="1">
        <v>20416</v>
      </c>
      <c r="B1479">
        <v>45.72</v>
      </c>
      <c r="C1479">
        <f t="shared" si="66"/>
        <v>1.3140604467806018E-3</v>
      </c>
      <c r="D1479">
        <f t="shared" si="65"/>
        <v>0.10586083957371488</v>
      </c>
    </row>
    <row r="1480" spans="1:4">
      <c r="A1480" s="1">
        <v>20418</v>
      </c>
      <c r="B1480">
        <v>45.68</v>
      </c>
      <c r="C1480">
        <f t="shared" si="66"/>
        <v>-8.748906386701476E-4</v>
      </c>
      <c r="D1480">
        <f t="shared" si="65"/>
        <v>-0.12529165098925829</v>
      </c>
    </row>
    <row r="1481" spans="1:4">
      <c r="A1481" s="1">
        <v>20421</v>
      </c>
      <c r="B1481">
        <v>45.38</v>
      </c>
      <c r="C1481">
        <f t="shared" si="66"/>
        <v>-6.5674255691768203E-3</v>
      </c>
      <c r="D1481">
        <f t="shared" si="65"/>
        <v>-0.72642140466412386</v>
      </c>
    </row>
    <row r="1482" spans="1:4">
      <c r="A1482" s="1">
        <v>20422</v>
      </c>
      <c r="B1482">
        <v>45.56</v>
      </c>
      <c r="C1482">
        <f t="shared" si="66"/>
        <v>3.9665050683120248E-3</v>
      </c>
      <c r="D1482">
        <f t="shared" si="65"/>
        <v>0.38595808999769932</v>
      </c>
    </row>
    <row r="1483" spans="1:4">
      <c r="A1483" s="1">
        <v>20423</v>
      </c>
      <c r="B1483">
        <v>45.51</v>
      </c>
      <c r="C1483">
        <f t="shared" si="66"/>
        <v>-1.0974539069360022E-3</v>
      </c>
      <c r="D1483">
        <f t="shared" si="65"/>
        <v>-0.14879425646520184</v>
      </c>
    </row>
    <row r="1484" spans="1:4">
      <c r="A1484" s="1">
        <v>20424</v>
      </c>
      <c r="B1484">
        <v>45.35</v>
      </c>
      <c r="C1484">
        <f t="shared" si="66"/>
        <v>-3.5157108327839286E-3</v>
      </c>
      <c r="D1484">
        <f t="shared" si="65"/>
        <v>-0.40416136582927459</v>
      </c>
    </row>
    <row r="1485" spans="1:4">
      <c r="A1485" s="1">
        <v>20425</v>
      </c>
      <c r="B1485">
        <v>45.44</v>
      </c>
      <c r="C1485">
        <f t="shared" si="66"/>
        <v>1.9845644983461147E-3</v>
      </c>
      <c r="D1485">
        <f t="shared" si="65"/>
        <v>0.17666583950363207</v>
      </c>
    </row>
    <row r="1486" spans="1:4">
      <c r="A1486" s="1">
        <v>20428</v>
      </c>
      <c r="B1486">
        <v>45.7</v>
      </c>
      <c r="C1486">
        <f t="shared" si="66"/>
        <v>5.7218309859156059E-3</v>
      </c>
      <c r="D1486">
        <f t="shared" si="65"/>
        <v>0.57131991023236761</v>
      </c>
    </row>
    <row r="1487" spans="1:4">
      <c r="A1487" s="1">
        <v>20429</v>
      </c>
      <c r="B1487">
        <v>45.7</v>
      </c>
      <c r="C1487">
        <f t="shared" si="66"/>
        <v>0</v>
      </c>
      <c r="D1487">
        <f t="shared" si="65"/>
        <v>-3.29034969354682E-2</v>
      </c>
    </row>
    <row r="1488" spans="1:4">
      <c r="A1488" s="1">
        <v>20430</v>
      </c>
      <c r="B1488">
        <v>45.55</v>
      </c>
      <c r="C1488">
        <f t="shared" si="66"/>
        <v>-3.2822757111598618E-3</v>
      </c>
      <c r="D1488">
        <f t="shared" si="65"/>
        <v>-0.37951069633422629</v>
      </c>
    </row>
    <row r="1489" spans="1:4">
      <c r="A1489" s="1">
        <v>20431</v>
      </c>
      <c r="B1489">
        <v>45.82</v>
      </c>
      <c r="C1489">
        <f t="shared" si="66"/>
        <v>5.9275521405050087E-3</v>
      </c>
      <c r="D1489">
        <f t="shared" si="65"/>
        <v>0.59304399422899046</v>
      </c>
    </row>
    <row r="1490" spans="1:4">
      <c r="A1490" s="1">
        <v>20432</v>
      </c>
      <c r="B1490">
        <v>45.89</v>
      </c>
      <c r="C1490">
        <f t="shared" si="66"/>
        <v>1.5277171540811934E-3</v>
      </c>
      <c r="D1490">
        <f t="shared" si="65"/>
        <v>0.12842291523921384</v>
      </c>
    </row>
    <row r="1491" spans="1:4">
      <c r="A1491" s="1">
        <v>20435</v>
      </c>
      <c r="B1491">
        <v>45.42</v>
      </c>
      <c r="C1491">
        <f t="shared" si="66"/>
        <v>-1.0241882763129198E-2</v>
      </c>
      <c r="D1491">
        <f t="shared" si="65"/>
        <v>-1.1144428353368085</v>
      </c>
    </row>
    <row r="1492" spans="1:4">
      <c r="A1492" s="1">
        <v>20436</v>
      </c>
      <c r="B1492">
        <v>45.45</v>
      </c>
      <c r="C1492">
        <f t="shared" si="66"/>
        <v>6.6050198150596957E-4</v>
      </c>
      <c r="D1492">
        <f t="shared" si="65"/>
        <v>3.6845287796030024E-2</v>
      </c>
    </row>
    <row r="1493" spans="1:4">
      <c r="A1493" s="1">
        <v>20437</v>
      </c>
      <c r="B1493">
        <v>45.07</v>
      </c>
      <c r="C1493">
        <f t="shared" si="66"/>
        <v>-8.360836083608417E-3</v>
      </c>
      <c r="D1493">
        <f t="shared" si="65"/>
        <v>-0.91580494537824719</v>
      </c>
    </row>
    <row r="1494" spans="1:4">
      <c r="A1494" s="1">
        <v>20438</v>
      </c>
      <c r="B1494">
        <v>45.06</v>
      </c>
      <c r="C1494">
        <f t="shared" si="66"/>
        <v>-2.2187708009758177E-4</v>
      </c>
      <c r="D1494">
        <f t="shared" si="65"/>
        <v>-5.6333641174088858E-2</v>
      </c>
    </row>
    <row r="1495" spans="1:4">
      <c r="A1495" s="1">
        <v>20439</v>
      </c>
      <c r="B1495">
        <v>45.13</v>
      </c>
      <c r="C1495">
        <f t="shared" si="66"/>
        <v>1.5534842432312534E-3</v>
      </c>
      <c r="D1495">
        <f t="shared" si="65"/>
        <v>0.13114391109480103</v>
      </c>
    </row>
    <row r="1496" spans="1:4">
      <c r="A1496" s="1">
        <v>20442</v>
      </c>
      <c r="B1496">
        <v>45.02</v>
      </c>
      <c r="C1496">
        <f t="shared" si="66"/>
        <v>-2.4374030578329146E-3</v>
      </c>
      <c r="D1496">
        <f t="shared" si="65"/>
        <v>-0.29029243132906923</v>
      </c>
    </row>
    <row r="1497" spans="1:4">
      <c r="A1497" s="1">
        <v>20443</v>
      </c>
      <c r="B1497">
        <v>44.95</v>
      </c>
      <c r="C1497">
        <f t="shared" si="66"/>
        <v>-1.5548645046645998E-3</v>
      </c>
      <c r="D1497">
        <f t="shared" si="65"/>
        <v>-0.19709666010392513</v>
      </c>
    </row>
    <row r="1498" spans="1:4">
      <c r="A1498" s="1">
        <v>20444</v>
      </c>
      <c r="B1498">
        <v>45.84</v>
      </c>
      <c r="C1498">
        <f t="shared" si="66"/>
        <v>1.9799777530589556E-2</v>
      </c>
      <c r="D1498">
        <f t="shared" si="65"/>
        <v>2.057946280023399</v>
      </c>
    </row>
    <row r="1499" spans="1:4">
      <c r="A1499" s="1">
        <v>20445</v>
      </c>
      <c r="B1499">
        <v>45.41</v>
      </c>
      <c r="C1499">
        <f t="shared" si="66"/>
        <v>-9.380453752181649E-3</v>
      </c>
      <c r="D1499">
        <f t="shared" si="65"/>
        <v>-1.0234762245946951</v>
      </c>
    </row>
    <row r="1500" spans="1:4">
      <c r="A1500" s="1">
        <v>20446</v>
      </c>
      <c r="B1500">
        <v>45.5</v>
      </c>
      <c r="C1500">
        <f t="shared" si="66"/>
        <v>1.9819423034574636E-3</v>
      </c>
      <c r="D1500">
        <f t="shared" si="65"/>
        <v>0.17638893661471786</v>
      </c>
    </row>
    <row r="1501" spans="1:4">
      <c r="A1501" s="1">
        <v>20450</v>
      </c>
      <c r="B1501">
        <v>45.22</v>
      </c>
      <c r="C1501">
        <f t="shared" si="66"/>
        <v>-6.153846153846179E-3</v>
      </c>
      <c r="D1501">
        <f t="shared" si="65"/>
        <v>-0.68274755898768202</v>
      </c>
    </row>
    <row r="1502" spans="1:4">
      <c r="A1502" s="1">
        <v>20451</v>
      </c>
      <c r="B1502">
        <v>45.05</v>
      </c>
      <c r="C1502">
        <f t="shared" si="66"/>
        <v>-3.7593984962406395E-3</v>
      </c>
      <c r="D1502">
        <f t="shared" si="65"/>
        <v>-0.42989470025684184</v>
      </c>
    </row>
    <row r="1503" spans="1:4">
      <c r="A1503" s="1">
        <v>20452</v>
      </c>
      <c r="B1503">
        <v>45.15</v>
      </c>
      <c r="C1503">
        <f t="shared" si="66"/>
        <v>2.2197558268590772E-3</v>
      </c>
      <c r="D1503">
        <f t="shared" si="65"/>
        <v>0.20150196384918401</v>
      </c>
    </row>
    <row r="1504" spans="1:4">
      <c r="A1504" s="1">
        <v>20453</v>
      </c>
      <c r="B1504">
        <v>45.48</v>
      </c>
      <c r="C1504">
        <f t="shared" si="66"/>
        <v>7.3089700996677364E-3</v>
      </c>
      <c r="D1504">
        <f t="shared" si="65"/>
        <v>0.73892126114979517</v>
      </c>
    </row>
    <row r="1505" spans="1:4">
      <c r="A1505" s="1">
        <v>20457</v>
      </c>
      <c r="B1505">
        <v>45.16</v>
      </c>
      <c r="C1505">
        <f t="shared" si="66"/>
        <v>-7.0360598065083617E-3</v>
      </c>
      <c r="D1505">
        <f t="shared" si="65"/>
        <v>-0.77590902082981761</v>
      </c>
    </row>
    <row r="1506" spans="1:4">
      <c r="A1506" s="1">
        <v>20458</v>
      </c>
      <c r="B1506">
        <v>45</v>
      </c>
      <c r="C1506">
        <f t="shared" si="66"/>
        <v>-3.5429583702390743E-3</v>
      </c>
      <c r="D1506">
        <f t="shared" si="65"/>
        <v>-0.40703869652265001</v>
      </c>
    </row>
    <row r="1507" spans="1:4">
      <c r="A1507" s="1">
        <v>20459</v>
      </c>
      <c r="B1507">
        <v>44.95</v>
      </c>
      <c r="C1507">
        <f t="shared" si="66"/>
        <v>-1.111111111111048E-3</v>
      </c>
      <c r="D1507">
        <f t="shared" si="65"/>
        <v>-0.15023645258377744</v>
      </c>
    </row>
    <row r="1508" spans="1:4">
      <c r="A1508" s="1">
        <v>20460</v>
      </c>
      <c r="B1508">
        <v>45.14</v>
      </c>
      <c r="C1508">
        <f t="shared" si="66"/>
        <v>4.2269187986651328E-3</v>
      </c>
      <c r="D1508">
        <f t="shared" si="65"/>
        <v>0.41345769140405964</v>
      </c>
    </row>
    <row r="1509" spans="1:4">
      <c r="A1509" s="1">
        <v>20463</v>
      </c>
      <c r="B1509">
        <v>44.51</v>
      </c>
      <c r="C1509">
        <f t="shared" si="66"/>
        <v>-1.3956579530350078E-2</v>
      </c>
      <c r="D1509">
        <f t="shared" si="65"/>
        <v>-1.5067135512685514</v>
      </c>
    </row>
    <row r="1510" spans="1:4">
      <c r="A1510" s="1">
        <v>20464</v>
      </c>
      <c r="B1510">
        <v>44.16</v>
      </c>
      <c r="C1510">
        <f t="shared" si="66"/>
        <v>-7.8634014828128842E-3</v>
      </c>
      <c r="D1510">
        <f t="shared" si="65"/>
        <v>-0.86327602062047515</v>
      </c>
    </row>
    <row r="1511" spans="1:4">
      <c r="A1511" s="1">
        <v>20465</v>
      </c>
      <c r="B1511">
        <v>44.38</v>
      </c>
      <c r="C1511">
        <f t="shared" si="66"/>
        <v>4.9818840579711502E-3</v>
      </c>
      <c r="D1511">
        <f t="shared" si="65"/>
        <v>0.49318176616161463</v>
      </c>
    </row>
    <row r="1512" spans="1:4">
      <c r="A1512" s="1">
        <v>20466</v>
      </c>
      <c r="B1512">
        <v>44.75</v>
      </c>
      <c r="C1512">
        <f t="shared" si="66"/>
        <v>8.3370887787290997E-3</v>
      </c>
      <c r="D1512">
        <f t="shared" si="65"/>
        <v>0.84749024418415608</v>
      </c>
    </row>
    <row r="1513" spans="1:4">
      <c r="A1513" s="1">
        <v>20467</v>
      </c>
      <c r="B1513">
        <v>44.67</v>
      </c>
      <c r="C1513">
        <f t="shared" si="66"/>
        <v>-1.7877094972066658E-3</v>
      </c>
      <c r="D1513">
        <f t="shared" si="65"/>
        <v>-0.22168501216850872</v>
      </c>
    </row>
    <row r="1514" spans="1:4">
      <c r="A1514" s="1">
        <v>20470</v>
      </c>
      <c r="B1514">
        <v>44.14</v>
      </c>
      <c r="C1514">
        <f t="shared" si="66"/>
        <v>-1.1864786209984355E-2</v>
      </c>
      <c r="D1514">
        <f t="shared" si="65"/>
        <v>-1.2858208876730282</v>
      </c>
    </row>
    <row r="1515" spans="1:4">
      <c r="A1515" s="1">
        <v>20471</v>
      </c>
      <c r="B1515">
        <v>44.47</v>
      </c>
      <c r="C1515">
        <f t="shared" si="66"/>
        <v>7.4762120525599975E-3</v>
      </c>
      <c r="D1515">
        <f t="shared" si="65"/>
        <v>0.75658195452691601</v>
      </c>
    </row>
    <row r="1516" spans="1:4">
      <c r="A1516" s="1">
        <v>20472</v>
      </c>
      <c r="B1516">
        <v>44.17</v>
      </c>
      <c r="C1516">
        <f t="shared" si="66"/>
        <v>-6.7461209804361858E-3</v>
      </c>
      <c r="D1516">
        <f t="shared" si="65"/>
        <v>-0.74529157935159129</v>
      </c>
    </row>
    <row r="1517" spans="1:4">
      <c r="A1517" s="1">
        <v>20473</v>
      </c>
      <c r="B1517">
        <v>43.72</v>
      </c>
      <c r="C1517">
        <f t="shared" si="66"/>
        <v>-1.0187910346389016E-2</v>
      </c>
      <c r="D1517">
        <f t="shared" si="65"/>
        <v>-1.1087433664751611</v>
      </c>
    </row>
    <row r="1518" spans="1:4">
      <c r="A1518" s="1">
        <v>20474</v>
      </c>
      <c r="B1518">
        <v>43.22</v>
      </c>
      <c r="C1518">
        <f t="shared" si="66"/>
        <v>-1.1436413540713633E-2</v>
      </c>
      <c r="D1518">
        <f t="shared" si="65"/>
        <v>-1.2405848794089851</v>
      </c>
    </row>
    <row r="1519" spans="1:4">
      <c r="A1519" s="1">
        <v>20477</v>
      </c>
      <c r="B1519">
        <v>43.11</v>
      </c>
      <c r="C1519">
        <f t="shared" si="66"/>
        <v>-2.5451180009254844E-3</v>
      </c>
      <c r="D1519">
        <f t="shared" si="65"/>
        <v>-0.30166709270555642</v>
      </c>
    </row>
    <row r="1520" spans="1:4">
      <c r="A1520" s="1">
        <v>20478</v>
      </c>
      <c r="B1520">
        <v>43.65</v>
      </c>
      <c r="C1520">
        <f t="shared" si="66"/>
        <v>1.2526096033402902E-2</v>
      </c>
      <c r="D1520">
        <f t="shared" si="65"/>
        <v>1.2898479863649595</v>
      </c>
    </row>
    <row r="1521" spans="1:4">
      <c r="A1521" s="1">
        <v>20479</v>
      </c>
      <c r="B1521">
        <v>43.72</v>
      </c>
      <c r="C1521">
        <f t="shared" si="66"/>
        <v>1.603665521191301E-3</v>
      </c>
      <c r="D1521">
        <f t="shared" si="65"/>
        <v>0.1364430369899369</v>
      </c>
    </row>
    <row r="1522" spans="1:4">
      <c r="A1522" s="1">
        <v>20480</v>
      </c>
      <c r="B1522">
        <v>43.46</v>
      </c>
      <c r="C1522">
        <f t="shared" si="66"/>
        <v>-5.9469350411710436E-3</v>
      </c>
      <c r="D1522">
        <f t="shared" si="65"/>
        <v>-0.66089781582169216</v>
      </c>
    </row>
    <row r="1523" spans="1:4">
      <c r="A1523" s="1">
        <v>20481</v>
      </c>
      <c r="B1523">
        <v>43.35</v>
      </c>
      <c r="C1523">
        <f t="shared" si="66"/>
        <v>-2.5310630464795082E-3</v>
      </c>
      <c r="D1523">
        <f t="shared" si="65"/>
        <v>-0.30018289429357248</v>
      </c>
    </row>
    <row r="1524" spans="1:4">
      <c r="A1524" s="1">
        <v>20484</v>
      </c>
      <c r="B1524">
        <v>43.5</v>
      </c>
      <c r="C1524">
        <f t="shared" si="66"/>
        <v>3.4602076124567146E-3</v>
      </c>
      <c r="D1524">
        <f t="shared" si="65"/>
        <v>0.33249325075824565</v>
      </c>
    </row>
    <row r="1525" spans="1:4">
      <c r="A1525" s="1">
        <v>20485</v>
      </c>
      <c r="B1525">
        <v>43.82</v>
      </c>
      <c r="C1525">
        <f t="shared" si="66"/>
        <v>7.3563218390804664E-3</v>
      </c>
      <c r="D1525">
        <f t="shared" si="65"/>
        <v>0.74392158873614112</v>
      </c>
    </row>
    <row r="1526" spans="1:4">
      <c r="A1526" s="1">
        <v>20486</v>
      </c>
      <c r="B1526">
        <v>44.03</v>
      </c>
      <c r="C1526">
        <f t="shared" si="66"/>
        <v>4.7923322683706268E-3</v>
      </c>
      <c r="D1526">
        <f t="shared" si="65"/>
        <v>0.47316516161158323</v>
      </c>
    </row>
    <row r="1527" spans="1:4">
      <c r="A1527" s="1">
        <v>20487</v>
      </c>
      <c r="B1527">
        <v>44.22</v>
      </c>
      <c r="C1527">
        <f t="shared" si="66"/>
        <v>4.3152396093572047E-3</v>
      </c>
      <c r="D1527">
        <f t="shared" si="65"/>
        <v>0.42278433899144019</v>
      </c>
    </row>
    <row r="1528" spans="1:4">
      <c r="A1528" s="1">
        <v>20488</v>
      </c>
      <c r="B1528">
        <v>44.78</v>
      </c>
      <c r="C1528">
        <f t="shared" si="66"/>
        <v>1.2663952962460477E-2</v>
      </c>
      <c r="D1528">
        <f t="shared" si="65"/>
        <v>1.3044056312135923</v>
      </c>
    </row>
    <row r="1529" spans="1:4">
      <c r="A1529" s="1">
        <v>20491</v>
      </c>
      <c r="B1529">
        <v>44.81</v>
      </c>
      <c r="C1529">
        <f t="shared" si="66"/>
        <v>6.6994193836536703E-4</v>
      </c>
      <c r="D1529">
        <f t="shared" si="65"/>
        <v>3.7842144031585152E-2</v>
      </c>
    </row>
    <row r="1530" spans="1:4">
      <c r="A1530" s="1">
        <v>20492</v>
      </c>
      <c r="B1530">
        <v>44.6</v>
      </c>
      <c r="C1530">
        <f t="shared" si="66"/>
        <v>-4.6864539165365066E-3</v>
      </c>
      <c r="D1530">
        <f t="shared" si="65"/>
        <v>-0.52779143751863711</v>
      </c>
    </row>
    <row r="1531" spans="1:4">
      <c r="A1531" s="1">
        <v>20493</v>
      </c>
      <c r="B1531">
        <v>44.16</v>
      </c>
      <c r="C1531">
        <f t="shared" si="66"/>
        <v>-9.8654708520180458E-3</v>
      </c>
      <c r="D1531">
        <f t="shared" si="65"/>
        <v>-1.0746938654720961</v>
      </c>
    </row>
    <row r="1532" spans="1:4">
      <c r="A1532" s="1">
        <v>20494</v>
      </c>
      <c r="B1532">
        <v>43.66</v>
      </c>
      <c r="C1532">
        <f t="shared" si="66"/>
        <v>-1.1322463768115944E-2</v>
      </c>
      <c r="D1532">
        <f t="shared" si="65"/>
        <v>-1.2285518221560787</v>
      </c>
    </row>
    <row r="1533" spans="1:4">
      <c r="A1533" s="1">
        <v>20495</v>
      </c>
      <c r="B1533">
        <v>43.64</v>
      </c>
      <c r="C1533">
        <f t="shared" si="66"/>
        <v>-4.5808520384782464E-4</v>
      </c>
      <c r="D1533">
        <f t="shared" si="65"/>
        <v>-8.1277138751072092E-2</v>
      </c>
    </row>
    <row r="1534" spans="1:4">
      <c r="A1534" s="1">
        <v>20498</v>
      </c>
      <c r="B1534">
        <v>43.58</v>
      </c>
      <c r="C1534">
        <f t="shared" si="66"/>
        <v>-1.3748854262145341E-3</v>
      </c>
      <c r="D1534">
        <f t="shared" si="65"/>
        <v>-0.17809093059745942</v>
      </c>
    </row>
    <row r="1535" spans="1:4">
      <c r="A1535" s="1">
        <v>20499</v>
      </c>
      <c r="B1535">
        <v>43.42</v>
      </c>
      <c r="C1535">
        <f t="shared" si="66"/>
        <v>-3.6714089031665122E-3</v>
      </c>
      <c r="D1535">
        <f t="shared" si="65"/>
        <v>-0.42060302913732989</v>
      </c>
    </row>
    <row r="1536" spans="1:4">
      <c r="A1536" s="1">
        <v>20500</v>
      </c>
      <c r="B1536">
        <v>44.04</v>
      </c>
      <c r="C1536">
        <f t="shared" si="66"/>
        <v>1.4279134039613022E-2</v>
      </c>
      <c r="D1536">
        <f t="shared" si="65"/>
        <v>1.4749682039341772</v>
      </c>
    </row>
    <row r="1537" spans="1:4">
      <c r="A1537" s="1">
        <v>20501</v>
      </c>
      <c r="B1537">
        <v>43.82</v>
      </c>
      <c r="C1537">
        <f t="shared" si="66"/>
        <v>-4.9954586739327624E-3</v>
      </c>
      <c r="D1537">
        <f t="shared" si="65"/>
        <v>-0.56042223486386122</v>
      </c>
    </row>
    <row r="1538" spans="1:4">
      <c r="A1538" s="1">
        <v>20502</v>
      </c>
      <c r="B1538">
        <v>44.52</v>
      </c>
      <c r="C1538">
        <f t="shared" si="66"/>
        <v>1.5974440894568755E-2</v>
      </c>
      <c r="D1538">
        <f t="shared" si="65"/>
        <v>1.6539920315547032</v>
      </c>
    </row>
    <row r="1539" spans="1:4">
      <c r="A1539" s="1">
        <v>20505</v>
      </c>
      <c r="B1539">
        <v>44.45</v>
      </c>
      <c r="C1539">
        <f t="shared" si="66"/>
        <v>-1.5723270440251636E-3</v>
      </c>
      <c r="D1539">
        <f t="shared" ref="D1539:D1602" si="67">(C1539-avg)/sd</f>
        <v>-0.19894069832459513</v>
      </c>
    </row>
    <row r="1540" spans="1:4">
      <c r="A1540" s="1">
        <v>20506</v>
      </c>
      <c r="B1540">
        <v>44.56</v>
      </c>
      <c r="C1540">
        <f t="shared" ref="C1540:C1603" si="68">(B1540-B1539)/B1539</f>
        <v>2.4746906636670288E-3</v>
      </c>
      <c r="D1540">
        <f t="shared" si="67"/>
        <v>0.22842299595954224</v>
      </c>
    </row>
    <row r="1541" spans="1:4">
      <c r="A1541" s="1">
        <v>20508</v>
      </c>
      <c r="B1541">
        <v>44.95</v>
      </c>
      <c r="C1541">
        <f t="shared" si="68"/>
        <v>8.7522441651705692E-3</v>
      </c>
      <c r="D1541">
        <f t="shared" si="67"/>
        <v>0.89133051187420287</v>
      </c>
    </row>
    <row r="1542" spans="1:4">
      <c r="A1542" s="1">
        <v>20509</v>
      </c>
      <c r="B1542">
        <v>45.32</v>
      </c>
      <c r="C1542">
        <f t="shared" si="68"/>
        <v>8.231368186874248E-3</v>
      </c>
      <c r="D1542">
        <f t="shared" si="67"/>
        <v>0.83632618562045902</v>
      </c>
    </row>
    <row r="1543" spans="1:4">
      <c r="A1543" s="1">
        <v>20512</v>
      </c>
      <c r="B1543">
        <v>45.27</v>
      </c>
      <c r="C1543">
        <f t="shared" si="68"/>
        <v>-1.1032656663723997E-3</v>
      </c>
      <c r="D1543">
        <f t="shared" si="67"/>
        <v>-0.14940797628617242</v>
      </c>
    </row>
    <row r="1544" spans="1:4">
      <c r="A1544" s="1">
        <v>20513</v>
      </c>
      <c r="B1544">
        <v>45.43</v>
      </c>
      <c r="C1544">
        <f t="shared" si="68"/>
        <v>3.5343494588026634E-3</v>
      </c>
      <c r="D1544">
        <f t="shared" si="67"/>
        <v>0.3403226045303398</v>
      </c>
    </row>
    <row r="1545" spans="1:4">
      <c r="A1545" s="1">
        <v>20514</v>
      </c>
      <c r="B1545">
        <v>45.34</v>
      </c>
      <c r="C1545">
        <f t="shared" si="68"/>
        <v>-1.981069777679866E-3</v>
      </c>
      <c r="D1545">
        <f t="shared" si="67"/>
        <v>-0.24210379206012586</v>
      </c>
    </row>
    <row r="1546" spans="1:4">
      <c r="A1546" s="1">
        <v>20515</v>
      </c>
      <c r="B1546">
        <v>45.54</v>
      </c>
      <c r="C1546">
        <f t="shared" si="68"/>
        <v>4.4111160123510304E-3</v>
      </c>
      <c r="D1546">
        <f t="shared" si="67"/>
        <v>0.43290885455761535</v>
      </c>
    </row>
    <row r="1547" spans="1:4">
      <c r="A1547" s="1">
        <v>20516</v>
      </c>
      <c r="B1547">
        <v>45.81</v>
      </c>
      <c r="C1547">
        <f t="shared" si="68"/>
        <v>5.9288537549407805E-3</v>
      </c>
      <c r="D1547">
        <f t="shared" si="67"/>
        <v>0.59318144427096775</v>
      </c>
    </row>
    <row r="1548" spans="1:4">
      <c r="A1548" s="1">
        <v>20519</v>
      </c>
      <c r="B1548">
        <v>46.06</v>
      </c>
      <c r="C1548">
        <f t="shared" si="68"/>
        <v>5.4573237284435711E-3</v>
      </c>
      <c r="D1548">
        <f t="shared" si="67"/>
        <v>0.54338803375370615</v>
      </c>
    </row>
    <row r="1549" spans="1:4">
      <c r="A1549" s="1">
        <v>20520</v>
      </c>
      <c r="B1549">
        <v>46.04</v>
      </c>
      <c r="C1549">
        <f t="shared" si="68"/>
        <v>-4.3421623968743214E-4</v>
      </c>
      <c r="D1549">
        <f t="shared" si="67"/>
        <v>-7.8756584249189784E-2</v>
      </c>
    </row>
    <row r="1550" spans="1:4">
      <c r="A1550" s="1">
        <v>20521</v>
      </c>
      <c r="B1550">
        <v>46.01</v>
      </c>
      <c r="C1550">
        <f t="shared" si="68"/>
        <v>-6.5160729800176227E-4</v>
      </c>
      <c r="D1550">
        <f t="shared" si="67"/>
        <v>-0.10171300611237197</v>
      </c>
    </row>
    <row r="1551" spans="1:4">
      <c r="A1551" s="1">
        <v>20522</v>
      </c>
      <c r="B1551">
        <v>46.12</v>
      </c>
      <c r="C1551">
        <f t="shared" si="68"/>
        <v>2.3907846120408485E-3</v>
      </c>
      <c r="D1551">
        <f t="shared" si="67"/>
        <v>0.21956254542887033</v>
      </c>
    </row>
    <row r="1552" spans="1:4">
      <c r="A1552" s="1">
        <v>20523</v>
      </c>
      <c r="B1552">
        <v>46.7</v>
      </c>
      <c r="C1552">
        <f t="shared" si="68"/>
        <v>1.2575888985255973E-2</v>
      </c>
      <c r="D1552">
        <f t="shared" si="67"/>
        <v>1.2951061051551969</v>
      </c>
    </row>
    <row r="1553" spans="1:4">
      <c r="A1553" s="1">
        <v>20526</v>
      </c>
      <c r="B1553">
        <v>47.13</v>
      </c>
      <c r="C1553">
        <f t="shared" si="68"/>
        <v>9.207708779443248E-3</v>
      </c>
      <c r="D1553">
        <f t="shared" si="67"/>
        <v>0.93942742032145299</v>
      </c>
    </row>
    <row r="1554" spans="1:4">
      <c r="A1554" s="1">
        <v>20527</v>
      </c>
      <c r="B1554">
        <v>47.06</v>
      </c>
      <c r="C1554">
        <f t="shared" si="68"/>
        <v>-1.4852535539995816E-3</v>
      </c>
      <c r="D1554">
        <f t="shared" si="67"/>
        <v>-0.18974576737561102</v>
      </c>
    </row>
    <row r="1555" spans="1:4">
      <c r="A1555" s="1">
        <v>20528</v>
      </c>
      <c r="B1555">
        <v>47.53</v>
      </c>
      <c r="C1555">
        <f t="shared" si="68"/>
        <v>9.9872503187420063E-3</v>
      </c>
      <c r="D1555">
        <f t="shared" si="67"/>
        <v>1.021746741892358</v>
      </c>
    </row>
    <row r="1556" spans="1:4">
      <c r="A1556" s="1">
        <v>20529</v>
      </c>
      <c r="B1556">
        <v>47.99</v>
      </c>
      <c r="C1556">
        <f t="shared" si="68"/>
        <v>9.6780980433410647E-3</v>
      </c>
      <c r="D1556">
        <f t="shared" si="67"/>
        <v>0.98910036669598289</v>
      </c>
    </row>
    <row r="1557" spans="1:4">
      <c r="A1557" s="1">
        <v>20530</v>
      </c>
      <c r="B1557">
        <v>48.14</v>
      </c>
      <c r="C1557">
        <f t="shared" si="68"/>
        <v>3.1256511773285803E-3</v>
      </c>
      <c r="D1557">
        <f t="shared" si="67"/>
        <v>0.29716420492997242</v>
      </c>
    </row>
    <row r="1558" spans="1:4">
      <c r="A1558" s="1">
        <v>20533</v>
      </c>
      <c r="B1558">
        <v>48.59</v>
      </c>
      <c r="C1558">
        <f t="shared" si="68"/>
        <v>9.3477357706689412E-3</v>
      </c>
      <c r="D1558">
        <f t="shared" si="67"/>
        <v>0.95421422299739922</v>
      </c>
    </row>
    <row r="1559" spans="1:4">
      <c r="A1559" s="1">
        <v>20534</v>
      </c>
      <c r="B1559">
        <v>48.87</v>
      </c>
      <c r="C1559">
        <f t="shared" si="68"/>
        <v>5.7625025725456681E-3</v>
      </c>
      <c r="D1559">
        <f t="shared" si="67"/>
        <v>0.57561481595555819</v>
      </c>
    </row>
    <row r="1560" spans="1:4">
      <c r="A1560" s="1">
        <v>20535</v>
      </c>
      <c r="B1560">
        <v>48.23</v>
      </c>
      <c r="C1560">
        <f t="shared" si="68"/>
        <v>-1.3095968897073882E-2</v>
      </c>
      <c r="D1560">
        <f t="shared" si="67"/>
        <v>-1.4158333609303528</v>
      </c>
    </row>
    <row r="1561" spans="1:4">
      <c r="A1561" s="1">
        <v>20536</v>
      </c>
      <c r="B1561">
        <v>48.72</v>
      </c>
      <c r="C1561">
        <f t="shared" si="68"/>
        <v>1.0159651669085673E-2</v>
      </c>
      <c r="D1561">
        <f t="shared" si="67"/>
        <v>1.039952265886583</v>
      </c>
    </row>
    <row r="1562" spans="1:4">
      <c r="A1562" s="1">
        <v>20537</v>
      </c>
      <c r="B1562">
        <v>48.83</v>
      </c>
      <c r="C1562">
        <f t="shared" si="68"/>
        <v>2.2577996715927636E-3</v>
      </c>
      <c r="D1562">
        <f t="shared" si="67"/>
        <v>0.20551938092133015</v>
      </c>
    </row>
    <row r="1563" spans="1:4">
      <c r="A1563" s="1">
        <v>20540</v>
      </c>
      <c r="B1563">
        <v>48.62</v>
      </c>
      <c r="C1563">
        <f t="shared" si="68"/>
        <v>-4.3006348556215617E-3</v>
      </c>
      <c r="D1563">
        <f t="shared" si="67"/>
        <v>-0.48704907583228974</v>
      </c>
    </row>
    <row r="1564" spans="1:4">
      <c r="A1564" s="1">
        <v>20541</v>
      </c>
      <c r="B1564">
        <v>48.25</v>
      </c>
      <c r="C1564">
        <f t="shared" si="68"/>
        <v>-7.6100370218016751E-3</v>
      </c>
      <c r="D1564">
        <f t="shared" si="67"/>
        <v>-0.83652081966045633</v>
      </c>
    </row>
    <row r="1565" spans="1:4">
      <c r="A1565" s="1">
        <v>20542</v>
      </c>
      <c r="B1565">
        <v>48.51</v>
      </c>
      <c r="C1565">
        <f t="shared" si="68"/>
        <v>5.3886010362693892E-3</v>
      </c>
      <c r="D1565">
        <f t="shared" si="67"/>
        <v>0.53613094082009061</v>
      </c>
    </row>
    <row r="1566" spans="1:4">
      <c r="A1566" s="1">
        <v>20543</v>
      </c>
      <c r="B1566">
        <v>48.48</v>
      </c>
      <c r="C1566">
        <f t="shared" si="68"/>
        <v>-6.1842918985778475E-4</v>
      </c>
      <c r="D1566">
        <f t="shared" si="67"/>
        <v>-9.820940917015486E-2</v>
      </c>
    </row>
    <row r="1567" spans="1:4">
      <c r="A1567" s="1">
        <v>20547</v>
      </c>
      <c r="B1567">
        <v>48.7</v>
      </c>
      <c r="C1567">
        <f t="shared" si="68"/>
        <v>4.5379537953796614E-3</v>
      </c>
      <c r="D1567">
        <f t="shared" si="67"/>
        <v>0.44630288133118151</v>
      </c>
    </row>
    <row r="1568" spans="1:4">
      <c r="A1568" s="1">
        <v>20548</v>
      </c>
      <c r="B1568">
        <v>48.53</v>
      </c>
      <c r="C1568">
        <f t="shared" si="68"/>
        <v>-3.4907597535934641E-3</v>
      </c>
      <c r="D1568">
        <f t="shared" si="67"/>
        <v>-0.40152654034804541</v>
      </c>
    </row>
    <row r="1569" spans="1:4">
      <c r="A1569" s="1">
        <v>20549</v>
      </c>
      <c r="B1569">
        <v>48.8</v>
      </c>
      <c r="C1569">
        <f t="shared" si="68"/>
        <v>5.5635689264371731E-3</v>
      </c>
      <c r="D1569">
        <f t="shared" si="67"/>
        <v>0.55460749054733294</v>
      </c>
    </row>
    <row r="1570" spans="1:4">
      <c r="A1570" s="1">
        <v>20550</v>
      </c>
      <c r="B1570">
        <v>48.57</v>
      </c>
      <c r="C1570">
        <f t="shared" si="68"/>
        <v>-4.7131147540982968E-3</v>
      </c>
      <c r="D1570">
        <f t="shared" si="67"/>
        <v>-0.53060681290270306</v>
      </c>
    </row>
    <row r="1571" spans="1:4">
      <c r="A1571" s="1">
        <v>20551</v>
      </c>
      <c r="B1571">
        <v>48.85</v>
      </c>
      <c r="C1571">
        <f t="shared" si="68"/>
        <v>5.7648754375128914E-3</v>
      </c>
      <c r="D1571">
        <f t="shared" si="67"/>
        <v>0.57586538968952095</v>
      </c>
    </row>
    <row r="1572" spans="1:4">
      <c r="A1572" s="1">
        <v>20554</v>
      </c>
      <c r="B1572">
        <v>48.61</v>
      </c>
      <c r="C1572">
        <f t="shared" si="68"/>
        <v>-4.9129989764585867E-3</v>
      </c>
      <c r="D1572">
        <f t="shared" si="67"/>
        <v>-0.55171451884000133</v>
      </c>
    </row>
    <row r="1573" spans="1:4">
      <c r="A1573" s="1">
        <v>20555</v>
      </c>
      <c r="B1573">
        <v>47.93</v>
      </c>
      <c r="C1573">
        <f t="shared" si="68"/>
        <v>-1.3988891174655415E-2</v>
      </c>
      <c r="D1573">
        <f t="shared" si="67"/>
        <v>-1.5101256499239335</v>
      </c>
    </row>
    <row r="1574" spans="1:4">
      <c r="A1574" s="1">
        <v>20556</v>
      </c>
      <c r="B1574">
        <v>48.31</v>
      </c>
      <c r="C1574">
        <f t="shared" si="68"/>
        <v>7.9282286668058127E-3</v>
      </c>
      <c r="D1574">
        <f t="shared" si="67"/>
        <v>0.8043147553433615</v>
      </c>
    </row>
    <row r="1575" spans="1:4">
      <c r="A1575" s="1">
        <v>20557</v>
      </c>
      <c r="B1575">
        <v>48.02</v>
      </c>
      <c r="C1575">
        <f t="shared" si="68"/>
        <v>-6.00289795073482E-3</v>
      </c>
      <c r="D1575">
        <f t="shared" si="67"/>
        <v>-0.66680748004890977</v>
      </c>
    </row>
    <row r="1576" spans="1:4">
      <c r="A1576" s="1">
        <v>20558</v>
      </c>
      <c r="B1576">
        <v>47.95</v>
      </c>
      <c r="C1576">
        <f t="shared" si="68"/>
        <v>-1.4577259475218717E-3</v>
      </c>
      <c r="D1576">
        <f t="shared" si="67"/>
        <v>-0.18683886148865292</v>
      </c>
    </row>
    <row r="1577" spans="1:4">
      <c r="A1577" s="1">
        <v>20561</v>
      </c>
      <c r="B1577">
        <v>47.96</v>
      </c>
      <c r="C1577">
        <f t="shared" si="68"/>
        <v>2.0855057351403566E-4</v>
      </c>
      <c r="D1577">
        <f t="shared" si="67"/>
        <v>-1.0880627262170327E-2</v>
      </c>
    </row>
    <row r="1578" spans="1:4">
      <c r="A1578" s="1">
        <v>20562</v>
      </c>
      <c r="B1578">
        <v>47.93</v>
      </c>
      <c r="C1578">
        <f t="shared" si="68"/>
        <v>-6.2552126772312631E-4</v>
      </c>
      <c r="D1578">
        <f t="shared" si="67"/>
        <v>-9.8958330182020521E-2</v>
      </c>
    </row>
    <row r="1579" spans="1:4">
      <c r="A1579" s="1">
        <v>20563</v>
      </c>
      <c r="B1579">
        <v>47.74</v>
      </c>
      <c r="C1579">
        <f t="shared" si="68"/>
        <v>-3.9641143334028317E-3</v>
      </c>
      <c r="D1579">
        <f t="shared" si="67"/>
        <v>-0.45151262307487527</v>
      </c>
    </row>
    <row r="1580" spans="1:4">
      <c r="A1580" s="1">
        <v>20564</v>
      </c>
      <c r="B1580">
        <v>47.57</v>
      </c>
      <c r="C1580">
        <f t="shared" si="68"/>
        <v>-3.5609551738584352E-3</v>
      </c>
      <c r="D1580">
        <f t="shared" si="67"/>
        <v>-0.4089391528674437</v>
      </c>
    </row>
    <row r="1581" spans="1:4">
      <c r="A1581" s="1">
        <v>20565</v>
      </c>
      <c r="B1581">
        <v>47.76</v>
      </c>
      <c r="C1581">
        <f t="shared" si="68"/>
        <v>3.9941139373554282E-3</v>
      </c>
      <c r="D1581">
        <f t="shared" si="67"/>
        <v>0.38887357718397214</v>
      </c>
    </row>
    <row r="1582" spans="1:4">
      <c r="A1582" s="1">
        <v>20568</v>
      </c>
      <c r="B1582">
        <v>47.65</v>
      </c>
      <c r="C1582">
        <f t="shared" si="68"/>
        <v>-2.3031825795644771E-3</v>
      </c>
      <c r="D1582">
        <f t="shared" si="67"/>
        <v>-0.27611879444767951</v>
      </c>
    </row>
    <row r="1583" spans="1:4">
      <c r="A1583" s="1">
        <v>20569</v>
      </c>
      <c r="B1583">
        <v>47.26</v>
      </c>
      <c r="C1583">
        <f t="shared" si="68"/>
        <v>-8.1846799580272949E-3</v>
      </c>
      <c r="D1583">
        <f t="shared" si="67"/>
        <v>-0.89720291839525712</v>
      </c>
    </row>
    <row r="1584" spans="1:4">
      <c r="A1584" s="1">
        <v>20570</v>
      </c>
      <c r="B1584">
        <v>47.09</v>
      </c>
      <c r="C1584">
        <f t="shared" si="68"/>
        <v>-3.5971223021581591E-3</v>
      </c>
      <c r="D1584">
        <f t="shared" si="67"/>
        <v>-0.41275838932209036</v>
      </c>
    </row>
    <row r="1585" spans="1:4">
      <c r="A1585" s="1">
        <v>20571</v>
      </c>
      <c r="B1585">
        <v>47.49</v>
      </c>
      <c r="C1585">
        <f t="shared" si="68"/>
        <v>8.4943724782331389E-3</v>
      </c>
      <c r="D1585">
        <f t="shared" si="67"/>
        <v>0.86409934938845556</v>
      </c>
    </row>
    <row r="1586" spans="1:4">
      <c r="A1586" s="1">
        <v>20572</v>
      </c>
      <c r="B1586">
        <v>47.99</v>
      </c>
      <c r="C1586">
        <f t="shared" si="68"/>
        <v>1.0528532322594229E-2</v>
      </c>
      <c r="D1586">
        <f t="shared" si="67"/>
        <v>1.07890593750846</v>
      </c>
    </row>
    <row r="1587" spans="1:4">
      <c r="A1587" s="1">
        <v>20575</v>
      </c>
      <c r="B1587">
        <v>48.38</v>
      </c>
      <c r="C1587">
        <f t="shared" si="68"/>
        <v>8.1266930610543985E-3</v>
      </c>
      <c r="D1587">
        <f t="shared" si="67"/>
        <v>0.82527252791468686</v>
      </c>
    </row>
    <row r="1588" spans="1:4">
      <c r="A1588" s="1">
        <v>20576</v>
      </c>
      <c r="B1588">
        <v>48.16</v>
      </c>
      <c r="C1588">
        <f t="shared" si="68"/>
        <v>-4.5473336089294327E-3</v>
      </c>
      <c r="D1588">
        <f t="shared" si="67"/>
        <v>-0.51310038032462024</v>
      </c>
    </row>
    <row r="1589" spans="1:4">
      <c r="A1589" s="1">
        <v>20577</v>
      </c>
      <c r="B1589">
        <v>48.17</v>
      </c>
      <c r="C1589">
        <f t="shared" si="68"/>
        <v>2.0764119601339527E-4</v>
      </c>
      <c r="D1589">
        <f t="shared" si="67"/>
        <v>-1.0976657217125521E-2</v>
      </c>
    </row>
    <row r="1590" spans="1:4">
      <c r="A1590" s="1">
        <v>20578</v>
      </c>
      <c r="B1590">
        <v>48.34</v>
      </c>
      <c r="C1590">
        <f t="shared" si="68"/>
        <v>3.5291675316587441E-3</v>
      </c>
      <c r="D1590">
        <f t="shared" si="67"/>
        <v>0.3397753947853645</v>
      </c>
    </row>
    <row r="1591" spans="1:4">
      <c r="A1591" s="1">
        <v>20579</v>
      </c>
      <c r="B1591">
        <v>48.51</v>
      </c>
      <c r="C1591">
        <f t="shared" si="68"/>
        <v>3.5167563094744433E-3</v>
      </c>
      <c r="D1591">
        <f t="shared" si="67"/>
        <v>0.33846477394148178</v>
      </c>
    </row>
    <row r="1592" spans="1:4">
      <c r="A1592" s="1">
        <v>20582</v>
      </c>
      <c r="B1592">
        <v>48.22</v>
      </c>
      <c r="C1592">
        <f t="shared" si="68"/>
        <v>-5.9781488352916752E-3</v>
      </c>
      <c r="D1592">
        <f t="shared" si="67"/>
        <v>-0.66419398187074674</v>
      </c>
    </row>
    <row r="1593" spans="1:4">
      <c r="A1593" s="1">
        <v>20583</v>
      </c>
      <c r="B1593">
        <v>48.02</v>
      </c>
      <c r="C1593">
        <f t="shared" si="68"/>
        <v>-4.1476565740355817E-3</v>
      </c>
      <c r="D1593">
        <f t="shared" si="67"/>
        <v>-0.47089462129665471</v>
      </c>
    </row>
    <row r="1594" spans="1:4">
      <c r="A1594" s="1">
        <v>20584</v>
      </c>
      <c r="B1594">
        <v>47.94</v>
      </c>
      <c r="C1594">
        <f t="shared" si="68"/>
        <v>-1.6659725114536734E-3</v>
      </c>
      <c r="D1594">
        <f t="shared" si="67"/>
        <v>-0.20882962785340478</v>
      </c>
    </row>
    <row r="1595" spans="1:4">
      <c r="A1595" s="1">
        <v>20585</v>
      </c>
      <c r="B1595">
        <v>47.16</v>
      </c>
      <c r="C1595">
        <f t="shared" si="68"/>
        <v>-1.6270337922403028E-2</v>
      </c>
      <c r="D1595">
        <f t="shared" si="67"/>
        <v>-1.7510456509846524</v>
      </c>
    </row>
    <row r="1596" spans="1:4">
      <c r="A1596" s="1">
        <v>20586</v>
      </c>
      <c r="B1596">
        <v>47.12</v>
      </c>
      <c r="C1596">
        <f t="shared" si="68"/>
        <v>-8.4817642069548666E-4</v>
      </c>
      <c r="D1596">
        <f t="shared" si="67"/>
        <v>-0.12247063865173796</v>
      </c>
    </row>
    <row r="1597" spans="1:4">
      <c r="A1597" s="1">
        <v>20589</v>
      </c>
      <c r="B1597">
        <v>46.86</v>
      </c>
      <c r="C1597">
        <f t="shared" si="68"/>
        <v>-5.5178268251272929E-3</v>
      </c>
      <c r="D1597">
        <f t="shared" si="67"/>
        <v>-0.61558413406844181</v>
      </c>
    </row>
    <row r="1598" spans="1:4">
      <c r="A1598" s="1">
        <v>20590</v>
      </c>
      <c r="B1598">
        <v>46.37</v>
      </c>
      <c r="C1598">
        <f t="shared" si="68"/>
        <v>-1.045667947076402E-2</v>
      </c>
      <c r="D1598">
        <f t="shared" si="67"/>
        <v>-1.1371252946500972</v>
      </c>
    </row>
    <row r="1599" spans="1:4">
      <c r="A1599" s="1">
        <v>20591</v>
      </c>
      <c r="B1599">
        <v>46.05</v>
      </c>
      <c r="C1599">
        <f t="shared" si="68"/>
        <v>-6.9010135863705043E-3</v>
      </c>
      <c r="D1599">
        <f t="shared" si="67"/>
        <v>-0.76164818588770045</v>
      </c>
    </row>
    <row r="1600" spans="1:4">
      <c r="A1600" s="1">
        <v>20592</v>
      </c>
      <c r="B1600">
        <v>46.61</v>
      </c>
      <c r="C1600">
        <f t="shared" si="68"/>
        <v>1.2160694896851299E-2</v>
      </c>
      <c r="D1600">
        <f t="shared" si="67"/>
        <v>1.2512617505509913</v>
      </c>
    </row>
    <row r="1601" spans="1:4">
      <c r="A1601" s="1">
        <v>20593</v>
      </c>
      <c r="B1601">
        <v>46.39</v>
      </c>
      <c r="C1601">
        <f t="shared" si="68"/>
        <v>-4.7200171636987524E-3</v>
      </c>
      <c r="D1601">
        <f t="shared" si="67"/>
        <v>-0.53133570501026817</v>
      </c>
    </row>
    <row r="1602" spans="1:4">
      <c r="A1602" s="1">
        <v>20596</v>
      </c>
      <c r="B1602">
        <v>45.99</v>
      </c>
      <c r="C1602">
        <f t="shared" si="68"/>
        <v>-8.6225479629230134E-3</v>
      </c>
      <c r="D1602">
        <f t="shared" si="67"/>
        <v>-0.94344163087367838</v>
      </c>
    </row>
    <row r="1603" spans="1:4">
      <c r="A1603" s="1">
        <v>20597</v>
      </c>
      <c r="B1603">
        <v>45.26</v>
      </c>
      <c r="C1603">
        <f t="shared" si="68"/>
        <v>-1.5873015873015959E-2</v>
      </c>
      <c r="D1603">
        <f t="shared" ref="D1603:D1666" si="69">(C1603-avg)/sd</f>
        <v>-1.7090885776257045</v>
      </c>
    </row>
    <row r="1604" spans="1:4">
      <c r="A1604" s="1">
        <v>20598</v>
      </c>
      <c r="B1604">
        <v>45.02</v>
      </c>
      <c r="C1604">
        <f t="shared" ref="C1604:C1667" si="70">(B1604-B1603)/B1603</f>
        <v>-5.3026955368978106E-3</v>
      </c>
      <c r="D1604">
        <f t="shared" si="69"/>
        <v>-0.5928663431580864</v>
      </c>
    </row>
    <row r="1605" spans="1:4">
      <c r="A1605" s="1">
        <v>20599</v>
      </c>
      <c r="B1605">
        <v>44.6</v>
      </c>
      <c r="C1605">
        <f t="shared" si="70"/>
        <v>-9.3291870279875976E-3</v>
      </c>
      <c r="D1605">
        <f t="shared" si="69"/>
        <v>-1.0180624759462096</v>
      </c>
    </row>
    <row r="1606" spans="1:4">
      <c r="A1606" s="1">
        <v>20600</v>
      </c>
      <c r="B1606">
        <v>44.62</v>
      </c>
      <c r="C1606">
        <f t="shared" si="70"/>
        <v>4.4843049327345338E-4</v>
      </c>
      <c r="D1606">
        <f t="shared" si="69"/>
        <v>1.4450610725277674E-2</v>
      </c>
    </row>
    <row r="1607" spans="1:4">
      <c r="A1607" s="1">
        <v>20603</v>
      </c>
      <c r="B1607">
        <v>44.1</v>
      </c>
      <c r="C1607">
        <f t="shared" si="70"/>
        <v>-1.1653966831017392E-2</v>
      </c>
      <c r="D1607">
        <f t="shared" si="69"/>
        <v>-1.2635584329151055</v>
      </c>
    </row>
    <row r="1608" spans="1:4">
      <c r="A1608" s="1">
        <v>20604</v>
      </c>
      <c r="B1608">
        <v>45.11</v>
      </c>
      <c r="C1608">
        <f t="shared" si="70"/>
        <v>2.2902494331065715E-2</v>
      </c>
      <c r="D1608">
        <f t="shared" si="69"/>
        <v>2.3855921194889977</v>
      </c>
    </row>
    <row r="1609" spans="1:4">
      <c r="A1609" s="1">
        <v>20606</v>
      </c>
      <c r="B1609">
        <v>45.2</v>
      </c>
      <c r="C1609">
        <f t="shared" si="70"/>
        <v>1.9951230325870851E-3</v>
      </c>
      <c r="D1609">
        <f t="shared" si="69"/>
        <v>0.17778081713045837</v>
      </c>
    </row>
    <row r="1610" spans="1:4">
      <c r="A1610" s="1">
        <v>20607</v>
      </c>
      <c r="B1610">
        <v>45.58</v>
      </c>
      <c r="C1610">
        <f t="shared" si="70"/>
        <v>8.4070796460175984E-3</v>
      </c>
      <c r="D1610">
        <f t="shared" si="69"/>
        <v>0.85488125597876985</v>
      </c>
    </row>
    <row r="1611" spans="1:4">
      <c r="A1611" s="1">
        <v>20610</v>
      </c>
      <c r="B1611">
        <v>45.85</v>
      </c>
      <c r="C1611">
        <f t="shared" si="70"/>
        <v>5.9236507240018237E-3</v>
      </c>
      <c r="D1611">
        <f t="shared" si="69"/>
        <v>0.59263200597241006</v>
      </c>
    </row>
    <row r="1612" spans="1:4">
      <c r="A1612" s="1">
        <v>20611</v>
      </c>
      <c r="B1612">
        <v>45.86</v>
      </c>
      <c r="C1612">
        <f t="shared" si="70"/>
        <v>2.1810250817880066E-4</v>
      </c>
      <c r="D1612">
        <f t="shared" si="69"/>
        <v>-9.8719462084314921E-3</v>
      </c>
    </row>
    <row r="1613" spans="1:4">
      <c r="A1613" s="1">
        <v>20612</v>
      </c>
      <c r="B1613">
        <v>45.63</v>
      </c>
      <c r="C1613">
        <f t="shared" si="70"/>
        <v>-5.0152638464892475E-3</v>
      </c>
      <c r="D1613">
        <f t="shared" si="69"/>
        <v>-0.5625136543537208</v>
      </c>
    </row>
    <row r="1614" spans="1:4">
      <c r="A1614" s="1">
        <v>20613</v>
      </c>
      <c r="B1614">
        <v>45.99</v>
      </c>
      <c r="C1614">
        <f t="shared" si="70"/>
        <v>7.8895463510847991E-3</v>
      </c>
      <c r="D1614">
        <f t="shared" si="69"/>
        <v>0.80022991595198045</v>
      </c>
    </row>
    <row r="1615" spans="1:4">
      <c r="A1615" s="1">
        <v>20614</v>
      </c>
      <c r="B1615">
        <v>45.14</v>
      </c>
      <c r="C1615">
        <f t="shared" si="70"/>
        <v>-1.8482278756251389E-2</v>
      </c>
      <c r="D1615">
        <f t="shared" si="69"/>
        <v>-1.9846258511638182</v>
      </c>
    </row>
    <row r="1616" spans="1:4">
      <c r="A1616" s="1">
        <v>20617</v>
      </c>
      <c r="B1616">
        <v>45.71</v>
      </c>
      <c r="C1616">
        <f t="shared" si="70"/>
        <v>1.2627381479840502E-2</v>
      </c>
      <c r="D1616">
        <f t="shared" si="69"/>
        <v>1.3005436950801739</v>
      </c>
    </row>
    <row r="1617" spans="1:4">
      <c r="A1617" s="1">
        <v>20618</v>
      </c>
      <c r="B1617">
        <v>46.36</v>
      </c>
      <c r="C1617">
        <f t="shared" si="70"/>
        <v>1.4220083132793668E-2</v>
      </c>
      <c r="D1617">
        <f t="shared" si="69"/>
        <v>1.4687324482464319</v>
      </c>
    </row>
    <row r="1618" spans="1:4">
      <c r="A1618" s="1">
        <v>20619</v>
      </c>
      <c r="B1618">
        <v>46.42</v>
      </c>
      <c r="C1618">
        <f t="shared" si="70"/>
        <v>1.2942191544435349E-3</v>
      </c>
      <c r="D1618">
        <f t="shared" si="69"/>
        <v>0.10376560584730357</v>
      </c>
    </row>
    <row r="1619" spans="1:4">
      <c r="A1619" s="1">
        <v>20620</v>
      </c>
      <c r="B1619">
        <v>46.31</v>
      </c>
      <c r="C1619">
        <f t="shared" si="70"/>
        <v>-2.3696682464454852E-3</v>
      </c>
      <c r="D1619">
        <f t="shared" si="69"/>
        <v>-0.28313965827073773</v>
      </c>
    </row>
    <row r="1620" spans="1:4">
      <c r="A1620" s="1">
        <v>20621</v>
      </c>
      <c r="B1620">
        <v>46.37</v>
      </c>
      <c r="C1620">
        <f t="shared" si="70"/>
        <v>1.2956164975166306E-3</v>
      </c>
      <c r="D1620">
        <f t="shared" si="69"/>
        <v>0.10391316480084249</v>
      </c>
    </row>
    <row r="1621" spans="1:4">
      <c r="A1621" s="1">
        <v>20624</v>
      </c>
      <c r="B1621">
        <v>46.17</v>
      </c>
      <c r="C1621">
        <f t="shared" si="70"/>
        <v>-4.3131334914814695E-3</v>
      </c>
      <c r="D1621">
        <f t="shared" si="69"/>
        <v>-0.48836892753060329</v>
      </c>
    </row>
    <row r="1622" spans="1:4">
      <c r="A1622" s="1">
        <v>20625</v>
      </c>
      <c r="B1622">
        <v>46.22</v>
      </c>
      <c r="C1622">
        <f t="shared" si="70"/>
        <v>1.0829542993285068E-3</v>
      </c>
      <c r="D1622">
        <f t="shared" si="69"/>
        <v>8.1456108959570034E-2</v>
      </c>
    </row>
    <row r="1623" spans="1:4">
      <c r="A1623" s="1">
        <v>20626</v>
      </c>
      <c r="B1623">
        <v>46.41</v>
      </c>
      <c r="C1623">
        <f t="shared" si="70"/>
        <v>4.1107745564690117E-3</v>
      </c>
      <c r="D1623">
        <f t="shared" si="69"/>
        <v>0.40119289890749543</v>
      </c>
    </row>
    <row r="1624" spans="1:4">
      <c r="A1624" s="1">
        <v>20627</v>
      </c>
      <c r="B1624">
        <v>46.73</v>
      </c>
      <c r="C1624">
        <f t="shared" si="70"/>
        <v>6.8950657185951371E-3</v>
      </c>
      <c r="D1624">
        <f t="shared" si="69"/>
        <v>0.69521309920146368</v>
      </c>
    </row>
    <row r="1625" spans="1:4">
      <c r="A1625" s="1">
        <v>20628</v>
      </c>
      <c r="B1625">
        <v>46.59</v>
      </c>
      <c r="C1625">
        <f t="shared" si="70"/>
        <v>-2.9959340894498924E-3</v>
      </c>
      <c r="D1625">
        <f t="shared" si="69"/>
        <v>-0.34927311841389991</v>
      </c>
    </row>
    <row r="1626" spans="1:4">
      <c r="A1626" s="1">
        <v>20631</v>
      </c>
      <c r="B1626">
        <v>46.41</v>
      </c>
      <c r="C1626">
        <f t="shared" si="70"/>
        <v>-3.8634900193175964E-3</v>
      </c>
      <c r="D1626">
        <f t="shared" si="69"/>
        <v>-0.44088672971134057</v>
      </c>
    </row>
    <row r="1627" spans="1:4">
      <c r="A1627" s="1">
        <v>20632</v>
      </c>
      <c r="B1627">
        <v>46.72</v>
      </c>
      <c r="C1627">
        <f t="shared" si="70"/>
        <v>6.6795949148890817E-3</v>
      </c>
      <c r="D1627">
        <f t="shared" si="69"/>
        <v>0.67245945557218911</v>
      </c>
    </row>
    <row r="1628" spans="1:4">
      <c r="A1628" s="1">
        <v>20633</v>
      </c>
      <c r="B1628">
        <v>47.07</v>
      </c>
      <c r="C1628">
        <f t="shared" si="70"/>
        <v>7.4914383561644144E-3</v>
      </c>
      <c r="D1628">
        <f t="shared" si="69"/>
        <v>0.75818984701187031</v>
      </c>
    </row>
    <row r="1629" spans="1:4">
      <c r="A1629" s="1">
        <v>20634</v>
      </c>
      <c r="B1629">
        <v>47.13</v>
      </c>
      <c r="C1629">
        <f t="shared" si="70"/>
        <v>1.2746972594009406E-3</v>
      </c>
      <c r="D1629">
        <f t="shared" si="69"/>
        <v>0.10170410036662016</v>
      </c>
    </row>
    <row r="1630" spans="1:4">
      <c r="A1630" s="1">
        <v>20635</v>
      </c>
      <c r="B1630">
        <v>46.97</v>
      </c>
      <c r="C1630">
        <f t="shared" si="70"/>
        <v>-3.3948652662848227E-3</v>
      </c>
      <c r="D1630">
        <f t="shared" si="69"/>
        <v>-0.39140011508437289</v>
      </c>
    </row>
    <row r="1631" spans="1:4">
      <c r="A1631" s="1">
        <v>20638</v>
      </c>
      <c r="B1631">
        <v>46.93</v>
      </c>
      <c r="C1631">
        <f t="shared" si="70"/>
        <v>-8.5160740898444006E-4</v>
      </c>
      <c r="D1631">
        <f t="shared" si="69"/>
        <v>-0.12283294984880187</v>
      </c>
    </row>
    <row r="1632" spans="1:4">
      <c r="A1632" s="1">
        <v>20639</v>
      </c>
      <c r="B1632">
        <v>47.32</v>
      </c>
      <c r="C1632">
        <f t="shared" si="70"/>
        <v>8.310249307479237E-3</v>
      </c>
      <c r="D1632">
        <f t="shared" si="69"/>
        <v>0.84465600514335015</v>
      </c>
    </row>
    <row r="1633" spans="1:4">
      <c r="A1633" s="1">
        <v>20641</v>
      </c>
      <c r="B1633">
        <v>47.8</v>
      </c>
      <c r="C1633">
        <f t="shared" si="70"/>
        <v>1.0143702451394693E-2</v>
      </c>
      <c r="D1633">
        <f t="shared" si="69"/>
        <v>1.038268033919818</v>
      </c>
    </row>
    <row r="1634" spans="1:4">
      <c r="A1634" s="1">
        <v>20642</v>
      </c>
      <c r="B1634">
        <v>48.04</v>
      </c>
      <c r="C1634">
        <f t="shared" si="70"/>
        <v>5.0209205020920918E-3</v>
      </c>
      <c r="D1634">
        <f t="shared" si="69"/>
        <v>0.49730400139165398</v>
      </c>
    </row>
    <row r="1635" spans="1:4">
      <c r="A1635" s="1">
        <v>20645</v>
      </c>
      <c r="B1635">
        <v>48.25</v>
      </c>
      <c r="C1635">
        <f t="shared" si="70"/>
        <v>4.3713572023314088E-3</v>
      </c>
      <c r="D1635">
        <f t="shared" si="69"/>
        <v>0.42871033773421946</v>
      </c>
    </row>
    <row r="1636" spans="1:4">
      <c r="A1636" s="1">
        <v>20646</v>
      </c>
      <c r="B1636">
        <v>48.54</v>
      </c>
      <c r="C1636">
        <f t="shared" si="70"/>
        <v>6.0103626943005008E-3</v>
      </c>
      <c r="D1636">
        <f t="shared" si="69"/>
        <v>0.60178876056111952</v>
      </c>
    </row>
    <row r="1637" spans="1:4">
      <c r="A1637" s="1">
        <v>20647</v>
      </c>
      <c r="B1637">
        <v>48.69</v>
      </c>
      <c r="C1637">
        <f t="shared" si="70"/>
        <v>3.0902348578491674E-3</v>
      </c>
      <c r="D1637">
        <f t="shared" si="69"/>
        <v>0.29342425363153835</v>
      </c>
    </row>
    <row r="1638" spans="1:4">
      <c r="A1638" s="1">
        <v>20648</v>
      </c>
      <c r="B1638">
        <v>48.58</v>
      </c>
      <c r="C1638">
        <f t="shared" si="70"/>
        <v>-2.2591907989320073E-3</v>
      </c>
      <c r="D1638">
        <f t="shared" si="69"/>
        <v>-0.27147327736642352</v>
      </c>
    </row>
    <row r="1639" spans="1:4">
      <c r="A1639" s="1">
        <v>20649</v>
      </c>
      <c r="B1639">
        <v>48.72</v>
      </c>
      <c r="C1639">
        <f t="shared" si="70"/>
        <v>2.8818443804034702E-3</v>
      </c>
      <c r="D1639">
        <f t="shared" si="69"/>
        <v>0.27141829004863771</v>
      </c>
    </row>
    <row r="1640" spans="1:4">
      <c r="A1640" s="1">
        <v>20652</v>
      </c>
      <c r="B1640">
        <v>49.14</v>
      </c>
      <c r="C1640">
        <f t="shared" si="70"/>
        <v>8.6206896551724484E-3</v>
      </c>
      <c r="D1640">
        <f t="shared" si="69"/>
        <v>0.877438400335952</v>
      </c>
    </row>
    <row r="1641" spans="1:4">
      <c r="A1641" s="1">
        <v>20653</v>
      </c>
      <c r="B1641">
        <v>49.31</v>
      </c>
      <c r="C1641">
        <f t="shared" si="70"/>
        <v>3.4595034595034943E-3</v>
      </c>
      <c r="D1641">
        <f t="shared" si="69"/>
        <v>0.3324188924457388</v>
      </c>
    </row>
    <row r="1642" spans="1:4">
      <c r="A1642" s="1">
        <v>20654</v>
      </c>
      <c r="B1642">
        <v>49.3</v>
      </c>
      <c r="C1642">
        <f t="shared" si="70"/>
        <v>-2.0279862096948115E-4</v>
      </c>
      <c r="D1642">
        <f t="shared" si="69"/>
        <v>-5.4318962375244785E-2</v>
      </c>
    </row>
    <row r="1643" spans="1:4">
      <c r="A1643" s="1">
        <v>20655</v>
      </c>
      <c r="B1643">
        <v>49.32</v>
      </c>
      <c r="C1643">
        <f t="shared" si="70"/>
        <v>4.056795131846476E-4</v>
      </c>
      <c r="D1643">
        <f t="shared" si="69"/>
        <v>9.9361217596639784E-3</v>
      </c>
    </row>
    <row r="1644" spans="1:4">
      <c r="A1644" s="1">
        <v>20656</v>
      </c>
      <c r="B1644">
        <v>49.35</v>
      </c>
      <c r="C1644">
        <f t="shared" si="70"/>
        <v>6.0827250608274806E-4</v>
      </c>
      <c r="D1644">
        <f t="shared" si="69"/>
        <v>3.1329872944999136E-2</v>
      </c>
    </row>
    <row r="1645" spans="1:4">
      <c r="A1645" s="1">
        <v>20659</v>
      </c>
      <c r="B1645">
        <v>49.33</v>
      </c>
      <c r="C1645">
        <f t="shared" si="70"/>
        <v>-4.052684903749367E-4</v>
      </c>
      <c r="D1645">
        <f t="shared" si="69"/>
        <v>-7.5699711761608335E-2</v>
      </c>
    </row>
    <row r="1646" spans="1:4">
      <c r="A1646" s="1">
        <v>20660</v>
      </c>
      <c r="B1646">
        <v>49.33</v>
      </c>
      <c r="C1646">
        <f t="shared" si="70"/>
        <v>0</v>
      </c>
      <c r="D1646">
        <f t="shared" si="69"/>
        <v>-3.29034969354682E-2</v>
      </c>
    </row>
    <row r="1647" spans="1:4">
      <c r="A1647" s="1">
        <v>20661</v>
      </c>
      <c r="B1647">
        <v>49.44</v>
      </c>
      <c r="C1647">
        <f t="shared" si="70"/>
        <v>2.229880397324132E-3</v>
      </c>
      <c r="D1647">
        <f t="shared" si="69"/>
        <v>0.20257111504878508</v>
      </c>
    </row>
    <row r="1648" spans="1:4">
      <c r="A1648" s="1">
        <v>20662</v>
      </c>
      <c r="B1648">
        <v>49.48</v>
      </c>
      <c r="C1648">
        <f t="shared" si="70"/>
        <v>8.0906148867312196E-4</v>
      </c>
      <c r="D1648">
        <f t="shared" si="69"/>
        <v>5.2533121255051274E-2</v>
      </c>
    </row>
    <row r="1649" spans="1:4">
      <c r="A1649" s="1">
        <v>20663</v>
      </c>
      <c r="B1649">
        <v>49.08</v>
      </c>
      <c r="C1649">
        <f t="shared" si="70"/>
        <v>-8.0840743734842072E-3</v>
      </c>
      <c r="D1649">
        <f t="shared" si="69"/>
        <v>-0.88657900286500679</v>
      </c>
    </row>
    <row r="1650" spans="1:4">
      <c r="A1650" s="1">
        <v>20666</v>
      </c>
      <c r="B1650">
        <v>49</v>
      </c>
      <c r="C1650">
        <f t="shared" si="70"/>
        <v>-1.629991850040715E-3</v>
      </c>
      <c r="D1650">
        <f t="shared" si="69"/>
        <v>-0.20503008223861743</v>
      </c>
    </row>
    <row r="1651" spans="1:4">
      <c r="A1651" s="1">
        <v>20667</v>
      </c>
      <c r="B1651">
        <v>49.39</v>
      </c>
      <c r="C1651">
        <f t="shared" si="70"/>
        <v>7.9591836734693999E-3</v>
      </c>
      <c r="D1651">
        <f t="shared" si="69"/>
        <v>0.80758359352491838</v>
      </c>
    </row>
    <row r="1652" spans="1:4">
      <c r="A1652" s="1">
        <v>20668</v>
      </c>
      <c r="B1652">
        <v>49.62</v>
      </c>
      <c r="C1652">
        <f t="shared" si="70"/>
        <v>4.6568131200647274E-3</v>
      </c>
      <c r="D1652">
        <f t="shared" si="69"/>
        <v>0.45885438561567699</v>
      </c>
    </row>
    <row r="1653" spans="1:4">
      <c r="A1653" s="1">
        <v>20669</v>
      </c>
      <c r="B1653">
        <v>49.64</v>
      </c>
      <c r="C1653">
        <f t="shared" si="70"/>
        <v>4.0306328093516982E-4</v>
      </c>
      <c r="D1653">
        <f t="shared" si="69"/>
        <v>9.6598485234196761E-3</v>
      </c>
    </row>
    <row r="1654" spans="1:4">
      <c r="A1654" s="1">
        <v>20670</v>
      </c>
      <c r="B1654">
        <v>49.64</v>
      </c>
      <c r="C1654">
        <f t="shared" si="70"/>
        <v>0</v>
      </c>
      <c r="D1654">
        <f t="shared" si="69"/>
        <v>-3.29034969354682E-2</v>
      </c>
    </row>
    <row r="1655" spans="1:4">
      <c r="A1655" s="1">
        <v>20673</v>
      </c>
      <c r="B1655">
        <v>48.96</v>
      </c>
      <c r="C1655">
        <f t="shared" si="70"/>
        <v>-1.3698630136986295E-2</v>
      </c>
      <c r="D1655">
        <f t="shared" si="69"/>
        <v>-1.4794741830105951</v>
      </c>
    </row>
    <row r="1656" spans="1:4">
      <c r="A1656" s="1">
        <v>20674</v>
      </c>
      <c r="B1656">
        <v>49.16</v>
      </c>
      <c r="C1656">
        <f t="shared" si="70"/>
        <v>4.0849673202613505E-3</v>
      </c>
      <c r="D1656">
        <f t="shared" si="69"/>
        <v>0.39846766353627222</v>
      </c>
    </row>
    <row r="1657" spans="1:4">
      <c r="A1657" s="1">
        <v>20675</v>
      </c>
      <c r="B1657">
        <v>49.36</v>
      </c>
      <c r="C1657">
        <f t="shared" si="70"/>
        <v>4.0683482506103106E-3</v>
      </c>
      <c r="D1657">
        <f t="shared" si="69"/>
        <v>0.39671269543021864</v>
      </c>
    </row>
    <row r="1658" spans="1:4">
      <c r="A1658" s="1">
        <v>20676</v>
      </c>
      <c r="B1658">
        <v>49.32</v>
      </c>
      <c r="C1658">
        <f t="shared" si="70"/>
        <v>-8.1037277147486117E-4</v>
      </c>
      <c r="D1658">
        <f t="shared" si="69"/>
        <v>-0.11847858614412464</v>
      </c>
    </row>
    <row r="1659" spans="1:4">
      <c r="A1659" s="1">
        <v>20677</v>
      </c>
      <c r="B1659">
        <v>49.09</v>
      </c>
      <c r="C1659">
        <f t="shared" si="70"/>
        <v>-4.6634225466341619E-3</v>
      </c>
      <c r="D1659">
        <f t="shared" si="69"/>
        <v>-0.52535933268569246</v>
      </c>
    </row>
    <row r="1660" spans="1:4">
      <c r="A1660" s="1">
        <v>20680</v>
      </c>
      <c r="B1660">
        <v>48.58</v>
      </c>
      <c r="C1660">
        <f t="shared" si="70"/>
        <v>-1.0389081279283053E-2</v>
      </c>
      <c r="D1660">
        <f t="shared" si="69"/>
        <v>-1.1299869486074487</v>
      </c>
    </row>
    <row r="1661" spans="1:4">
      <c r="A1661" s="1">
        <v>20681</v>
      </c>
      <c r="B1661">
        <v>48</v>
      </c>
      <c r="C1661">
        <f t="shared" si="70"/>
        <v>-1.193906957595715E-2</v>
      </c>
      <c r="D1661">
        <f t="shared" si="69"/>
        <v>-1.2936651858696122</v>
      </c>
    </row>
    <row r="1662" spans="1:4">
      <c r="A1662" s="1">
        <v>20682</v>
      </c>
      <c r="B1662">
        <v>48.99</v>
      </c>
      <c r="C1662">
        <f t="shared" si="70"/>
        <v>2.0625000000000043E-2</v>
      </c>
      <c r="D1662">
        <f t="shared" si="69"/>
        <v>2.1450894922864001</v>
      </c>
    </row>
    <row r="1663" spans="1:4">
      <c r="A1663" s="1">
        <v>20683</v>
      </c>
      <c r="B1663">
        <v>48.88</v>
      </c>
      <c r="C1663">
        <f t="shared" si="70"/>
        <v>-2.2453561951418541E-3</v>
      </c>
      <c r="D1663">
        <f t="shared" si="69"/>
        <v>-0.27001234790879364</v>
      </c>
    </row>
    <row r="1664" spans="1:4">
      <c r="A1664" s="1">
        <v>20684</v>
      </c>
      <c r="B1664">
        <v>48.82</v>
      </c>
      <c r="C1664">
        <f t="shared" si="70"/>
        <v>-1.2274959083470186E-3</v>
      </c>
      <c r="D1664">
        <f t="shared" si="69"/>
        <v>-0.16252664761078117</v>
      </c>
    </row>
    <row r="1665" spans="1:4">
      <c r="A1665" s="1">
        <v>20687</v>
      </c>
      <c r="B1665">
        <v>48.25</v>
      </c>
      <c r="C1665">
        <f t="shared" si="70"/>
        <v>-1.1675542810323644E-2</v>
      </c>
      <c r="D1665">
        <f t="shared" si="69"/>
        <v>-1.2658368489958141</v>
      </c>
    </row>
    <row r="1666" spans="1:4">
      <c r="A1666" s="1">
        <v>20688</v>
      </c>
      <c r="B1666">
        <v>47.89</v>
      </c>
      <c r="C1666">
        <f t="shared" si="70"/>
        <v>-7.4611398963730455E-3</v>
      </c>
      <c r="D1666">
        <f t="shared" si="69"/>
        <v>-0.82079733382778519</v>
      </c>
    </row>
    <row r="1667" spans="1:4">
      <c r="A1667" s="1">
        <v>20689</v>
      </c>
      <c r="B1667">
        <v>47.42</v>
      </c>
      <c r="C1667">
        <f t="shared" si="70"/>
        <v>-9.8141574441428028E-3</v>
      </c>
      <c r="D1667">
        <f t="shared" ref="D1667:D1730" si="71">(C1667-avg)/sd</f>
        <v>-1.0692751870427453</v>
      </c>
    </row>
    <row r="1668" spans="1:4">
      <c r="A1668" s="1">
        <v>20690</v>
      </c>
      <c r="B1668">
        <v>48</v>
      </c>
      <c r="C1668">
        <f t="shared" ref="C1668:C1731" si="72">(B1668-B1667)/B1667</f>
        <v>1.2231126107127758E-2</v>
      </c>
      <c r="D1668">
        <f t="shared" si="71"/>
        <v>1.2586992624154538</v>
      </c>
    </row>
    <row r="1669" spans="1:4">
      <c r="A1669" s="1">
        <v>20691</v>
      </c>
      <c r="B1669">
        <v>47.95</v>
      </c>
      <c r="C1669">
        <f t="shared" si="72"/>
        <v>-1.0416666666666075E-3</v>
      </c>
      <c r="D1669">
        <f t="shared" si="71"/>
        <v>-0.14290314285575809</v>
      </c>
    </row>
    <row r="1670" spans="1:4">
      <c r="A1670" s="1">
        <v>20694</v>
      </c>
      <c r="B1670">
        <v>47.66</v>
      </c>
      <c r="C1670">
        <f t="shared" si="72"/>
        <v>-6.0479666319083678E-3</v>
      </c>
      <c r="D1670">
        <f t="shared" si="71"/>
        <v>-0.6715667174612473</v>
      </c>
    </row>
    <row r="1671" spans="1:4">
      <c r="A1671" s="1">
        <v>20695</v>
      </c>
      <c r="B1671">
        <v>47.57</v>
      </c>
      <c r="C1671">
        <f t="shared" si="72"/>
        <v>-1.8883759966428098E-3</v>
      </c>
      <c r="D1671">
        <f t="shared" si="71"/>
        <v>-0.2323153602907598</v>
      </c>
    </row>
    <row r="1672" spans="1:4">
      <c r="A1672" s="1">
        <v>20696</v>
      </c>
      <c r="B1672">
        <v>47.36</v>
      </c>
      <c r="C1672">
        <f t="shared" si="72"/>
        <v>-4.4145469833929123E-3</v>
      </c>
      <c r="D1672">
        <f t="shared" si="71"/>
        <v>-0.49907815780433085</v>
      </c>
    </row>
    <row r="1673" spans="1:4">
      <c r="A1673" s="1">
        <v>20697</v>
      </c>
      <c r="B1673">
        <v>46.94</v>
      </c>
      <c r="C1673">
        <f t="shared" si="72"/>
        <v>-8.8682432432432793E-3</v>
      </c>
      <c r="D1673">
        <f t="shared" si="71"/>
        <v>-0.96938696895961485</v>
      </c>
    </row>
    <row r="1674" spans="1:4">
      <c r="A1674" s="1">
        <v>20698</v>
      </c>
      <c r="B1674">
        <v>47.51</v>
      </c>
      <c r="C1674">
        <f t="shared" si="72"/>
        <v>1.2143161482743935E-2</v>
      </c>
      <c r="D1674">
        <f t="shared" si="71"/>
        <v>1.2494102279811505</v>
      </c>
    </row>
    <row r="1675" spans="1:4">
      <c r="A1675" s="1">
        <v>20702</v>
      </c>
      <c r="B1675">
        <v>47.89</v>
      </c>
      <c r="C1675">
        <f t="shared" si="72"/>
        <v>7.9983161439697442E-3</v>
      </c>
      <c r="D1675">
        <f t="shared" si="71"/>
        <v>0.81171596910798172</v>
      </c>
    </row>
    <row r="1676" spans="1:4">
      <c r="A1676" s="1">
        <v>20703</v>
      </c>
      <c r="B1676">
        <v>48.02</v>
      </c>
      <c r="C1676">
        <f t="shared" si="72"/>
        <v>2.7145541866778569E-3</v>
      </c>
      <c r="D1676">
        <f t="shared" si="71"/>
        <v>0.25375250245591269</v>
      </c>
    </row>
    <row r="1677" spans="1:4">
      <c r="A1677" s="1">
        <v>20704</v>
      </c>
      <c r="B1677">
        <v>48.1</v>
      </c>
      <c r="C1677">
        <f t="shared" si="72"/>
        <v>1.6659725114535253E-3</v>
      </c>
      <c r="D1677">
        <f t="shared" si="71"/>
        <v>0.14302263398245274</v>
      </c>
    </row>
    <row r="1678" spans="1:4">
      <c r="A1678" s="1">
        <v>20705</v>
      </c>
      <c r="B1678">
        <v>47.81</v>
      </c>
      <c r="C1678">
        <f t="shared" si="72"/>
        <v>-6.0291060291060112E-3</v>
      </c>
      <c r="D1678">
        <f t="shared" si="71"/>
        <v>-0.66957504421634884</v>
      </c>
    </row>
    <row r="1679" spans="1:4">
      <c r="A1679" s="1">
        <v>20708</v>
      </c>
      <c r="B1679">
        <v>47.56</v>
      </c>
      <c r="C1679">
        <f t="shared" si="72"/>
        <v>-5.229031583350763E-3</v>
      </c>
      <c r="D1679">
        <f t="shared" si="71"/>
        <v>-0.58508745470311252</v>
      </c>
    </row>
    <row r="1680" spans="1:4">
      <c r="A1680" s="1">
        <v>20709</v>
      </c>
      <c r="B1680">
        <v>47.38</v>
      </c>
      <c r="C1680">
        <f t="shared" si="72"/>
        <v>-3.7846930193439804E-3</v>
      </c>
      <c r="D1680">
        <f t="shared" si="71"/>
        <v>-0.4325657932985284</v>
      </c>
    </row>
    <row r="1681" spans="1:4">
      <c r="A1681" s="1">
        <v>20710</v>
      </c>
      <c r="B1681">
        <v>47.05</v>
      </c>
      <c r="C1681">
        <f t="shared" si="72"/>
        <v>-6.9649641198819201E-3</v>
      </c>
      <c r="D1681">
        <f t="shared" si="71"/>
        <v>-0.76840134048866349</v>
      </c>
    </row>
    <row r="1682" spans="1:4">
      <c r="A1682" s="1">
        <v>20711</v>
      </c>
      <c r="B1682">
        <v>46.09</v>
      </c>
      <c r="C1682">
        <f t="shared" si="72"/>
        <v>-2.0403825717321866E-2</v>
      </c>
      <c r="D1682">
        <f t="shared" si="71"/>
        <v>-2.1875405570873125</v>
      </c>
    </row>
    <row r="1683" spans="1:4">
      <c r="A1683" s="1">
        <v>20712</v>
      </c>
      <c r="B1683">
        <v>47.21</v>
      </c>
      <c r="C1683">
        <f t="shared" si="72"/>
        <v>2.4300282056845247E-2</v>
      </c>
      <c r="D1683">
        <f t="shared" si="71"/>
        <v>2.5331980282001827</v>
      </c>
    </row>
    <row r="1684" spans="1:4">
      <c r="A1684" s="1">
        <v>20715</v>
      </c>
      <c r="B1684">
        <v>47.1</v>
      </c>
      <c r="C1684">
        <f t="shared" si="72"/>
        <v>-2.3300148273670712E-3</v>
      </c>
      <c r="D1684">
        <f t="shared" si="71"/>
        <v>-0.2789522706949093</v>
      </c>
    </row>
    <row r="1685" spans="1:4">
      <c r="A1685" s="1">
        <v>20716</v>
      </c>
      <c r="B1685">
        <v>46.79</v>
      </c>
      <c r="C1685">
        <f t="shared" si="72"/>
        <v>-6.5817409766454832E-3</v>
      </c>
      <c r="D1685">
        <f t="shared" si="71"/>
        <v>-0.72793310682677126</v>
      </c>
    </row>
    <row r="1686" spans="1:4">
      <c r="A1686" s="1">
        <v>20717</v>
      </c>
      <c r="B1686">
        <v>46.24</v>
      </c>
      <c r="C1686">
        <f t="shared" si="72"/>
        <v>-1.1754648429151467E-2</v>
      </c>
      <c r="D1686">
        <f t="shared" si="71"/>
        <v>-1.2741903754547259</v>
      </c>
    </row>
    <row r="1687" spans="1:4">
      <c r="A1687" s="1">
        <v>20718</v>
      </c>
      <c r="B1687">
        <v>46.21</v>
      </c>
      <c r="C1687">
        <f t="shared" si="72"/>
        <v>-6.4878892733566472E-4</v>
      </c>
      <c r="D1687">
        <f t="shared" si="71"/>
        <v>-0.10141538712804279</v>
      </c>
    </row>
    <row r="1688" spans="1:4">
      <c r="A1688" s="1">
        <v>20719</v>
      </c>
      <c r="B1688">
        <v>46.58</v>
      </c>
      <c r="C1688">
        <f t="shared" si="72"/>
        <v>8.0069249080285104E-3</v>
      </c>
      <c r="D1688">
        <f t="shared" si="71"/>
        <v>0.81262505166632626</v>
      </c>
    </row>
    <row r="1689" spans="1:4">
      <c r="A1689" s="1">
        <v>20722</v>
      </c>
      <c r="B1689">
        <v>46.4</v>
      </c>
      <c r="C1689">
        <f t="shared" si="72"/>
        <v>-3.8643194504078943E-3</v>
      </c>
      <c r="D1689">
        <f t="shared" si="71"/>
        <v>-0.44097431735253872</v>
      </c>
    </row>
    <row r="1690" spans="1:4">
      <c r="A1690" s="1">
        <v>20723</v>
      </c>
      <c r="B1690">
        <v>45.75</v>
      </c>
      <c r="C1690">
        <f t="shared" si="72"/>
        <v>-1.4008620689655141E-2</v>
      </c>
      <c r="D1690">
        <f t="shared" si="71"/>
        <v>-1.5122090800015167</v>
      </c>
    </row>
    <row r="1691" spans="1:4">
      <c r="A1691" s="1">
        <v>20724</v>
      </c>
      <c r="B1691">
        <v>45.82</v>
      </c>
      <c r="C1691">
        <f t="shared" si="72"/>
        <v>1.5300546448087495E-3</v>
      </c>
      <c r="D1691">
        <f t="shared" si="71"/>
        <v>0.12866975346549206</v>
      </c>
    </row>
    <row r="1692" spans="1:4">
      <c r="A1692" s="1">
        <v>20725</v>
      </c>
      <c r="B1692">
        <v>45.6</v>
      </c>
      <c r="C1692">
        <f t="shared" si="72"/>
        <v>-4.801396769969421E-3</v>
      </c>
      <c r="D1692">
        <f t="shared" si="71"/>
        <v>-0.53992936377017864</v>
      </c>
    </row>
    <row r="1693" spans="1:4">
      <c r="A1693" s="1">
        <v>20726</v>
      </c>
      <c r="B1693">
        <v>45.35</v>
      </c>
      <c r="C1693">
        <f t="shared" si="72"/>
        <v>-5.4824561403508769E-3</v>
      </c>
      <c r="D1693">
        <f t="shared" si="71"/>
        <v>-0.61184900177913215</v>
      </c>
    </row>
    <row r="1694" spans="1:4">
      <c r="A1694" s="1">
        <v>20729</v>
      </c>
      <c r="B1694">
        <v>44.7</v>
      </c>
      <c r="C1694">
        <f t="shared" si="72"/>
        <v>-1.4332965821389163E-2</v>
      </c>
      <c r="D1694">
        <f t="shared" si="71"/>
        <v>-1.5464598156623621</v>
      </c>
    </row>
    <row r="1695" spans="1:4">
      <c r="A1695" s="1">
        <v>20730</v>
      </c>
      <c r="B1695">
        <v>45.52</v>
      </c>
      <c r="C1695">
        <f t="shared" si="72"/>
        <v>1.834451901565996E-2</v>
      </c>
      <c r="D1695">
        <f t="shared" si="71"/>
        <v>1.9042714755132375</v>
      </c>
    </row>
    <row r="1696" spans="1:4">
      <c r="A1696" s="1">
        <v>20731</v>
      </c>
      <c r="B1696">
        <v>46.28</v>
      </c>
      <c r="C1696">
        <f t="shared" si="72"/>
        <v>1.6695957820738093E-2</v>
      </c>
      <c r="D1696">
        <f t="shared" si="71"/>
        <v>1.7301839737026656</v>
      </c>
    </row>
    <row r="1697" spans="1:4">
      <c r="A1697" s="1">
        <v>20732</v>
      </c>
      <c r="B1697">
        <v>46.29</v>
      </c>
      <c r="C1697">
        <f t="shared" si="72"/>
        <v>2.16076058772645E-4</v>
      </c>
      <c r="D1697">
        <f t="shared" si="71"/>
        <v>-1.0085938576897909E-2</v>
      </c>
    </row>
    <row r="1698" spans="1:4">
      <c r="A1698" s="1">
        <v>20733</v>
      </c>
      <c r="B1698">
        <v>46.45</v>
      </c>
      <c r="C1698">
        <f t="shared" si="72"/>
        <v>3.4564700799309504E-3</v>
      </c>
      <c r="D1698">
        <f t="shared" si="71"/>
        <v>0.33209856859397402</v>
      </c>
    </row>
    <row r="1699" spans="1:4">
      <c r="A1699" s="1">
        <v>20736</v>
      </c>
      <c r="B1699">
        <v>46.43</v>
      </c>
      <c r="C1699">
        <f t="shared" si="72"/>
        <v>-4.3057050592041176E-4</v>
      </c>
      <c r="D1699">
        <f t="shared" si="71"/>
        <v>-7.8371596002637545E-2</v>
      </c>
    </row>
    <row r="1700" spans="1:4">
      <c r="A1700" s="1">
        <v>20737</v>
      </c>
      <c r="B1700">
        <v>46.2</v>
      </c>
      <c r="C1700">
        <f t="shared" si="72"/>
        <v>-4.9536937325004712E-3</v>
      </c>
      <c r="D1700">
        <f t="shared" si="71"/>
        <v>-0.55601187124520468</v>
      </c>
    </row>
    <row r="1701" spans="1:4">
      <c r="A1701" s="1">
        <v>20738</v>
      </c>
      <c r="B1701">
        <v>46.84</v>
      </c>
      <c r="C1701">
        <f t="shared" si="72"/>
        <v>1.3852813852813865E-2</v>
      </c>
      <c r="D1701">
        <f t="shared" si="71"/>
        <v>1.4299489371214587</v>
      </c>
    </row>
    <row r="1702" spans="1:4">
      <c r="A1702" s="1">
        <v>20739</v>
      </c>
      <c r="B1702">
        <v>46.81</v>
      </c>
      <c r="C1702">
        <f t="shared" si="72"/>
        <v>-6.4047822374041702E-4</v>
      </c>
      <c r="D1702">
        <f t="shared" si="71"/>
        <v>-0.10053777965333005</v>
      </c>
    </row>
    <row r="1703" spans="1:4">
      <c r="A1703" s="1">
        <v>20740</v>
      </c>
      <c r="B1703">
        <v>47</v>
      </c>
      <c r="C1703">
        <f t="shared" si="72"/>
        <v>4.058961760307578E-3</v>
      </c>
      <c r="D1703">
        <f t="shared" si="71"/>
        <v>0.39572148524487316</v>
      </c>
    </row>
    <row r="1704" spans="1:4">
      <c r="A1704" s="1">
        <v>20743</v>
      </c>
      <c r="B1704">
        <v>46.86</v>
      </c>
      <c r="C1704">
        <f t="shared" si="72"/>
        <v>-2.9787234042553314E-3</v>
      </c>
      <c r="D1704">
        <f t="shared" si="71"/>
        <v>-0.34745567590755039</v>
      </c>
    </row>
    <row r="1705" spans="1:4">
      <c r="A1705" s="1">
        <v>20744</v>
      </c>
      <c r="B1705">
        <v>46.62</v>
      </c>
      <c r="C1705">
        <f t="shared" si="72"/>
        <v>-5.1216389244558682E-3</v>
      </c>
      <c r="D1705">
        <f t="shared" si="71"/>
        <v>-0.57374682642835007</v>
      </c>
    </row>
    <row r="1706" spans="1:4">
      <c r="A1706" s="1">
        <v>20745</v>
      </c>
      <c r="B1706">
        <v>46.26</v>
      </c>
      <c r="C1706">
        <f t="shared" si="72"/>
        <v>-7.72200772200771E-3</v>
      </c>
      <c r="D1706">
        <f t="shared" si="71"/>
        <v>-0.84834488754152326</v>
      </c>
    </row>
    <row r="1707" spans="1:4">
      <c r="A1707" s="1">
        <v>20746</v>
      </c>
      <c r="B1707">
        <v>46.34</v>
      </c>
      <c r="C1707">
        <f t="shared" si="72"/>
        <v>1.7293558149590446E-3</v>
      </c>
      <c r="D1707">
        <f t="shared" si="71"/>
        <v>0.1497158892876039</v>
      </c>
    </row>
    <row r="1708" spans="1:4">
      <c r="A1708" s="1">
        <v>20747</v>
      </c>
      <c r="B1708">
        <v>46.24</v>
      </c>
      <c r="C1708">
        <f t="shared" si="72"/>
        <v>-2.1579628830384421E-3</v>
      </c>
      <c r="D1708">
        <f t="shared" si="71"/>
        <v>-0.26078364385710345</v>
      </c>
    </row>
    <row r="1709" spans="1:4">
      <c r="A1709" s="1">
        <v>20750</v>
      </c>
      <c r="B1709">
        <v>46.23</v>
      </c>
      <c r="C1709">
        <f t="shared" si="72"/>
        <v>-2.1626297577865734E-4</v>
      </c>
      <c r="D1709">
        <f t="shared" si="71"/>
        <v>-5.5740793666337211E-2</v>
      </c>
    </row>
    <row r="1710" spans="1:4">
      <c r="A1710" s="1">
        <v>20751</v>
      </c>
      <c r="B1710">
        <v>46.12</v>
      </c>
      <c r="C1710">
        <f t="shared" si="72"/>
        <v>-2.3794073112697262E-3</v>
      </c>
      <c r="D1710">
        <f t="shared" si="71"/>
        <v>-0.2841681002057086</v>
      </c>
    </row>
    <row r="1711" spans="1:4">
      <c r="A1711" s="1">
        <v>20752</v>
      </c>
      <c r="B1711">
        <v>45.93</v>
      </c>
      <c r="C1711">
        <f t="shared" si="72"/>
        <v>-4.1196877710320415E-3</v>
      </c>
      <c r="D1711">
        <f t="shared" si="71"/>
        <v>-0.46794112520653897</v>
      </c>
    </row>
    <row r="1712" spans="1:4">
      <c r="A1712" s="1">
        <v>20753</v>
      </c>
      <c r="B1712">
        <v>45.85</v>
      </c>
      <c r="C1712">
        <f t="shared" si="72"/>
        <v>-1.7417809710428543E-3</v>
      </c>
      <c r="D1712">
        <f t="shared" si="71"/>
        <v>-0.21683497541747482</v>
      </c>
    </row>
    <row r="1713" spans="1:4">
      <c r="A1713" s="1">
        <v>20754</v>
      </c>
      <c r="B1713">
        <v>46.27</v>
      </c>
      <c r="C1713">
        <f t="shared" si="72"/>
        <v>9.1603053435114871E-3</v>
      </c>
      <c r="D1713">
        <f t="shared" si="71"/>
        <v>0.93442163360026986</v>
      </c>
    </row>
    <row r="1714" spans="1:4">
      <c r="A1714" s="1">
        <v>20757</v>
      </c>
      <c r="B1714">
        <v>46.4</v>
      </c>
      <c r="C1714">
        <f t="shared" si="72"/>
        <v>2.8095958504429533E-3</v>
      </c>
      <c r="D1714">
        <f t="shared" si="71"/>
        <v>0.26378886984327571</v>
      </c>
    </row>
    <row r="1715" spans="1:4">
      <c r="A1715" s="1">
        <v>20758</v>
      </c>
      <c r="B1715">
        <v>46.37</v>
      </c>
      <c r="C1715">
        <f t="shared" si="72"/>
        <v>-6.4655172413795553E-4</v>
      </c>
      <c r="D1715">
        <f t="shared" si="71"/>
        <v>-0.10117913923082701</v>
      </c>
    </row>
    <row r="1716" spans="1:4">
      <c r="A1716" s="1">
        <v>20759</v>
      </c>
      <c r="B1716">
        <v>45.58</v>
      </c>
      <c r="C1716">
        <f t="shared" si="72"/>
        <v>-1.703687729135215E-2</v>
      </c>
      <c r="D1716">
        <f t="shared" si="71"/>
        <v>-1.8319919477862883</v>
      </c>
    </row>
    <row r="1717" spans="1:4">
      <c r="A1717" s="1">
        <v>20760</v>
      </c>
      <c r="B1717">
        <v>46.52</v>
      </c>
      <c r="C1717">
        <f t="shared" si="72"/>
        <v>2.0623080298376589E-2</v>
      </c>
      <c r="D1717">
        <f t="shared" si="71"/>
        <v>2.1448867724475016</v>
      </c>
    </row>
    <row r="1718" spans="1:4">
      <c r="A1718" s="1">
        <v>20761</v>
      </c>
      <c r="B1718">
        <v>46.98</v>
      </c>
      <c r="C1718">
        <f t="shared" si="72"/>
        <v>9.8882201203781966E-3</v>
      </c>
      <c r="D1718">
        <f t="shared" si="71"/>
        <v>1.0112891866071396</v>
      </c>
    </row>
    <row r="1719" spans="1:4">
      <c r="A1719" s="1">
        <v>20764</v>
      </c>
      <c r="B1719">
        <v>47.6</v>
      </c>
      <c r="C1719">
        <f t="shared" si="72"/>
        <v>1.3197105151128237E-2</v>
      </c>
      <c r="D1719">
        <f t="shared" si="71"/>
        <v>1.3607063211096735</v>
      </c>
    </row>
    <row r="1720" spans="1:4">
      <c r="A1720" s="1">
        <v>20766</v>
      </c>
      <c r="B1720">
        <v>47.11</v>
      </c>
      <c r="C1720">
        <f t="shared" si="72"/>
        <v>-1.0294117647058865E-2</v>
      </c>
      <c r="D1720">
        <f t="shared" si="71"/>
        <v>-1.1199588213242815</v>
      </c>
    </row>
    <row r="1721" spans="1:4">
      <c r="A1721" s="1">
        <v>20767</v>
      </c>
      <c r="B1721">
        <v>46.73</v>
      </c>
      <c r="C1721">
        <f t="shared" si="72"/>
        <v>-8.0662279770749856E-3</v>
      </c>
      <c r="D1721">
        <f t="shared" si="71"/>
        <v>-0.88469442947047783</v>
      </c>
    </row>
    <row r="1722" spans="1:4">
      <c r="A1722" s="1">
        <v>20768</v>
      </c>
      <c r="B1722">
        <v>46.34</v>
      </c>
      <c r="C1722">
        <f t="shared" si="72"/>
        <v>-8.3458163920392351E-3</v>
      </c>
      <c r="D1722">
        <f t="shared" si="71"/>
        <v>-0.91421887105398281</v>
      </c>
    </row>
    <row r="1723" spans="1:4">
      <c r="A1723" s="1">
        <v>20771</v>
      </c>
      <c r="B1723">
        <v>46.49</v>
      </c>
      <c r="C1723">
        <f t="shared" si="72"/>
        <v>3.2369443245575868E-3</v>
      </c>
      <c r="D1723">
        <f t="shared" si="71"/>
        <v>0.30891672344697668</v>
      </c>
    </row>
    <row r="1724" spans="1:4">
      <c r="A1724" s="1">
        <v>20772</v>
      </c>
      <c r="B1724">
        <v>46.27</v>
      </c>
      <c r="C1724">
        <f t="shared" si="72"/>
        <v>-4.7322004732200228E-3</v>
      </c>
      <c r="D1724">
        <f t="shared" si="71"/>
        <v>-0.53262225835440624</v>
      </c>
    </row>
    <row r="1725" spans="1:4">
      <c r="A1725" s="1">
        <v>20773</v>
      </c>
      <c r="B1725">
        <v>46.01</v>
      </c>
      <c r="C1725">
        <f t="shared" si="72"/>
        <v>-5.6191917008862136E-3</v>
      </c>
      <c r="D1725">
        <f t="shared" si="71"/>
        <v>-0.62628823049298843</v>
      </c>
    </row>
    <row r="1726" spans="1:4">
      <c r="A1726" s="1">
        <v>20774</v>
      </c>
      <c r="B1726">
        <v>45.72</v>
      </c>
      <c r="C1726">
        <f t="shared" si="72"/>
        <v>-6.3029776135622509E-3</v>
      </c>
      <c r="D1726">
        <f t="shared" si="71"/>
        <v>-0.69849579044145305</v>
      </c>
    </row>
    <row r="1727" spans="1:4">
      <c r="A1727" s="1">
        <v>20775</v>
      </c>
      <c r="B1727">
        <v>45.74</v>
      </c>
      <c r="C1727">
        <f t="shared" si="72"/>
        <v>4.3744531933515149E-4</v>
      </c>
      <c r="D1727">
        <f t="shared" si="71"/>
        <v>1.3290580091435045E-2</v>
      </c>
    </row>
    <row r="1728" spans="1:4">
      <c r="A1728" s="1">
        <v>20778</v>
      </c>
      <c r="B1728">
        <v>45.29</v>
      </c>
      <c r="C1728">
        <f t="shared" si="72"/>
        <v>-9.8382160034980945E-3</v>
      </c>
      <c r="D1728">
        <f t="shared" si="71"/>
        <v>-1.0718157627327625</v>
      </c>
    </row>
    <row r="1729" spans="1:4">
      <c r="A1729" s="1">
        <v>20779</v>
      </c>
      <c r="B1729">
        <v>44.89</v>
      </c>
      <c r="C1729">
        <f t="shared" si="72"/>
        <v>-8.831971737690408E-3</v>
      </c>
      <c r="D1729">
        <f t="shared" si="71"/>
        <v>-0.96555671030251544</v>
      </c>
    </row>
    <row r="1730" spans="1:4">
      <c r="A1730" s="1">
        <v>20780</v>
      </c>
      <c r="B1730">
        <v>44.67</v>
      </c>
      <c r="C1730">
        <f t="shared" si="72"/>
        <v>-4.9008687903764501E-3</v>
      </c>
      <c r="D1730">
        <f t="shared" si="71"/>
        <v>-0.55043357531297832</v>
      </c>
    </row>
    <row r="1731" spans="1:4">
      <c r="A1731" s="1">
        <v>20782</v>
      </c>
      <c r="B1731">
        <v>45.14</v>
      </c>
      <c r="C1731">
        <f t="shared" si="72"/>
        <v>1.0521602865457776E-2</v>
      </c>
      <c r="D1731">
        <f t="shared" ref="D1731:D1794" si="73">(C1731-avg)/sd</f>
        <v>1.0781741891902874</v>
      </c>
    </row>
    <row r="1732" spans="1:4">
      <c r="A1732" s="1">
        <v>20785</v>
      </c>
      <c r="B1732">
        <v>44.87</v>
      </c>
      <c r="C1732">
        <f t="shared" ref="C1732:C1795" si="74">(B1732-B1731)/B1731</f>
        <v>-5.9813912272929362E-3</v>
      </c>
      <c r="D1732">
        <f t="shared" si="73"/>
        <v>-0.66453637736393734</v>
      </c>
    </row>
    <row r="1733" spans="1:4">
      <c r="A1733" s="1">
        <v>20786</v>
      </c>
      <c r="B1733">
        <v>44.91</v>
      </c>
      <c r="C1733">
        <f t="shared" si="74"/>
        <v>8.9146422999775241E-4</v>
      </c>
      <c r="D1733">
        <f t="shared" si="73"/>
        <v>6.1234822728879534E-2</v>
      </c>
    </row>
    <row r="1734" spans="1:4">
      <c r="A1734" s="1">
        <v>20787</v>
      </c>
      <c r="B1734">
        <v>44.43</v>
      </c>
      <c r="C1734">
        <f t="shared" si="74"/>
        <v>-1.068804275217094E-2</v>
      </c>
      <c r="D1734">
        <f t="shared" si="73"/>
        <v>-1.1615571785224674</v>
      </c>
    </row>
    <row r="1735" spans="1:4">
      <c r="A1735" s="1">
        <v>20788</v>
      </c>
      <c r="B1735">
        <v>44.38</v>
      </c>
      <c r="C1735">
        <f t="shared" si="74"/>
        <v>-1.1253657438666928E-3</v>
      </c>
      <c r="D1735">
        <f t="shared" si="73"/>
        <v>-0.15174173695738841</v>
      </c>
    </row>
    <row r="1736" spans="1:4">
      <c r="A1736" s="1">
        <v>20789</v>
      </c>
      <c r="B1736">
        <v>45.08</v>
      </c>
      <c r="C1736">
        <f t="shared" si="74"/>
        <v>1.577287066246047E-2</v>
      </c>
      <c r="D1736">
        <f t="shared" si="73"/>
        <v>1.6327062835611195</v>
      </c>
    </row>
    <row r="1737" spans="1:4">
      <c r="A1737" s="1">
        <v>20792</v>
      </c>
      <c r="B1737">
        <v>45.98</v>
      </c>
      <c r="C1737">
        <f t="shared" si="74"/>
        <v>1.9964507542147264E-2</v>
      </c>
      <c r="D1737">
        <f t="shared" si="73"/>
        <v>2.0753417132494416</v>
      </c>
    </row>
    <row r="1738" spans="1:4">
      <c r="A1738" s="1">
        <v>20793</v>
      </c>
      <c r="B1738">
        <v>45.84</v>
      </c>
      <c r="C1738">
        <f t="shared" si="74"/>
        <v>-3.044802087864147E-3</v>
      </c>
      <c r="D1738">
        <f t="shared" si="73"/>
        <v>-0.35443356243540541</v>
      </c>
    </row>
    <row r="1739" spans="1:4">
      <c r="A1739" s="1">
        <v>20794</v>
      </c>
      <c r="B1739">
        <v>46.39</v>
      </c>
      <c r="C1739">
        <f t="shared" si="74"/>
        <v>1.1998254799301857E-2</v>
      </c>
      <c r="D1739">
        <f t="shared" si="73"/>
        <v>1.2341081314658422</v>
      </c>
    </row>
    <row r="1740" spans="1:4">
      <c r="A1740" s="1">
        <v>20795</v>
      </c>
      <c r="B1740">
        <v>46.81</v>
      </c>
      <c r="C1740">
        <f t="shared" si="74"/>
        <v>9.0536753610692324E-3</v>
      </c>
      <c r="D1740">
        <f t="shared" si="73"/>
        <v>0.92316154369965986</v>
      </c>
    </row>
    <row r="1741" spans="1:4">
      <c r="A1741" s="1">
        <v>20796</v>
      </c>
      <c r="B1741">
        <v>47.04</v>
      </c>
      <c r="C1741">
        <f t="shared" si="74"/>
        <v>4.9134800256354812E-3</v>
      </c>
      <c r="D1741">
        <f t="shared" si="73"/>
        <v>0.48595832359862834</v>
      </c>
    </row>
    <row r="1742" spans="1:4">
      <c r="A1742" s="1">
        <v>20799</v>
      </c>
      <c r="B1742">
        <v>46.8</v>
      </c>
      <c r="C1742">
        <f t="shared" si="74"/>
        <v>-5.1020408163265727E-3</v>
      </c>
      <c r="D1742">
        <f t="shared" si="73"/>
        <v>-0.57167727287161707</v>
      </c>
    </row>
    <row r="1743" spans="1:4">
      <c r="A1743" s="1">
        <v>20800</v>
      </c>
      <c r="B1743">
        <v>46.48</v>
      </c>
      <c r="C1743">
        <f t="shared" si="74"/>
        <v>-6.8376068376068437E-3</v>
      </c>
      <c r="D1743">
        <f t="shared" si="73"/>
        <v>-0.75495245477125905</v>
      </c>
    </row>
    <row r="1744" spans="1:4">
      <c r="A1744" s="1">
        <v>20801</v>
      </c>
      <c r="B1744">
        <v>46.13</v>
      </c>
      <c r="C1744">
        <f t="shared" si="74"/>
        <v>-7.5301204819275894E-3</v>
      </c>
      <c r="D1744">
        <f t="shared" si="73"/>
        <v>-0.82808166021470464</v>
      </c>
    </row>
    <row r="1745" spans="1:4">
      <c r="A1745" s="1">
        <v>20802</v>
      </c>
      <c r="B1745">
        <v>46.5</v>
      </c>
      <c r="C1745">
        <f t="shared" si="74"/>
        <v>8.0208107522219251E-3</v>
      </c>
      <c r="D1745">
        <f t="shared" si="73"/>
        <v>0.81409139209312309</v>
      </c>
    </row>
    <row r="1746" spans="1:4">
      <c r="A1746" s="1">
        <v>20803</v>
      </c>
      <c r="B1746">
        <v>46.54</v>
      </c>
      <c r="C1746">
        <f t="shared" si="74"/>
        <v>8.6021505376342254E-4</v>
      </c>
      <c r="D1746">
        <f t="shared" si="73"/>
        <v>5.7934920340645395E-2</v>
      </c>
    </row>
    <row r="1747" spans="1:4">
      <c r="A1747" s="1">
        <v>20806</v>
      </c>
      <c r="B1747">
        <v>46.54</v>
      </c>
      <c r="C1747">
        <f t="shared" si="74"/>
        <v>0</v>
      </c>
      <c r="D1747">
        <f t="shared" si="73"/>
        <v>-3.29034969354682E-2</v>
      </c>
    </row>
    <row r="1748" spans="1:4">
      <c r="A1748" s="1">
        <v>20807</v>
      </c>
      <c r="B1748">
        <v>46.54</v>
      </c>
      <c r="C1748">
        <f t="shared" si="74"/>
        <v>0</v>
      </c>
      <c r="D1748">
        <f t="shared" si="73"/>
        <v>-3.29034969354682E-2</v>
      </c>
    </row>
    <row r="1749" spans="1:4">
      <c r="A1749" s="1">
        <v>20808</v>
      </c>
      <c r="B1749">
        <v>46.43</v>
      </c>
      <c r="C1749">
        <f t="shared" si="74"/>
        <v>-2.3635582294800049E-3</v>
      </c>
      <c r="D1749">
        <f t="shared" si="73"/>
        <v>-0.2824944425560787</v>
      </c>
    </row>
    <row r="1750" spans="1:4">
      <c r="A1750" s="1">
        <v>20809</v>
      </c>
      <c r="B1750">
        <v>46.07</v>
      </c>
      <c r="C1750">
        <f t="shared" si="74"/>
        <v>-7.7536075813051785E-3</v>
      </c>
      <c r="D1750">
        <f t="shared" si="73"/>
        <v>-0.85168182194202191</v>
      </c>
    </row>
    <row r="1751" spans="1:4">
      <c r="A1751" s="1">
        <v>20810</v>
      </c>
      <c r="B1751">
        <v>46.37</v>
      </c>
      <c r="C1751">
        <f t="shared" si="74"/>
        <v>6.5118298241805331E-3</v>
      </c>
      <c r="D1751">
        <f t="shared" si="73"/>
        <v>0.65474351901949146</v>
      </c>
    </row>
    <row r="1752" spans="1:4">
      <c r="A1752" s="1">
        <v>20815</v>
      </c>
      <c r="B1752">
        <v>46.39</v>
      </c>
      <c r="C1752">
        <f t="shared" si="74"/>
        <v>4.3131334914822358E-4</v>
      </c>
      <c r="D1752">
        <f t="shared" si="73"/>
        <v>1.2643046124053398E-2</v>
      </c>
    </row>
    <row r="1753" spans="1:4">
      <c r="A1753" s="1">
        <v>20816</v>
      </c>
      <c r="B1753">
        <v>46.35</v>
      </c>
      <c r="C1753">
        <f t="shared" si="74"/>
        <v>-8.6225479629228603E-4</v>
      </c>
      <c r="D1753">
        <f t="shared" si="73"/>
        <v>-0.1239573103292876</v>
      </c>
    </row>
    <row r="1754" spans="1:4">
      <c r="A1754" s="1">
        <v>20817</v>
      </c>
      <c r="B1754">
        <v>46.56</v>
      </c>
      <c r="C1754">
        <f t="shared" si="74"/>
        <v>4.5307443365695975E-3</v>
      </c>
      <c r="D1754">
        <f t="shared" si="73"/>
        <v>0.44554156493145286</v>
      </c>
    </row>
    <row r="1755" spans="1:4">
      <c r="A1755" s="1">
        <v>20820</v>
      </c>
      <c r="B1755">
        <v>46.67</v>
      </c>
      <c r="C1755">
        <f t="shared" si="74"/>
        <v>2.3625429553264482E-3</v>
      </c>
      <c r="D1755">
        <f t="shared" si="73"/>
        <v>0.2165802360796352</v>
      </c>
    </row>
    <row r="1756" spans="1:4">
      <c r="A1756" s="1">
        <v>20822</v>
      </c>
      <c r="B1756">
        <v>46.2</v>
      </c>
      <c r="C1756">
        <f t="shared" si="74"/>
        <v>-1.0070709235054614E-2</v>
      </c>
      <c r="D1756">
        <f t="shared" si="73"/>
        <v>-1.0963669689568416</v>
      </c>
    </row>
    <row r="1757" spans="1:4">
      <c r="A1757" s="1">
        <v>20823</v>
      </c>
      <c r="B1757">
        <v>46.6</v>
      </c>
      <c r="C1757">
        <f t="shared" si="74"/>
        <v>8.6580086580086268E-3</v>
      </c>
      <c r="D1757">
        <f t="shared" si="73"/>
        <v>0.88137927435010699</v>
      </c>
    </row>
    <row r="1758" spans="1:4">
      <c r="A1758" s="1">
        <v>20824</v>
      </c>
      <c r="B1758">
        <v>46.66</v>
      </c>
      <c r="C1758">
        <f t="shared" si="74"/>
        <v>1.2875536480685657E-3</v>
      </c>
      <c r="D1758">
        <f t="shared" si="73"/>
        <v>0.10306173063982253</v>
      </c>
    </row>
    <row r="1759" spans="1:4">
      <c r="A1759" s="1">
        <v>20827</v>
      </c>
      <c r="B1759">
        <v>46.42</v>
      </c>
      <c r="C1759">
        <f t="shared" si="74"/>
        <v>-5.143591941705849E-3</v>
      </c>
      <c r="D1759">
        <f t="shared" si="73"/>
        <v>-0.57606505758775495</v>
      </c>
    </row>
    <row r="1760" spans="1:4">
      <c r="A1760" s="1">
        <v>20828</v>
      </c>
      <c r="B1760">
        <v>46.25</v>
      </c>
      <c r="C1760">
        <f t="shared" si="74"/>
        <v>-3.6622145626885329E-3</v>
      </c>
      <c r="D1760">
        <f t="shared" si="73"/>
        <v>-0.41963210990816341</v>
      </c>
    </row>
    <row r="1761" spans="1:4">
      <c r="A1761" s="1">
        <v>20829</v>
      </c>
      <c r="B1761">
        <v>46.16</v>
      </c>
      <c r="C1761">
        <f t="shared" si="74"/>
        <v>-1.9459459459460198E-3</v>
      </c>
      <c r="D1761">
        <f t="shared" si="73"/>
        <v>-0.23839472736820222</v>
      </c>
    </row>
    <row r="1762" spans="1:4">
      <c r="A1762" s="1">
        <v>20830</v>
      </c>
      <c r="B1762">
        <v>46.27</v>
      </c>
      <c r="C1762">
        <f t="shared" si="74"/>
        <v>2.383015597920419E-3</v>
      </c>
      <c r="D1762">
        <f t="shared" si="73"/>
        <v>0.21874214017856916</v>
      </c>
    </row>
    <row r="1763" spans="1:4">
      <c r="A1763" s="1">
        <v>20831</v>
      </c>
      <c r="B1763">
        <v>46.18</v>
      </c>
      <c r="C1763">
        <f t="shared" si="74"/>
        <v>-1.9451048195375709E-3</v>
      </c>
      <c r="D1763">
        <f t="shared" si="73"/>
        <v>-0.23830590470538279</v>
      </c>
    </row>
    <row r="1764" spans="1:4">
      <c r="A1764" s="1">
        <v>20834</v>
      </c>
      <c r="B1764">
        <v>45.86</v>
      </c>
      <c r="C1764">
        <f t="shared" si="74"/>
        <v>-6.9294066695539253E-3</v>
      </c>
      <c r="D1764">
        <f t="shared" si="73"/>
        <v>-0.7646464858205918</v>
      </c>
    </row>
    <row r="1765" spans="1:4">
      <c r="A1765" s="1">
        <v>20835</v>
      </c>
      <c r="B1765">
        <v>45.18</v>
      </c>
      <c r="C1765">
        <f t="shared" si="74"/>
        <v>-1.4827736589620579E-2</v>
      </c>
      <c r="D1765">
        <f t="shared" si="73"/>
        <v>-1.5987074406068442</v>
      </c>
    </row>
    <row r="1766" spans="1:4">
      <c r="A1766" s="1">
        <v>20836</v>
      </c>
      <c r="B1766">
        <v>45.23</v>
      </c>
      <c r="C1766">
        <f t="shared" si="74"/>
        <v>1.1066843736165816E-3</v>
      </c>
      <c r="D1766">
        <f t="shared" si="73"/>
        <v>8.3961996738146569E-2</v>
      </c>
    </row>
    <row r="1767" spans="1:4">
      <c r="A1767" s="1">
        <v>20837</v>
      </c>
      <c r="B1767">
        <v>45.22</v>
      </c>
      <c r="C1767">
        <f t="shared" si="74"/>
        <v>-2.2109219544545679E-4</v>
      </c>
      <c r="D1767">
        <f t="shared" si="73"/>
        <v>-5.6250757621619719E-2</v>
      </c>
    </row>
    <row r="1768" spans="1:4">
      <c r="A1768" s="1">
        <v>20838</v>
      </c>
      <c r="B1768">
        <v>44.64</v>
      </c>
      <c r="C1768">
        <f t="shared" si="74"/>
        <v>-1.2826183104820839E-2</v>
      </c>
      <c r="D1768">
        <f t="shared" si="73"/>
        <v>-1.3873440729730782</v>
      </c>
    </row>
    <row r="1769" spans="1:4">
      <c r="A1769" s="1">
        <v>20841</v>
      </c>
      <c r="B1769">
        <v>44.4</v>
      </c>
      <c r="C1769">
        <f t="shared" si="74"/>
        <v>-5.37634408602155E-3</v>
      </c>
      <c r="D1769">
        <f t="shared" si="73"/>
        <v>-0.60064360491119506</v>
      </c>
    </row>
    <row r="1770" spans="1:4">
      <c r="A1770" s="1">
        <v>20842</v>
      </c>
      <c r="B1770">
        <v>44.53</v>
      </c>
      <c r="C1770">
        <f t="shared" si="74"/>
        <v>2.9279279279279856E-3</v>
      </c>
      <c r="D1770">
        <f t="shared" si="73"/>
        <v>0.27628469700266761</v>
      </c>
    </row>
    <row r="1771" spans="1:4">
      <c r="A1771" s="1">
        <v>20843</v>
      </c>
      <c r="B1771">
        <v>44.87</v>
      </c>
      <c r="C1771">
        <f t="shared" si="74"/>
        <v>7.6353020435660519E-3</v>
      </c>
      <c r="D1771">
        <f t="shared" si="73"/>
        <v>0.77338180349983998</v>
      </c>
    </row>
    <row r="1772" spans="1:4">
      <c r="A1772" s="1">
        <v>20844</v>
      </c>
      <c r="B1772">
        <v>45.03</v>
      </c>
      <c r="C1772">
        <f t="shared" si="74"/>
        <v>3.5658569199911679E-3</v>
      </c>
      <c r="D1772">
        <f t="shared" si="73"/>
        <v>0.34364978172193944</v>
      </c>
    </row>
    <row r="1773" spans="1:4">
      <c r="A1773" s="1">
        <v>20845</v>
      </c>
      <c r="B1773">
        <v>44.82</v>
      </c>
      <c r="C1773">
        <f t="shared" si="74"/>
        <v>-4.6635576282478535E-3</v>
      </c>
      <c r="D1773">
        <f t="shared" si="73"/>
        <v>-0.52537359725818189</v>
      </c>
    </row>
    <row r="1774" spans="1:4">
      <c r="A1774" s="1">
        <v>20848</v>
      </c>
      <c r="B1774">
        <v>44.49</v>
      </c>
      <c r="C1774">
        <f t="shared" si="74"/>
        <v>-7.3627844712181685E-3</v>
      </c>
      <c r="D1774">
        <f t="shared" si="73"/>
        <v>-0.81041103436406359</v>
      </c>
    </row>
    <row r="1775" spans="1:4">
      <c r="A1775" s="1">
        <v>20849</v>
      </c>
      <c r="B1775">
        <v>44.71</v>
      </c>
      <c r="C1775">
        <f t="shared" si="74"/>
        <v>4.9449314452685742E-3</v>
      </c>
      <c r="D1775">
        <f t="shared" si="73"/>
        <v>0.48927958282102596</v>
      </c>
    </row>
    <row r="1776" spans="1:4">
      <c r="A1776" s="1">
        <v>20850</v>
      </c>
      <c r="B1776">
        <v>44.91</v>
      </c>
      <c r="C1776">
        <f t="shared" si="74"/>
        <v>4.4732721986131905E-3</v>
      </c>
      <c r="D1776">
        <f t="shared" si="73"/>
        <v>0.43947252669898518</v>
      </c>
    </row>
    <row r="1777" spans="1:4">
      <c r="A1777" s="1">
        <v>20851</v>
      </c>
      <c r="B1777">
        <v>44.72</v>
      </c>
      <c r="C1777">
        <f t="shared" si="74"/>
        <v>-4.230683589400974E-3</v>
      </c>
      <c r="D1777">
        <f t="shared" si="73"/>
        <v>-0.47966224589698636</v>
      </c>
    </row>
    <row r="1778" spans="1:4">
      <c r="A1778" s="1">
        <v>20852</v>
      </c>
      <c r="B1778">
        <v>44.62</v>
      </c>
      <c r="C1778">
        <f t="shared" si="74"/>
        <v>-2.2361359570662216E-3</v>
      </c>
      <c r="D1778">
        <f t="shared" si="73"/>
        <v>-0.26903869390211804</v>
      </c>
    </row>
    <row r="1779" spans="1:4">
      <c r="A1779" s="1">
        <v>20855</v>
      </c>
      <c r="B1779">
        <v>44.53</v>
      </c>
      <c r="C1779">
        <f t="shared" si="74"/>
        <v>-2.0170327207529428E-3</v>
      </c>
      <c r="D1779">
        <f t="shared" si="73"/>
        <v>-0.24590146662424447</v>
      </c>
    </row>
    <row r="1780" spans="1:4">
      <c r="A1780" s="1">
        <v>20856</v>
      </c>
      <c r="B1780">
        <v>43.89</v>
      </c>
      <c r="C1780">
        <f t="shared" si="74"/>
        <v>-1.4372333258477444E-2</v>
      </c>
      <c r="D1780">
        <f t="shared" si="73"/>
        <v>-1.5506170036372426</v>
      </c>
    </row>
    <row r="1781" spans="1:4">
      <c r="A1781" s="1">
        <v>20857</v>
      </c>
      <c r="B1781">
        <v>43.82</v>
      </c>
      <c r="C1781">
        <f t="shared" si="74"/>
        <v>-1.5948963317384435E-3</v>
      </c>
      <c r="D1781">
        <f t="shared" si="73"/>
        <v>-0.20132400743544385</v>
      </c>
    </row>
    <row r="1782" spans="1:4">
      <c r="A1782" s="1">
        <v>20858</v>
      </c>
      <c r="B1782">
        <v>43.62</v>
      </c>
      <c r="C1782">
        <f t="shared" si="74"/>
        <v>-4.5641259698768338E-3</v>
      </c>
      <c r="D1782">
        <f t="shared" si="73"/>
        <v>-0.51487364793266499</v>
      </c>
    </row>
    <row r="1783" spans="1:4">
      <c r="A1783" s="1">
        <v>20859</v>
      </c>
      <c r="B1783">
        <v>43.32</v>
      </c>
      <c r="C1783">
        <f t="shared" si="74"/>
        <v>-6.8775790921594953E-3</v>
      </c>
      <c r="D1783">
        <f t="shared" si="73"/>
        <v>-0.75917351126478949</v>
      </c>
    </row>
    <row r="1784" spans="1:4">
      <c r="A1784" s="1">
        <v>20862</v>
      </c>
      <c r="B1784">
        <v>42.57</v>
      </c>
      <c r="C1784">
        <f t="shared" si="74"/>
        <v>-1.7313019390581719E-2</v>
      </c>
      <c r="D1784">
        <f t="shared" si="73"/>
        <v>-1.8611524595996705</v>
      </c>
    </row>
    <row r="1785" spans="1:4">
      <c r="A1785" s="1">
        <v>20863</v>
      </c>
      <c r="B1785">
        <v>42.39</v>
      </c>
      <c r="C1785">
        <f t="shared" si="74"/>
        <v>-4.2283298097251518E-3</v>
      </c>
      <c r="D1785">
        <f t="shared" si="73"/>
        <v>-0.47941368756330816</v>
      </c>
    </row>
    <row r="1786" spans="1:4">
      <c r="A1786" s="1">
        <v>20864</v>
      </c>
      <c r="B1786">
        <v>43.04</v>
      </c>
      <c r="C1786">
        <f t="shared" si="74"/>
        <v>1.5333805142722307E-2</v>
      </c>
      <c r="D1786">
        <f t="shared" si="73"/>
        <v>1.5863411139223911</v>
      </c>
    </row>
    <row r="1787" spans="1:4">
      <c r="A1787" s="1">
        <v>20865</v>
      </c>
      <c r="B1787">
        <v>42.99</v>
      </c>
      <c r="C1787">
        <f t="shared" si="74"/>
        <v>-1.1617100371746551E-3</v>
      </c>
      <c r="D1787">
        <f t="shared" si="73"/>
        <v>-0.15557968197668368</v>
      </c>
    </row>
    <row r="1788" spans="1:4">
      <c r="A1788" s="1">
        <v>20866</v>
      </c>
      <c r="B1788">
        <v>43.51</v>
      </c>
      <c r="C1788">
        <f t="shared" si="74"/>
        <v>1.2095836240986183E-2</v>
      </c>
      <c r="D1788">
        <f t="shared" si="73"/>
        <v>1.2444126985381634</v>
      </c>
    </row>
    <row r="1789" spans="1:4">
      <c r="A1789" s="1">
        <v>20869</v>
      </c>
      <c r="B1789">
        <v>43.46</v>
      </c>
      <c r="C1789">
        <f t="shared" si="74"/>
        <v>-1.1491611123878914E-3</v>
      </c>
      <c r="D1789">
        <f t="shared" si="73"/>
        <v>-0.15425451978478824</v>
      </c>
    </row>
    <row r="1790" spans="1:4">
      <c r="A1790" s="1">
        <v>20870</v>
      </c>
      <c r="B1790">
        <v>43.49</v>
      </c>
      <c r="C1790">
        <f t="shared" si="74"/>
        <v>6.9028992176716831E-4</v>
      </c>
      <c r="D1790">
        <f t="shared" si="73"/>
        <v>3.9990884162199751E-2</v>
      </c>
    </row>
    <row r="1791" spans="1:4">
      <c r="A1791" s="1">
        <v>20871</v>
      </c>
      <c r="B1791">
        <v>43.63</v>
      </c>
      <c r="C1791">
        <f t="shared" si="74"/>
        <v>3.2191308346746507E-3</v>
      </c>
      <c r="D1791">
        <f t="shared" si="73"/>
        <v>0.30703562497043807</v>
      </c>
    </row>
    <row r="1792" spans="1:4">
      <c r="A1792" s="1">
        <v>20872</v>
      </c>
      <c r="B1792">
        <v>43.48</v>
      </c>
      <c r="C1792">
        <f t="shared" si="74"/>
        <v>-3.43800137520068E-3</v>
      </c>
      <c r="D1792">
        <f t="shared" si="73"/>
        <v>-0.39595527352321158</v>
      </c>
    </row>
    <row r="1793" spans="1:4">
      <c r="A1793" s="1">
        <v>20876</v>
      </c>
      <c r="B1793">
        <v>43.38</v>
      </c>
      <c r="C1793">
        <f t="shared" si="74"/>
        <v>-2.2999080036797221E-3</v>
      </c>
      <c r="D1793">
        <f t="shared" si="73"/>
        <v>-0.27577300034733182</v>
      </c>
    </row>
    <row r="1794" spans="1:4">
      <c r="A1794" s="1">
        <v>20877</v>
      </c>
      <c r="B1794">
        <v>43.45</v>
      </c>
      <c r="C1794">
        <f t="shared" si="74"/>
        <v>1.6136468418626159E-3</v>
      </c>
      <c r="D1794">
        <f t="shared" si="73"/>
        <v>0.137497061060012</v>
      </c>
    </row>
    <row r="1795" spans="1:4">
      <c r="A1795" s="1">
        <v>20878</v>
      </c>
      <c r="B1795">
        <v>43.41</v>
      </c>
      <c r="C1795">
        <f t="shared" si="74"/>
        <v>-9.2059838895296316E-4</v>
      </c>
      <c r="D1795">
        <f t="shared" ref="D1795:D1858" si="75">(C1795-avg)/sd</f>
        <v>-0.13011837388230438</v>
      </c>
    </row>
    <row r="1796" spans="1:4">
      <c r="A1796" s="1">
        <v>20879</v>
      </c>
      <c r="B1796">
        <v>43.26</v>
      </c>
      <c r="C1796">
        <f t="shared" ref="C1796:C1859" si="76">(B1796-B1795)/B1795</f>
        <v>-3.4554250172770928E-3</v>
      </c>
      <c r="D1796">
        <f t="shared" si="75"/>
        <v>-0.39779520420389708</v>
      </c>
    </row>
    <row r="1797" spans="1:4">
      <c r="A1797" s="1">
        <v>20880</v>
      </c>
      <c r="B1797">
        <v>43.74</v>
      </c>
      <c r="C1797">
        <f t="shared" si="76"/>
        <v>1.1095700416088858E-2</v>
      </c>
      <c r="D1797">
        <f t="shared" si="75"/>
        <v>1.1387986953916907</v>
      </c>
    </row>
    <row r="1798" spans="1:4">
      <c r="A1798" s="1">
        <v>20883</v>
      </c>
      <c r="B1798">
        <v>44.06</v>
      </c>
      <c r="C1798">
        <f t="shared" si="76"/>
        <v>7.3159579332418897E-3</v>
      </c>
      <c r="D1798">
        <f t="shared" si="75"/>
        <v>0.73965917399994574</v>
      </c>
    </row>
    <row r="1799" spans="1:4">
      <c r="A1799" s="1">
        <v>20884</v>
      </c>
      <c r="B1799">
        <v>44.22</v>
      </c>
      <c r="C1799">
        <f t="shared" si="76"/>
        <v>3.6314117113026914E-3</v>
      </c>
      <c r="D1799">
        <f t="shared" si="75"/>
        <v>0.35057234540128007</v>
      </c>
    </row>
    <row r="1800" spans="1:4">
      <c r="A1800" s="1">
        <v>20885</v>
      </c>
      <c r="B1800">
        <v>44.23</v>
      </c>
      <c r="C1800">
        <f t="shared" si="76"/>
        <v>2.2614201718674831E-4</v>
      </c>
      <c r="D1800">
        <f t="shared" si="75"/>
        <v>-9.0229767899541093E-3</v>
      </c>
    </row>
    <row r="1801" spans="1:4">
      <c r="A1801" s="1">
        <v>20886</v>
      </c>
      <c r="B1801">
        <v>44.21</v>
      </c>
      <c r="C1801">
        <f t="shared" si="76"/>
        <v>-4.5218177707429398E-4</v>
      </c>
      <c r="D1801">
        <f t="shared" si="75"/>
        <v>-8.0653738890459528E-2</v>
      </c>
    </row>
    <row r="1802" spans="1:4">
      <c r="A1802" s="1">
        <v>20887</v>
      </c>
      <c r="B1802">
        <v>44.07</v>
      </c>
      <c r="C1802">
        <f t="shared" si="76"/>
        <v>-3.1667043655281739E-3</v>
      </c>
      <c r="D1802">
        <f t="shared" si="75"/>
        <v>-0.36730640152012922</v>
      </c>
    </row>
    <row r="1803" spans="1:4">
      <c r="A1803" s="1">
        <v>20890</v>
      </c>
      <c r="B1803">
        <v>43.78</v>
      </c>
      <c r="C1803">
        <f t="shared" si="76"/>
        <v>-6.5804402087587732E-3</v>
      </c>
      <c r="D1803">
        <f t="shared" si="75"/>
        <v>-0.72779574618008724</v>
      </c>
    </row>
    <row r="1804" spans="1:4">
      <c r="A1804" s="1">
        <v>20891</v>
      </c>
      <c r="B1804">
        <v>43.75</v>
      </c>
      <c r="C1804">
        <f t="shared" si="76"/>
        <v>-6.8524440383739462E-4</v>
      </c>
      <c r="D1804">
        <f t="shared" si="75"/>
        <v>-0.10526507305480692</v>
      </c>
    </row>
    <row r="1805" spans="1:4">
      <c r="A1805" s="1">
        <v>20892</v>
      </c>
      <c r="B1805">
        <v>44.04</v>
      </c>
      <c r="C1805">
        <f t="shared" si="76"/>
        <v>6.628571428571409E-3</v>
      </c>
      <c r="D1805">
        <f t="shared" si="75"/>
        <v>0.66707139276076854</v>
      </c>
    </row>
    <row r="1806" spans="1:4">
      <c r="A1806" s="1">
        <v>20893</v>
      </c>
      <c r="B1806">
        <v>44.07</v>
      </c>
      <c r="C1806">
        <f t="shared" si="76"/>
        <v>6.8119891008176965E-4</v>
      </c>
      <c r="D1806">
        <f t="shared" si="75"/>
        <v>3.9030876418406669E-2</v>
      </c>
    </row>
    <row r="1807" spans="1:4">
      <c r="A1807" s="1">
        <v>20894</v>
      </c>
      <c r="B1807">
        <v>44.05</v>
      </c>
      <c r="C1807">
        <f t="shared" si="76"/>
        <v>-4.5382346267309115E-4</v>
      </c>
      <c r="D1807">
        <f t="shared" si="75"/>
        <v>-8.0827100331656451E-2</v>
      </c>
    </row>
    <row r="1808" spans="1:4">
      <c r="A1808" s="1">
        <v>20897</v>
      </c>
      <c r="B1808">
        <v>43.85</v>
      </c>
      <c r="C1808">
        <f t="shared" si="76"/>
        <v>-4.5402951191826505E-3</v>
      </c>
      <c r="D1808">
        <f t="shared" si="75"/>
        <v>-0.51235711819985896</v>
      </c>
    </row>
    <row r="1809" spans="1:4">
      <c r="A1809" s="1">
        <v>20898</v>
      </c>
      <c r="B1809">
        <v>44.04</v>
      </c>
      <c r="C1809">
        <f t="shared" si="76"/>
        <v>4.3329532497148856E-3</v>
      </c>
      <c r="D1809">
        <f t="shared" si="75"/>
        <v>0.42465489339205237</v>
      </c>
    </row>
    <row r="1810" spans="1:4">
      <c r="A1810" s="1">
        <v>20899</v>
      </c>
      <c r="B1810">
        <v>44.1</v>
      </c>
      <c r="C1810">
        <f t="shared" si="76"/>
        <v>1.3623978201635393E-3</v>
      </c>
      <c r="D1810">
        <f t="shared" si="75"/>
        <v>0.11096524977228155</v>
      </c>
    </row>
    <row r="1811" spans="1:4">
      <c r="A1811" s="1">
        <v>20900</v>
      </c>
      <c r="B1811">
        <v>44.11</v>
      </c>
      <c r="C1811">
        <f t="shared" si="76"/>
        <v>2.2675736961446735E-4</v>
      </c>
      <c r="D1811">
        <f t="shared" si="75"/>
        <v>-8.9579957827554332E-3</v>
      </c>
    </row>
    <row r="1812" spans="1:4">
      <c r="A1812" s="1">
        <v>20901</v>
      </c>
      <c r="B1812">
        <v>44.06</v>
      </c>
      <c r="C1812">
        <f t="shared" si="76"/>
        <v>-1.1335298118339868E-3</v>
      </c>
      <c r="D1812">
        <f t="shared" si="75"/>
        <v>-0.15260385975963314</v>
      </c>
    </row>
    <row r="1813" spans="1:4">
      <c r="A1813" s="1">
        <v>20904</v>
      </c>
      <c r="B1813">
        <v>43.88</v>
      </c>
      <c r="C1813">
        <f t="shared" si="76"/>
        <v>-4.0853381752156085E-3</v>
      </c>
      <c r="D1813">
        <f t="shared" si="75"/>
        <v>-0.46431381956431855</v>
      </c>
    </row>
    <row r="1814" spans="1:4">
      <c r="A1814" s="1">
        <v>20905</v>
      </c>
      <c r="B1814">
        <v>43.91</v>
      </c>
      <c r="C1814">
        <f t="shared" si="76"/>
        <v>6.8368277119402988E-4</v>
      </c>
      <c r="D1814">
        <f t="shared" si="75"/>
        <v>3.9293171307555934E-2</v>
      </c>
    </row>
    <row r="1815" spans="1:4">
      <c r="A1815" s="1">
        <v>20906</v>
      </c>
      <c r="B1815">
        <v>44.09</v>
      </c>
      <c r="C1815">
        <f t="shared" si="76"/>
        <v>4.0992940104761294E-3</v>
      </c>
      <c r="D1815">
        <f t="shared" si="75"/>
        <v>0.39998055715307423</v>
      </c>
    </row>
    <row r="1816" spans="1:4">
      <c r="A1816" s="1">
        <v>20907</v>
      </c>
      <c r="B1816">
        <v>44.18</v>
      </c>
      <c r="C1816">
        <f t="shared" si="76"/>
        <v>2.0412792016329395E-3</v>
      </c>
      <c r="D1816">
        <f t="shared" si="75"/>
        <v>0.18265489289245646</v>
      </c>
    </row>
    <row r="1817" spans="1:4">
      <c r="A1817" s="1">
        <v>20908</v>
      </c>
      <c r="B1817">
        <v>44.11</v>
      </c>
      <c r="C1817">
        <f t="shared" si="76"/>
        <v>-1.5844273426890061E-3</v>
      </c>
      <c r="D1817">
        <f t="shared" si="75"/>
        <v>-0.20021848575040554</v>
      </c>
    </row>
    <row r="1818" spans="1:4">
      <c r="A1818" s="1">
        <v>20911</v>
      </c>
      <c r="B1818">
        <v>44.14</v>
      </c>
      <c r="C1818">
        <f t="shared" si="76"/>
        <v>6.8011788710045651E-4</v>
      </c>
      <c r="D1818">
        <f t="shared" si="75"/>
        <v>3.8916720759037564E-2</v>
      </c>
    </row>
    <row r="1819" spans="1:4">
      <c r="A1819" s="1">
        <v>20912</v>
      </c>
      <c r="B1819">
        <v>44.42</v>
      </c>
      <c r="C1819">
        <f t="shared" si="76"/>
        <v>6.3434526506570259E-3</v>
      </c>
      <c r="D1819">
        <f t="shared" si="75"/>
        <v>0.6369629467295912</v>
      </c>
    </row>
    <row r="1820" spans="1:4">
      <c r="A1820" s="1">
        <v>20913</v>
      </c>
      <c r="B1820">
        <v>44.54</v>
      </c>
      <c r="C1820">
        <f t="shared" si="76"/>
        <v>2.7014858171994019E-3</v>
      </c>
      <c r="D1820">
        <f t="shared" si="75"/>
        <v>0.25237248708114246</v>
      </c>
    </row>
    <row r="1821" spans="1:4">
      <c r="A1821" s="1">
        <v>20914</v>
      </c>
      <c r="B1821">
        <v>44.44</v>
      </c>
      <c r="C1821">
        <f t="shared" si="76"/>
        <v>-2.2451728783116618E-3</v>
      </c>
      <c r="D1821">
        <f t="shared" si="75"/>
        <v>-0.26999298971383778</v>
      </c>
    </row>
    <row r="1822" spans="1:4">
      <c r="A1822" s="1">
        <v>20915</v>
      </c>
      <c r="B1822">
        <v>44.49</v>
      </c>
      <c r="C1822">
        <f t="shared" si="76"/>
        <v>1.1251125112512212E-3</v>
      </c>
      <c r="D1822">
        <f t="shared" si="75"/>
        <v>8.5908001808336173E-2</v>
      </c>
    </row>
    <row r="1823" spans="1:4">
      <c r="A1823" s="1">
        <v>20918</v>
      </c>
      <c r="B1823">
        <v>44.39</v>
      </c>
      <c r="C1823">
        <f t="shared" si="76"/>
        <v>-2.247696111485759E-3</v>
      </c>
      <c r="D1823">
        <f t="shared" si="75"/>
        <v>-0.27025944227933379</v>
      </c>
    </row>
    <row r="1824" spans="1:4">
      <c r="A1824" s="1">
        <v>20919</v>
      </c>
      <c r="B1824">
        <v>44.79</v>
      </c>
      <c r="C1824">
        <f t="shared" si="76"/>
        <v>9.0110385221896499E-3</v>
      </c>
      <c r="D1824">
        <f t="shared" si="75"/>
        <v>0.91865910800694162</v>
      </c>
    </row>
    <row r="1825" spans="1:4">
      <c r="A1825" s="1">
        <v>20920</v>
      </c>
      <c r="B1825">
        <v>44.98</v>
      </c>
      <c r="C1825">
        <f t="shared" si="76"/>
        <v>4.2420183076579089E-3</v>
      </c>
      <c r="D1825">
        <f t="shared" si="75"/>
        <v>0.41505219442112429</v>
      </c>
    </row>
    <row r="1826" spans="1:4">
      <c r="A1826" s="1">
        <v>20921</v>
      </c>
      <c r="B1826">
        <v>44.98</v>
      </c>
      <c r="C1826">
        <f t="shared" si="76"/>
        <v>0</v>
      </c>
      <c r="D1826">
        <f t="shared" si="75"/>
        <v>-3.29034969354682E-2</v>
      </c>
    </row>
    <row r="1827" spans="1:4">
      <c r="A1827" s="1">
        <v>20922</v>
      </c>
      <c r="B1827">
        <v>44.98</v>
      </c>
      <c r="C1827">
        <f t="shared" si="76"/>
        <v>0</v>
      </c>
      <c r="D1827">
        <f t="shared" si="75"/>
        <v>-3.29034969354682E-2</v>
      </c>
    </row>
    <row r="1828" spans="1:4">
      <c r="A1828" s="1">
        <v>20925</v>
      </c>
      <c r="B1828">
        <v>44.95</v>
      </c>
      <c r="C1828">
        <f t="shared" si="76"/>
        <v>-6.6696309470862681E-4</v>
      </c>
      <c r="D1828">
        <f t="shared" si="75"/>
        <v>-0.10333457302492793</v>
      </c>
    </row>
    <row r="1829" spans="1:4">
      <c r="A1829" s="1">
        <v>20926</v>
      </c>
      <c r="B1829">
        <v>45.02</v>
      </c>
      <c r="C1829">
        <f t="shared" si="76"/>
        <v>1.5572858731924422E-3</v>
      </c>
      <c r="D1829">
        <f t="shared" si="75"/>
        <v>0.13154536192646576</v>
      </c>
    </row>
    <row r="1830" spans="1:4">
      <c r="A1830" s="1">
        <v>20927</v>
      </c>
      <c r="B1830">
        <v>45.08</v>
      </c>
      <c r="C1830">
        <f t="shared" si="76"/>
        <v>1.3327410039981156E-3</v>
      </c>
      <c r="D1830">
        <f t="shared" si="75"/>
        <v>0.10783350006605441</v>
      </c>
    </row>
    <row r="1831" spans="1:4">
      <c r="A1831" s="1">
        <v>20928</v>
      </c>
      <c r="B1831">
        <v>45.41</v>
      </c>
      <c r="C1831">
        <f t="shared" si="76"/>
        <v>7.3203194321206366E-3</v>
      </c>
      <c r="D1831">
        <f t="shared" si="75"/>
        <v>0.74011974679899584</v>
      </c>
    </row>
    <row r="1832" spans="1:4">
      <c r="A1832" s="1">
        <v>20932</v>
      </c>
      <c r="B1832">
        <v>45.48</v>
      </c>
      <c r="C1832">
        <f t="shared" si="76"/>
        <v>1.5415106804668639E-3</v>
      </c>
      <c r="D1832">
        <f t="shared" si="75"/>
        <v>0.12987950693689324</v>
      </c>
    </row>
    <row r="1833" spans="1:4">
      <c r="A1833" s="1">
        <v>20933</v>
      </c>
      <c r="B1833">
        <v>45.65</v>
      </c>
      <c r="C1833">
        <f t="shared" si="76"/>
        <v>3.7379067722076017E-3</v>
      </c>
      <c r="D1833">
        <f t="shared" si="75"/>
        <v>0.36181818763340856</v>
      </c>
    </row>
    <row r="1834" spans="1:4">
      <c r="A1834" s="1">
        <v>20934</v>
      </c>
      <c r="B1834">
        <v>45.72</v>
      </c>
      <c r="C1834">
        <f t="shared" si="76"/>
        <v>1.5334063526834675E-3</v>
      </c>
      <c r="D1834">
        <f t="shared" si="75"/>
        <v>0.12902369267776143</v>
      </c>
    </row>
    <row r="1835" spans="1:4">
      <c r="A1835" s="1">
        <v>20935</v>
      </c>
      <c r="B1835">
        <v>45.56</v>
      </c>
      <c r="C1835">
        <f t="shared" si="76"/>
        <v>-3.4995625546805904E-3</v>
      </c>
      <c r="D1835">
        <f t="shared" si="75"/>
        <v>-0.40245611315062851</v>
      </c>
    </row>
    <row r="1836" spans="1:4">
      <c r="A1836" s="1">
        <v>20936</v>
      </c>
      <c r="B1836">
        <v>45.5</v>
      </c>
      <c r="C1836">
        <f t="shared" si="76"/>
        <v>-1.3169446883231403E-3</v>
      </c>
      <c r="D1836">
        <f t="shared" si="75"/>
        <v>-0.171972408371142</v>
      </c>
    </row>
    <row r="1837" spans="1:4">
      <c r="A1837" s="1">
        <v>20939</v>
      </c>
      <c r="B1837">
        <v>45.73</v>
      </c>
      <c r="C1837">
        <f t="shared" si="76"/>
        <v>5.054945054944986E-3</v>
      </c>
      <c r="D1837">
        <f t="shared" si="75"/>
        <v>0.50089698260741222</v>
      </c>
    </row>
    <row r="1838" spans="1:4">
      <c r="A1838" s="1">
        <v>20940</v>
      </c>
      <c r="B1838">
        <v>45.74</v>
      </c>
      <c r="C1838">
        <f t="shared" si="76"/>
        <v>2.1867483052711822E-4</v>
      </c>
      <c r="D1838">
        <f t="shared" si="75"/>
        <v>-9.8115091629909761E-3</v>
      </c>
    </row>
    <row r="1839" spans="1:4">
      <c r="A1839" s="1">
        <v>20941</v>
      </c>
      <c r="B1839">
        <v>46.02</v>
      </c>
      <c r="C1839">
        <f t="shared" si="76"/>
        <v>6.1215566243988002E-3</v>
      </c>
      <c r="D1839">
        <f t="shared" si="75"/>
        <v>0.61353080178284669</v>
      </c>
    </row>
    <row r="1840" spans="1:4">
      <c r="A1840" s="1">
        <v>20942</v>
      </c>
      <c r="B1840">
        <v>46.39</v>
      </c>
      <c r="C1840">
        <f t="shared" si="76"/>
        <v>8.039982616253747E-3</v>
      </c>
      <c r="D1840">
        <f t="shared" si="75"/>
        <v>0.8161159344180503</v>
      </c>
    </row>
    <row r="1841" spans="1:4">
      <c r="A1841" s="1">
        <v>20943</v>
      </c>
      <c r="B1841">
        <v>46.34</v>
      </c>
      <c r="C1841">
        <f t="shared" si="76"/>
        <v>-1.0778184953653192E-3</v>
      </c>
      <c r="D1841">
        <f t="shared" si="75"/>
        <v>-0.1467207636777384</v>
      </c>
    </row>
    <row r="1842" spans="1:4">
      <c r="A1842" s="1">
        <v>20946</v>
      </c>
      <c r="B1842">
        <v>46.27</v>
      </c>
      <c r="C1842">
        <f t="shared" si="76"/>
        <v>-1.5105740181268943E-3</v>
      </c>
      <c r="D1842">
        <f t="shared" si="75"/>
        <v>-0.19241959978061129</v>
      </c>
    </row>
    <row r="1843" spans="1:4">
      <c r="A1843" s="1">
        <v>20947</v>
      </c>
      <c r="B1843">
        <v>46.13</v>
      </c>
      <c r="C1843">
        <f t="shared" si="76"/>
        <v>-3.0257186081694525E-3</v>
      </c>
      <c r="D1843">
        <f t="shared" si="75"/>
        <v>-0.35241835346643563</v>
      </c>
    </row>
    <row r="1844" spans="1:4">
      <c r="A1844" s="1">
        <v>20948</v>
      </c>
      <c r="B1844">
        <v>46.31</v>
      </c>
      <c r="C1844">
        <f t="shared" si="76"/>
        <v>3.9020160416214983E-3</v>
      </c>
      <c r="D1844">
        <f t="shared" si="75"/>
        <v>0.37914807070006495</v>
      </c>
    </row>
    <row r="1845" spans="1:4">
      <c r="A1845" s="1">
        <v>20949</v>
      </c>
      <c r="B1845">
        <v>46.36</v>
      </c>
      <c r="C1845">
        <f t="shared" si="76"/>
        <v>1.0796804145972178E-3</v>
      </c>
      <c r="D1845">
        <f t="shared" si="75"/>
        <v>8.1110387844793422E-2</v>
      </c>
    </row>
    <row r="1846" spans="1:4">
      <c r="A1846" s="1">
        <v>20950</v>
      </c>
      <c r="B1846">
        <v>46.59</v>
      </c>
      <c r="C1846">
        <f t="shared" si="76"/>
        <v>4.961173425366781E-3</v>
      </c>
      <c r="D1846">
        <f t="shared" si="75"/>
        <v>0.49099473039847935</v>
      </c>
    </row>
    <row r="1847" spans="1:4">
      <c r="A1847" s="1">
        <v>20953</v>
      </c>
      <c r="B1847">
        <v>46.88</v>
      </c>
      <c r="C1847">
        <f t="shared" si="76"/>
        <v>6.224511697789206E-3</v>
      </c>
      <c r="D1847">
        <f t="shared" si="75"/>
        <v>0.62440282253674373</v>
      </c>
    </row>
    <row r="1848" spans="1:4">
      <c r="A1848" s="1">
        <v>20954</v>
      </c>
      <c r="B1848">
        <v>46.67</v>
      </c>
      <c r="C1848">
        <f t="shared" si="76"/>
        <v>-4.4795221843003594E-3</v>
      </c>
      <c r="D1848">
        <f t="shared" si="75"/>
        <v>-0.50593951693401329</v>
      </c>
    </row>
    <row r="1849" spans="1:4">
      <c r="A1849" s="1">
        <v>20955</v>
      </c>
      <c r="B1849">
        <v>46.83</v>
      </c>
      <c r="C1849">
        <f t="shared" si="76"/>
        <v>3.4283265481036339E-3</v>
      </c>
      <c r="D1849">
        <f t="shared" si="75"/>
        <v>0.32912662119946068</v>
      </c>
    </row>
    <row r="1850" spans="1:4">
      <c r="A1850" s="1">
        <v>20956</v>
      </c>
      <c r="B1850">
        <v>47.02</v>
      </c>
      <c r="C1850">
        <f t="shared" si="76"/>
        <v>4.0572282724750126E-3</v>
      </c>
      <c r="D1850">
        <f t="shared" si="75"/>
        <v>0.39553842951899537</v>
      </c>
    </row>
    <row r="1851" spans="1:4">
      <c r="A1851" s="1">
        <v>20957</v>
      </c>
      <c r="B1851">
        <v>47.15</v>
      </c>
      <c r="C1851">
        <f t="shared" si="76"/>
        <v>2.7647809442789334E-3</v>
      </c>
      <c r="D1851">
        <f t="shared" si="75"/>
        <v>0.25905643098568193</v>
      </c>
    </row>
    <row r="1852" spans="1:4">
      <c r="A1852" s="1">
        <v>20960</v>
      </c>
      <c r="B1852">
        <v>47.35</v>
      </c>
      <c r="C1852">
        <f t="shared" si="76"/>
        <v>4.2417815482503254E-3</v>
      </c>
      <c r="D1852">
        <f t="shared" si="75"/>
        <v>0.41502719270816191</v>
      </c>
    </row>
    <row r="1853" spans="1:4">
      <c r="A1853" s="1">
        <v>20961</v>
      </c>
      <c r="B1853">
        <v>47.33</v>
      </c>
      <c r="C1853">
        <f t="shared" si="76"/>
        <v>-4.2238648363258978E-4</v>
      </c>
      <c r="D1853">
        <f t="shared" si="75"/>
        <v>-7.7507366030927879E-2</v>
      </c>
    </row>
    <row r="1854" spans="1:4">
      <c r="A1854" s="1">
        <v>20962</v>
      </c>
      <c r="B1854">
        <v>47.14</v>
      </c>
      <c r="C1854">
        <f t="shared" si="76"/>
        <v>-4.0143672089583294E-3</v>
      </c>
      <c r="D1854">
        <f t="shared" si="75"/>
        <v>-0.45681930965175344</v>
      </c>
    </row>
    <row r="1855" spans="1:4">
      <c r="A1855" s="1">
        <v>20963</v>
      </c>
      <c r="B1855">
        <v>47.15</v>
      </c>
      <c r="C1855">
        <f t="shared" si="76"/>
        <v>2.1213406873139606E-4</v>
      </c>
      <c r="D1855">
        <f t="shared" si="75"/>
        <v>-1.0502211385306277E-2</v>
      </c>
    </row>
    <row r="1856" spans="1:4">
      <c r="A1856" s="1">
        <v>20964</v>
      </c>
      <c r="B1856">
        <v>47.21</v>
      </c>
      <c r="C1856">
        <f t="shared" si="76"/>
        <v>1.2725344644751277E-3</v>
      </c>
      <c r="D1856">
        <f t="shared" si="75"/>
        <v>0.10147570995762403</v>
      </c>
    </row>
    <row r="1857" spans="1:4">
      <c r="A1857" s="1">
        <v>20967</v>
      </c>
      <c r="B1857">
        <v>46.78</v>
      </c>
      <c r="C1857">
        <f t="shared" si="76"/>
        <v>-9.1082397797076827E-3</v>
      </c>
      <c r="D1857">
        <f t="shared" si="75"/>
        <v>-0.99473052163146947</v>
      </c>
    </row>
    <row r="1858" spans="1:4">
      <c r="A1858" s="1">
        <v>20968</v>
      </c>
      <c r="B1858">
        <v>46.69</v>
      </c>
      <c r="C1858">
        <f t="shared" si="76"/>
        <v>-1.9238991021804919E-3</v>
      </c>
      <c r="D1858">
        <f t="shared" si="75"/>
        <v>-0.23606658816064879</v>
      </c>
    </row>
    <row r="1859" spans="1:4">
      <c r="A1859" s="1">
        <v>20969</v>
      </c>
      <c r="B1859">
        <v>47.11</v>
      </c>
      <c r="C1859">
        <f t="shared" si="76"/>
        <v>8.9955022488755997E-3</v>
      </c>
      <c r="D1859">
        <f t="shared" ref="D1859:D1922" si="77">(C1859-avg)/sd</f>
        <v>0.91701848282601384</v>
      </c>
    </row>
    <row r="1860" spans="1:4">
      <c r="A1860" s="1">
        <v>20971</v>
      </c>
      <c r="B1860">
        <v>47.43</v>
      </c>
      <c r="C1860">
        <f t="shared" ref="C1860:C1923" si="78">(B1860-B1859)/B1859</f>
        <v>6.7926130333262639E-3</v>
      </c>
      <c r="D1860">
        <f t="shared" si="77"/>
        <v>0.68439413046243047</v>
      </c>
    </row>
    <row r="1861" spans="1:4">
      <c r="A1861" s="1">
        <v>20974</v>
      </c>
      <c r="B1861">
        <v>47.37</v>
      </c>
      <c r="C1861">
        <f t="shared" si="78"/>
        <v>-1.265022137887461E-3</v>
      </c>
      <c r="D1861">
        <f t="shared" si="77"/>
        <v>-0.16648940469446669</v>
      </c>
    </row>
    <row r="1862" spans="1:4">
      <c r="A1862" s="1">
        <v>20975</v>
      </c>
      <c r="B1862">
        <v>47.28</v>
      </c>
      <c r="C1862">
        <f t="shared" si="78"/>
        <v>-1.8999366687776295E-3</v>
      </c>
      <c r="D1862">
        <f t="shared" si="77"/>
        <v>-0.23353616333853339</v>
      </c>
    </row>
    <row r="1863" spans="1:4">
      <c r="A1863" s="1">
        <v>20976</v>
      </c>
      <c r="B1863">
        <v>47.27</v>
      </c>
      <c r="C1863">
        <f t="shared" si="78"/>
        <v>-2.1150592216577857E-4</v>
      </c>
      <c r="D1863">
        <f t="shared" si="77"/>
        <v>-5.5238450421818304E-2</v>
      </c>
    </row>
    <row r="1864" spans="1:4">
      <c r="A1864" s="1">
        <v>20977</v>
      </c>
      <c r="B1864">
        <v>47.8</v>
      </c>
      <c r="C1864">
        <f t="shared" si="78"/>
        <v>1.1212185318383626E-2</v>
      </c>
      <c r="D1864">
        <f t="shared" si="77"/>
        <v>1.1510994614788761</v>
      </c>
    </row>
    <row r="1865" spans="1:4">
      <c r="A1865" s="1">
        <v>20978</v>
      </c>
      <c r="B1865">
        <v>47.85</v>
      </c>
      <c r="C1865">
        <f t="shared" si="78"/>
        <v>1.0460251046025997E-3</v>
      </c>
      <c r="D1865">
        <f t="shared" si="77"/>
        <v>7.7556398549357447E-2</v>
      </c>
    </row>
    <row r="1866" spans="1:4">
      <c r="A1866" s="1">
        <v>20981</v>
      </c>
      <c r="B1866">
        <v>47.9</v>
      </c>
      <c r="C1866">
        <f t="shared" si="78"/>
        <v>1.0449320794147785E-3</v>
      </c>
      <c r="D1866">
        <f t="shared" si="77"/>
        <v>7.7440975461060851E-2</v>
      </c>
    </row>
    <row r="1867" spans="1:4">
      <c r="A1867" s="1">
        <v>20982</v>
      </c>
      <c r="B1867">
        <v>47.94</v>
      </c>
      <c r="C1867">
        <f t="shared" si="78"/>
        <v>8.3507306889351045E-4</v>
      </c>
      <c r="D1867">
        <f t="shared" si="77"/>
        <v>5.5279935284558587E-2</v>
      </c>
    </row>
    <row r="1868" spans="1:4">
      <c r="A1868" s="1">
        <v>20983</v>
      </c>
      <c r="B1868">
        <v>48.05</v>
      </c>
      <c r="C1868">
        <f t="shared" si="78"/>
        <v>2.2945348352106684E-3</v>
      </c>
      <c r="D1868">
        <f t="shared" si="77"/>
        <v>0.20939860171249208</v>
      </c>
    </row>
    <row r="1869" spans="1:4">
      <c r="A1869" s="1">
        <v>20984</v>
      </c>
      <c r="B1869">
        <v>48.14</v>
      </c>
      <c r="C1869">
        <f t="shared" si="78"/>
        <v>1.8730489073882084E-3</v>
      </c>
      <c r="D1869">
        <f t="shared" si="77"/>
        <v>0.1648898310044683</v>
      </c>
    </row>
    <row r="1870" spans="1:4">
      <c r="A1870" s="1">
        <v>20985</v>
      </c>
      <c r="B1870">
        <v>48.15</v>
      </c>
      <c r="C1870">
        <f t="shared" si="78"/>
        <v>2.0772746157037827E-4</v>
      </c>
      <c r="D1870">
        <f t="shared" si="77"/>
        <v>-1.0967547603631203E-2</v>
      </c>
    </row>
    <row r="1871" spans="1:4">
      <c r="A1871" s="1">
        <v>20988</v>
      </c>
      <c r="B1871">
        <v>48.24</v>
      </c>
      <c r="C1871">
        <f t="shared" si="78"/>
        <v>1.8691588785047439E-3</v>
      </c>
      <c r="D1871">
        <f t="shared" si="77"/>
        <v>0.16447904527665949</v>
      </c>
    </row>
    <row r="1872" spans="1:4">
      <c r="A1872" s="1">
        <v>20989</v>
      </c>
      <c r="B1872">
        <v>48.04</v>
      </c>
      <c r="C1872">
        <f t="shared" si="78"/>
        <v>-4.1459369817579356E-3</v>
      </c>
      <c r="D1872">
        <f t="shared" si="77"/>
        <v>-0.47071303293665312</v>
      </c>
    </row>
    <row r="1873" spans="1:4">
      <c r="A1873" s="1">
        <v>20990</v>
      </c>
      <c r="B1873">
        <v>47.72</v>
      </c>
      <c r="C1873">
        <f t="shared" si="78"/>
        <v>-6.6611157368859347E-3</v>
      </c>
      <c r="D1873">
        <f t="shared" si="77"/>
        <v>-0.736315054527371</v>
      </c>
    </row>
    <row r="1874" spans="1:4">
      <c r="A1874" s="1">
        <v>20991</v>
      </c>
      <c r="B1874">
        <v>47.43</v>
      </c>
      <c r="C1874">
        <f t="shared" si="78"/>
        <v>-6.0771165129924381E-3</v>
      </c>
      <c r="D1874">
        <f t="shared" si="77"/>
        <v>-0.67464493499519917</v>
      </c>
    </row>
    <row r="1875" spans="1:4">
      <c r="A1875" s="1">
        <v>20992</v>
      </c>
      <c r="B1875">
        <v>47.15</v>
      </c>
      <c r="C1875">
        <f t="shared" si="78"/>
        <v>-5.903436643474618E-3</v>
      </c>
      <c r="D1875">
        <f t="shared" si="77"/>
        <v>-0.65630439981077338</v>
      </c>
    </row>
    <row r="1876" spans="1:4">
      <c r="A1876" s="1">
        <v>20995</v>
      </c>
      <c r="B1876">
        <v>46.78</v>
      </c>
      <c r="C1876">
        <f t="shared" si="78"/>
        <v>-7.8472958642629362E-3</v>
      </c>
      <c r="D1876">
        <f t="shared" si="77"/>
        <v>-0.86157527277616641</v>
      </c>
    </row>
    <row r="1877" spans="1:4">
      <c r="A1877" s="1">
        <v>20996</v>
      </c>
      <c r="B1877">
        <v>47.15</v>
      </c>
      <c r="C1877">
        <f t="shared" si="78"/>
        <v>7.9093629756305569E-3</v>
      </c>
      <c r="D1877">
        <f t="shared" si="77"/>
        <v>0.80232254476801457</v>
      </c>
    </row>
    <row r="1878" spans="1:4">
      <c r="A1878" s="1">
        <v>20997</v>
      </c>
      <c r="B1878">
        <v>47.09</v>
      </c>
      <c r="C1878">
        <f t="shared" si="78"/>
        <v>-1.272534464474977E-3</v>
      </c>
      <c r="D1878">
        <f t="shared" si="77"/>
        <v>-0.16728270382854449</v>
      </c>
    </row>
    <row r="1879" spans="1:4">
      <c r="A1879" s="1">
        <v>20998</v>
      </c>
      <c r="B1879">
        <v>47.26</v>
      </c>
      <c r="C1879">
        <f t="shared" si="78"/>
        <v>3.6101083032489827E-3</v>
      </c>
      <c r="D1879">
        <f t="shared" si="77"/>
        <v>0.34832271275218868</v>
      </c>
    </row>
    <row r="1880" spans="1:4">
      <c r="A1880" s="1">
        <v>20999</v>
      </c>
      <c r="B1880">
        <v>47.37</v>
      </c>
      <c r="C1880">
        <f t="shared" si="78"/>
        <v>2.3275497249259296E-3</v>
      </c>
      <c r="D1880">
        <f t="shared" si="77"/>
        <v>0.21288496284411737</v>
      </c>
    </row>
    <row r="1881" spans="1:4">
      <c r="A1881" s="1">
        <v>21002</v>
      </c>
      <c r="B1881">
        <v>47.43</v>
      </c>
      <c r="C1881">
        <f t="shared" si="78"/>
        <v>1.2666244458518531E-3</v>
      </c>
      <c r="D1881">
        <f t="shared" si="77"/>
        <v>0.10085161399991917</v>
      </c>
    </row>
    <row r="1882" spans="1:4">
      <c r="A1882" s="1">
        <v>21003</v>
      </c>
      <c r="B1882">
        <v>47.9</v>
      </c>
      <c r="C1882">
        <f t="shared" si="78"/>
        <v>9.909340080118045E-3</v>
      </c>
      <c r="D1882">
        <f t="shared" si="77"/>
        <v>1.0135194471766447</v>
      </c>
    </row>
    <row r="1883" spans="1:4">
      <c r="A1883" s="1">
        <v>21004</v>
      </c>
      <c r="B1883">
        <v>48.46</v>
      </c>
      <c r="C1883">
        <f t="shared" si="78"/>
        <v>1.1691022964509442E-2</v>
      </c>
      <c r="D1883">
        <f t="shared" si="77"/>
        <v>1.201664554144938</v>
      </c>
    </row>
    <row r="1884" spans="1:4">
      <c r="A1884" s="1">
        <v>21006</v>
      </c>
      <c r="B1884">
        <v>48.69</v>
      </c>
      <c r="C1884">
        <f t="shared" si="78"/>
        <v>4.7461824184894114E-3</v>
      </c>
      <c r="D1884">
        <f t="shared" si="77"/>
        <v>0.46829175315122307</v>
      </c>
    </row>
    <row r="1885" spans="1:4">
      <c r="A1885" s="1">
        <v>21009</v>
      </c>
      <c r="B1885">
        <v>48.9</v>
      </c>
      <c r="C1885">
        <f t="shared" si="78"/>
        <v>4.313000616142963E-3</v>
      </c>
      <c r="D1885">
        <f t="shared" si="77"/>
        <v>0.42254790206908704</v>
      </c>
    </row>
    <row r="1886" spans="1:4">
      <c r="A1886" s="1">
        <v>21010</v>
      </c>
      <c r="B1886">
        <v>48.9</v>
      </c>
      <c r="C1886">
        <f t="shared" si="78"/>
        <v>0</v>
      </c>
      <c r="D1886">
        <f t="shared" si="77"/>
        <v>-3.29034969354682E-2</v>
      </c>
    </row>
    <row r="1887" spans="1:4">
      <c r="A1887" s="1">
        <v>21011</v>
      </c>
      <c r="B1887">
        <v>49</v>
      </c>
      <c r="C1887">
        <f t="shared" si="78"/>
        <v>2.044989775051154E-3</v>
      </c>
      <c r="D1887">
        <f t="shared" si="77"/>
        <v>0.1830467281841347</v>
      </c>
    </row>
    <row r="1888" spans="1:4">
      <c r="A1888" s="1">
        <v>21012</v>
      </c>
      <c r="B1888">
        <v>48.86</v>
      </c>
      <c r="C1888">
        <f t="shared" si="78"/>
        <v>-2.8571428571428688E-3</v>
      </c>
      <c r="D1888">
        <f t="shared" si="77"/>
        <v>-0.33461681145971028</v>
      </c>
    </row>
    <row r="1889" spans="1:4">
      <c r="A1889" s="1">
        <v>21013</v>
      </c>
      <c r="B1889">
        <v>49.08</v>
      </c>
      <c r="C1889">
        <f t="shared" si="78"/>
        <v>4.502660663119093E-3</v>
      </c>
      <c r="D1889">
        <f t="shared" si="77"/>
        <v>0.44257593856118405</v>
      </c>
    </row>
    <row r="1890" spans="1:4">
      <c r="A1890" s="1">
        <v>21016</v>
      </c>
      <c r="B1890">
        <v>49.13</v>
      </c>
      <c r="C1890">
        <f t="shared" si="78"/>
        <v>1.0187449062755555E-3</v>
      </c>
      <c r="D1890">
        <f t="shared" si="77"/>
        <v>7.4675618879011543E-2</v>
      </c>
    </row>
    <row r="1891" spans="1:4">
      <c r="A1891" s="1">
        <v>21017</v>
      </c>
      <c r="B1891">
        <v>48.88</v>
      </c>
      <c r="C1891">
        <f t="shared" si="78"/>
        <v>-5.0885406065540404E-3</v>
      </c>
      <c r="D1891">
        <f t="shared" si="77"/>
        <v>-0.57025165530858202</v>
      </c>
    </row>
    <row r="1892" spans="1:4">
      <c r="A1892" s="1">
        <v>21018</v>
      </c>
      <c r="B1892">
        <v>48.58</v>
      </c>
      <c r="C1892">
        <f t="shared" si="78"/>
        <v>-6.1374795417349481E-3</v>
      </c>
      <c r="D1892">
        <f t="shared" si="77"/>
        <v>-0.68101925031201782</v>
      </c>
    </row>
    <row r="1893" spans="1:4">
      <c r="A1893" s="1">
        <v>21019</v>
      </c>
      <c r="B1893">
        <v>48.53</v>
      </c>
      <c r="C1893">
        <f t="shared" si="78"/>
        <v>-1.0292301358583195E-3</v>
      </c>
      <c r="D1893">
        <f t="shared" si="77"/>
        <v>-0.14158984942978511</v>
      </c>
    </row>
    <row r="1894" spans="1:4">
      <c r="A1894" s="1">
        <v>21020</v>
      </c>
      <c r="B1894">
        <v>48.58</v>
      </c>
      <c r="C1894">
        <f t="shared" si="78"/>
        <v>1.0302905419327666E-3</v>
      </c>
      <c r="D1894">
        <f t="shared" si="77"/>
        <v>7.5894834079860793E-2</v>
      </c>
    </row>
    <row r="1895" spans="1:4">
      <c r="A1895" s="1">
        <v>21023</v>
      </c>
      <c r="B1895">
        <v>48.47</v>
      </c>
      <c r="C1895">
        <f t="shared" si="78"/>
        <v>-2.2643062988884199E-3</v>
      </c>
      <c r="D1895">
        <f t="shared" si="77"/>
        <v>-0.27201347242297774</v>
      </c>
    </row>
    <row r="1896" spans="1:4">
      <c r="A1896" s="1">
        <v>21024</v>
      </c>
      <c r="B1896">
        <v>48.56</v>
      </c>
      <c r="C1896">
        <f t="shared" si="78"/>
        <v>1.8568186507118508E-3</v>
      </c>
      <c r="D1896">
        <f t="shared" si="77"/>
        <v>0.16317592141637724</v>
      </c>
    </row>
    <row r="1897" spans="1:4">
      <c r="A1897" s="1">
        <v>21025</v>
      </c>
      <c r="B1897">
        <v>48.61</v>
      </c>
      <c r="C1897">
        <f t="shared" si="78"/>
        <v>1.0296540362437635E-3</v>
      </c>
      <c r="D1897">
        <f t="shared" si="77"/>
        <v>7.5827619295460863E-2</v>
      </c>
    </row>
    <row r="1898" spans="1:4">
      <c r="A1898" s="1">
        <v>21026</v>
      </c>
      <c r="B1898">
        <v>48.61</v>
      </c>
      <c r="C1898">
        <f t="shared" si="78"/>
        <v>0</v>
      </c>
      <c r="D1898">
        <f t="shared" si="77"/>
        <v>-3.29034969354682E-2</v>
      </c>
    </row>
    <row r="1899" spans="1:4">
      <c r="A1899" s="1">
        <v>21027</v>
      </c>
      <c r="B1899">
        <v>48.45</v>
      </c>
      <c r="C1899">
        <f t="shared" si="78"/>
        <v>-3.2915038058012052E-3</v>
      </c>
      <c r="D1899">
        <f t="shared" si="77"/>
        <v>-0.38048517999157039</v>
      </c>
    </row>
    <row r="1900" spans="1:4">
      <c r="A1900" s="1">
        <v>21030</v>
      </c>
      <c r="B1900">
        <v>47.92</v>
      </c>
      <c r="C1900">
        <f t="shared" si="78"/>
        <v>-1.0939112487100127E-2</v>
      </c>
      <c r="D1900">
        <f t="shared" si="77"/>
        <v>-1.1880700571882401</v>
      </c>
    </row>
    <row r="1901" spans="1:4">
      <c r="A1901" s="1">
        <v>21031</v>
      </c>
      <c r="B1901">
        <v>47.92</v>
      </c>
      <c r="C1901">
        <f t="shared" si="78"/>
        <v>0</v>
      </c>
      <c r="D1901">
        <f t="shared" si="77"/>
        <v>-3.29034969354682E-2</v>
      </c>
    </row>
    <row r="1902" spans="1:4">
      <c r="A1902" s="1">
        <v>21032</v>
      </c>
      <c r="B1902">
        <v>47.91</v>
      </c>
      <c r="C1902">
        <f t="shared" si="78"/>
        <v>-2.0868113522548237E-4</v>
      </c>
      <c r="D1902">
        <f t="shared" si="77"/>
        <v>-5.4940153881114763E-2</v>
      </c>
    </row>
    <row r="1903" spans="1:4">
      <c r="A1903" s="1">
        <v>21033</v>
      </c>
      <c r="B1903">
        <v>47.79</v>
      </c>
      <c r="C1903">
        <f t="shared" si="78"/>
        <v>-2.5046963055728962E-3</v>
      </c>
      <c r="D1903">
        <f t="shared" si="77"/>
        <v>-0.29739857541632497</v>
      </c>
    </row>
    <row r="1904" spans="1:4">
      <c r="A1904" s="1">
        <v>21034</v>
      </c>
      <c r="B1904">
        <v>47.68</v>
      </c>
      <c r="C1904">
        <f t="shared" si="78"/>
        <v>-2.3017367650135893E-3</v>
      </c>
      <c r="D1904">
        <f t="shared" si="77"/>
        <v>-0.27596611692256201</v>
      </c>
    </row>
    <row r="1905" spans="1:4">
      <c r="A1905" s="1">
        <v>21037</v>
      </c>
      <c r="B1905">
        <v>47.26</v>
      </c>
      <c r="C1905">
        <f t="shared" si="78"/>
        <v>-8.808724832214801E-3</v>
      </c>
      <c r="D1905">
        <f t="shared" si="77"/>
        <v>-0.96310184498629847</v>
      </c>
    </row>
    <row r="1906" spans="1:4">
      <c r="A1906" s="1">
        <v>21038</v>
      </c>
      <c r="B1906">
        <v>46.67</v>
      </c>
      <c r="C1906">
        <f t="shared" si="78"/>
        <v>-1.2484130342784519E-2</v>
      </c>
      <c r="D1906">
        <f t="shared" si="77"/>
        <v>-1.3512234175714257</v>
      </c>
    </row>
    <row r="1907" spans="1:4">
      <c r="A1907" s="1">
        <v>21039</v>
      </c>
      <c r="B1907">
        <v>47.03</v>
      </c>
      <c r="C1907">
        <f t="shared" si="78"/>
        <v>7.7137347332333281E-3</v>
      </c>
      <c r="D1907">
        <f t="shared" si="77"/>
        <v>0.78166426886813767</v>
      </c>
    </row>
    <row r="1908" spans="1:4">
      <c r="A1908" s="1">
        <v>21040</v>
      </c>
      <c r="B1908">
        <v>46.9</v>
      </c>
      <c r="C1908">
        <f t="shared" si="78"/>
        <v>-2.7641930682543599E-3</v>
      </c>
      <c r="D1908">
        <f t="shared" si="77"/>
        <v>-0.32480134534825211</v>
      </c>
    </row>
    <row r="1909" spans="1:4">
      <c r="A1909" s="1">
        <v>21041</v>
      </c>
      <c r="B1909">
        <v>46.92</v>
      </c>
      <c r="C1909">
        <f t="shared" si="78"/>
        <v>4.2643923240944832E-4</v>
      </c>
      <c r="D1909">
        <f t="shared" si="77"/>
        <v>1.212834105323151E-2</v>
      </c>
    </row>
    <row r="1910" spans="1:4">
      <c r="A1910" s="1">
        <v>21044</v>
      </c>
      <c r="B1910">
        <v>46.33</v>
      </c>
      <c r="C1910">
        <f t="shared" si="78"/>
        <v>-1.2574595055413543E-2</v>
      </c>
      <c r="D1910">
        <f t="shared" si="77"/>
        <v>-1.3607764604746009</v>
      </c>
    </row>
    <row r="1911" spans="1:4">
      <c r="A1911" s="1">
        <v>21045</v>
      </c>
      <c r="B1911">
        <v>46.3</v>
      </c>
      <c r="C1911">
        <f t="shared" si="78"/>
        <v>-6.4752859917982172E-4</v>
      </c>
      <c r="D1911">
        <f t="shared" si="77"/>
        <v>-0.10128229690319213</v>
      </c>
    </row>
    <row r="1912" spans="1:4">
      <c r="A1912" s="1">
        <v>21046</v>
      </c>
      <c r="B1912">
        <v>45.73</v>
      </c>
      <c r="C1912">
        <f t="shared" si="78"/>
        <v>-1.2311015118790503E-2</v>
      </c>
      <c r="D1912">
        <f t="shared" si="77"/>
        <v>-1.3329425087623814</v>
      </c>
    </row>
    <row r="1913" spans="1:4">
      <c r="A1913" s="1">
        <v>21047</v>
      </c>
      <c r="B1913">
        <v>45.75</v>
      </c>
      <c r="C1913">
        <f t="shared" si="78"/>
        <v>4.3734966105408107E-4</v>
      </c>
      <c r="D1913">
        <f t="shared" si="77"/>
        <v>1.3280478609469838E-2</v>
      </c>
    </row>
    <row r="1914" spans="1:4">
      <c r="A1914" s="1">
        <v>21048</v>
      </c>
      <c r="B1914">
        <v>45.83</v>
      </c>
      <c r="C1914">
        <f t="shared" si="78"/>
        <v>1.7486338797813835E-3</v>
      </c>
      <c r="D1914">
        <f t="shared" si="77"/>
        <v>0.15175164637991026</v>
      </c>
    </row>
    <row r="1915" spans="1:4">
      <c r="A1915" s="1">
        <v>21051</v>
      </c>
      <c r="B1915">
        <v>44.91</v>
      </c>
      <c r="C1915">
        <f t="shared" si="78"/>
        <v>-2.0074187213615573E-2</v>
      </c>
      <c r="D1915">
        <f t="shared" si="77"/>
        <v>-2.1527308431454997</v>
      </c>
    </row>
    <row r="1916" spans="1:4">
      <c r="A1916" s="1">
        <v>21052</v>
      </c>
      <c r="B1916">
        <v>45.29</v>
      </c>
      <c r="C1916">
        <f t="shared" si="78"/>
        <v>8.461367178802106E-3</v>
      </c>
      <c r="D1916">
        <f t="shared" si="77"/>
        <v>0.86061400098758478</v>
      </c>
    </row>
    <row r="1917" spans="1:4">
      <c r="A1917" s="1">
        <v>21053</v>
      </c>
      <c r="B1917">
        <v>45.49</v>
      </c>
      <c r="C1917">
        <f t="shared" si="78"/>
        <v>4.4159858688452829E-3</v>
      </c>
      <c r="D1917">
        <f t="shared" si="77"/>
        <v>0.43342310974806375</v>
      </c>
    </row>
    <row r="1918" spans="1:4">
      <c r="A1918" s="1">
        <v>21054</v>
      </c>
      <c r="B1918">
        <v>45.16</v>
      </c>
      <c r="C1918">
        <f t="shared" si="78"/>
        <v>-7.2543416135415562E-3</v>
      </c>
      <c r="D1918">
        <f t="shared" si="77"/>
        <v>-0.79895950545493166</v>
      </c>
    </row>
    <row r="1919" spans="1:4">
      <c r="A1919" s="1">
        <v>21055</v>
      </c>
      <c r="B1919">
        <v>44.51</v>
      </c>
      <c r="C1919">
        <f t="shared" si="78"/>
        <v>-1.4393268379096515E-2</v>
      </c>
      <c r="D1919">
        <f t="shared" si="77"/>
        <v>-1.5528277452584234</v>
      </c>
    </row>
    <row r="1920" spans="1:4">
      <c r="A1920" s="1">
        <v>21058</v>
      </c>
      <c r="B1920">
        <v>43.89</v>
      </c>
      <c r="C1920">
        <f t="shared" si="78"/>
        <v>-1.3929454055268423E-2</v>
      </c>
      <c r="D1920">
        <f t="shared" si="77"/>
        <v>-1.5038491103203255</v>
      </c>
    </row>
    <row r="1921" spans="1:4">
      <c r="A1921" s="1">
        <v>21059</v>
      </c>
      <c r="B1921">
        <v>44.61</v>
      </c>
      <c r="C1921">
        <f t="shared" si="78"/>
        <v>1.6404647983595325E-2</v>
      </c>
      <c r="D1921">
        <f t="shared" si="77"/>
        <v>1.6994217539214143</v>
      </c>
    </row>
    <row r="1922" spans="1:4">
      <c r="A1922" s="1">
        <v>21060</v>
      </c>
      <c r="B1922">
        <v>44.64</v>
      </c>
      <c r="C1922">
        <f t="shared" si="78"/>
        <v>6.7249495628785331E-4</v>
      </c>
      <c r="D1922">
        <f t="shared" si="77"/>
        <v>3.8111741856386751E-2</v>
      </c>
    </row>
    <row r="1923" spans="1:4">
      <c r="A1923" s="1">
        <v>21061</v>
      </c>
      <c r="B1923">
        <v>44.46</v>
      </c>
      <c r="C1923">
        <f t="shared" si="78"/>
        <v>-4.0322580645161228E-3</v>
      </c>
      <c r="D1923">
        <f t="shared" ref="D1923:D1986" si="79">(C1923-avg)/sd</f>
        <v>-0.45870857791725916</v>
      </c>
    </row>
    <row r="1924" spans="1:4">
      <c r="A1924" s="1">
        <v>21062</v>
      </c>
      <c r="B1924">
        <v>45.22</v>
      </c>
      <c r="C1924">
        <f t="shared" ref="C1924:C1987" si="80">(B1924-B1923)/B1923</f>
        <v>1.7094017094017051E-2</v>
      </c>
      <c r="D1924">
        <f t="shared" si="79"/>
        <v>1.7722188976540023</v>
      </c>
    </row>
    <row r="1925" spans="1:4">
      <c r="A1925" s="1">
        <v>21066</v>
      </c>
      <c r="B1925">
        <v>45.44</v>
      </c>
      <c r="C1925">
        <f t="shared" si="80"/>
        <v>4.8651039363113418E-3</v>
      </c>
      <c r="D1925">
        <f t="shared" si="79"/>
        <v>0.48084982500983092</v>
      </c>
    </row>
    <row r="1926" spans="1:4">
      <c r="A1926" s="1">
        <v>21067</v>
      </c>
      <c r="B1926">
        <v>45.05</v>
      </c>
      <c r="C1926">
        <f t="shared" si="80"/>
        <v>-8.5827464788732523E-3</v>
      </c>
      <c r="D1926">
        <f t="shared" si="79"/>
        <v>-0.93923860768720546</v>
      </c>
    </row>
    <row r="1927" spans="1:4">
      <c r="A1927" s="1">
        <v>21068</v>
      </c>
      <c r="B1927">
        <v>44.82</v>
      </c>
      <c r="C1927">
        <f t="shared" si="80"/>
        <v>-5.1054384017757354E-3</v>
      </c>
      <c r="D1927">
        <f t="shared" si="79"/>
        <v>-0.57203605674015323</v>
      </c>
    </row>
    <row r="1928" spans="1:4">
      <c r="A1928" s="1">
        <v>21069</v>
      </c>
      <c r="B1928">
        <v>44.68</v>
      </c>
      <c r="C1928">
        <f t="shared" si="80"/>
        <v>-3.1236055332441001E-3</v>
      </c>
      <c r="D1928">
        <f t="shared" si="79"/>
        <v>-0.36275517948093589</v>
      </c>
    </row>
    <row r="1929" spans="1:4">
      <c r="A1929" s="1">
        <v>21072</v>
      </c>
      <c r="B1929">
        <v>44.28</v>
      </c>
      <c r="C1929">
        <f t="shared" si="80"/>
        <v>-8.952551477170962E-3</v>
      </c>
      <c r="D1929">
        <f t="shared" si="79"/>
        <v>-0.97828988980461706</v>
      </c>
    </row>
    <row r="1930" spans="1:4">
      <c r="A1930" s="1">
        <v>21073</v>
      </c>
      <c r="B1930">
        <v>43.87</v>
      </c>
      <c r="C1930">
        <f t="shared" si="80"/>
        <v>-9.259259259259342E-3</v>
      </c>
      <c r="D1930">
        <f t="shared" si="79"/>
        <v>-1.0106781273381094</v>
      </c>
    </row>
    <row r="1931" spans="1:4">
      <c r="A1931" s="1">
        <v>21074</v>
      </c>
      <c r="B1931">
        <v>44.26</v>
      </c>
      <c r="C1931">
        <f t="shared" si="80"/>
        <v>8.8899019831319946E-3</v>
      </c>
      <c r="D1931">
        <f t="shared" si="79"/>
        <v>0.90586713065876356</v>
      </c>
    </row>
    <row r="1932" spans="1:4">
      <c r="A1932" s="1">
        <v>21075</v>
      </c>
      <c r="B1932">
        <v>44.82</v>
      </c>
      <c r="C1932">
        <f t="shared" si="80"/>
        <v>1.2652507907817495E-2</v>
      </c>
      <c r="D1932">
        <f t="shared" si="79"/>
        <v>1.3031970373336565</v>
      </c>
    </row>
    <row r="1933" spans="1:4">
      <c r="A1933" s="1">
        <v>21076</v>
      </c>
      <c r="B1933">
        <v>44.8</v>
      </c>
      <c r="C1933">
        <f t="shared" si="80"/>
        <v>-4.4622936189208225E-4</v>
      </c>
      <c r="D1933">
        <f t="shared" si="79"/>
        <v>-8.0025165870542189E-2</v>
      </c>
    </row>
    <row r="1934" spans="1:4">
      <c r="A1934" s="1">
        <v>21079</v>
      </c>
      <c r="B1934">
        <v>44.58</v>
      </c>
      <c r="C1934">
        <f t="shared" si="80"/>
        <v>-4.9107142857142605E-3</v>
      </c>
      <c r="D1934">
        <f t="shared" si="79"/>
        <v>-0.55147325627400456</v>
      </c>
    </row>
    <row r="1935" spans="1:4">
      <c r="A1935" s="1">
        <v>21080</v>
      </c>
      <c r="B1935">
        <v>44.64</v>
      </c>
      <c r="C1935">
        <f t="shared" si="80"/>
        <v>1.3458950201884763E-3</v>
      </c>
      <c r="D1935">
        <f t="shared" si="79"/>
        <v>0.10922255970448914</v>
      </c>
    </row>
    <row r="1936" spans="1:4">
      <c r="A1936" s="1">
        <v>21081</v>
      </c>
      <c r="B1936">
        <v>44.69</v>
      </c>
      <c r="C1936">
        <f t="shared" si="80"/>
        <v>1.12007168458775E-3</v>
      </c>
      <c r="D1936">
        <f t="shared" si="79"/>
        <v>8.5375692226133865E-2</v>
      </c>
    </row>
    <row r="1937" spans="1:4">
      <c r="A1937" s="1">
        <v>21082</v>
      </c>
      <c r="B1937">
        <v>44.4</v>
      </c>
      <c r="C1937">
        <f t="shared" si="80"/>
        <v>-6.4891474602819235E-3</v>
      </c>
      <c r="D1937">
        <f t="shared" si="79"/>
        <v>-0.71815526297284482</v>
      </c>
    </row>
    <row r="1938" spans="1:4">
      <c r="A1938" s="1">
        <v>21083</v>
      </c>
      <c r="B1938">
        <v>43.69</v>
      </c>
      <c r="C1938">
        <f t="shared" si="80"/>
        <v>-1.5990990990991012E-2</v>
      </c>
      <c r="D1938">
        <f t="shared" si="79"/>
        <v>-1.7215467099821791</v>
      </c>
    </row>
    <row r="1939" spans="1:4">
      <c r="A1939" s="1">
        <v>21086</v>
      </c>
      <c r="B1939">
        <v>42.69</v>
      </c>
      <c r="C1939">
        <f t="shared" si="80"/>
        <v>-2.2888532845044635E-2</v>
      </c>
      <c r="D1939">
        <f t="shared" si="79"/>
        <v>-2.4499247851818478</v>
      </c>
    </row>
    <row r="1940" spans="1:4">
      <c r="A1940" s="1">
        <v>21087</v>
      </c>
      <c r="B1940">
        <v>42.98</v>
      </c>
      <c r="C1940">
        <f t="shared" si="80"/>
        <v>6.7931599906301049E-3</v>
      </c>
      <c r="D1940">
        <f t="shared" si="79"/>
        <v>0.6844518889677963</v>
      </c>
    </row>
    <row r="1941" spans="1:4">
      <c r="A1941" s="1">
        <v>21088</v>
      </c>
      <c r="B1941">
        <v>42.98</v>
      </c>
      <c r="C1941">
        <f t="shared" si="80"/>
        <v>0</v>
      </c>
      <c r="D1941">
        <f t="shared" si="79"/>
        <v>-3.29034969354682E-2</v>
      </c>
    </row>
    <row r="1942" spans="1:4">
      <c r="A1942" s="1">
        <v>21089</v>
      </c>
      <c r="B1942">
        <v>42.57</v>
      </c>
      <c r="C1942">
        <f t="shared" si="80"/>
        <v>-9.5393206142391027E-3</v>
      </c>
      <c r="D1942">
        <f t="shared" si="79"/>
        <v>-1.0402525112264922</v>
      </c>
    </row>
    <row r="1943" spans="1:4">
      <c r="A1943" s="1">
        <v>21090</v>
      </c>
      <c r="B1943">
        <v>42.55</v>
      </c>
      <c r="C1943">
        <f t="shared" si="80"/>
        <v>-4.6981442330286882E-4</v>
      </c>
      <c r="D1943">
        <f t="shared" si="79"/>
        <v>-8.2515740338569357E-2</v>
      </c>
    </row>
    <row r="1944" spans="1:4">
      <c r="A1944" s="1">
        <v>21093</v>
      </c>
      <c r="B1944">
        <v>42.42</v>
      </c>
      <c r="C1944">
        <f t="shared" si="80"/>
        <v>-3.0552291421855572E-3</v>
      </c>
      <c r="D1944">
        <f t="shared" si="79"/>
        <v>-0.35553465582741839</v>
      </c>
    </row>
    <row r="1945" spans="1:4">
      <c r="A1945" s="1">
        <v>21094</v>
      </c>
      <c r="B1945">
        <v>42.76</v>
      </c>
      <c r="C1945">
        <f t="shared" si="80"/>
        <v>8.015087223007927E-3</v>
      </c>
      <c r="D1945">
        <f t="shared" si="79"/>
        <v>0.81348698935364705</v>
      </c>
    </row>
    <row r="1946" spans="1:4">
      <c r="A1946" s="1">
        <v>21095</v>
      </c>
      <c r="B1946">
        <v>43.1</v>
      </c>
      <c r="C1946">
        <f t="shared" si="80"/>
        <v>7.9513564078578913E-3</v>
      </c>
      <c r="D1946">
        <f t="shared" si="79"/>
        <v>0.80675703693695988</v>
      </c>
    </row>
    <row r="1947" spans="1:4">
      <c r="A1947" s="1">
        <v>21096</v>
      </c>
      <c r="B1947">
        <v>43.14</v>
      </c>
      <c r="C1947">
        <f t="shared" si="80"/>
        <v>9.2807424593965534E-4</v>
      </c>
      <c r="D1947">
        <f t="shared" si="79"/>
        <v>6.510082796799542E-2</v>
      </c>
    </row>
    <row r="1948" spans="1:4">
      <c r="A1948" s="1">
        <v>21097</v>
      </c>
      <c r="B1948">
        <v>42.79</v>
      </c>
      <c r="C1948">
        <f t="shared" si="80"/>
        <v>-8.1131200741771312E-3</v>
      </c>
      <c r="D1948">
        <f t="shared" si="79"/>
        <v>-0.88964621898506613</v>
      </c>
    </row>
    <row r="1949" spans="1:4">
      <c r="A1949" s="1">
        <v>21100</v>
      </c>
      <c r="B1949">
        <v>42.22</v>
      </c>
      <c r="C1949">
        <f t="shared" si="80"/>
        <v>-1.3320869362000474E-2</v>
      </c>
      <c r="D1949">
        <f t="shared" si="79"/>
        <v>-1.4395827735792186</v>
      </c>
    </row>
    <row r="1950" spans="1:4">
      <c r="A1950" s="1">
        <v>21101</v>
      </c>
      <c r="B1950">
        <v>41.95</v>
      </c>
      <c r="C1950">
        <f t="shared" si="80"/>
        <v>-6.3950734249170072E-3</v>
      </c>
      <c r="D1950">
        <f t="shared" si="79"/>
        <v>-0.70822107681562796</v>
      </c>
    </row>
    <row r="1951" spans="1:4">
      <c r="A1951" s="1">
        <v>21102</v>
      </c>
      <c r="B1951">
        <v>41.99</v>
      </c>
      <c r="C1951">
        <f t="shared" si="80"/>
        <v>9.5351609058400824E-4</v>
      </c>
      <c r="D1951">
        <f t="shared" si="79"/>
        <v>6.77874781143359E-2</v>
      </c>
    </row>
    <row r="1952" spans="1:4">
      <c r="A1952" s="1">
        <v>21103</v>
      </c>
      <c r="B1952">
        <v>40.96</v>
      </c>
      <c r="C1952">
        <f t="shared" si="80"/>
        <v>-2.4529649916646846E-2</v>
      </c>
      <c r="D1952">
        <f t="shared" si="79"/>
        <v>-2.6232261901002443</v>
      </c>
    </row>
    <row r="1953" spans="1:4">
      <c r="A1953" s="1">
        <v>21104</v>
      </c>
      <c r="B1953">
        <v>40.94</v>
      </c>
      <c r="C1953">
        <f t="shared" si="80"/>
        <v>-4.8828125000007633E-4</v>
      </c>
      <c r="D1953">
        <f t="shared" si="79"/>
        <v>-8.4465830960615079E-2</v>
      </c>
    </row>
    <row r="1954" spans="1:4">
      <c r="A1954" s="1">
        <v>21107</v>
      </c>
      <c r="B1954">
        <v>41.24</v>
      </c>
      <c r="C1954">
        <f t="shared" si="80"/>
        <v>7.3277967757695234E-3</v>
      </c>
      <c r="D1954">
        <f t="shared" si="79"/>
        <v>0.74090935174664574</v>
      </c>
    </row>
    <row r="1955" spans="1:4">
      <c r="A1955" s="1">
        <v>21108</v>
      </c>
      <c r="B1955">
        <v>41.67</v>
      </c>
      <c r="C1955">
        <f t="shared" si="80"/>
        <v>1.0426770126091165E-2</v>
      </c>
      <c r="D1955">
        <f t="shared" si="79"/>
        <v>1.0681598841483877</v>
      </c>
    </row>
    <row r="1956" spans="1:4">
      <c r="A1956" s="1">
        <v>21109</v>
      </c>
      <c r="B1956">
        <v>41.33</v>
      </c>
      <c r="C1956">
        <f t="shared" si="80"/>
        <v>-8.1593472522199038E-3</v>
      </c>
      <c r="D1956">
        <f t="shared" si="79"/>
        <v>-0.89452779327300169</v>
      </c>
    </row>
    <row r="1957" spans="1:4">
      <c r="A1957" s="1">
        <v>21110</v>
      </c>
      <c r="B1957">
        <v>40.65</v>
      </c>
      <c r="C1957">
        <f t="shared" si="80"/>
        <v>-1.6452939753205897E-2</v>
      </c>
      <c r="D1957">
        <f t="shared" si="79"/>
        <v>-1.7703283422480571</v>
      </c>
    </row>
    <row r="1958" spans="1:4">
      <c r="A1958" s="1">
        <v>21111</v>
      </c>
      <c r="B1958">
        <v>40.33</v>
      </c>
      <c r="C1958">
        <f t="shared" si="80"/>
        <v>-7.8720787207872157E-3</v>
      </c>
      <c r="D1958">
        <f t="shared" si="79"/>
        <v>-0.86419233400102813</v>
      </c>
    </row>
    <row r="1959" spans="1:4">
      <c r="A1959" s="1">
        <v>21114</v>
      </c>
      <c r="B1959">
        <v>39.15</v>
      </c>
      <c r="C1959">
        <f t="shared" si="80"/>
        <v>-2.9258616414579712E-2</v>
      </c>
      <c r="D1959">
        <f t="shared" si="79"/>
        <v>-3.1226034448281403</v>
      </c>
    </row>
    <row r="1960" spans="1:4">
      <c r="A1960" s="1">
        <v>21115</v>
      </c>
      <c r="B1960">
        <v>38.979999999999997</v>
      </c>
      <c r="C1960">
        <f t="shared" si="80"/>
        <v>-4.3422733077905932E-3</v>
      </c>
      <c r="D1960">
        <f t="shared" si="79"/>
        <v>-0.49144608222774189</v>
      </c>
    </row>
    <row r="1961" spans="1:4">
      <c r="A1961" s="1">
        <v>21116</v>
      </c>
      <c r="B1961">
        <v>40.729999999999997</v>
      </c>
      <c r="C1961">
        <f t="shared" si="80"/>
        <v>4.4894817855310416E-2</v>
      </c>
      <c r="D1961">
        <f t="shared" si="79"/>
        <v>4.7079740080952543</v>
      </c>
    </row>
    <row r="1962" spans="1:4">
      <c r="A1962" s="1">
        <v>21117</v>
      </c>
      <c r="B1962">
        <v>40.71</v>
      </c>
      <c r="C1962">
        <f t="shared" si="80"/>
        <v>-4.910385465258046E-4</v>
      </c>
      <c r="D1962">
        <f t="shared" si="79"/>
        <v>-8.4757000536481358E-2</v>
      </c>
    </row>
    <row r="1963" spans="1:4">
      <c r="A1963" s="1">
        <v>21118</v>
      </c>
      <c r="B1963">
        <v>40.590000000000003</v>
      </c>
      <c r="C1963">
        <f t="shared" si="80"/>
        <v>-2.9476787030213079E-3</v>
      </c>
      <c r="D1963">
        <f t="shared" si="79"/>
        <v>-0.34417736600984417</v>
      </c>
    </row>
    <row r="1964" spans="1:4">
      <c r="A1964" s="1">
        <v>21121</v>
      </c>
      <c r="B1964">
        <v>40.42</v>
      </c>
      <c r="C1964">
        <f t="shared" si="80"/>
        <v>-4.188223700418864E-3</v>
      </c>
      <c r="D1964">
        <f t="shared" si="79"/>
        <v>-0.4751784960532931</v>
      </c>
    </row>
    <row r="1965" spans="1:4">
      <c r="A1965" s="1">
        <v>21122</v>
      </c>
      <c r="B1965">
        <v>40.69</v>
      </c>
      <c r="C1965">
        <f t="shared" si="80"/>
        <v>6.6798614547252848E-3</v>
      </c>
      <c r="D1965">
        <f t="shared" si="79"/>
        <v>0.67248760208829084</v>
      </c>
    </row>
    <row r="1966" spans="1:4">
      <c r="A1966" s="1">
        <v>21123</v>
      </c>
      <c r="B1966">
        <v>41.02</v>
      </c>
      <c r="C1966">
        <f t="shared" si="80"/>
        <v>8.1101007618580839E-3</v>
      </c>
      <c r="D1966">
        <f t="shared" si="79"/>
        <v>0.82352038675955253</v>
      </c>
    </row>
    <row r="1967" spans="1:4">
      <c r="A1967" s="1">
        <v>21124</v>
      </c>
      <c r="B1967">
        <v>41.06</v>
      </c>
      <c r="C1967">
        <f t="shared" si="80"/>
        <v>9.7513408093610786E-4</v>
      </c>
      <c r="D1967">
        <f t="shared" si="79"/>
        <v>7.0070330547205656E-2</v>
      </c>
    </row>
    <row r="1968" spans="1:4">
      <c r="A1968" s="1">
        <v>21125</v>
      </c>
      <c r="B1968">
        <v>40.44</v>
      </c>
      <c r="C1968">
        <f t="shared" si="80"/>
        <v>-1.5099853872381989E-2</v>
      </c>
      <c r="D1968">
        <f t="shared" si="79"/>
        <v>-1.6274429331692906</v>
      </c>
    </row>
    <row r="1969" spans="1:4">
      <c r="A1969" s="1">
        <v>21128</v>
      </c>
      <c r="B1969">
        <v>40.369999999999997</v>
      </c>
      <c r="C1969">
        <f t="shared" si="80"/>
        <v>-1.7309594460929844E-3</v>
      </c>
      <c r="D1969">
        <f t="shared" si="79"/>
        <v>-0.21569222606118363</v>
      </c>
    </row>
    <row r="1970" spans="1:4">
      <c r="A1970" s="1">
        <v>21130</v>
      </c>
      <c r="B1970">
        <v>40.43</v>
      </c>
      <c r="C1970">
        <f t="shared" si="80"/>
        <v>1.4862521674511339E-3</v>
      </c>
      <c r="D1970">
        <f t="shared" si="79"/>
        <v>0.12404422674571335</v>
      </c>
    </row>
    <row r="1971" spans="1:4">
      <c r="A1971" s="1">
        <v>21131</v>
      </c>
      <c r="B1971">
        <v>40.67</v>
      </c>
      <c r="C1971">
        <f t="shared" si="80"/>
        <v>5.9361860004947314E-3</v>
      </c>
      <c r="D1971">
        <f t="shared" si="79"/>
        <v>0.59395572690911358</v>
      </c>
    </row>
    <row r="1972" spans="1:4">
      <c r="A1972" s="1">
        <v>21132</v>
      </c>
      <c r="B1972">
        <v>40.19</v>
      </c>
      <c r="C1972">
        <f t="shared" si="80"/>
        <v>-1.1802311285960265E-2</v>
      </c>
      <c r="D1972">
        <f t="shared" si="79"/>
        <v>-1.2792235569323427</v>
      </c>
    </row>
    <row r="1973" spans="1:4">
      <c r="A1973" s="1">
        <v>21135</v>
      </c>
      <c r="B1973">
        <v>40.18</v>
      </c>
      <c r="C1973">
        <f t="shared" si="80"/>
        <v>-2.4881811395864671E-4</v>
      </c>
      <c r="D1973">
        <f t="shared" si="79"/>
        <v>-5.9178605192114958E-2</v>
      </c>
    </row>
    <row r="1974" spans="1:4">
      <c r="A1974" s="1">
        <v>21136</v>
      </c>
      <c r="B1974">
        <v>39.6</v>
      </c>
      <c r="C1974">
        <f t="shared" si="80"/>
        <v>-1.4435042309606728E-2</v>
      </c>
      <c r="D1974">
        <f t="shared" si="79"/>
        <v>-1.5572390581206528</v>
      </c>
    </row>
    <row r="1975" spans="1:4">
      <c r="A1975" s="1">
        <v>21137</v>
      </c>
      <c r="B1975">
        <v>39.549999999999997</v>
      </c>
      <c r="C1975">
        <f t="shared" si="80"/>
        <v>-1.2626262626263703E-3</v>
      </c>
      <c r="D1975">
        <f t="shared" si="79"/>
        <v>-0.16623640108129309</v>
      </c>
    </row>
    <row r="1976" spans="1:4">
      <c r="A1976" s="1">
        <v>21138</v>
      </c>
      <c r="B1976">
        <v>39.44</v>
      </c>
      <c r="C1976">
        <f t="shared" si="80"/>
        <v>-2.7812895069532096E-3</v>
      </c>
      <c r="D1976">
        <f t="shared" si="79"/>
        <v>-0.32660672346348879</v>
      </c>
    </row>
    <row r="1977" spans="1:4">
      <c r="A1977" s="1">
        <v>21139</v>
      </c>
      <c r="B1977">
        <v>40.369999999999997</v>
      </c>
      <c r="C1977">
        <f t="shared" si="80"/>
        <v>2.358012170385395E-2</v>
      </c>
      <c r="D1977">
        <f t="shared" si="79"/>
        <v>2.4571493397186996</v>
      </c>
    </row>
    <row r="1978" spans="1:4">
      <c r="A1978" s="1">
        <v>21142</v>
      </c>
      <c r="B1978">
        <v>40.04</v>
      </c>
      <c r="C1978">
        <f t="shared" si="80"/>
        <v>-8.1743869209808841E-3</v>
      </c>
      <c r="D1978">
        <f t="shared" si="79"/>
        <v>-0.89611597718192937</v>
      </c>
    </row>
    <row r="1979" spans="1:4">
      <c r="A1979" s="1">
        <v>21143</v>
      </c>
      <c r="B1979">
        <v>39.81</v>
      </c>
      <c r="C1979">
        <f t="shared" si="80"/>
        <v>-5.744255744255666E-3</v>
      </c>
      <c r="D1979">
        <f t="shared" si="79"/>
        <v>-0.63949495096146869</v>
      </c>
    </row>
    <row r="1980" spans="1:4">
      <c r="A1980" s="1">
        <v>21144</v>
      </c>
      <c r="B1980">
        <v>39.92</v>
      </c>
      <c r="C1980">
        <f t="shared" si="80"/>
        <v>2.7631248430042559E-3</v>
      </c>
      <c r="D1980">
        <f t="shared" si="79"/>
        <v>0.25888154725401219</v>
      </c>
    </row>
    <row r="1981" spans="1:4">
      <c r="A1981" s="1">
        <v>21145</v>
      </c>
      <c r="B1981">
        <v>40.479999999999997</v>
      </c>
      <c r="C1981">
        <f t="shared" si="80"/>
        <v>1.4028056112224328E-2</v>
      </c>
      <c r="D1981">
        <f t="shared" si="79"/>
        <v>1.4484544601474652</v>
      </c>
    </row>
    <row r="1982" spans="1:4">
      <c r="A1982" s="1">
        <v>21146</v>
      </c>
      <c r="B1982">
        <v>40.869999999999997</v>
      </c>
      <c r="C1982">
        <f t="shared" si="80"/>
        <v>9.6343873517786716E-3</v>
      </c>
      <c r="D1982">
        <f t="shared" si="79"/>
        <v>0.98448453252498014</v>
      </c>
    </row>
    <row r="1983" spans="1:4">
      <c r="A1983" s="1">
        <v>21149</v>
      </c>
      <c r="B1983">
        <v>41.18</v>
      </c>
      <c r="C1983">
        <f t="shared" si="80"/>
        <v>7.5850256912161074E-3</v>
      </c>
      <c r="D1983">
        <f t="shared" si="79"/>
        <v>0.7680726377814483</v>
      </c>
    </row>
    <row r="1984" spans="1:4">
      <c r="A1984" s="1">
        <v>21150</v>
      </c>
      <c r="B1984">
        <v>40.090000000000003</v>
      </c>
      <c r="C1984">
        <f t="shared" si="80"/>
        <v>-2.6469159786303941E-2</v>
      </c>
      <c r="D1984">
        <f t="shared" si="79"/>
        <v>-2.8280377730645965</v>
      </c>
    </row>
    <row r="1985" spans="1:4">
      <c r="A1985" s="1">
        <v>21151</v>
      </c>
      <c r="B1985">
        <v>41.25</v>
      </c>
      <c r="C1985">
        <f t="shared" si="80"/>
        <v>2.8934896482913357E-2</v>
      </c>
      <c r="D1985">
        <f t="shared" si="79"/>
        <v>3.0226117362109877</v>
      </c>
    </row>
    <row r="1986" spans="1:4">
      <c r="A1986" s="1">
        <v>21153</v>
      </c>
      <c r="B1986">
        <v>41.72</v>
      </c>
      <c r="C1986">
        <f t="shared" si="80"/>
        <v>1.1393939393939366E-2</v>
      </c>
      <c r="D1986">
        <f t="shared" si="79"/>
        <v>1.1702926300763501</v>
      </c>
    </row>
    <row r="1987" spans="1:4">
      <c r="A1987" s="1">
        <v>21156</v>
      </c>
      <c r="B1987">
        <v>41.36</v>
      </c>
      <c r="C1987">
        <f t="shared" si="80"/>
        <v>-8.6289549376797562E-3</v>
      </c>
      <c r="D1987">
        <f t="shared" ref="D1987:D2050" si="81">(C1987-avg)/sd</f>
        <v>-0.94411820523015388</v>
      </c>
    </row>
    <row r="1988" spans="1:4">
      <c r="A1988" s="1">
        <v>21157</v>
      </c>
      <c r="B1988">
        <v>41.37</v>
      </c>
      <c r="C1988">
        <f t="shared" ref="C1988:C2051" si="82">(B1988-B1987)/B1987</f>
        <v>2.4177949709859792E-4</v>
      </c>
      <c r="D1988">
        <f t="shared" si="81"/>
        <v>-7.371664226700477E-3</v>
      </c>
    </row>
    <row r="1989" spans="1:4">
      <c r="A1989" s="1">
        <v>21158</v>
      </c>
      <c r="B1989">
        <v>41.54</v>
      </c>
      <c r="C1989">
        <f t="shared" si="82"/>
        <v>4.109257916364557E-3</v>
      </c>
      <c r="D1989">
        <f t="shared" si="81"/>
        <v>0.40103274222799601</v>
      </c>
    </row>
    <row r="1990" spans="1:4">
      <c r="A1990" s="1">
        <v>21159</v>
      </c>
      <c r="B1990">
        <v>41.52</v>
      </c>
      <c r="C1990">
        <f t="shared" si="82"/>
        <v>-4.8146364949436737E-4</v>
      </c>
      <c r="D1990">
        <f t="shared" si="81"/>
        <v>-8.374589466462723E-2</v>
      </c>
    </row>
    <row r="1991" spans="1:4">
      <c r="A1991" s="1">
        <v>21160</v>
      </c>
      <c r="B1991">
        <v>41.31</v>
      </c>
      <c r="C1991">
        <f t="shared" si="82"/>
        <v>-5.0578034682081125E-3</v>
      </c>
      <c r="D1991">
        <f t="shared" si="81"/>
        <v>-0.56700582394731291</v>
      </c>
    </row>
    <row r="1992" spans="1:4">
      <c r="A1992" s="1">
        <v>21163</v>
      </c>
      <c r="B1992">
        <v>40.92</v>
      </c>
      <c r="C1992">
        <f t="shared" si="82"/>
        <v>-9.4408133623820039E-3</v>
      </c>
      <c r="D1992">
        <f t="shared" si="81"/>
        <v>-1.0298501789146244</v>
      </c>
    </row>
    <row r="1993" spans="1:4">
      <c r="A1993" s="1">
        <v>21164</v>
      </c>
      <c r="B1993">
        <v>40.56</v>
      </c>
      <c r="C1993">
        <f t="shared" si="82"/>
        <v>-8.7976539589442668E-3</v>
      </c>
      <c r="D1993">
        <f t="shared" si="81"/>
        <v>-0.96193276453210275</v>
      </c>
    </row>
    <row r="1994" spans="1:4">
      <c r="A1994" s="1">
        <v>21165</v>
      </c>
      <c r="B1994">
        <v>40.51</v>
      </c>
      <c r="C1994">
        <f t="shared" si="82"/>
        <v>-1.2327416173571069E-3</v>
      </c>
      <c r="D1994">
        <f t="shared" si="81"/>
        <v>-0.16308059269914335</v>
      </c>
    </row>
    <row r="1995" spans="1:4">
      <c r="A1995" s="1">
        <v>21166</v>
      </c>
      <c r="B1995">
        <v>40.549999999999997</v>
      </c>
      <c r="C1995">
        <f t="shared" si="82"/>
        <v>9.8741051592197353E-4</v>
      </c>
      <c r="D1995">
        <f t="shared" si="81"/>
        <v>7.1366717908750085E-2</v>
      </c>
    </row>
    <row r="1996" spans="1:4">
      <c r="A1996" s="1">
        <v>21167</v>
      </c>
      <c r="B1996">
        <v>40.729999999999997</v>
      </c>
      <c r="C1996">
        <f t="shared" si="82"/>
        <v>4.4389642416769355E-3</v>
      </c>
      <c r="D1996">
        <f t="shared" si="81"/>
        <v>0.43584961810835782</v>
      </c>
    </row>
    <row r="1997" spans="1:4">
      <c r="A1997" s="1">
        <v>21170</v>
      </c>
      <c r="B1997">
        <v>40.119999999999997</v>
      </c>
      <c r="C1997">
        <f t="shared" si="82"/>
        <v>-1.4976675669040007E-2</v>
      </c>
      <c r="D1997">
        <f t="shared" si="81"/>
        <v>-1.6144353567666829</v>
      </c>
    </row>
    <row r="1998" spans="1:4">
      <c r="A1998" s="1">
        <v>21171</v>
      </c>
      <c r="B1998">
        <v>39.42</v>
      </c>
      <c r="C1998">
        <f t="shared" si="82"/>
        <v>-1.7447657028913155E-2</v>
      </c>
      <c r="D1998">
        <f t="shared" si="81"/>
        <v>-1.8753701484419132</v>
      </c>
    </row>
    <row r="1999" spans="1:4">
      <c r="A1999" s="1">
        <v>21172</v>
      </c>
      <c r="B1999">
        <v>39.380000000000003</v>
      </c>
      <c r="C1999">
        <f t="shared" si="82"/>
        <v>-1.014713343480445E-3</v>
      </c>
      <c r="D1999">
        <f t="shared" si="81"/>
        <v>-0.14005688108917905</v>
      </c>
    </row>
    <row r="2000" spans="1:4">
      <c r="A2000" s="1">
        <v>21173</v>
      </c>
      <c r="B2000">
        <v>39.799999999999997</v>
      </c>
      <c r="C2000">
        <f t="shared" si="82"/>
        <v>1.0665312341289857E-2</v>
      </c>
      <c r="D2000">
        <f t="shared" si="81"/>
        <v>1.0933498609889309</v>
      </c>
    </row>
    <row r="2001" spans="1:4">
      <c r="A2001" s="1">
        <v>21174</v>
      </c>
      <c r="B2001">
        <v>39.479999999999997</v>
      </c>
      <c r="C2001">
        <f t="shared" si="82"/>
        <v>-8.0402010050251334E-3</v>
      </c>
      <c r="D2001">
        <f t="shared" si="81"/>
        <v>-0.88194599006901109</v>
      </c>
    </row>
    <row r="2002" spans="1:4">
      <c r="A2002" s="1">
        <v>21177</v>
      </c>
      <c r="B2002">
        <v>39.479999999999997</v>
      </c>
      <c r="C2002">
        <f t="shared" si="82"/>
        <v>0</v>
      </c>
      <c r="D2002">
        <f t="shared" si="81"/>
        <v>-3.29034969354682E-2</v>
      </c>
    </row>
    <row r="2003" spans="1:4">
      <c r="A2003" s="1">
        <v>21178</v>
      </c>
      <c r="B2003">
        <v>39.520000000000003</v>
      </c>
      <c r="C2003">
        <f t="shared" si="82"/>
        <v>1.0131712259373417E-3</v>
      </c>
      <c r="D2003">
        <f t="shared" si="81"/>
        <v>7.4087040129882181E-2</v>
      </c>
    </row>
    <row r="2004" spans="1:4">
      <c r="A2004" s="1">
        <v>21180</v>
      </c>
      <c r="B2004">
        <v>39.92</v>
      </c>
      <c r="C2004">
        <f t="shared" si="82"/>
        <v>1.0121457489878506E-2</v>
      </c>
      <c r="D2004">
        <f t="shared" si="81"/>
        <v>1.0359189735451384</v>
      </c>
    </row>
    <row r="2005" spans="1:4">
      <c r="A2005" s="1">
        <v>21181</v>
      </c>
      <c r="B2005">
        <v>39.78</v>
      </c>
      <c r="C2005">
        <f t="shared" si="82"/>
        <v>-3.5070140280561261E-3</v>
      </c>
      <c r="D2005">
        <f t="shared" si="81"/>
        <v>-0.40324298620620619</v>
      </c>
    </row>
    <row r="2006" spans="1:4">
      <c r="A2006" s="1">
        <v>21184</v>
      </c>
      <c r="B2006">
        <v>39.58</v>
      </c>
      <c r="C2006">
        <f t="shared" si="82"/>
        <v>-5.0276520864756874E-3</v>
      </c>
      <c r="D2006">
        <f t="shared" si="81"/>
        <v>-0.56382184828532145</v>
      </c>
    </row>
    <row r="2007" spans="1:4">
      <c r="A2007" s="1">
        <v>21185</v>
      </c>
      <c r="B2007">
        <v>39.99</v>
      </c>
      <c r="C2007">
        <f t="shared" si="82"/>
        <v>1.0358767054067805E-2</v>
      </c>
      <c r="D2007">
        <f t="shared" si="81"/>
        <v>1.0609787828580881</v>
      </c>
    </row>
    <row r="2008" spans="1:4">
      <c r="A2008" s="1">
        <v>21187</v>
      </c>
      <c r="B2008">
        <v>40.33</v>
      </c>
      <c r="C2008">
        <f t="shared" si="82"/>
        <v>8.502125531382753E-3</v>
      </c>
      <c r="D2008">
        <f t="shared" si="81"/>
        <v>0.86491806916566394</v>
      </c>
    </row>
    <row r="2009" spans="1:4">
      <c r="A2009" s="1">
        <v>21188</v>
      </c>
      <c r="B2009">
        <v>40.869999999999997</v>
      </c>
      <c r="C2009">
        <f t="shared" si="82"/>
        <v>1.3389536325316122E-2</v>
      </c>
      <c r="D2009">
        <f t="shared" si="81"/>
        <v>1.3810269876933798</v>
      </c>
    </row>
    <row r="2010" spans="1:4">
      <c r="A2010" s="1">
        <v>21191</v>
      </c>
      <c r="B2010">
        <v>40.68</v>
      </c>
      <c r="C2010">
        <f t="shared" si="82"/>
        <v>-4.6488867139710729E-3</v>
      </c>
      <c r="D2010">
        <f t="shared" si="81"/>
        <v>-0.52382435369743985</v>
      </c>
    </row>
    <row r="2011" spans="1:4">
      <c r="A2011" s="1">
        <v>21192</v>
      </c>
      <c r="B2011">
        <v>41</v>
      </c>
      <c r="C2011">
        <f t="shared" si="82"/>
        <v>7.8662733529990241E-3</v>
      </c>
      <c r="D2011">
        <f t="shared" si="81"/>
        <v>0.79777229526499904</v>
      </c>
    </row>
    <row r="2012" spans="1:4">
      <c r="A2012" s="1">
        <v>21193</v>
      </c>
      <c r="B2012">
        <v>40.99</v>
      </c>
      <c r="C2012">
        <f t="shared" si="82"/>
        <v>-2.4390243902434173E-4</v>
      </c>
      <c r="D2012">
        <f t="shared" si="81"/>
        <v>-5.8659511589971444E-2</v>
      </c>
    </row>
    <row r="2013" spans="1:4">
      <c r="A2013" s="1">
        <v>21194</v>
      </c>
      <c r="B2013">
        <v>40.75</v>
      </c>
      <c r="C2013">
        <f t="shared" si="82"/>
        <v>-5.8550866064894357E-3</v>
      </c>
      <c r="D2013">
        <f t="shared" si="81"/>
        <v>-0.65119865234011431</v>
      </c>
    </row>
    <row r="2014" spans="1:4">
      <c r="A2014" s="1">
        <v>21195</v>
      </c>
      <c r="B2014">
        <v>40.369999999999997</v>
      </c>
      <c r="C2014">
        <f t="shared" si="82"/>
        <v>-9.3251533742331923E-3</v>
      </c>
      <c r="D2014">
        <f t="shared" si="81"/>
        <v>-1.01763652348085</v>
      </c>
    </row>
    <row r="2015" spans="1:4">
      <c r="A2015" s="1">
        <v>21198</v>
      </c>
      <c r="B2015">
        <v>40.49</v>
      </c>
      <c r="C2015">
        <f t="shared" si="82"/>
        <v>2.9725043349022678E-3</v>
      </c>
      <c r="D2015">
        <f t="shared" si="81"/>
        <v>0.2809919504268949</v>
      </c>
    </row>
    <row r="2016" spans="1:4">
      <c r="A2016" s="1">
        <v>21199</v>
      </c>
      <c r="B2016">
        <v>40.67</v>
      </c>
      <c r="C2016">
        <f t="shared" si="82"/>
        <v>4.4455421091627494E-3</v>
      </c>
      <c r="D2016">
        <f t="shared" si="81"/>
        <v>0.43654423867893399</v>
      </c>
    </row>
    <row r="2017" spans="1:4">
      <c r="A2017" s="1">
        <v>21200</v>
      </c>
      <c r="B2017">
        <v>40.99</v>
      </c>
      <c r="C2017">
        <f t="shared" si="82"/>
        <v>7.8682075239734518E-3</v>
      </c>
      <c r="D2017">
        <f t="shared" si="81"/>
        <v>0.79797654306244192</v>
      </c>
    </row>
    <row r="2018" spans="1:4">
      <c r="A2018" s="1">
        <v>21201</v>
      </c>
      <c r="B2018">
        <v>41.06</v>
      </c>
      <c r="C2018">
        <f t="shared" si="82"/>
        <v>1.7077335935594116E-3</v>
      </c>
      <c r="D2018">
        <f t="shared" si="81"/>
        <v>0.14743259005755283</v>
      </c>
    </row>
    <row r="2019" spans="1:4">
      <c r="A2019" s="1">
        <v>21202</v>
      </c>
      <c r="B2019">
        <v>41.1</v>
      </c>
      <c r="C2019">
        <f t="shared" si="82"/>
        <v>9.741841207988102E-4</v>
      </c>
      <c r="D2019">
        <f t="shared" si="81"/>
        <v>6.9970015079614173E-2</v>
      </c>
    </row>
    <row r="2020" spans="1:4">
      <c r="A2020" s="1">
        <v>21205</v>
      </c>
      <c r="B2020">
        <v>41.35</v>
      </c>
      <c r="C2020">
        <f t="shared" si="82"/>
        <v>6.0827250608272501E-3</v>
      </c>
      <c r="D2020">
        <f t="shared" si="81"/>
        <v>0.60943020186918073</v>
      </c>
    </row>
    <row r="2021" spans="1:4">
      <c r="A2021" s="1">
        <v>21206</v>
      </c>
      <c r="B2021">
        <v>41.3</v>
      </c>
      <c r="C2021">
        <f t="shared" si="82"/>
        <v>-1.2091898428054236E-3</v>
      </c>
      <c r="D2021">
        <f t="shared" si="81"/>
        <v>-0.16059353331212275</v>
      </c>
    </row>
    <row r="2022" spans="1:4">
      <c r="A2022" s="1">
        <v>21207</v>
      </c>
      <c r="B2022">
        <v>41.2</v>
      </c>
      <c r="C2022">
        <f t="shared" si="82"/>
        <v>-2.4213075060531314E-3</v>
      </c>
      <c r="D2022">
        <f t="shared" si="81"/>
        <v>-0.28859274653226796</v>
      </c>
    </row>
    <row r="2023" spans="1:4">
      <c r="A2023" s="1">
        <v>21208</v>
      </c>
      <c r="B2023">
        <v>41.36</v>
      </c>
      <c r="C2023">
        <f t="shared" si="82"/>
        <v>3.883495145630985E-3</v>
      </c>
      <c r="D2023">
        <f t="shared" si="81"/>
        <v>0.3771922703790252</v>
      </c>
    </row>
    <row r="2024" spans="1:4">
      <c r="A2024" s="1">
        <v>21209</v>
      </c>
      <c r="B2024">
        <v>41.71</v>
      </c>
      <c r="C2024">
        <f t="shared" si="82"/>
        <v>8.4622823984526457E-3</v>
      </c>
      <c r="D2024">
        <f t="shared" si="81"/>
        <v>0.86071064787158358</v>
      </c>
    </row>
    <row r="2025" spans="1:4">
      <c r="A2025" s="1">
        <v>21212</v>
      </c>
      <c r="B2025">
        <v>41.59</v>
      </c>
      <c r="C2025">
        <f t="shared" si="82"/>
        <v>-2.8770079117716959E-3</v>
      </c>
      <c r="D2025">
        <f t="shared" si="81"/>
        <v>-0.33671455447605431</v>
      </c>
    </row>
    <row r="2026" spans="1:4">
      <c r="A2026" s="1">
        <v>21213</v>
      </c>
      <c r="B2026">
        <v>41.63</v>
      </c>
      <c r="C2026">
        <f t="shared" si="82"/>
        <v>9.617696561673273E-4</v>
      </c>
      <c r="D2026">
        <f t="shared" si="81"/>
        <v>6.8659051834411136E-2</v>
      </c>
    </row>
    <row r="2027" spans="1:4">
      <c r="A2027" s="1">
        <v>21214</v>
      </c>
      <c r="B2027">
        <v>41.88</v>
      </c>
      <c r="C2027">
        <f t="shared" si="82"/>
        <v>6.005284650492433E-3</v>
      </c>
      <c r="D2027">
        <f t="shared" si="81"/>
        <v>0.60125252086109859</v>
      </c>
    </row>
    <row r="2028" spans="1:4">
      <c r="A2028" s="1">
        <v>21215</v>
      </c>
      <c r="B2028">
        <v>41.68</v>
      </c>
      <c r="C2028">
        <f t="shared" si="82"/>
        <v>-4.775549188156706E-3</v>
      </c>
      <c r="D2028">
        <f t="shared" si="81"/>
        <v>-0.53719986791677588</v>
      </c>
    </row>
    <row r="2029" spans="1:4">
      <c r="A2029" s="1">
        <v>21216</v>
      </c>
      <c r="B2029">
        <v>41.7</v>
      </c>
      <c r="C2029">
        <f t="shared" si="82"/>
        <v>4.798464491363514E-4</v>
      </c>
      <c r="D2029">
        <f t="shared" si="81"/>
        <v>1.7768124985597451E-2</v>
      </c>
    </row>
    <row r="2030" spans="1:4">
      <c r="A2030" s="1">
        <v>21219</v>
      </c>
      <c r="B2030">
        <v>42.04</v>
      </c>
      <c r="C2030">
        <f t="shared" si="82"/>
        <v>8.1534772182253312E-3</v>
      </c>
      <c r="D2030">
        <f t="shared" si="81"/>
        <v>0.82810092580756001</v>
      </c>
    </row>
    <row r="2031" spans="1:4">
      <c r="A2031" s="1">
        <v>21220</v>
      </c>
      <c r="B2031">
        <v>42.46</v>
      </c>
      <c r="C2031">
        <f t="shared" si="82"/>
        <v>9.9904852521408589E-3</v>
      </c>
      <c r="D2031">
        <f t="shared" si="81"/>
        <v>1.0220883497596696</v>
      </c>
    </row>
    <row r="2032" spans="1:4">
      <c r="A2032" s="1">
        <v>21221</v>
      </c>
      <c r="B2032">
        <v>42.19</v>
      </c>
      <c r="C2032">
        <f t="shared" si="82"/>
        <v>-6.3589260480452926E-3</v>
      </c>
      <c r="D2032">
        <f t="shared" si="81"/>
        <v>-0.7044039261050653</v>
      </c>
    </row>
    <row r="2033" spans="1:4">
      <c r="A2033" s="1">
        <v>21222</v>
      </c>
      <c r="B2033">
        <v>42.1</v>
      </c>
      <c r="C2033">
        <f t="shared" si="82"/>
        <v>-2.1332069210712565E-3</v>
      </c>
      <c r="D2033">
        <f t="shared" si="81"/>
        <v>-0.25816942268832904</v>
      </c>
    </row>
    <row r="2034" spans="1:4">
      <c r="A2034" s="1">
        <v>21223</v>
      </c>
      <c r="B2034">
        <v>41.73</v>
      </c>
      <c r="C2034">
        <f t="shared" si="82"/>
        <v>-8.7885985748219608E-3</v>
      </c>
      <c r="D2034">
        <f t="shared" si="81"/>
        <v>-0.96097651904686188</v>
      </c>
    </row>
    <row r="2035" spans="1:4">
      <c r="A2035" s="1">
        <v>21226</v>
      </c>
      <c r="B2035">
        <v>41.48</v>
      </c>
      <c r="C2035">
        <f t="shared" si="82"/>
        <v>-5.9908938413611315E-3</v>
      </c>
      <c r="D2035">
        <f t="shared" si="81"/>
        <v>-0.66553985017944328</v>
      </c>
    </row>
    <row r="2036" spans="1:4">
      <c r="A2036" s="1">
        <v>21227</v>
      </c>
      <c r="B2036">
        <v>41.11</v>
      </c>
      <c r="C2036">
        <f t="shared" si="82"/>
        <v>-8.919961427193767E-3</v>
      </c>
      <c r="D2036">
        <f t="shared" si="81"/>
        <v>-0.97484839160492154</v>
      </c>
    </row>
    <row r="2037" spans="1:4">
      <c r="A2037" s="1">
        <v>21228</v>
      </c>
      <c r="B2037">
        <v>40.93</v>
      </c>
      <c r="C2037">
        <f t="shared" si="82"/>
        <v>-4.3784967161274559E-3</v>
      </c>
      <c r="D2037">
        <f t="shared" si="81"/>
        <v>-0.49527126183517989</v>
      </c>
    </row>
    <row r="2038" spans="1:4">
      <c r="A2038" s="1">
        <v>21229</v>
      </c>
      <c r="B2038">
        <v>40.94</v>
      </c>
      <c r="C2038">
        <f t="shared" si="82"/>
        <v>2.4431956999750818E-4</v>
      </c>
      <c r="D2038">
        <f t="shared" si="81"/>
        <v>-7.1034333919882831E-3</v>
      </c>
    </row>
    <row r="2039" spans="1:4">
      <c r="A2039" s="1">
        <v>21230</v>
      </c>
      <c r="B2039">
        <v>41.33</v>
      </c>
      <c r="C2039">
        <f t="shared" si="82"/>
        <v>9.5261358085002579E-3</v>
      </c>
      <c r="D2039">
        <f t="shared" si="81"/>
        <v>0.97305320635126702</v>
      </c>
    </row>
    <row r="2040" spans="1:4">
      <c r="A2040" s="1">
        <v>21233</v>
      </c>
      <c r="B2040">
        <v>41.11</v>
      </c>
      <c r="C2040">
        <f t="shared" si="82"/>
        <v>-5.3230099201548239E-3</v>
      </c>
      <c r="D2040">
        <f t="shared" si="81"/>
        <v>-0.59501153512483262</v>
      </c>
    </row>
    <row r="2041" spans="1:4">
      <c r="A2041" s="1">
        <v>21234</v>
      </c>
      <c r="B2041">
        <v>41.17</v>
      </c>
      <c r="C2041">
        <f t="shared" si="82"/>
        <v>1.4594989053758763E-3</v>
      </c>
      <c r="D2041">
        <f t="shared" si="81"/>
        <v>0.12121909136444177</v>
      </c>
    </row>
    <row r="2042" spans="1:4">
      <c r="A2042" s="1">
        <v>21235</v>
      </c>
      <c r="B2042">
        <v>41.15</v>
      </c>
      <c r="C2042">
        <f t="shared" si="82"/>
        <v>-4.8579062424102806E-4</v>
      </c>
      <c r="D2042">
        <f t="shared" si="81"/>
        <v>-8.4202821727064406E-2</v>
      </c>
    </row>
    <row r="2043" spans="1:4">
      <c r="A2043" s="1">
        <v>21236</v>
      </c>
      <c r="B2043">
        <v>40.909999999999997</v>
      </c>
      <c r="C2043">
        <f t="shared" si="82"/>
        <v>-5.8323207776428193E-3</v>
      </c>
      <c r="D2043">
        <f t="shared" si="81"/>
        <v>-0.6487945885523928</v>
      </c>
    </row>
    <row r="2044" spans="1:4">
      <c r="A2044" s="1">
        <v>21237</v>
      </c>
      <c r="B2044">
        <v>40.880000000000003</v>
      </c>
      <c r="C2044">
        <f t="shared" si="82"/>
        <v>-7.3331703739902305E-4</v>
      </c>
      <c r="D2044">
        <f t="shared" si="81"/>
        <v>-0.11034152681823278</v>
      </c>
    </row>
    <row r="2045" spans="1:4">
      <c r="A2045" s="1">
        <v>21240</v>
      </c>
      <c r="B2045">
        <v>40.65</v>
      </c>
      <c r="C2045">
        <f t="shared" si="82"/>
        <v>-5.6262230919766135E-3</v>
      </c>
      <c r="D2045">
        <f t="shared" si="81"/>
        <v>-0.62703074300204864</v>
      </c>
    </row>
    <row r="2046" spans="1:4">
      <c r="A2046" s="1">
        <v>21241</v>
      </c>
      <c r="B2046">
        <v>40.61</v>
      </c>
      <c r="C2046">
        <f t="shared" si="82"/>
        <v>-9.8400984009838007E-4</v>
      </c>
      <c r="D2046">
        <f t="shared" si="81"/>
        <v>-0.13681460156866088</v>
      </c>
    </row>
    <row r="2047" spans="1:4">
      <c r="A2047" s="1">
        <v>21242</v>
      </c>
      <c r="B2047">
        <v>40.92</v>
      </c>
      <c r="C2047">
        <f t="shared" si="82"/>
        <v>7.6335877862595981E-3</v>
      </c>
      <c r="D2047">
        <f t="shared" si="81"/>
        <v>0.77320077851098279</v>
      </c>
    </row>
    <row r="2048" spans="1:4">
      <c r="A2048" s="1">
        <v>21243</v>
      </c>
      <c r="B2048">
        <v>40.68</v>
      </c>
      <c r="C2048">
        <f t="shared" si="82"/>
        <v>-5.8651026392962363E-3</v>
      </c>
      <c r="D2048">
        <f t="shared" si="81"/>
        <v>-0.65225634199989746</v>
      </c>
    </row>
    <row r="2049" spans="1:4">
      <c r="A2049" s="1">
        <v>21244</v>
      </c>
      <c r="B2049">
        <v>40.840000000000003</v>
      </c>
      <c r="C2049">
        <f t="shared" si="82"/>
        <v>3.9331366764995988E-3</v>
      </c>
      <c r="D2049">
        <f t="shared" si="81"/>
        <v>0.38243439916477462</v>
      </c>
    </row>
    <row r="2050" spans="1:4">
      <c r="A2050" s="1">
        <v>21247</v>
      </c>
      <c r="B2050">
        <v>41.13</v>
      </c>
      <c r="C2050">
        <f t="shared" si="82"/>
        <v>7.1008814887365112E-3</v>
      </c>
      <c r="D2050">
        <f t="shared" si="81"/>
        <v>0.71694717456821333</v>
      </c>
    </row>
    <row r="2051" spans="1:4">
      <c r="A2051" s="1">
        <v>21248</v>
      </c>
      <c r="B2051">
        <v>41.35</v>
      </c>
      <c r="C2051">
        <f t="shared" si="82"/>
        <v>5.348893751519544E-3</v>
      </c>
      <c r="D2051">
        <f t="shared" ref="D2051:D2114" si="83">(C2051-avg)/sd</f>
        <v>0.53193786504766882</v>
      </c>
    </row>
    <row r="2052" spans="1:4">
      <c r="A2052" s="1">
        <v>21249</v>
      </c>
      <c r="B2052">
        <v>41.47</v>
      </c>
      <c r="C2052">
        <f t="shared" ref="C2052:C2115" si="84">(B2052-B2051)/B2051</f>
        <v>2.9020556227327072E-3</v>
      </c>
      <c r="D2052">
        <f t="shared" si="83"/>
        <v>0.27355259036847007</v>
      </c>
    </row>
    <row r="2053" spans="1:4">
      <c r="A2053" s="1">
        <v>21250</v>
      </c>
      <c r="B2053">
        <v>42</v>
      </c>
      <c r="C2053">
        <f t="shared" si="84"/>
        <v>1.2780323125150738E-2</v>
      </c>
      <c r="D2053">
        <f t="shared" si="83"/>
        <v>1.3166942808375437</v>
      </c>
    </row>
    <row r="2054" spans="1:4">
      <c r="A2054" s="1">
        <v>21251</v>
      </c>
      <c r="B2054">
        <v>42.07</v>
      </c>
      <c r="C2054">
        <f t="shared" si="84"/>
        <v>1.6666666666666735E-3</v>
      </c>
      <c r="D2054">
        <f t="shared" si="83"/>
        <v>0.14309593653700636</v>
      </c>
    </row>
    <row r="2055" spans="1:4">
      <c r="A2055" s="1">
        <v>21254</v>
      </c>
      <c r="B2055">
        <v>42.21</v>
      </c>
      <c r="C2055">
        <f t="shared" si="84"/>
        <v>3.3277870216306292E-3</v>
      </c>
      <c r="D2055">
        <f t="shared" si="83"/>
        <v>0.31850968137895691</v>
      </c>
    </row>
    <row r="2056" spans="1:4">
      <c r="A2056" s="1">
        <v>21255</v>
      </c>
      <c r="B2056">
        <v>42.51</v>
      </c>
      <c r="C2056">
        <f t="shared" si="84"/>
        <v>7.1073205401562933E-3</v>
      </c>
      <c r="D2056">
        <f t="shared" si="83"/>
        <v>0.71762713620940244</v>
      </c>
    </row>
    <row r="2057" spans="1:4">
      <c r="A2057" s="1">
        <v>21256</v>
      </c>
      <c r="B2057">
        <v>42.41</v>
      </c>
      <c r="C2057">
        <f t="shared" si="84"/>
        <v>-2.3523876734886243E-3</v>
      </c>
      <c r="D2057">
        <f t="shared" si="83"/>
        <v>-0.2813148356404454</v>
      </c>
    </row>
    <row r="2058" spans="1:4">
      <c r="A2058" s="1">
        <v>21257</v>
      </c>
      <c r="B2058">
        <v>42.46</v>
      </c>
      <c r="C2058">
        <f t="shared" si="84"/>
        <v>1.1789672247112537E-3</v>
      </c>
      <c r="D2058">
        <f t="shared" si="83"/>
        <v>9.1595041243609052E-2</v>
      </c>
    </row>
    <row r="2059" spans="1:4">
      <c r="A2059" s="1">
        <v>21258</v>
      </c>
      <c r="B2059">
        <v>42.33</v>
      </c>
      <c r="C2059">
        <f t="shared" si="84"/>
        <v>-3.0617051342440547E-3</v>
      </c>
      <c r="D2059">
        <f t="shared" si="83"/>
        <v>-0.35621851838749907</v>
      </c>
    </row>
    <row r="2060" spans="1:4">
      <c r="A2060" s="1">
        <v>21261</v>
      </c>
      <c r="B2060">
        <v>42.04</v>
      </c>
      <c r="C2060">
        <f t="shared" si="84"/>
        <v>-6.850933144342054E-3</v>
      </c>
      <c r="D2060">
        <f t="shared" si="83"/>
        <v>-0.75635970823266552</v>
      </c>
    </row>
    <row r="2061" spans="1:4">
      <c r="A2061" s="1">
        <v>21262</v>
      </c>
      <c r="B2061">
        <v>41.89</v>
      </c>
      <c r="C2061">
        <f t="shared" si="84"/>
        <v>-3.5680304471931157E-3</v>
      </c>
      <c r="D2061">
        <f t="shared" si="83"/>
        <v>-0.40968629932658374</v>
      </c>
    </row>
    <row r="2062" spans="1:4">
      <c r="A2062" s="1">
        <v>21263</v>
      </c>
      <c r="B2062">
        <v>42.09</v>
      </c>
      <c r="C2062">
        <f t="shared" si="84"/>
        <v>4.7744091668656683E-3</v>
      </c>
      <c r="D2062">
        <f t="shared" si="83"/>
        <v>0.47127248818501782</v>
      </c>
    </row>
    <row r="2063" spans="1:4">
      <c r="A2063" s="1">
        <v>21264</v>
      </c>
      <c r="B2063">
        <v>42.11</v>
      </c>
      <c r="C2063">
        <f t="shared" si="84"/>
        <v>4.7517224994050888E-4</v>
      </c>
      <c r="D2063">
        <f t="shared" si="83"/>
        <v>1.7274531139353986E-2</v>
      </c>
    </row>
    <row r="2064" spans="1:4">
      <c r="A2064" s="1">
        <v>21265</v>
      </c>
      <c r="B2064">
        <v>42.42</v>
      </c>
      <c r="C2064">
        <f t="shared" si="84"/>
        <v>7.3616718119212127E-3</v>
      </c>
      <c r="D2064">
        <f t="shared" si="83"/>
        <v>0.74448654404957981</v>
      </c>
    </row>
    <row r="2065" spans="1:4">
      <c r="A2065" s="1">
        <v>21268</v>
      </c>
      <c r="B2065">
        <v>42.58</v>
      </c>
      <c r="C2065">
        <f t="shared" si="84"/>
        <v>3.7718057520036911E-3</v>
      </c>
      <c r="D2065">
        <f t="shared" si="83"/>
        <v>0.36539790837705249</v>
      </c>
    </row>
    <row r="2066" spans="1:4">
      <c r="A2066" s="1">
        <v>21269</v>
      </c>
      <c r="B2066">
        <v>42.44</v>
      </c>
      <c r="C2066">
        <f t="shared" si="84"/>
        <v>-3.2879286049788767E-3</v>
      </c>
      <c r="D2066">
        <f t="shared" si="83"/>
        <v>-0.3801076400000023</v>
      </c>
    </row>
    <row r="2067" spans="1:4">
      <c r="A2067" s="1">
        <v>21270</v>
      </c>
      <c r="B2067">
        <v>42.3</v>
      </c>
      <c r="C2067">
        <f t="shared" si="84"/>
        <v>-3.2987747408105695E-3</v>
      </c>
      <c r="D2067">
        <f t="shared" si="83"/>
        <v>-0.3812529882570484</v>
      </c>
    </row>
    <row r="2068" spans="1:4">
      <c r="A2068" s="1">
        <v>21271</v>
      </c>
      <c r="B2068">
        <v>42.17</v>
      </c>
      <c r="C2068">
        <f t="shared" si="84"/>
        <v>-3.0732860520093488E-3</v>
      </c>
      <c r="D2068">
        <f t="shared" si="83"/>
        <v>-0.35744145936696892</v>
      </c>
    </row>
    <row r="2069" spans="1:4">
      <c r="A2069" s="1">
        <v>21272</v>
      </c>
      <c r="B2069">
        <v>42.2</v>
      </c>
      <c r="C2069">
        <f t="shared" si="84"/>
        <v>7.1140621294761997E-4</v>
      </c>
      <c r="D2069">
        <f t="shared" si="83"/>
        <v>4.2220757333079326E-2</v>
      </c>
    </row>
    <row r="2070" spans="1:4">
      <c r="A2070" s="1">
        <v>21275</v>
      </c>
      <c r="B2070">
        <v>42.1</v>
      </c>
      <c r="C2070">
        <f t="shared" si="84"/>
        <v>-2.3696682464455312E-3</v>
      </c>
      <c r="D2070">
        <f t="shared" si="83"/>
        <v>-0.28313965827074261</v>
      </c>
    </row>
    <row r="2071" spans="1:4">
      <c r="A2071" s="1">
        <v>21276</v>
      </c>
      <c r="B2071">
        <v>41.93</v>
      </c>
      <c r="C2071">
        <f t="shared" si="84"/>
        <v>-4.0380047505938644E-3</v>
      </c>
      <c r="D2071">
        <f t="shared" si="83"/>
        <v>-0.45931542601367514</v>
      </c>
    </row>
    <row r="2072" spans="1:4">
      <c r="A2072" s="1">
        <v>21277</v>
      </c>
      <c r="B2072">
        <v>41.6</v>
      </c>
      <c r="C2072">
        <f t="shared" si="84"/>
        <v>-7.8702599570712687E-3</v>
      </c>
      <c r="D2072">
        <f t="shared" si="83"/>
        <v>-0.86400027317085193</v>
      </c>
    </row>
    <row r="2073" spans="1:4">
      <c r="A2073" s="1">
        <v>21278</v>
      </c>
      <c r="B2073">
        <v>41.48</v>
      </c>
      <c r="C2073">
        <f t="shared" si="84"/>
        <v>-2.8846153846154936E-3</v>
      </c>
      <c r="D2073">
        <f t="shared" si="83"/>
        <v>-0.33751790102245366</v>
      </c>
    </row>
    <row r="2074" spans="1:4">
      <c r="A2074" s="1">
        <v>21282</v>
      </c>
      <c r="B2074">
        <v>41.33</v>
      </c>
      <c r="C2074">
        <f t="shared" si="84"/>
        <v>-3.6162005785920588E-3</v>
      </c>
      <c r="D2074">
        <f t="shared" si="83"/>
        <v>-0.41477304882848892</v>
      </c>
    </row>
    <row r="2075" spans="1:4">
      <c r="A2075" s="1">
        <v>21283</v>
      </c>
      <c r="B2075">
        <v>41.43</v>
      </c>
      <c r="C2075">
        <f t="shared" si="84"/>
        <v>2.419549963706785E-3</v>
      </c>
      <c r="D2075">
        <f t="shared" si="83"/>
        <v>0.22260015678697509</v>
      </c>
    </row>
    <row r="2076" spans="1:4">
      <c r="A2076" s="1">
        <v>21284</v>
      </c>
      <c r="B2076">
        <v>41.65</v>
      </c>
      <c r="C2076">
        <f t="shared" si="84"/>
        <v>5.3101617185614012E-3</v>
      </c>
      <c r="D2076">
        <f t="shared" si="83"/>
        <v>0.52784777553294659</v>
      </c>
    </row>
    <row r="2077" spans="1:4">
      <c r="A2077" s="1">
        <v>21285</v>
      </c>
      <c r="B2077">
        <v>41.7</v>
      </c>
      <c r="C2077">
        <f t="shared" si="84"/>
        <v>1.2004801920769332E-3</v>
      </c>
      <c r="D2077">
        <f t="shared" si="83"/>
        <v>9.3866803284811909E-2</v>
      </c>
    </row>
    <row r="2078" spans="1:4">
      <c r="A2078" s="1">
        <v>21286</v>
      </c>
      <c r="B2078">
        <v>41.74</v>
      </c>
      <c r="C2078">
        <f t="shared" si="84"/>
        <v>9.5923261390885243E-4</v>
      </c>
      <c r="D2078">
        <f t="shared" si="83"/>
        <v>6.8391141034298761E-2</v>
      </c>
    </row>
    <row r="2079" spans="1:4">
      <c r="A2079" s="1">
        <v>21289</v>
      </c>
      <c r="B2079">
        <v>42</v>
      </c>
      <c r="C2079">
        <f t="shared" si="84"/>
        <v>6.2290368950646382E-3</v>
      </c>
      <c r="D2079">
        <f t="shared" si="83"/>
        <v>0.62488068183084011</v>
      </c>
    </row>
    <row r="2080" spans="1:4">
      <c r="A2080" s="1">
        <v>21290</v>
      </c>
      <c r="B2080">
        <v>42.43</v>
      </c>
      <c r="C2080">
        <f t="shared" si="84"/>
        <v>1.0238095238095232E-2</v>
      </c>
      <c r="D2080">
        <f t="shared" si="83"/>
        <v>1.0482358801097276</v>
      </c>
    </row>
    <row r="2081" spans="1:4">
      <c r="A2081" s="1">
        <v>21291</v>
      </c>
      <c r="B2081">
        <v>42.1</v>
      </c>
      <c r="C2081">
        <f t="shared" si="84"/>
        <v>-7.7775159085552272E-3</v>
      </c>
      <c r="D2081">
        <f t="shared" si="83"/>
        <v>-0.85420653317279183</v>
      </c>
    </row>
    <row r="2082" spans="1:4">
      <c r="A2082" s="1">
        <v>21292</v>
      </c>
      <c r="B2082">
        <v>42.25</v>
      </c>
      <c r="C2082">
        <f t="shared" si="84"/>
        <v>3.5629453681709877E-3</v>
      </c>
      <c r="D2082">
        <f t="shared" si="83"/>
        <v>0.34334232283941296</v>
      </c>
    </row>
    <row r="2083" spans="1:4">
      <c r="A2083" s="1">
        <v>21293</v>
      </c>
      <c r="B2083">
        <v>42.71</v>
      </c>
      <c r="C2083">
        <f t="shared" si="84"/>
        <v>1.0887573964497061E-2</v>
      </c>
      <c r="D2083">
        <f t="shared" si="83"/>
        <v>1.1168206128492151</v>
      </c>
    </row>
    <row r="2084" spans="1:4">
      <c r="A2084" s="1">
        <v>21296</v>
      </c>
      <c r="B2084">
        <v>42.93</v>
      </c>
      <c r="C2084">
        <f t="shared" si="84"/>
        <v>5.1510184968391213E-3</v>
      </c>
      <c r="D2084">
        <f t="shared" si="83"/>
        <v>0.51104230541448326</v>
      </c>
    </row>
    <row r="2085" spans="1:4">
      <c r="A2085" s="1">
        <v>21297</v>
      </c>
      <c r="B2085">
        <v>42.8</v>
      </c>
      <c r="C2085">
        <f t="shared" si="84"/>
        <v>-3.0281854181225848E-3</v>
      </c>
      <c r="D2085">
        <f t="shared" si="83"/>
        <v>-0.35267884775897695</v>
      </c>
    </row>
    <row r="2086" spans="1:4">
      <c r="A2086" s="1">
        <v>21298</v>
      </c>
      <c r="B2086">
        <v>42.8</v>
      </c>
      <c r="C2086">
        <f t="shared" si="84"/>
        <v>0</v>
      </c>
      <c r="D2086">
        <f t="shared" si="83"/>
        <v>-3.29034969354682E-2</v>
      </c>
    </row>
    <row r="2087" spans="1:4">
      <c r="A2087" s="1">
        <v>21299</v>
      </c>
      <c r="B2087">
        <v>43.14</v>
      </c>
      <c r="C2087">
        <f t="shared" si="84"/>
        <v>7.9439252336449395E-3</v>
      </c>
      <c r="D2087">
        <f t="shared" si="83"/>
        <v>0.80597230746605097</v>
      </c>
    </row>
    <row r="2088" spans="1:4">
      <c r="A2088" s="1">
        <v>21300</v>
      </c>
      <c r="B2088">
        <v>43.36</v>
      </c>
      <c r="C2088">
        <f t="shared" si="84"/>
        <v>5.0996754751970064E-3</v>
      </c>
      <c r="D2088">
        <f t="shared" si="83"/>
        <v>0.50562049978141699</v>
      </c>
    </row>
    <row r="2089" spans="1:4">
      <c r="A2089" s="1">
        <v>21303</v>
      </c>
      <c r="B2089">
        <v>43.22</v>
      </c>
      <c r="C2089">
        <f t="shared" si="84"/>
        <v>-3.2287822878228913E-3</v>
      </c>
      <c r="D2089">
        <f t="shared" si="83"/>
        <v>-0.37386180901314031</v>
      </c>
    </row>
    <row r="2090" spans="1:4">
      <c r="A2090" s="1">
        <v>21304</v>
      </c>
      <c r="B2090">
        <v>43</v>
      </c>
      <c r="C2090">
        <f t="shared" si="84"/>
        <v>-5.0902360018509688E-3</v>
      </c>
      <c r="D2090">
        <f t="shared" si="83"/>
        <v>-0.57043068847564471</v>
      </c>
    </row>
    <row r="2091" spans="1:4">
      <c r="A2091" s="1">
        <v>21305</v>
      </c>
      <c r="B2091">
        <v>43.44</v>
      </c>
      <c r="C2091">
        <f t="shared" si="84"/>
        <v>1.0232558139534831E-2</v>
      </c>
      <c r="D2091">
        <f t="shared" si="83"/>
        <v>1.0476511643839006</v>
      </c>
    </row>
    <row r="2092" spans="1:4">
      <c r="A2092" s="1">
        <v>21306</v>
      </c>
      <c r="B2092">
        <v>43.54</v>
      </c>
      <c r="C2092">
        <f t="shared" si="84"/>
        <v>2.3020257826887988E-3</v>
      </c>
      <c r="D2092">
        <f t="shared" si="83"/>
        <v>0.21018964321988587</v>
      </c>
    </row>
    <row r="2093" spans="1:4">
      <c r="A2093" s="1">
        <v>21307</v>
      </c>
      <c r="B2093">
        <v>43.69</v>
      </c>
      <c r="C2093">
        <f t="shared" si="84"/>
        <v>3.445107946715631E-3</v>
      </c>
      <c r="D2093">
        <f t="shared" si="83"/>
        <v>0.33089873118861302</v>
      </c>
    </row>
    <row r="2094" spans="1:4">
      <c r="A2094" s="1">
        <v>21310</v>
      </c>
      <c r="B2094">
        <v>43.79</v>
      </c>
      <c r="C2094">
        <f t="shared" si="84"/>
        <v>2.2888532845044959E-3</v>
      </c>
      <c r="D2094">
        <f t="shared" si="83"/>
        <v>0.20879863188917316</v>
      </c>
    </row>
    <row r="2095" spans="1:4">
      <c r="A2095" s="1">
        <v>21311</v>
      </c>
      <c r="B2095">
        <v>44.01</v>
      </c>
      <c r="C2095">
        <f t="shared" si="84"/>
        <v>5.0239780771865463E-3</v>
      </c>
      <c r="D2095">
        <f t="shared" si="83"/>
        <v>0.49762688028230811</v>
      </c>
    </row>
    <row r="2096" spans="1:4">
      <c r="A2096" s="1">
        <v>21312</v>
      </c>
      <c r="B2096">
        <v>43.93</v>
      </c>
      <c r="C2096">
        <f t="shared" si="84"/>
        <v>-1.8177686889342944E-3</v>
      </c>
      <c r="D2096">
        <f t="shared" si="83"/>
        <v>-0.22485925259733061</v>
      </c>
    </row>
    <row r="2097" spans="1:4">
      <c r="A2097" s="1">
        <v>21313</v>
      </c>
      <c r="B2097">
        <v>43.99</v>
      </c>
      <c r="C2097">
        <f t="shared" si="84"/>
        <v>1.3658092419759225E-3</v>
      </c>
      <c r="D2097">
        <f t="shared" si="83"/>
        <v>0.11132549475607059</v>
      </c>
    </row>
    <row r="2098" spans="1:4">
      <c r="A2098" s="1">
        <v>21314</v>
      </c>
      <c r="B2098">
        <v>44.09</v>
      </c>
      <c r="C2098">
        <f t="shared" si="84"/>
        <v>2.2732439190725488E-3</v>
      </c>
      <c r="D2098">
        <f t="shared" si="83"/>
        <v>0.20715028820544068</v>
      </c>
    </row>
    <row r="2099" spans="1:4">
      <c r="A2099" s="1">
        <v>21317</v>
      </c>
      <c r="B2099">
        <v>43.75</v>
      </c>
      <c r="C2099">
        <f t="shared" si="84"/>
        <v>-7.7114992061692762E-3</v>
      </c>
      <c r="D2099">
        <f t="shared" si="83"/>
        <v>-0.84723519184100282</v>
      </c>
    </row>
    <row r="2100" spans="1:4">
      <c r="A2100" s="1">
        <v>21318</v>
      </c>
      <c r="B2100">
        <v>43.62</v>
      </c>
      <c r="C2100">
        <f t="shared" si="84"/>
        <v>-2.97142857142863E-3</v>
      </c>
      <c r="D2100">
        <f t="shared" si="83"/>
        <v>-0.34668534404068491</v>
      </c>
    </row>
    <row r="2101" spans="1:4">
      <c r="A2101" s="1">
        <v>21319</v>
      </c>
      <c r="B2101">
        <v>43.12</v>
      </c>
      <c r="C2101">
        <f t="shared" si="84"/>
        <v>-1.1462631820265934E-2</v>
      </c>
      <c r="D2101">
        <f t="shared" si="83"/>
        <v>-1.2433535208176818</v>
      </c>
    </row>
    <row r="2102" spans="1:4">
      <c r="A2102" s="1">
        <v>21320</v>
      </c>
      <c r="B2102">
        <v>43.34</v>
      </c>
      <c r="C2102">
        <f t="shared" si="84"/>
        <v>5.102040816326669E-3</v>
      </c>
      <c r="D2102">
        <f t="shared" si="83"/>
        <v>0.50587027900069081</v>
      </c>
    </row>
    <row r="2103" spans="1:4">
      <c r="A2103" s="1">
        <v>21321</v>
      </c>
      <c r="B2103">
        <v>43.36</v>
      </c>
      <c r="C2103">
        <f t="shared" si="84"/>
        <v>4.6146746654351684E-4</v>
      </c>
      <c r="D2103">
        <f t="shared" si="83"/>
        <v>1.5827310671113846E-2</v>
      </c>
    </row>
    <row r="2104" spans="1:4">
      <c r="A2104" s="1">
        <v>21324</v>
      </c>
      <c r="B2104">
        <v>43.24</v>
      </c>
      <c r="C2104">
        <f t="shared" si="84"/>
        <v>-2.7675276752766936E-3</v>
      </c>
      <c r="D2104">
        <f t="shared" si="83"/>
        <v>-0.32515347871632255</v>
      </c>
    </row>
    <row r="2105" spans="1:4">
      <c r="A2105" s="1">
        <v>21325</v>
      </c>
      <c r="B2105">
        <v>43.61</v>
      </c>
      <c r="C2105">
        <f t="shared" si="84"/>
        <v>8.5568917668824573E-3</v>
      </c>
      <c r="D2105">
        <f t="shared" si="83"/>
        <v>0.87070136501848483</v>
      </c>
    </row>
    <row r="2106" spans="1:4">
      <c r="A2106" s="1">
        <v>21326</v>
      </c>
      <c r="B2106">
        <v>43.55</v>
      </c>
      <c r="C2106">
        <f t="shared" si="84"/>
        <v>-1.3758312313690041E-3</v>
      </c>
      <c r="D2106">
        <f t="shared" si="83"/>
        <v>-0.17819080730027667</v>
      </c>
    </row>
    <row r="2107" spans="1:4">
      <c r="A2107" s="1">
        <v>21327</v>
      </c>
      <c r="B2107">
        <v>43.78</v>
      </c>
      <c r="C2107">
        <f t="shared" si="84"/>
        <v>5.2812858783008957E-3</v>
      </c>
      <c r="D2107">
        <f t="shared" si="83"/>
        <v>0.52479849661681222</v>
      </c>
    </row>
    <row r="2108" spans="1:4">
      <c r="A2108" s="1">
        <v>21328</v>
      </c>
      <c r="B2108">
        <v>43.87</v>
      </c>
      <c r="C2108">
        <f t="shared" si="84"/>
        <v>2.0557332115120216E-3</v>
      </c>
      <c r="D2108">
        <f t="shared" si="83"/>
        <v>0.18418123142253084</v>
      </c>
    </row>
    <row r="2109" spans="1:4">
      <c r="A2109" s="1">
        <v>21331</v>
      </c>
      <c r="B2109">
        <v>43.85</v>
      </c>
      <c r="C2109">
        <f t="shared" si="84"/>
        <v>-4.5589240939129295E-4</v>
      </c>
      <c r="D2109">
        <f t="shared" si="83"/>
        <v>-8.1045580401829409E-2</v>
      </c>
    </row>
    <row r="2110" spans="1:4">
      <c r="A2110" s="1">
        <v>21332</v>
      </c>
      <c r="B2110">
        <v>43.79</v>
      </c>
      <c r="C2110">
        <f t="shared" si="84"/>
        <v>-1.3683010262258216E-3</v>
      </c>
      <c r="D2110">
        <f t="shared" si="83"/>
        <v>-0.17739562019679769</v>
      </c>
    </row>
    <row r="2111" spans="1:4">
      <c r="A2111" s="1">
        <v>21333</v>
      </c>
      <c r="B2111">
        <v>43.85</v>
      </c>
      <c r="C2111">
        <f t="shared" si="84"/>
        <v>1.3701758392327536E-3</v>
      </c>
      <c r="D2111">
        <f t="shared" si="83"/>
        <v>0.11178660594211343</v>
      </c>
    </row>
    <row r="2112" spans="1:4">
      <c r="A2112" s="1">
        <v>21334</v>
      </c>
      <c r="B2112">
        <v>44.09</v>
      </c>
      <c r="C2112">
        <f t="shared" si="84"/>
        <v>5.4732041049031241E-3</v>
      </c>
      <c r="D2112">
        <f t="shared" si="83"/>
        <v>0.54506499610983261</v>
      </c>
    </row>
    <row r="2113" spans="1:4">
      <c r="A2113" s="1">
        <v>21338</v>
      </c>
      <c r="B2113">
        <v>44.31</v>
      </c>
      <c r="C2113">
        <f t="shared" si="84"/>
        <v>4.989793603991809E-3</v>
      </c>
      <c r="D2113">
        <f t="shared" si="83"/>
        <v>0.49401701153281091</v>
      </c>
    </row>
    <row r="2114" spans="1:4">
      <c r="A2114" s="1">
        <v>21339</v>
      </c>
      <c r="B2114">
        <v>44.46</v>
      </c>
      <c r="C2114">
        <f t="shared" si="84"/>
        <v>3.3852403520649643E-3</v>
      </c>
      <c r="D2114">
        <f t="shared" si="83"/>
        <v>0.32457673354348676</v>
      </c>
    </row>
    <row r="2115" spans="1:4">
      <c r="A2115" s="1">
        <v>21340</v>
      </c>
      <c r="B2115">
        <v>44.5</v>
      </c>
      <c r="C2115">
        <f t="shared" si="84"/>
        <v>8.9968511021140684E-4</v>
      </c>
      <c r="D2115">
        <f t="shared" ref="D2115:D2178" si="85">(C2115-avg)/sd</f>
        <v>6.2102944885028474E-2</v>
      </c>
    </row>
    <row r="2116" spans="1:4">
      <c r="A2116" s="1">
        <v>21341</v>
      </c>
      <c r="B2116">
        <v>44.55</v>
      </c>
      <c r="C2116">
        <f t="shared" ref="C2116:C2179" si="86">(B2116-B2115)/B2115</f>
        <v>1.1235955056179137E-3</v>
      </c>
      <c r="D2116">
        <f t="shared" si="85"/>
        <v>8.5747806529114179E-2</v>
      </c>
    </row>
    <row r="2117" spans="1:4">
      <c r="A2117" s="1">
        <v>21342</v>
      </c>
      <c r="B2117">
        <v>44.64</v>
      </c>
      <c r="C2117">
        <f t="shared" si="86"/>
        <v>2.020202020202097E-3</v>
      </c>
      <c r="D2117">
        <f t="shared" si="85"/>
        <v>0.18042914969784155</v>
      </c>
    </row>
    <row r="2118" spans="1:4">
      <c r="A2118" s="1">
        <v>21345</v>
      </c>
      <c r="B2118">
        <v>44.57</v>
      </c>
      <c r="C2118">
        <f t="shared" si="86"/>
        <v>-1.5681003584229454E-3</v>
      </c>
      <c r="D2118">
        <f t="shared" si="85"/>
        <v>-0.19849436176172114</v>
      </c>
    </row>
    <row r="2119" spans="1:4">
      <c r="A2119" s="1">
        <v>21346</v>
      </c>
      <c r="B2119">
        <v>44.48</v>
      </c>
      <c r="C2119">
        <f t="shared" si="86"/>
        <v>-2.0192954902401483E-3</v>
      </c>
      <c r="D2119">
        <f t="shared" si="85"/>
        <v>-0.24614041431294065</v>
      </c>
    </row>
    <row r="2120" spans="1:4">
      <c r="A2120" s="1">
        <v>21347</v>
      </c>
      <c r="B2120">
        <v>44.49</v>
      </c>
      <c r="C2120">
        <f t="shared" si="86"/>
        <v>2.248201438850071E-4</v>
      </c>
      <c r="D2120">
        <f t="shared" si="85"/>
        <v>-9.1625661612914147E-3</v>
      </c>
    </row>
    <row r="2121" spans="1:4">
      <c r="A2121" s="1">
        <v>21348</v>
      </c>
      <c r="B2121">
        <v>44.75</v>
      </c>
      <c r="C2121">
        <f t="shared" si="86"/>
        <v>5.8440098898628456E-3</v>
      </c>
      <c r="D2121">
        <f t="shared" si="85"/>
        <v>0.58422196095856882</v>
      </c>
    </row>
    <row r="2122" spans="1:4">
      <c r="A2122" s="1">
        <v>21349</v>
      </c>
      <c r="B2122">
        <v>45.02</v>
      </c>
      <c r="C2122">
        <f t="shared" si="86"/>
        <v>6.0335195530726955E-3</v>
      </c>
      <c r="D2122">
        <f t="shared" si="85"/>
        <v>0.60423411697606455</v>
      </c>
    </row>
    <row r="2123" spans="1:4">
      <c r="A2123" s="1">
        <v>21352</v>
      </c>
      <c r="B2123">
        <v>45.18</v>
      </c>
      <c r="C2123">
        <f t="shared" si="86"/>
        <v>3.553976010661852E-3</v>
      </c>
      <c r="D2123">
        <f t="shared" si="85"/>
        <v>0.34239516173528095</v>
      </c>
    </row>
    <row r="2124" spans="1:4">
      <c r="A2124" s="1">
        <v>21353</v>
      </c>
      <c r="B2124">
        <v>44.94</v>
      </c>
      <c r="C2124">
        <f t="shared" si="86"/>
        <v>-5.3120849933599376E-3</v>
      </c>
      <c r="D2124">
        <f t="shared" si="85"/>
        <v>-0.59385786656885564</v>
      </c>
    </row>
    <row r="2125" spans="1:4">
      <c r="A2125" s="1">
        <v>21354</v>
      </c>
      <c r="B2125">
        <v>45.34</v>
      </c>
      <c r="C2125">
        <f t="shared" si="86"/>
        <v>8.9007565643080926E-3</v>
      </c>
      <c r="D2125">
        <f t="shared" si="85"/>
        <v>0.90701337074130806</v>
      </c>
    </row>
    <row r="2126" spans="1:4">
      <c r="A2126" s="1">
        <v>21355</v>
      </c>
      <c r="B2126">
        <v>44.61</v>
      </c>
      <c r="C2126">
        <f t="shared" si="86"/>
        <v>-1.6100573445081694E-2</v>
      </c>
      <c r="D2126">
        <f t="shared" si="85"/>
        <v>-1.7331185798852691</v>
      </c>
    </row>
    <row r="2127" spans="1:4">
      <c r="A2127" s="1">
        <v>21356</v>
      </c>
      <c r="B2127">
        <v>44.85</v>
      </c>
      <c r="C2127">
        <f t="shared" si="86"/>
        <v>5.3799596503026677E-3</v>
      </c>
      <c r="D2127">
        <f t="shared" si="85"/>
        <v>0.53521841339935461</v>
      </c>
    </row>
    <row r="2128" spans="1:4">
      <c r="A2128" s="1">
        <v>21359</v>
      </c>
      <c r="B2128">
        <v>44.69</v>
      </c>
      <c r="C2128">
        <f t="shared" si="86"/>
        <v>-3.5674470457079973E-3</v>
      </c>
      <c r="D2128">
        <f t="shared" si="85"/>
        <v>-0.40962469232806303</v>
      </c>
    </row>
    <row r="2129" spans="1:4">
      <c r="A2129" s="1">
        <v>21360</v>
      </c>
      <c r="B2129">
        <v>44.52</v>
      </c>
      <c r="C2129">
        <f t="shared" si="86"/>
        <v>-3.8039829939582595E-3</v>
      </c>
      <c r="D2129">
        <f t="shared" si="85"/>
        <v>-0.43460280806081536</v>
      </c>
    </row>
    <row r="2130" spans="1:4">
      <c r="A2130" s="1">
        <v>21361</v>
      </c>
      <c r="B2130">
        <v>44.63</v>
      </c>
      <c r="C2130">
        <f t="shared" si="86"/>
        <v>2.4707996406109485E-3</v>
      </c>
      <c r="D2130">
        <f t="shared" si="85"/>
        <v>0.22801210524744317</v>
      </c>
    </row>
    <row r="2131" spans="1:4">
      <c r="A2131" s="1">
        <v>21362</v>
      </c>
      <c r="B2131">
        <v>44.84</v>
      </c>
      <c r="C2131">
        <f t="shared" si="86"/>
        <v>4.7053551422809956E-3</v>
      </c>
      <c r="D2131">
        <f t="shared" si="85"/>
        <v>0.46398040666147983</v>
      </c>
    </row>
    <row r="2132" spans="1:4">
      <c r="A2132" s="1">
        <v>21363</v>
      </c>
      <c r="B2132">
        <v>44.9</v>
      </c>
      <c r="C2132">
        <f t="shared" si="86"/>
        <v>1.3380909901872249E-3</v>
      </c>
      <c r="D2132">
        <f t="shared" si="85"/>
        <v>0.10839845678907568</v>
      </c>
    </row>
    <row r="2133" spans="1:4">
      <c r="A2133" s="1">
        <v>21366</v>
      </c>
      <c r="B2133">
        <v>45.24</v>
      </c>
      <c r="C2133">
        <f t="shared" si="86"/>
        <v>7.5723830734967358E-3</v>
      </c>
      <c r="D2133">
        <f t="shared" si="85"/>
        <v>0.76673758164771721</v>
      </c>
    </row>
    <row r="2134" spans="1:4">
      <c r="A2134" s="1">
        <v>21367</v>
      </c>
      <c r="B2134">
        <v>45.28</v>
      </c>
      <c r="C2134">
        <f t="shared" si="86"/>
        <v>8.841732979663825E-4</v>
      </c>
      <c r="D2134">
        <f t="shared" si="85"/>
        <v>6.046490278467509E-2</v>
      </c>
    </row>
    <row r="2135" spans="1:4">
      <c r="A2135" s="1">
        <v>21368</v>
      </c>
      <c r="B2135">
        <v>45.32</v>
      </c>
      <c r="C2135">
        <f t="shared" si="86"/>
        <v>8.8339222614839102E-4</v>
      </c>
      <c r="D2135">
        <f t="shared" si="85"/>
        <v>6.03824218661944E-2</v>
      </c>
    </row>
    <row r="2136" spans="1:4">
      <c r="A2136" s="1">
        <v>21369</v>
      </c>
      <c r="B2136">
        <v>45.47</v>
      </c>
      <c r="C2136">
        <f t="shared" si="86"/>
        <v>3.309796999117356E-3</v>
      </c>
      <c r="D2136">
        <f t="shared" si="85"/>
        <v>0.31660994111666102</v>
      </c>
    </row>
    <row r="2137" spans="1:4">
      <c r="A2137" s="1">
        <v>21373</v>
      </c>
      <c r="B2137">
        <v>45.62</v>
      </c>
      <c r="C2137">
        <f t="shared" si="86"/>
        <v>3.2988783813503097E-3</v>
      </c>
      <c r="D2137">
        <f t="shared" si="85"/>
        <v>0.31545693879187942</v>
      </c>
    </row>
    <row r="2138" spans="1:4">
      <c r="A2138" s="1">
        <v>21374</v>
      </c>
      <c r="B2138">
        <v>45.4</v>
      </c>
      <c r="C2138">
        <f t="shared" si="86"/>
        <v>-4.8224462954844123E-3</v>
      </c>
      <c r="D2138">
        <f t="shared" si="85"/>
        <v>-0.54215218650948027</v>
      </c>
    </row>
    <row r="2139" spans="1:4">
      <c r="A2139" s="1">
        <v>21375</v>
      </c>
      <c r="B2139">
        <v>45.25</v>
      </c>
      <c r="C2139">
        <f t="shared" si="86"/>
        <v>-3.30396475770922E-3</v>
      </c>
      <c r="D2139">
        <f t="shared" si="85"/>
        <v>-0.38180105227737343</v>
      </c>
    </row>
    <row r="2140" spans="1:4">
      <c r="A2140" s="1">
        <v>21376</v>
      </c>
      <c r="B2140">
        <v>45.42</v>
      </c>
      <c r="C2140">
        <f t="shared" si="86"/>
        <v>3.756906077348104E-3</v>
      </c>
      <c r="D2140">
        <f t="shared" si="85"/>
        <v>0.36382450779806802</v>
      </c>
    </row>
    <row r="2141" spans="1:4">
      <c r="A2141" s="1">
        <v>21377</v>
      </c>
      <c r="B2141">
        <v>45.72</v>
      </c>
      <c r="C2141">
        <f t="shared" si="86"/>
        <v>6.6050198150593821E-3</v>
      </c>
      <c r="D2141">
        <f t="shared" si="85"/>
        <v>0.66458435037948094</v>
      </c>
    </row>
    <row r="2142" spans="1:4">
      <c r="A2142" s="1">
        <v>21380</v>
      </c>
      <c r="B2142">
        <v>45.14</v>
      </c>
      <c r="C2142">
        <f t="shared" si="86"/>
        <v>-1.2685914260717373E-2</v>
      </c>
      <c r="D2142">
        <f t="shared" si="85"/>
        <v>-1.3725317307154488</v>
      </c>
    </row>
    <row r="2143" spans="1:4">
      <c r="A2143" s="1">
        <v>21381</v>
      </c>
      <c r="B2143">
        <v>45.11</v>
      </c>
      <c r="C2143">
        <f t="shared" si="86"/>
        <v>-6.6459902525478815E-4</v>
      </c>
      <c r="D2143">
        <f t="shared" si="85"/>
        <v>-0.10308492809418883</v>
      </c>
    </row>
    <row r="2144" spans="1:4">
      <c r="A2144" s="1">
        <v>21382</v>
      </c>
      <c r="B2144">
        <v>45.25</v>
      </c>
      <c r="C2144">
        <f t="shared" si="86"/>
        <v>3.1035247173575829E-3</v>
      </c>
      <c r="D2144">
        <f t="shared" si="85"/>
        <v>0.29482765827818425</v>
      </c>
    </row>
    <row r="2145" spans="1:4">
      <c r="A2145" s="1">
        <v>21383</v>
      </c>
      <c r="B2145">
        <v>45.55</v>
      </c>
      <c r="C2145">
        <f t="shared" si="86"/>
        <v>6.629834254143584E-3</v>
      </c>
      <c r="D2145">
        <f t="shared" si="85"/>
        <v>0.66720474671193497</v>
      </c>
    </row>
    <row r="2146" spans="1:4">
      <c r="A2146" s="1">
        <v>21384</v>
      </c>
      <c r="B2146">
        <v>45.77</v>
      </c>
      <c r="C2146">
        <f t="shared" si="86"/>
        <v>4.8298572996708228E-3</v>
      </c>
      <c r="D2146">
        <f t="shared" si="85"/>
        <v>0.47712779216150603</v>
      </c>
    </row>
    <row r="2147" spans="1:4">
      <c r="A2147" s="1">
        <v>21387</v>
      </c>
      <c r="B2147">
        <v>46.33</v>
      </c>
      <c r="C2147">
        <f t="shared" si="86"/>
        <v>1.2235088485907694E-2</v>
      </c>
      <c r="D2147">
        <f t="shared" si="85"/>
        <v>1.2591176882677371</v>
      </c>
    </row>
    <row r="2148" spans="1:4">
      <c r="A2148" s="1">
        <v>21388</v>
      </c>
      <c r="B2148">
        <v>46.41</v>
      </c>
      <c r="C2148">
        <f t="shared" si="86"/>
        <v>1.7267429311460889E-3</v>
      </c>
      <c r="D2148">
        <f t="shared" si="85"/>
        <v>0.14943996964511813</v>
      </c>
    </row>
    <row r="2149" spans="1:4">
      <c r="A2149" s="1">
        <v>21389</v>
      </c>
      <c r="B2149">
        <v>46.4</v>
      </c>
      <c r="C2149">
        <f t="shared" si="86"/>
        <v>-2.1547080370605496E-4</v>
      </c>
      <c r="D2149">
        <f t="shared" si="85"/>
        <v>-5.5657140564742767E-2</v>
      </c>
    </row>
    <row r="2150" spans="1:4">
      <c r="A2150" s="1">
        <v>21390</v>
      </c>
      <c r="B2150">
        <v>46.65</v>
      </c>
      <c r="C2150">
        <f t="shared" si="86"/>
        <v>5.387931034482759E-3</v>
      </c>
      <c r="D2150">
        <f t="shared" si="85"/>
        <v>0.53606018885916706</v>
      </c>
    </row>
    <row r="2151" spans="1:4">
      <c r="A2151" s="1">
        <v>21391</v>
      </c>
      <c r="B2151">
        <v>46.97</v>
      </c>
      <c r="C2151">
        <f t="shared" si="86"/>
        <v>6.8595927116827504E-3</v>
      </c>
      <c r="D2151">
        <f t="shared" si="85"/>
        <v>0.69146716172937661</v>
      </c>
    </row>
    <row r="2152" spans="1:4">
      <c r="A2152" s="1">
        <v>21394</v>
      </c>
      <c r="B2152">
        <v>47.15</v>
      </c>
      <c r="C2152">
        <f t="shared" si="86"/>
        <v>3.8322333404300557E-3</v>
      </c>
      <c r="D2152">
        <f t="shared" si="85"/>
        <v>0.3717790411745413</v>
      </c>
    </row>
    <row r="2153" spans="1:4">
      <c r="A2153" s="1">
        <v>21395</v>
      </c>
      <c r="B2153">
        <v>46.96</v>
      </c>
      <c r="C2153">
        <f t="shared" si="86"/>
        <v>-4.0296924708377035E-3</v>
      </c>
      <c r="D2153">
        <f t="shared" si="85"/>
        <v>-0.45843765209690573</v>
      </c>
    </row>
    <row r="2154" spans="1:4">
      <c r="A2154" s="1">
        <v>21396</v>
      </c>
      <c r="B2154">
        <v>47.09</v>
      </c>
      <c r="C2154">
        <f t="shared" si="86"/>
        <v>2.7683134582624056E-3</v>
      </c>
      <c r="D2154">
        <f t="shared" si="85"/>
        <v>0.25942946326157673</v>
      </c>
    </row>
    <row r="2155" spans="1:4">
      <c r="A2155" s="1">
        <v>21397</v>
      </c>
      <c r="B2155">
        <v>47.19</v>
      </c>
      <c r="C2155">
        <f t="shared" si="86"/>
        <v>2.123593119558172E-3</v>
      </c>
      <c r="D2155">
        <f t="shared" si="85"/>
        <v>0.19134721464550081</v>
      </c>
    </row>
    <row r="2156" spans="1:4">
      <c r="A2156" s="1">
        <v>21398</v>
      </c>
      <c r="B2156">
        <v>47.49</v>
      </c>
      <c r="C2156">
        <f t="shared" si="86"/>
        <v>6.3572790845519023E-3</v>
      </c>
      <c r="D2156">
        <f t="shared" si="85"/>
        <v>0.63842301344905694</v>
      </c>
    </row>
    <row r="2157" spans="1:4">
      <c r="A2157" s="1">
        <v>21401</v>
      </c>
      <c r="B2157">
        <v>47.94</v>
      </c>
      <c r="C2157">
        <f t="shared" si="86"/>
        <v>9.4756790903347179E-3</v>
      </c>
      <c r="D2157">
        <f t="shared" si="85"/>
        <v>0.96772499406405788</v>
      </c>
    </row>
    <row r="2158" spans="1:4">
      <c r="A2158" s="1">
        <v>21402</v>
      </c>
      <c r="B2158">
        <v>47.75</v>
      </c>
      <c r="C2158">
        <f t="shared" si="86"/>
        <v>-3.9632874426365821E-3</v>
      </c>
      <c r="D2158">
        <f t="shared" si="85"/>
        <v>-0.45142530369103312</v>
      </c>
    </row>
    <row r="2159" spans="1:4">
      <c r="A2159" s="1">
        <v>21403</v>
      </c>
      <c r="B2159">
        <v>47.46</v>
      </c>
      <c r="C2159">
        <f t="shared" si="86"/>
        <v>-6.0732984293193539E-3</v>
      </c>
      <c r="D2159">
        <f t="shared" si="85"/>
        <v>-0.6742417466571512</v>
      </c>
    </row>
    <row r="2160" spans="1:4">
      <c r="A2160" s="1">
        <v>21404</v>
      </c>
      <c r="B2160">
        <v>47.77</v>
      </c>
      <c r="C2160">
        <f t="shared" si="86"/>
        <v>6.5318162663295888E-3</v>
      </c>
      <c r="D2160">
        <f t="shared" si="85"/>
        <v>0.6568540805167099</v>
      </c>
    </row>
    <row r="2161" spans="1:4">
      <c r="A2161" s="1">
        <v>21405</v>
      </c>
      <c r="B2161">
        <v>48.05</v>
      </c>
      <c r="C2161">
        <f t="shared" si="86"/>
        <v>5.8614193008162865E-3</v>
      </c>
      <c r="D2161">
        <f t="shared" si="85"/>
        <v>0.58606038883750589</v>
      </c>
    </row>
    <row r="2162" spans="1:4">
      <c r="A2162" s="1">
        <v>21408</v>
      </c>
      <c r="B2162">
        <v>48.16</v>
      </c>
      <c r="C2162">
        <f t="shared" si="86"/>
        <v>2.2892819979188229E-3</v>
      </c>
      <c r="D2162">
        <f t="shared" si="85"/>
        <v>0.20884390387999932</v>
      </c>
    </row>
    <row r="2163" spans="1:4">
      <c r="A2163" s="1">
        <v>21409</v>
      </c>
      <c r="B2163">
        <v>47.73</v>
      </c>
      <c r="C2163">
        <f t="shared" si="86"/>
        <v>-8.9285714285714229E-3</v>
      </c>
      <c r="D2163">
        <f t="shared" si="85"/>
        <v>-0.97575760482372031</v>
      </c>
    </row>
    <row r="2164" spans="1:4">
      <c r="A2164" s="1">
        <v>21410</v>
      </c>
      <c r="B2164">
        <v>47.81</v>
      </c>
      <c r="C2164">
        <f t="shared" si="86"/>
        <v>1.6760946993506266E-3</v>
      </c>
      <c r="D2164">
        <f t="shared" si="85"/>
        <v>0.14409153358368781</v>
      </c>
    </row>
    <row r="2165" spans="1:4">
      <c r="A2165" s="1">
        <v>21411</v>
      </c>
      <c r="B2165">
        <v>47.91</v>
      </c>
      <c r="C2165">
        <f t="shared" si="86"/>
        <v>2.0916126333401864E-3</v>
      </c>
      <c r="D2165">
        <f t="shared" si="85"/>
        <v>0.18797008617157698</v>
      </c>
    </row>
    <row r="2166" spans="1:4">
      <c r="A2166" s="1">
        <v>21412</v>
      </c>
      <c r="B2166">
        <v>47.5</v>
      </c>
      <c r="C2166">
        <f t="shared" si="86"/>
        <v>-8.5577123773741721E-3</v>
      </c>
      <c r="D2166">
        <f t="shared" si="85"/>
        <v>-0.93659501507840714</v>
      </c>
    </row>
    <row r="2167" spans="1:4">
      <c r="A2167" s="1">
        <v>21415</v>
      </c>
      <c r="B2167">
        <v>47.22</v>
      </c>
      <c r="C2167">
        <f t="shared" si="86"/>
        <v>-5.8947368421052868E-3</v>
      </c>
      <c r="D2167">
        <f t="shared" si="85"/>
        <v>-0.65538570374337823</v>
      </c>
    </row>
    <row r="2168" spans="1:4">
      <c r="A2168" s="1">
        <v>21416</v>
      </c>
      <c r="B2168">
        <v>47.3</v>
      </c>
      <c r="C2168">
        <f t="shared" si="86"/>
        <v>1.6941973739940342E-3</v>
      </c>
      <c r="D2168">
        <f t="shared" si="85"/>
        <v>0.14600316987263356</v>
      </c>
    </row>
    <row r="2169" spans="1:4">
      <c r="A2169" s="1">
        <v>21417</v>
      </c>
      <c r="B2169">
        <v>47.32</v>
      </c>
      <c r="C2169">
        <f t="shared" si="86"/>
        <v>4.2283298097258197E-4</v>
      </c>
      <c r="D2169">
        <f t="shared" si="85"/>
        <v>1.1747522127322845E-2</v>
      </c>
    </row>
    <row r="2170" spans="1:4">
      <c r="A2170" s="1">
        <v>21418</v>
      </c>
      <c r="B2170">
        <v>47.63</v>
      </c>
      <c r="C2170">
        <f t="shared" si="86"/>
        <v>6.5511411665258295E-3</v>
      </c>
      <c r="D2170">
        <f t="shared" si="85"/>
        <v>0.65889478340858021</v>
      </c>
    </row>
    <row r="2171" spans="1:4">
      <c r="A2171" s="1">
        <v>21419</v>
      </c>
      <c r="B2171">
        <v>47.73</v>
      </c>
      <c r="C2171">
        <f t="shared" si="86"/>
        <v>2.0995171110643356E-3</v>
      </c>
      <c r="D2171">
        <f t="shared" si="85"/>
        <v>0.18880479633238462</v>
      </c>
    </row>
    <row r="2172" spans="1:4">
      <c r="A2172" s="1">
        <v>21422</v>
      </c>
      <c r="B2172">
        <v>47.74</v>
      </c>
      <c r="C2172">
        <f t="shared" si="86"/>
        <v>2.0951183741892135E-4</v>
      </c>
      <c r="D2172">
        <f t="shared" si="85"/>
        <v>-1.0779118120563876E-2</v>
      </c>
    </row>
    <row r="2173" spans="1:4">
      <c r="A2173" s="1">
        <v>21423</v>
      </c>
      <c r="B2173">
        <v>47.9</v>
      </c>
      <c r="C2173">
        <f t="shared" si="86"/>
        <v>3.3514872224548928E-3</v>
      </c>
      <c r="D2173">
        <f t="shared" si="85"/>
        <v>0.32101241452990942</v>
      </c>
    </row>
    <row r="2174" spans="1:4">
      <c r="A2174" s="1">
        <v>21424</v>
      </c>
      <c r="B2174">
        <v>47.91</v>
      </c>
      <c r="C2174">
        <f t="shared" si="86"/>
        <v>2.0876826722334051E-4</v>
      </c>
      <c r="D2174">
        <f t="shared" si="85"/>
        <v>-1.0857638880465422E-2</v>
      </c>
    </row>
    <row r="2175" spans="1:4">
      <c r="A2175" s="1">
        <v>21425</v>
      </c>
      <c r="B2175">
        <v>47.66</v>
      </c>
      <c r="C2175">
        <f t="shared" si="86"/>
        <v>-5.2181173032769777E-3</v>
      </c>
      <c r="D2175">
        <f t="shared" si="85"/>
        <v>-0.58393491043726486</v>
      </c>
    </row>
    <row r="2176" spans="1:4">
      <c r="A2176" s="1">
        <v>21426</v>
      </c>
      <c r="B2176">
        <v>47.75</v>
      </c>
      <c r="C2176">
        <f t="shared" si="86"/>
        <v>1.8883759966429588E-3</v>
      </c>
      <c r="D2176">
        <f t="shared" si="85"/>
        <v>0.16650836641983915</v>
      </c>
    </row>
    <row r="2177" spans="1:4">
      <c r="A2177" s="1">
        <v>21430</v>
      </c>
      <c r="B2177">
        <v>48</v>
      </c>
      <c r="C2177">
        <f t="shared" si="86"/>
        <v>5.235602094240838E-3</v>
      </c>
      <c r="D2177">
        <f t="shared" si="85"/>
        <v>0.51997430454874283</v>
      </c>
    </row>
    <row r="2178" spans="1:4">
      <c r="A2178" s="1">
        <v>21431</v>
      </c>
      <c r="B2178">
        <v>48.18</v>
      </c>
      <c r="C2178">
        <f t="shared" si="86"/>
        <v>3.7499999999999942E-3</v>
      </c>
      <c r="D2178">
        <f t="shared" si="85"/>
        <v>0.36309522837759733</v>
      </c>
    </row>
    <row r="2179" spans="1:4">
      <c r="A2179" s="1">
        <v>21432</v>
      </c>
      <c r="B2179">
        <v>48.1</v>
      </c>
      <c r="C2179">
        <f t="shared" si="86"/>
        <v>-1.6604400166043648E-3</v>
      </c>
      <c r="D2179">
        <f t="shared" ref="D2179:D2242" si="87">(C2179-avg)/sd</f>
        <v>-0.20824539827790417</v>
      </c>
    </row>
    <row r="2180" spans="1:4">
      <c r="A2180" s="1">
        <v>21433</v>
      </c>
      <c r="B2180">
        <v>47.97</v>
      </c>
      <c r="C2180">
        <f t="shared" ref="C2180:C2243" si="88">(B2180-B2179)/B2179</f>
        <v>-2.7027027027027558E-3</v>
      </c>
      <c r="D2180">
        <f t="shared" si="87"/>
        <v>-0.31830798364759355</v>
      </c>
    </row>
    <row r="2181" spans="1:4">
      <c r="A2181" s="1">
        <v>21436</v>
      </c>
      <c r="B2181">
        <v>48.13</v>
      </c>
      <c r="C2181">
        <f t="shared" si="88"/>
        <v>3.3354179695643882E-3</v>
      </c>
      <c r="D2181">
        <f t="shared" si="87"/>
        <v>0.3193155068868766</v>
      </c>
    </row>
    <row r="2182" spans="1:4">
      <c r="A2182" s="1">
        <v>21437</v>
      </c>
      <c r="B2182">
        <v>48.46</v>
      </c>
      <c r="C2182">
        <f t="shared" si="88"/>
        <v>6.8564305007271613E-3</v>
      </c>
      <c r="D2182">
        <f t="shared" si="87"/>
        <v>0.6911332333273541</v>
      </c>
    </row>
    <row r="2183" spans="1:4">
      <c r="A2183" s="1">
        <v>21438</v>
      </c>
      <c r="B2183">
        <v>48.31</v>
      </c>
      <c r="C2183">
        <f t="shared" si="88"/>
        <v>-3.0953363598844115E-3</v>
      </c>
      <c r="D2183">
        <f t="shared" si="87"/>
        <v>-0.35976996438331171</v>
      </c>
    </row>
    <row r="2184" spans="1:4">
      <c r="A2184" s="1">
        <v>21439</v>
      </c>
      <c r="B2184">
        <v>48.64</v>
      </c>
      <c r="C2184">
        <f t="shared" si="88"/>
        <v>6.83088387497409E-3</v>
      </c>
      <c r="D2184">
        <f t="shared" si="87"/>
        <v>0.68843551833154981</v>
      </c>
    </row>
    <row r="2185" spans="1:4">
      <c r="A2185" s="1">
        <v>21440</v>
      </c>
      <c r="B2185">
        <v>48.53</v>
      </c>
      <c r="C2185">
        <f t="shared" si="88"/>
        <v>-2.2615131578947252E-3</v>
      </c>
      <c r="D2185">
        <f t="shared" si="87"/>
        <v>-0.27171851768347838</v>
      </c>
    </row>
    <row r="2186" spans="1:4">
      <c r="A2186" s="1">
        <v>21443</v>
      </c>
      <c r="B2186">
        <v>48.96</v>
      </c>
      <c r="C2186">
        <f t="shared" si="88"/>
        <v>8.8604986606222891E-3</v>
      </c>
      <c r="D2186">
        <f t="shared" si="87"/>
        <v>0.90276214979641356</v>
      </c>
    </row>
    <row r="2187" spans="1:4">
      <c r="A2187" s="1">
        <v>21444</v>
      </c>
      <c r="B2187">
        <v>49.35</v>
      </c>
      <c r="C2187">
        <f t="shared" si="88"/>
        <v>7.9656862745098155E-3</v>
      </c>
      <c r="D2187">
        <f t="shared" si="87"/>
        <v>0.80827026598444474</v>
      </c>
    </row>
    <row r="2188" spans="1:4">
      <c r="A2188" s="1">
        <v>21445</v>
      </c>
      <c r="B2188">
        <v>49.35</v>
      </c>
      <c r="C2188">
        <f t="shared" si="88"/>
        <v>0</v>
      </c>
      <c r="D2188">
        <f t="shared" si="87"/>
        <v>-3.29034969354682E-2</v>
      </c>
    </row>
    <row r="2189" spans="1:4">
      <c r="A2189" s="1">
        <v>21446</v>
      </c>
      <c r="B2189">
        <v>49.38</v>
      </c>
      <c r="C2189">
        <f t="shared" si="88"/>
        <v>6.0790273556233306E-4</v>
      </c>
      <c r="D2189">
        <f t="shared" si="87"/>
        <v>3.1290825303734421E-2</v>
      </c>
    </row>
    <row r="2190" spans="1:4">
      <c r="A2190" s="1">
        <v>21447</v>
      </c>
      <c r="B2190">
        <v>49.4</v>
      </c>
      <c r="C2190">
        <f t="shared" si="88"/>
        <v>4.0502227622511179E-4</v>
      </c>
      <c r="D2190">
        <f t="shared" si="87"/>
        <v>9.8667177601426959E-3</v>
      </c>
    </row>
    <row r="2191" spans="1:4">
      <c r="A2191" s="1">
        <v>21450</v>
      </c>
      <c r="B2191">
        <v>49.2</v>
      </c>
      <c r="C2191">
        <f t="shared" si="88"/>
        <v>-4.0485829959513312E-3</v>
      </c>
      <c r="D2191">
        <f t="shared" si="87"/>
        <v>-0.46043248512770335</v>
      </c>
    </row>
    <row r="2192" spans="1:4">
      <c r="A2192" s="1">
        <v>21451</v>
      </c>
      <c r="B2192">
        <v>49.56</v>
      </c>
      <c r="C2192">
        <f t="shared" si="88"/>
        <v>7.3170731707316956E-3</v>
      </c>
      <c r="D2192">
        <f t="shared" si="87"/>
        <v>0.73977694269978156</v>
      </c>
    </row>
    <row r="2193" spans="1:4">
      <c r="A2193" s="1">
        <v>21452</v>
      </c>
      <c r="B2193">
        <v>49.78</v>
      </c>
      <c r="C2193">
        <f t="shared" si="88"/>
        <v>4.4390637610976363E-3</v>
      </c>
      <c r="D2193">
        <f t="shared" si="87"/>
        <v>0.43586012732535556</v>
      </c>
    </row>
    <row r="2194" spans="1:4">
      <c r="A2194" s="1">
        <v>21453</v>
      </c>
      <c r="B2194">
        <v>49.57</v>
      </c>
      <c r="C2194">
        <f t="shared" si="88"/>
        <v>-4.2185616713539742E-3</v>
      </c>
      <c r="D2194">
        <f t="shared" si="87"/>
        <v>-0.47838217547166334</v>
      </c>
    </row>
    <row r="2195" spans="1:4">
      <c r="A2195" s="1">
        <v>21454</v>
      </c>
      <c r="B2195">
        <v>49.66</v>
      </c>
      <c r="C2195">
        <f t="shared" si="88"/>
        <v>1.8156142828322838E-3</v>
      </c>
      <c r="D2195">
        <f t="shared" si="87"/>
        <v>0.15882475417434011</v>
      </c>
    </row>
    <row r="2196" spans="1:4">
      <c r="A2196" s="1">
        <v>21457</v>
      </c>
      <c r="B2196">
        <v>49.87</v>
      </c>
      <c r="C2196">
        <f t="shared" si="88"/>
        <v>4.2287555376560784E-3</v>
      </c>
      <c r="D2196">
        <f t="shared" si="87"/>
        <v>0.41365165041716556</v>
      </c>
    </row>
    <row r="2197" spans="1:4">
      <c r="A2197" s="1">
        <v>21458</v>
      </c>
      <c r="B2197">
        <v>50.06</v>
      </c>
      <c r="C2197">
        <f t="shared" si="88"/>
        <v>3.8099057549630007E-3</v>
      </c>
      <c r="D2197">
        <f t="shared" si="87"/>
        <v>0.36942125573873535</v>
      </c>
    </row>
    <row r="2198" spans="1:4">
      <c r="A2198" s="1">
        <v>21459</v>
      </c>
      <c r="B2198">
        <v>49.98</v>
      </c>
      <c r="C2198">
        <f t="shared" si="88"/>
        <v>-1.5980823012386215E-3</v>
      </c>
      <c r="D2198">
        <f t="shared" si="87"/>
        <v>-0.201660444731699</v>
      </c>
    </row>
    <row r="2199" spans="1:4">
      <c r="A2199" s="1">
        <v>21460</v>
      </c>
      <c r="B2199">
        <v>50.17</v>
      </c>
      <c r="C2199">
        <f t="shared" si="88"/>
        <v>3.8015206082433941E-3</v>
      </c>
      <c r="D2199">
        <f t="shared" si="87"/>
        <v>0.36853578709539475</v>
      </c>
    </row>
    <row r="2200" spans="1:4">
      <c r="A2200" s="1">
        <v>21461</v>
      </c>
      <c r="B2200">
        <v>50.37</v>
      </c>
      <c r="C2200">
        <f t="shared" si="88"/>
        <v>3.9864460833166377E-3</v>
      </c>
      <c r="D2200">
        <f t="shared" si="87"/>
        <v>0.38806385440390612</v>
      </c>
    </row>
    <row r="2201" spans="1:4">
      <c r="A2201" s="1">
        <v>21464</v>
      </c>
      <c r="B2201">
        <v>51.07</v>
      </c>
      <c r="C2201">
        <f t="shared" si="88"/>
        <v>1.3897161008536885E-2</v>
      </c>
      <c r="D2201">
        <f t="shared" si="87"/>
        <v>1.4346319816914788</v>
      </c>
    </row>
    <row r="2202" spans="1:4">
      <c r="A2202" s="1">
        <v>21465</v>
      </c>
      <c r="B2202">
        <v>51.07</v>
      </c>
      <c r="C2202">
        <f t="shared" si="88"/>
        <v>0</v>
      </c>
      <c r="D2202">
        <f t="shared" si="87"/>
        <v>-3.29034969354682E-2</v>
      </c>
    </row>
    <row r="2203" spans="1:4">
      <c r="A2203" s="1">
        <v>21466</v>
      </c>
      <c r="B2203">
        <v>51.06</v>
      </c>
      <c r="C2203">
        <f t="shared" si="88"/>
        <v>-1.9580967299780714E-4</v>
      </c>
      <c r="D2203">
        <f t="shared" si="87"/>
        <v>-5.358093184509484E-2</v>
      </c>
    </row>
    <row r="2204" spans="1:4">
      <c r="A2204" s="1">
        <v>21467</v>
      </c>
      <c r="B2204">
        <v>51.05</v>
      </c>
      <c r="C2204">
        <f t="shared" si="88"/>
        <v>-1.9584802193507863E-4</v>
      </c>
      <c r="D2204">
        <f t="shared" si="87"/>
        <v>-5.3584981479835286E-2</v>
      </c>
    </row>
    <row r="2205" spans="1:4">
      <c r="A2205" s="1">
        <v>21468</v>
      </c>
      <c r="B2205">
        <v>51.39</v>
      </c>
      <c r="C2205">
        <f t="shared" si="88"/>
        <v>6.6601371204701946E-3</v>
      </c>
      <c r="D2205">
        <f t="shared" si="87"/>
        <v>0.6704047190955803</v>
      </c>
    </row>
    <row r="2206" spans="1:4">
      <c r="A2206" s="1">
        <v>21471</v>
      </c>
      <c r="B2206">
        <v>51.62</v>
      </c>
      <c r="C2206">
        <f t="shared" si="88"/>
        <v>4.4755789064019631E-3</v>
      </c>
      <c r="D2206">
        <f t="shared" si="87"/>
        <v>0.43971611425739149</v>
      </c>
    </row>
    <row r="2207" spans="1:4">
      <c r="A2207" s="1">
        <v>21472</v>
      </c>
      <c r="B2207">
        <v>51.26</v>
      </c>
      <c r="C2207">
        <f t="shared" si="88"/>
        <v>-6.9740410693529533E-3</v>
      </c>
      <c r="D2207">
        <f t="shared" si="87"/>
        <v>-0.76935986326739947</v>
      </c>
    </row>
    <row r="2208" spans="1:4">
      <c r="A2208" s="1">
        <v>21473</v>
      </c>
      <c r="B2208">
        <v>50.58</v>
      </c>
      <c r="C2208">
        <f t="shared" si="88"/>
        <v>-1.3265704252828711E-2</v>
      </c>
      <c r="D2208">
        <f t="shared" si="87"/>
        <v>-1.4337573568022122</v>
      </c>
    </row>
    <row r="2209" spans="1:4">
      <c r="A2209" s="1">
        <v>21474</v>
      </c>
      <c r="B2209">
        <v>50.94</v>
      </c>
      <c r="C2209">
        <f t="shared" si="88"/>
        <v>7.1174377224199181E-3</v>
      </c>
      <c r="D2209">
        <f t="shared" si="87"/>
        <v>0.7186955072174438</v>
      </c>
    </row>
    <row r="2210" spans="1:4">
      <c r="A2210" s="1">
        <v>21475</v>
      </c>
      <c r="B2210">
        <v>51.46</v>
      </c>
      <c r="C2210">
        <f t="shared" si="88"/>
        <v>1.0208087946603909E-2</v>
      </c>
      <c r="D2210">
        <f t="shared" si="87"/>
        <v>1.045067120328218</v>
      </c>
    </row>
    <row r="2211" spans="1:4">
      <c r="A2211" s="1">
        <v>21478</v>
      </c>
      <c r="B2211">
        <v>51.27</v>
      </c>
      <c r="C2211">
        <f t="shared" si="88"/>
        <v>-3.6921881072677367E-3</v>
      </c>
      <c r="D2211">
        <f t="shared" si="87"/>
        <v>-0.42279730602722448</v>
      </c>
    </row>
    <row r="2212" spans="1:4">
      <c r="A2212" s="1">
        <v>21479</v>
      </c>
      <c r="B2212">
        <v>51.27</v>
      </c>
      <c r="C2212">
        <f t="shared" si="88"/>
        <v>0</v>
      </c>
      <c r="D2212">
        <f t="shared" si="87"/>
        <v>-3.29034969354682E-2</v>
      </c>
    </row>
    <row r="2213" spans="1:4">
      <c r="A2213" s="1">
        <v>21480</v>
      </c>
      <c r="B2213">
        <v>51.07</v>
      </c>
      <c r="C2213">
        <f t="shared" si="88"/>
        <v>-3.9009167154281806E-3</v>
      </c>
      <c r="D2213">
        <f t="shared" si="87"/>
        <v>-0.44483897609866613</v>
      </c>
    </row>
    <row r="2214" spans="1:4">
      <c r="A2214" s="1">
        <v>21481</v>
      </c>
      <c r="B2214">
        <v>50.97</v>
      </c>
      <c r="C2214">
        <f t="shared" si="88"/>
        <v>-1.9580967299784886E-3</v>
      </c>
      <c r="D2214">
        <f t="shared" si="87"/>
        <v>-0.23967784603177875</v>
      </c>
    </row>
    <row r="2215" spans="1:4">
      <c r="A2215" s="1">
        <v>21482</v>
      </c>
      <c r="B2215">
        <v>50.81</v>
      </c>
      <c r="C2215">
        <f t="shared" si="88"/>
        <v>-3.1391014322149618E-3</v>
      </c>
      <c r="D2215">
        <f t="shared" si="87"/>
        <v>-0.36439154114494693</v>
      </c>
    </row>
    <row r="2216" spans="1:4">
      <c r="A2216" s="1">
        <v>21485</v>
      </c>
      <c r="B2216">
        <v>50.42</v>
      </c>
      <c r="C2216">
        <f t="shared" si="88"/>
        <v>-7.6756543987404162E-3</v>
      </c>
      <c r="D2216">
        <f t="shared" si="87"/>
        <v>-0.84344999236075724</v>
      </c>
    </row>
    <row r="2217" spans="1:4">
      <c r="A2217" s="1">
        <v>21486</v>
      </c>
      <c r="B2217">
        <v>50.58</v>
      </c>
      <c r="C2217">
        <f t="shared" si="88"/>
        <v>3.1733439111463028E-3</v>
      </c>
      <c r="D2217">
        <f t="shared" si="87"/>
        <v>0.30220054140957603</v>
      </c>
    </row>
    <row r="2218" spans="1:4">
      <c r="A2218" s="1">
        <v>21487</v>
      </c>
      <c r="B2218">
        <v>51.07</v>
      </c>
      <c r="C2218">
        <f t="shared" si="88"/>
        <v>9.6876235666271647E-3</v>
      </c>
      <c r="D2218">
        <f t="shared" si="87"/>
        <v>0.99010625871711233</v>
      </c>
    </row>
    <row r="2219" spans="1:4">
      <c r="A2219" s="1">
        <v>21488</v>
      </c>
      <c r="B2219">
        <v>51.27</v>
      </c>
      <c r="C2219">
        <f t="shared" si="88"/>
        <v>3.9161934599569771E-3</v>
      </c>
      <c r="D2219">
        <f t="shared" si="87"/>
        <v>0.3806452012571529</v>
      </c>
    </row>
    <row r="2220" spans="1:4">
      <c r="A2220" s="1">
        <v>21489</v>
      </c>
      <c r="B2220">
        <v>51.33</v>
      </c>
      <c r="C2220">
        <f t="shared" si="88"/>
        <v>1.1702750146283434E-3</v>
      </c>
      <c r="D2220">
        <f t="shared" si="87"/>
        <v>9.0677146813479492E-2</v>
      </c>
    </row>
    <row r="2221" spans="1:4">
      <c r="A2221" s="1">
        <v>21492</v>
      </c>
      <c r="B2221">
        <v>51.56</v>
      </c>
      <c r="C2221">
        <f t="shared" si="88"/>
        <v>4.4808104422365868E-3</v>
      </c>
      <c r="D2221">
        <f t="shared" si="87"/>
        <v>0.44026856266324232</v>
      </c>
    </row>
    <row r="2222" spans="1:4">
      <c r="A2222" s="1">
        <v>21494</v>
      </c>
      <c r="B2222">
        <v>52.03</v>
      </c>
      <c r="C2222">
        <f t="shared" si="88"/>
        <v>9.1155934833203802E-3</v>
      </c>
      <c r="D2222">
        <f t="shared" si="87"/>
        <v>0.92970007636238872</v>
      </c>
    </row>
    <row r="2223" spans="1:4">
      <c r="A2223" s="1">
        <v>21495</v>
      </c>
      <c r="B2223">
        <v>52.45</v>
      </c>
      <c r="C2223">
        <f t="shared" si="88"/>
        <v>8.0722660003844267E-3</v>
      </c>
      <c r="D2223">
        <f t="shared" si="87"/>
        <v>0.81952504880859467</v>
      </c>
    </row>
    <row r="2224" spans="1:4">
      <c r="A2224" s="1">
        <v>21496</v>
      </c>
      <c r="B2224">
        <v>52.26</v>
      </c>
      <c r="C2224">
        <f t="shared" si="88"/>
        <v>-3.6224976167779756E-3</v>
      </c>
      <c r="D2224">
        <f t="shared" si="87"/>
        <v>-0.41543801392045449</v>
      </c>
    </row>
    <row r="2225" spans="1:4">
      <c r="A2225" s="1">
        <v>21499</v>
      </c>
      <c r="B2225">
        <v>52.57</v>
      </c>
      <c r="C2225">
        <f t="shared" si="88"/>
        <v>5.9318790662074685E-3</v>
      </c>
      <c r="D2225">
        <f t="shared" si="87"/>
        <v>0.59350091611237676</v>
      </c>
    </row>
    <row r="2226" spans="1:4">
      <c r="A2226" s="1">
        <v>21500</v>
      </c>
      <c r="B2226">
        <v>52.98</v>
      </c>
      <c r="C2226">
        <f t="shared" si="88"/>
        <v>7.7991249762221155E-3</v>
      </c>
      <c r="D2226">
        <f t="shared" si="87"/>
        <v>0.79068144950219976</v>
      </c>
    </row>
    <row r="2227" spans="1:4">
      <c r="A2227" s="1">
        <v>21501</v>
      </c>
      <c r="B2227">
        <v>53.05</v>
      </c>
      <c r="C2227">
        <f t="shared" si="88"/>
        <v>1.3212533031332634E-3</v>
      </c>
      <c r="D2227">
        <f t="shared" si="87"/>
        <v>0.10662040275958527</v>
      </c>
    </row>
    <row r="2228" spans="1:4">
      <c r="A2228" s="1">
        <v>21502</v>
      </c>
      <c r="B2228">
        <v>52.83</v>
      </c>
      <c r="C2228">
        <f t="shared" si="88"/>
        <v>-4.1470311027332497E-3</v>
      </c>
      <c r="D2228">
        <f t="shared" si="87"/>
        <v>-0.47082857173973647</v>
      </c>
    </row>
    <row r="2229" spans="1:4">
      <c r="A2229" s="1">
        <v>21503</v>
      </c>
      <c r="B2229">
        <v>53.09</v>
      </c>
      <c r="C2229">
        <f t="shared" si="88"/>
        <v>4.9214461480220541E-3</v>
      </c>
      <c r="D2229">
        <f t="shared" si="87"/>
        <v>0.48679954341483389</v>
      </c>
    </row>
    <row r="2230" spans="1:4">
      <c r="A2230" s="1">
        <v>21506</v>
      </c>
      <c r="B2230">
        <v>53.24</v>
      </c>
      <c r="C2230">
        <f t="shared" si="88"/>
        <v>2.825390845733633E-3</v>
      </c>
      <c r="D2230">
        <f t="shared" si="87"/>
        <v>0.26545681597699172</v>
      </c>
    </row>
    <row r="2231" spans="1:4">
      <c r="A2231" s="1">
        <v>21507</v>
      </c>
      <c r="B2231">
        <v>53.13</v>
      </c>
      <c r="C2231">
        <f t="shared" si="88"/>
        <v>-2.0661157024793281E-3</v>
      </c>
      <c r="D2231">
        <f t="shared" si="87"/>
        <v>-0.25108461281043465</v>
      </c>
    </row>
    <row r="2232" spans="1:4">
      <c r="A2232" s="1">
        <v>21508</v>
      </c>
      <c r="B2232">
        <v>53.2</v>
      </c>
      <c r="C2232">
        <f t="shared" si="88"/>
        <v>1.3175230566534967E-3</v>
      </c>
      <c r="D2232">
        <f t="shared" si="87"/>
        <v>0.10622648999929429</v>
      </c>
    </row>
    <row r="2233" spans="1:4">
      <c r="A2233" s="1">
        <v>21509</v>
      </c>
      <c r="B2233">
        <v>53.21</v>
      </c>
      <c r="C2233">
        <f t="shared" si="88"/>
        <v>1.8796992481199268E-4</v>
      </c>
      <c r="D2233">
        <f t="shared" si="87"/>
        <v>-1.3053936769403668E-2</v>
      </c>
    </row>
    <row r="2234" spans="1:4">
      <c r="A2234" s="1">
        <v>21510</v>
      </c>
      <c r="B2234">
        <v>52.7</v>
      </c>
      <c r="C2234">
        <f t="shared" si="88"/>
        <v>-9.5846645367411772E-3</v>
      </c>
      <c r="D2234">
        <f t="shared" si="87"/>
        <v>-1.0450408140295631</v>
      </c>
    </row>
    <row r="2235" spans="1:4">
      <c r="A2235" s="1">
        <v>21513</v>
      </c>
      <c r="B2235">
        <v>52.03</v>
      </c>
      <c r="C2235">
        <f t="shared" si="88"/>
        <v>-1.2713472485768533E-2</v>
      </c>
      <c r="D2235">
        <f t="shared" si="87"/>
        <v>-1.3754418699133555</v>
      </c>
    </row>
    <row r="2236" spans="1:4">
      <c r="A2236" s="1">
        <v>21514</v>
      </c>
      <c r="B2236">
        <v>51.02</v>
      </c>
      <c r="C2236">
        <f t="shared" si="88"/>
        <v>-1.9411877762829099E-2</v>
      </c>
      <c r="D2236">
        <f t="shared" si="87"/>
        <v>-2.0827911902723693</v>
      </c>
    </row>
    <row r="2237" spans="1:4">
      <c r="A2237" s="1">
        <v>21515</v>
      </c>
      <c r="B2237">
        <v>51.9</v>
      </c>
      <c r="C2237">
        <f t="shared" si="88"/>
        <v>1.724813798510379E-2</v>
      </c>
      <c r="D2237">
        <f t="shared" si="87"/>
        <v>1.7884940113645258</v>
      </c>
    </row>
    <row r="2238" spans="1:4">
      <c r="A2238" s="1">
        <v>21517</v>
      </c>
      <c r="B2238">
        <v>52.48</v>
      </c>
      <c r="C2238">
        <f t="shared" si="88"/>
        <v>1.1175337186897848E-2</v>
      </c>
      <c r="D2238">
        <f t="shared" si="87"/>
        <v>1.1472083113192664</v>
      </c>
    </row>
    <row r="2239" spans="1:4">
      <c r="A2239" s="1">
        <v>21520</v>
      </c>
      <c r="B2239">
        <v>52.69</v>
      </c>
      <c r="C2239">
        <f t="shared" si="88"/>
        <v>4.001524390243919E-3</v>
      </c>
      <c r="D2239">
        <f t="shared" si="87"/>
        <v>0.38965611849006149</v>
      </c>
    </row>
    <row r="2240" spans="1:4">
      <c r="A2240" s="1">
        <v>21521</v>
      </c>
      <c r="B2240">
        <v>52.46</v>
      </c>
      <c r="C2240">
        <f t="shared" si="88"/>
        <v>-4.3651546783070204E-3</v>
      </c>
      <c r="D2240">
        <f t="shared" si="87"/>
        <v>-0.49386234717652089</v>
      </c>
    </row>
    <row r="2241" spans="1:4">
      <c r="A2241" s="1">
        <v>21522</v>
      </c>
      <c r="B2241">
        <v>52.53</v>
      </c>
      <c r="C2241">
        <f t="shared" si="88"/>
        <v>1.3343499809378627E-3</v>
      </c>
      <c r="D2241">
        <f t="shared" si="87"/>
        <v>0.10800340748397387</v>
      </c>
    </row>
    <row r="2242" spans="1:4">
      <c r="A2242" s="1">
        <v>21523</v>
      </c>
      <c r="B2242">
        <v>52.55</v>
      </c>
      <c r="C2242">
        <f t="shared" si="88"/>
        <v>3.8073481819904853E-4</v>
      </c>
      <c r="D2242">
        <f t="shared" si="87"/>
        <v>7.3019704482985212E-3</v>
      </c>
    </row>
    <row r="2243" spans="1:4">
      <c r="A2243" s="1">
        <v>21524</v>
      </c>
      <c r="B2243">
        <v>52.46</v>
      </c>
      <c r="C2243">
        <f t="shared" si="88"/>
        <v>-1.7126546146526416E-3</v>
      </c>
      <c r="D2243">
        <f t="shared" ref="D2243:D2306" si="89">(C2243-avg)/sd</f>
        <v>-0.21375924208319796</v>
      </c>
    </row>
    <row r="2244" spans="1:4">
      <c r="A2244" s="1">
        <v>21527</v>
      </c>
      <c r="B2244">
        <v>52.46</v>
      </c>
      <c r="C2244">
        <f t="shared" ref="C2244:C2307" si="90">(B2244-B2243)/B2243</f>
        <v>0</v>
      </c>
      <c r="D2244">
        <f t="shared" si="89"/>
        <v>-3.29034969354682E-2</v>
      </c>
    </row>
    <row r="2245" spans="1:4">
      <c r="A2245" s="1">
        <v>21528</v>
      </c>
      <c r="B2245">
        <v>52.82</v>
      </c>
      <c r="C2245">
        <f t="shared" si="90"/>
        <v>6.8623713305375417E-3</v>
      </c>
      <c r="D2245">
        <f t="shared" si="89"/>
        <v>0.69176058293594411</v>
      </c>
    </row>
    <row r="2246" spans="1:4">
      <c r="A2246" s="1">
        <v>21529</v>
      </c>
      <c r="B2246">
        <v>53.46</v>
      </c>
      <c r="C2246">
        <f t="shared" si="90"/>
        <v>1.2116622491480511E-2</v>
      </c>
      <c r="D2246">
        <f t="shared" si="89"/>
        <v>1.2466077195247747</v>
      </c>
    </row>
    <row r="2247" spans="1:4">
      <c r="A2247" s="1">
        <v>21530</v>
      </c>
      <c r="B2247">
        <v>53.35</v>
      </c>
      <c r="C2247">
        <f t="shared" si="90"/>
        <v>-2.0576131687242692E-3</v>
      </c>
      <c r="D2247">
        <f t="shared" si="89"/>
        <v>-0.25018674813605207</v>
      </c>
    </row>
    <row r="2248" spans="1:4">
      <c r="A2248" s="1">
        <v>21531</v>
      </c>
      <c r="B2248">
        <v>53.22</v>
      </c>
      <c r="C2248">
        <f t="shared" si="90"/>
        <v>-2.4367385192127938E-3</v>
      </c>
      <c r="D2248">
        <f t="shared" si="89"/>
        <v>-0.29022225627667209</v>
      </c>
    </row>
    <row r="2249" spans="1:4">
      <c r="A2249" s="1">
        <v>21534</v>
      </c>
      <c r="B2249">
        <v>53.37</v>
      </c>
      <c r="C2249">
        <f t="shared" si="90"/>
        <v>2.8184892897406724E-3</v>
      </c>
      <c r="D2249">
        <f t="shared" si="89"/>
        <v>0.26472801401008794</v>
      </c>
    </row>
    <row r="2250" spans="1:4">
      <c r="A2250" s="1">
        <v>21535</v>
      </c>
      <c r="B2250">
        <v>53.57</v>
      </c>
      <c r="C2250">
        <f t="shared" si="90"/>
        <v>3.7474236462432613E-3</v>
      </c>
      <c r="D2250">
        <f t="shared" si="89"/>
        <v>0.36282316629663153</v>
      </c>
    </row>
    <row r="2251" spans="1:4">
      <c r="A2251" s="1">
        <v>21536</v>
      </c>
      <c r="B2251">
        <v>53.92</v>
      </c>
      <c r="C2251">
        <f t="shared" si="90"/>
        <v>6.5335075602016316E-3</v>
      </c>
      <c r="D2251">
        <f t="shared" si="89"/>
        <v>0.65703268057469899</v>
      </c>
    </row>
    <row r="2252" spans="1:4">
      <c r="A2252" s="1">
        <v>21537</v>
      </c>
      <c r="B2252">
        <v>54.15</v>
      </c>
      <c r="C2252">
        <f t="shared" si="90"/>
        <v>4.2655786350147785E-3</v>
      </c>
      <c r="D2252">
        <f t="shared" si="89"/>
        <v>0.41754015698146535</v>
      </c>
    </row>
    <row r="2253" spans="1:4">
      <c r="A2253" s="1">
        <v>21538</v>
      </c>
      <c r="B2253">
        <v>54.07</v>
      </c>
      <c r="C2253">
        <f t="shared" si="90"/>
        <v>-1.4773776546629417E-3</v>
      </c>
      <c r="D2253">
        <f t="shared" si="89"/>
        <v>-0.18891407508281011</v>
      </c>
    </row>
    <row r="2254" spans="1:4">
      <c r="A2254" s="1">
        <v>21541</v>
      </c>
      <c r="B2254">
        <v>53.71</v>
      </c>
      <c r="C2254">
        <f t="shared" si="90"/>
        <v>-6.6580358794155617E-3</v>
      </c>
      <c r="D2254">
        <f t="shared" si="89"/>
        <v>-0.73598982262539403</v>
      </c>
    </row>
    <row r="2255" spans="1:4">
      <c r="A2255" s="1">
        <v>21542</v>
      </c>
      <c r="B2255">
        <v>53.42</v>
      </c>
      <c r="C2255">
        <f t="shared" si="90"/>
        <v>-5.399366970768928E-3</v>
      </c>
      <c r="D2255">
        <f t="shared" si="89"/>
        <v>-0.60307481371465943</v>
      </c>
    </row>
    <row r="2256" spans="1:4">
      <c r="A2256" s="1">
        <v>21543</v>
      </c>
      <c r="B2256">
        <v>54.11</v>
      </c>
      <c r="C2256">
        <f t="shared" si="90"/>
        <v>1.2916510670160945E-2</v>
      </c>
      <c r="D2256">
        <f t="shared" si="89"/>
        <v>1.3310756392982257</v>
      </c>
    </row>
    <row r="2257" spans="1:4">
      <c r="A2257" s="1">
        <v>21548</v>
      </c>
      <c r="B2257">
        <v>54.74</v>
      </c>
      <c r="C2257">
        <f t="shared" si="90"/>
        <v>1.1642949547218676E-2</v>
      </c>
      <c r="D2257">
        <f t="shared" si="89"/>
        <v>1.1965880176199817</v>
      </c>
    </row>
    <row r="2258" spans="1:4">
      <c r="A2258" s="1">
        <v>21549</v>
      </c>
      <c r="B2258">
        <v>54.93</v>
      </c>
      <c r="C2258">
        <f t="shared" si="90"/>
        <v>3.470953598830795E-3</v>
      </c>
      <c r="D2258">
        <f t="shared" si="89"/>
        <v>0.33362802326661029</v>
      </c>
    </row>
    <row r="2259" spans="1:4">
      <c r="A2259" s="1">
        <v>21550</v>
      </c>
      <c r="B2259">
        <v>55.21</v>
      </c>
      <c r="C2259">
        <f t="shared" si="90"/>
        <v>5.0973966866921742E-3</v>
      </c>
      <c r="D2259">
        <f t="shared" si="89"/>
        <v>0.50537986048990446</v>
      </c>
    </row>
    <row r="2260" spans="1:4">
      <c r="A2260" s="1">
        <v>21552</v>
      </c>
      <c r="B2260">
        <v>55.44</v>
      </c>
      <c r="C2260">
        <f t="shared" si="90"/>
        <v>4.1659119724686989E-3</v>
      </c>
      <c r="D2260">
        <f t="shared" si="89"/>
        <v>0.40701539129494402</v>
      </c>
    </row>
    <row r="2261" spans="1:4">
      <c r="A2261" s="1">
        <v>21555</v>
      </c>
      <c r="B2261">
        <v>55.66</v>
      </c>
      <c r="C2261">
        <f t="shared" si="90"/>
        <v>3.9682539682539481E-3</v>
      </c>
      <c r="D2261">
        <f t="shared" si="89"/>
        <v>0.38614277323708646</v>
      </c>
    </row>
    <row r="2262" spans="1:4">
      <c r="A2262" s="1">
        <v>21556</v>
      </c>
      <c r="B2262">
        <v>55.59</v>
      </c>
      <c r="C2262">
        <f t="shared" si="90"/>
        <v>-1.2576356449873012E-3</v>
      </c>
      <c r="D2262">
        <f t="shared" si="89"/>
        <v>-0.16570939355500075</v>
      </c>
    </row>
    <row r="2263" spans="1:4">
      <c r="A2263" s="1">
        <v>21557</v>
      </c>
      <c r="B2263">
        <v>54.89</v>
      </c>
      <c r="C2263">
        <f t="shared" si="90"/>
        <v>-1.2592192840438977E-2</v>
      </c>
      <c r="D2263">
        <f t="shared" si="89"/>
        <v>-1.3626347805915089</v>
      </c>
    </row>
    <row r="2264" spans="1:4">
      <c r="A2264" s="1">
        <v>21558</v>
      </c>
      <c r="B2264">
        <v>55.4</v>
      </c>
      <c r="C2264">
        <f t="shared" si="90"/>
        <v>9.2913098925122613E-3</v>
      </c>
      <c r="D2264">
        <f t="shared" si="89"/>
        <v>0.94825566944414175</v>
      </c>
    </row>
    <row r="2265" spans="1:4">
      <c r="A2265" s="1">
        <v>21559</v>
      </c>
      <c r="B2265">
        <v>55.77</v>
      </c>
      <c r="C2265">
        <f t="shared" si="90"/>
        <v>6.6787003610109122E-3</v>
      </c>
      <c r="D2265">
        <f t="shared" si="89"/>
        <v>0.67236499098672797</v>
      </c>
    </row>
    <row r="2266" spans="1:4">
      <c r="A2266" s="1">
        <v>21562</v>
      </c>
      <c r="B2266">
        <v>55.78</v>
      </c>
      <c r="C2266">
        <f t="shared" si="90"/>
        <v>1.7930787161552823E-4</v>
      </c>
      <c r="D2266">
        <f t="shared" si="89"/>
        <v>-1.3968646642575373E-2</v>
      </c>
    </row>
    <row r="2267" spans="1:4">
      <c r="A2267" s="1">
        <v>21563</v>
      </c>
      <c r="B2267">
        <v>55.47</v>
      </c>
      <c r="C2267">
        <f t="shared" si="90"/>
        <v>-5.5575475080674487E-3</v>
      </c>
      <c r="D2267">
        <f t="shared" si="89"/>
        <v>-0.61977862468520606</v>
      </c>
    </row>
    <row r="2268" spans="1:4">
      <c r="A2268" s="1">
        <v>21564</v>
      </c>
      <c r="B2268">
        <v>55.62</v>
      </c>
      <c r="C2268">
        <f t="shared" si="90"/>
        <v>2.7041644131962968E-3</v>
      </c>
      <c r="D2268">
        <f t="shared" si="89"/>
        <v>0.25265534590791555</v>
      </c>
    </row>
    <row r="2269" spans="1:4">
      <c r="A2269" s="1">
        <v>21565</v>
      </c>
      <c r="B2269">
        <v>55.83</v>
      </c>
      <c r="C2269">
        <f t="shared" si="90"/>
        <v>3.7756202804746651E-3</v>
      </c>
      <c r="D2269">
        <f t="shared" si="89"/>
        <v>0.36580072128696611</v>
      </c>
    </row>
    <row r="2270" spans="1:4">
      <c r="A2270" s="1">
        <v>21566</v>
      </c>
      <c r="B2270">
        <v>55.81</v>
      </c>
      <c r="C2270">
        <f t="shared" si="90"/>
        <v>-3.5823034210990547E-4</v>
      </c>
      <c r="D2270">
        <f t="shared" si="89"/>
        <v>-7.0732499293864506E-2</v>
      </c>
    </row>
    <row r="2271" spans="1:4">
      <c r="A2271" s="1">
        <v>21569</v>
      </c>
      <c r="B2271">
        <v>55.68</v>
      </c>
      <c r="C2271">
        <f t="shared" si="90"/>
        <v>-2.3293316609926994E-3</v>
      </c>
      <c r="D2271">
        <f t="shared" si="89"/>
        <v>-0.27888012855799515</v>
      </c>
    </row>
    <row r="2272" spans="1:4">
      <c r="A2272" s="1">
        <v>21570</v>
      </c>
      <c r="B2272">
        <v>55.72</v>
      </c>
      <c r="C2272">
        <f t="shared" si="90"/>
        <v>7.1839080459768585E-4</v>
      </c>
      <c r="D2272">
        <f t="shared" si="89"/>
        <v>4.2958327837148223E-2</v>
      </c>
    </row>
    <row r="2273" spans="1:4">
      <c r="A2273" s="1">
        <v>21571</v>
      </c>
      <c r="B2273">
        <v>56.04</v>
      </c>
      <c r="C2273">
        <f t="shared" si="90"/>
        <v>5.7430007178750951E-3</v>
      </c>
      <c r="D2273">
        <f t="shared" si="89"/>
        <v>0.57355542673134818</v>
      </c>
    </row>
    <row r="2274" spans="1:4">
      <c r="A2274" s="1">
        <v>21572</v>
      </c>
      <c r="B2274">
        <v>55.97</v>
      </c>
      <c r="C2274">
        <f t="shared" si="90"/>
        <v>-1.2491077801570357E-3</v>
      </c>
      <c r="D2274">
        <f t="shared" si="89"/>
        <v>-0.16480885392768679</v>
      </c>
    </row>
    <row r="2275" spans="1:4">
      <c r="A2275" s="1">
        <v>21573</v>
      </c>
      <c r="B2275">
        <v>56</v>
      </c>
      <c r="C2275">
        <f t="shared" si="90"/>
        <v>5.3600142933716525E-4</v>
      </c>
      <c r="D2275">
        <f t="shared" si="89"/>
        <v>2.3698071806798185E-2</v>
      </c>
    </row>
    <row r="2276" spans="1:4">
      <c r="A2276" s="1">
        <v>21576</v>
      </c>
      <c r="B2276">
        <v>55.77</v>
      </c>
      <c r="C2276">
        <f t="shared" si="90"/>
        <v>-4.1071428571428014E-3</v>
      </c>
      <c r="D2276">
        <f t="shared" si="89"/>
        <v>-0.46661638656405863</v>
      </c>
    </row>
    <row r="2277" spans="1:4">
      <c r="A2277" s="1">
        <v>21577</v>
      </c>
      <c r="B2277">
        <v>55.78</v>
      </c>
      <c r="C2277">
        <f t="shared" si="90"/>
        <v>1.7930787161552823E-4</v>
      </c>
      <c r="D2277">
        <f t="shared" si="89"/>
        <v>-1.3968646642575373E-2</v>
      </c>
    </row>
    <row r="2278" spans="1:4">
      <c r="A2278" s="1">
        <v>21578</v>
      </c>
      <c r="B2278">
        <v>55.16</v>
      </c>
      <c r="C2278">
        <f t="shared" si="90"/>
        <v>-1.1115095016134897E-2</v>
      </c>
      <c r="D2278">
        <f t="shared" si="89"/>
        <v>-1.2066537524349439</v>
      </c>
    </row>
    <row r="2279" spans="1:4">
      <c r="A2279" s="1">
        <v>21579</v>
      </c>
      <c r="B2279">
        <v>55.2</v>
      </c>
      <c r="C2279">
        <f t="shared" si="90"/>
        <v>7.2516316171149849E-4</v>
      </c>
      <c r="D2279">
        <f t="shared" si="89"/>
        <v>4.3673486446330803E-2</v>
      </c>
    </row>
    <row r="2280" spans="1:4">
      <c r="A2280" s="1">
        <v>21580</v>
      </c>
      <c r="B2280">
        <v>55.45</v>
      </c>
      <c r="C2280">
        <f t="shared" si="90"/>
        <v>4.528985507246377E-3</v>
      </c>
      <c r="D2280">
        <f t="shared" si="89"/>
        <v>0.44535583315277594</v>
      </c>
    </row>
    <row r="2281" spans="1:4">
      <c r="A2281" s="1">
        <v>21583</v>
      </c>
      <c r="B2281">
        <v>55.21</v>
      </c>
      <c r="C2281">
        <f t="shared" si="90"/>
        <v>-4.3282236248873215E-3</v>
      </c>
      <c r="D2281">
        <f t="shared" si="89"/>
        <v>-0.48996244048887566</v>
      </c>
    </row>
    <row r="2282" spans="1:4">
      <c r="A2282" s="1">
        <v>21584</v>
      </c>
      <c r="B2282">
        <v>55.28</v>
      </c>
      <c r="C2282">
        <f t="shared" si="90"/>
        <v>1.2678862524904959E-3</v>
      </c>
      <c r="D2282">
        <f t="shared" si="89"/>
        <v>0.10098486035205094</v>
      </c>
    </row>
    <row r="2283" spans="1:4">
      <c r="A2283" s="1">
        <v>21585</v>
      </c>
      <c r="B2283">
        <v>55.06</v>
      </c>
      <c r="C2283">
        <f t="shared" si="90"/>
        <v>-3.9797395079594587E-3</v>
      </c>
      <c r="D2283">
        <f t="shared" si="89"/>
        <v>-0.45316263619680014</v>
      </c>
    </row>
    <row r="2284" spans="1:4">
      <c r="A2284" s="1">
        <v>21586</v>
      </c>
      <c r="B2284">
        <v>54.81</v>
      </c>
      <c r="C2284">
        <f t="shared" si="90"/>
        <v>-4.5405012713403562E-3</v>
      </c>
      <c r="D2284">
        <f t="shared" si="89"/>
        <v>-0.51237888779763818</v>
      </c>
    </row>
    <row r="2285" spans="1:4">
      <c r="A2285" s="1">
        <v>21587</v>
      </c>
      <c r="B2285">
        <v>54.37</v>
      </c>
      <c r="C2285">
        <f t="shared" si="90"/>
        <v>-8.0277321656632879E-3</v>
      </c>
      <c r="D2285">
        <f t="shared" si="89"/>
        <v>-0.88062928487076464</v>
      </c>
    </row>
    <row r="2286" spans="1:4">
      <c r="A2286" s="1">
        <v>21590</v>
      </c>
      <c r="B2286">
        <v>53.58</v>
      </c>
      <c r="C2286">
        <f t="shared" si="90"/>
        <v>-1.4530071730733845E-2</v>
      </c>
      <c r="D2286">
        <f t="shared" si="89"/>
        <v>-1.5672741326896067</v>
      </c>
    </row>
    <row r="2287" spans="1:4">
      <c r="A2287" s="1">
        <v>21591</v>
      </c>
      <c r="B2287">
        <v>54.32</v>
      </c>
      <c r="C2287">
        <f t="shared" si="90"/>
        <v>1.38111235535648E-2</v>
      </c>
      <c r="D2287">
        <f t="shared" si="89"/>
        <v>1.4255464556919786</v>
      </c>
    </row>
    <row r="2288" spans="1:4">
      <c r="A2288" s="1">
        <v>21592</v>
      </c>
      <c r="B2288">
        <v>54.35</v>
      </c>
      <c r="C2288">
        <f t="shared" si="90"/>
        <v>5.5228276877763505E-4</v>
      </c>
      <c r="D2288">
        <f t="shared" si="89"/>
        <v>2.5417375717415622E-2</v>
      </c>
    </row>
    <row r="2289" spans="1:4">
      <c r="A2289" s="1">
        <v>21593</v>
      </c>
      <c r="B2289">
        <v>54</v>
      </c>
      <c r="C2289">
        <f t="shared" si="90"/>
        <v>-6.439742410303614E-3</v>
      </c>
      <c r="D2289">
        <f t="shared" si="89"/>
        <v>-0.7129381064887278</v>
      </c>
    </row>
    <row r="2290" spans="1:4">
      <c r="A2290" s="1">
        <v>21594</v>
      </c>
      <c r="B2290">
        <v>54.42</v>
      </c>
      <c r="C2290">
        <f t="shared" si="90"/>
        <v>7.7777777777778096E-3</v>
      </c>
      <c r="D2290">
        <f t="shared" si="89"/>
        <v>0.78842719260274641</v>
      </c>
    </row>
    <row r="2291" spans="1:4">
      <c r="A2291" s="1">
        <v>21597</v>
      </c>
      <c r="B2291">
        <v>54.5</v>
      </c>
      <c r="C2291">
        <f t="shared" si="90"/>
        <v>1.4700477765527066E-3</v>
      </c>
      <c r="D2291">
        <f t="shared" si="89"/>
        <v>0.12233304857497952</v>
      </c>
    </row>
    <row r="2292" spans="1:4">
      <c r="A2292" s="1">
        <v>21598</v>
      </c>
      <c r="B2292">
        <v>54.29</v>
      </c>
      <c r="C2292">
        <f t="shared" si="90"/>
        <v>-3.8532110091743276E-3</v>
      </c>
      <c r="D2292">
        <f t="shared" si="89"/>
        <v>-0.43980126973421674</v>
      </c>
    </row>
    <row r="2293" spans="1:4">
      <c r="A2293" s="1">
        <v>21599</v>
      </c>
      <c r="B2293">
        <v>54.3</v>
      </c>
      <c r="C2293">
        <f t="shared" si="90"/>
        <v>1.8419598452750066E-4</v>
      </c>
      <c r="D2293">
        <f t="shared" si="89"/>
        <v>-1.3452463580621394E-2</v>
      </c>
    </row>
    <row r="2294" spans="1:4">
      <c r="A2294" s="1">
        <v>21600</v>
      </c>
      <c r="B2294">
        <v>55.5</v>
      </c>
      <c r="C2294">
        <f t="shared" si="90"/>
        <v>2.2099447513812209E-2</v>
      </c>
      <c r="D2294">
        <f t="shared" si="89"/>
        <v>2.3007906485559033</v>
      </c>
    </row>
    <row r="2295" spans="1:4">
      <c r="A2295" s="1">
        <v>21601</v>
      </c>
      <c r="B2295">
        <v>55.52</v>
      </c>
      <c r="C2295">
        <f t="shared" si="90"/>
        <v>3.6036036036041669E-4</v>
      </c>
      <c r="D2295">
        <f t="shared" si="89"/>
        <v>5.1504346261537172E-3</v>
      </c>
    </row>
    <row r="2296" spans="1:4">
      <c r="A2296" s="1">
        <v>21605</v>
      </c>
      <c r="B2296">
        <v>55.48</v>
      </c>
      <c r="C2296">
        <f t="shared" si="90"/>
        <v>-7.2046109510097715E-4</v>
      </c>
      <c r="D2296">
        <f t="shared" si="89"/>
        <v>-0.10898394368150624</v>
      </c>
    </row>
    <row r="2297" spans="1:4">
      <c r="A2297" s="1">
        <v>21606</v>
      </c>
      <c r="B2297">
        <v>55.24</v>
      </c>
      <c r="C2297">
        <f t="shared" si="90"/>
        <v>-4.3258832011534767E-3</v>
      </c>
      <c r="D2297">
        <f t="shared" si="89"/>
        <v>-0.48971529253813034</v>
      </c>
    </row>
    <row r="2298" spans="1:4">
      <c r="A2298" s="1">
        <v>21607</v>
      </c>
      <c r="B2298">
        <v>55.34</v>
      </c>
      <c r="C2298">
        <f t="shared" si="90"/>
        <v>1.8102824040550582E-3</v>
      </c>
      <c r="D2298">
        <f t="shared" si="89"/>
        <v>0.15826170958785873</v>
      </c>
    </row>
    <row r="2299" spans="1:4">
      <c r="A2299" s="1">
        <v>21608</v>
      </c>
      <c r="B2299">
        <v>55.41</v>
      </c>
      <c r="C2299">
        <f t="shared" si="90"/>
        <v>1.2649078424284998E-3</v>
      </c>
      <c r="D2299">
        <f t="shared" si="89"/>
        <v>0.10067034126191492</v>
      </c>
    </row>
    <row r="2300" spans="1:4">
      <c r="A2300" s="1">
        <v>21611</v>
      </c>
      <c r="B2300">
        <v>55.73</v>
      </c>
      <c r="C2300">
        <f t="shared" si="90"/>
        <v>5.7751308428081625E-3</v>
      </c>
      <c r="D2300">
        <f t="shared" si="89"/>
        <v>0.57694835700271996</v>
      </c>
    </row>
    <row r="2301" spans="1:4">
      <c r="A2301" s="1">
        <v>21612</v>
      </c>
      <c r="B2301">
        <v>56.25</v>
      </c>
      <c r="C2301">
        <f t="shared" si="90"/>
        <v>9.3307015969855221E-3</v>
      </c>
      <c r="D2301">
        <f t="shared" si="89"/>
        <v>0.95241542004662716</v>
      </c>
    </row>
    <row r="2302" spans="1:4">
      <c r="A2302" s="1">
        <v>21613</v>
      </c>
      <c r="B2302">
        <v>56.35</v>
      </c>
      <c r="C2302">
        <f t="shared" si="90"/>
        <v>1.777777777777803E-3</v>
      </c>
      <c r="D2302">
        <f t="shared" si="89"/>
        <v>0.15482923210183991</v>
      </c>
    </row>
    <row r="2303" spans="1:4">
      <c r="A2303" s="1">
        <v>21614</v>
      </c>
      <c r="B2303">
        <v>56.43</v>
      </c>
      <c r="C2303">
        <f t="shared" si="90"/>
        <v>1.4196983141082217E-3</v>
      </c>
      <c r="D2303">
        <f t="shared" si="89"/>
        <v>0.11701616245545575</v>
      </c>
    </row>
    <row r="2304" spans="1:4">
      <c r="A2304" s="1">
        <v>21615</v>
      </c>
      <c r="B2304">
        <v>56.21</v>
      </c>
      <c r="C2304">
        <f t="shared" si="90"/>
        <v>-3.8986354775828258E-3</v>
      </c>
      <c r="D2304">
        <f t="shared" si="89"/>
        <v>-0.44459807815762714</v>
      </c>
    </row>
    <row r="2305" spans="1:4">
      <c r="A2305" s="1">
        <v>21618</v>
      </c>
      <c r="B2305">
        <v>56.15</v>
      </c>
      <c r="C2305">
        <f t="shared" si="90"/>
        <v>-1.067425724960012E-3</v>
      </c>
      <c r="D2305">
        <f t="shared" si="89"/>
        <v>-0.14562329065561228</v>
      </c>
    </row>
    <row r="2306" spans="1:4">
      <c r="A2306" s="1">
        <v>21619</v>
      </c>
      <c r="B2306">
        <v>56.31</v>
      </c>
      <c r="C2306">
        <f t="shared" si="90"/>
        <v>2.8495102404274926E-3</v>
      </c>
      <c r="D2306">
        <f t="shared" si="89"/>
        <v>0.26800381585808264</v>
      </c>
    </row>
    <row r="2307" spans="1:4">
      <c r="A2307" s="1">
        <v>21620</v>
      </c>
      <c r="B2307">
        <v>56.35</v>
      </c>
      <c r="C2307">
        <f t="shared" si="90"/>
        <v>7.1035340081689123E-4</v>
      </c>
      <c r="D2307">
        <f t="shared" ref="D2307:D2370" si="91">(C2307-avg)/sd</f>
        <v>4.21095807299426E-2</v>
      </c>
    </row>
    <row r="2308" spans="1:4">
      <c r="A2308" s="1">
        <v>21621</v>
      </c>
      <c r="B2308">
        <v>56.6</v>
      </c>
      <c r="C2308">
        <f t="shared" ref="C2308:C2371" si="92">(B2308-B2307)/B2307</f>
        <v>4.4365572315882874E-3</v>
      </c>
      <c r="D2308">
        <f t="shared" si="91"/>
        <v>0.43559543866117906</v>
      </c>
    </row>
    <row r="2309" spans="1:4">
      <c r="A2309" s="1">
        <v>21622</v>
      </c>
      <c r="B2309">
        <v>56.67</v>
      </c>
      <c r="C2309">
        <f t="shared" si="92"/>
        <v>1.2367491166077789E-3</v>
      </c>
      <c r="D2309">
        <f t="shared" si="91"/>
        <v>9.7696789386862756E-2</v>
      </c>
    </row>
    <row r="2310" spans="1:4">
      <c r="A2310" s="1">
        <v>21625</v>
      </c>
      <c r="B2310">
        <v>56.06</v>
      </c>
      <c r="C2310">
        <f t="shared" si="92"/>
        <v>-1.0764072701605778E-2</v>
      </c>
      <c r="D2310">
        <f t="shared" si="91"/>
        <v>-1.169585915338951</v>
      </c>
    </row>
    <row r="2311" spans="1:4">
      <c r="A2311" s="1">
        <v>21626</v>
      </c>
      <c r="B2311">
        <v>56.52</v>
      </c>
      <c r="C2311">
        <f t="shared" si="92"/>
        <v>8.2054941134498908E-3</v>
      </c>
      <c r="D2311">
        <f t="shared" si="91"/>
        <v>0.83359389226187175</v>
      </c>
    </row>
    <row r="2312" spans="1:4">
      <c r="A2312" s="1">
        <v>21627</v>
      </c>
      <c r="B2312">
        <v>56.39</v>
      </c>
      <c r="C2312">
        <f t="shared" si="92"/>
        <v>-2.3000707714083963E-3</v>
      </c>
      <c r="D2312">
        <f t="shared" si="91"/>
        <v>-0.27579018856415238</v>
      </c>
    </row>
    <row r="2313" spans="1:4">
      <c r="A2313" s="1">
        <v>21628</v>
      </c>
      <c r="B2313">
        <v>56.34</v>
      </c>
      <c r="C2313">
        <f t="shared" si="92"/>
        <v>-8.8668203582190378E-4</v>
      </c>
      <c r="D2313">
        <f t="shared" si="91"/>
        <v>-0.12653681852039309</v>
      </c>
    </row>
    <row r="2314" spans="1:4">
      <c r="A2314" s="1">
        <v>21629</v>
      </c>
      <c r="B2314">
        <v>56.39</v>
      </c>
      <c r="C2314">
        <f t="shared" si="92"/>
        <v>8.8746893858709897E-4</v>
      </c>
      <c r="D2314">
        <f t="shared" si="91"/>
        <v>6.0812921313980056E-2</v>
      </c>
    </row>
    <row r="2315" spans="1:4">
      <c r="A2315" s="1">
        <v>21632</v>
      </c>
      <c r="B2315">
        <v>55.87</v>
      </c>
      <c r="C2315">
        <f t="shared" si="92"/>
        <v>-9.2214931725483791E-3</v>
      </c>
      <c r="D2315">
        <f t="shared" si="91"/>
        <v>-1.0066900414187483</v>
      </c>
    </row>
    <row r="2316" spans="1:4">
      <c r="A2316" s="1">
        <v>21633</v>
      </c>
      <c r="B2316">
        <v>55.96</v>
      </c>
      <c r="C2316">
        <f t="shared" si="92"/>
        <v>1.6108824055844535E-3</v>
      </c>
      <c r="D2316">
        <f t="shared" si="91"/>
        <v>0.1372051375287156</v>
      </c>
    </row>
    <row r="2317" spans="1:4">
      <c r="A2317" s="1">
        <v>21634</v>
      </c>
      <c r="B2317">
        <v>55.88</v>
      </c>
      <c r="C2317">
        <f t="shared" si="92"/>
        <v>-1.4295925661186256E-3</v>
      </c>
      <c r="D2317">
        <f t="shared" si="91"/>
        <v>-0.18386798597547113</v>
      </c>
    </row>
    <row r="2318" spans="1:4">
      <c r="A2318" s="1">
        <v>21635</v>
      </c>
      <c r="B2318">
        <v>55.76</v>
      </c>
      <c r="C2318">
        <f t="shared" si="92"/>
        <v>-2.1474588403723074E-3</v>
      </c>
      <c r="D2318">
        <f t="shared" si="91"/>
        <v>-0.25967442052205725</v>
      </c>
    </row>
    <row r="2319" spans="1:4">
      <c r="A2319" s="1">
        <v>21639</v>
      </c>
      <c r="B2319">
        <v>55.45</v>
      </c>
      <c r="C2319">
        <f t="shared" si="92"/>
        <v>-5.5595408895264559E-3</v>
      </c>
      <c r="D2319">
        <f t="shared" si="91"/>
        <v>-0.61998912508969395</v>
      </c>
    </row>
    <row r="2320" spans="1:4">
      <c r="A2320" s="1">
        <v>21640</v>
      </c>
      <c r="B2320">
        <v>55.44</v>
      </c>
      <c r="C2320">
        <f t="shared" si="92"/>
        <v>-1.8034265103706251E-4</v>
      </c>
      <c r="D2320">
        <f t="shared" si="91"/>
        <v>-5.1947619583536428E-2</v>
      </c>
    </row>
    <row r="2321" spans="1:4">
      <c r="A2321" s="1">
        <v>21641</v>
      </c>
      <c r="B2321">
        <v>55.69</v>
      </c>
      <c r="C2321">
        <f t="shared" si="92"/>
        <v>4.5093795093795099E-3</v>
      </c>
      <c r="D2321">
        <f t="shared" si="91"/>
        <v>0.44328544644243723</v>
      </c>
    </row>
    <row r="2322" spans="1:4">
      <c r="A2322" s="1">
        <v>21642</v>
      </c>
      <c r="B2322">
        <v>56</v>
      </c>
      <c r="C2322">
        <f t="shared" si="92"/>
        <v>5.5665289998204758E-3</v>
      </c>
      <c r="D2322">
        <f t="shared" si="91"/>
        <v>0.55492007329043191</v>
      </c>
    </row>
    <row r="2323" spans="1:4">
      <c r="A2323" s="1">
        <v>21643</v>
      </c>
      <c r="B2323">
        <v>56.44</v>
      </c>
      <c r="C2323">
        <f t="shared" si="92"/>
        <v>7.857142857142816E-3</v>
      </c>
      <c r="D2323">
        <f t="shared" si="91"/>
        <v>0.79680811800618978</v>
      </c>
    </row>
    <row r="2324" spans="1:4">
      <c r="A2324" s="1">
        <v>21646</v>
      </c>
      <c r="B2324">
        <v>56.6</v>
      </c>
      <c r="C2324">
        <f t="shared" si="92"/>
        <v>2.8348688873140273E-3</v>
      </c>
      <c r="D2324">
        <f t="shared" si="91"/>
        <v>0.2664576939461385</v>
      </c>
    </row>
    <row r="2325" spans="1:4">
      <c r="A2325" s="1">
        <v>21647</v>
      </c>
      <c r="B2325">
        <v>56.48</v>
      </c>
      <c r="C2325">
        <f t="shared" si="92"/>
        <v>-2.1201413427562642E-3</v>
      </c>
      <c r="D2325">
        <f t="shared" si="91"/>
        <v>-0.25678970205947166</v>
      </c>
    </row>
    <row r="2326" spans="1:4">
      <c r="A2326" s="1">
        <v>21648</v>
      </c>
      <c r="B2326">
        <v>56.21</v>
      </c>
      <c r="C2326">
        <f t="shared" si="92"/>
        <v>-4.7804532577902983E-3</v>
      </c>
      <c r="D2326">
        <f t="shared" si="91"/>
        <v>-0.5377177360031089</v>
      </c>
    </row>
    <row r="2327" spans="1:4">
      <c r="A2327" s="1">
        <v>21649</v>
      </c>
      <c r="B2327">
        <v>56.17</v>
      </c>
      <c r="C2327">
        <f t="shared" si="92"/>
        <v>-7.1161714997329919E-4</v>
      </c>
      <c r="D2327">
        <f t="shared" si="91"/>
        <v>-0.10805002608222647</v>
      </c>
    </row>
    <row r="2328" spans="1:4">
      <c r="A2328" s="1">
        <v>21650</v>
      </c>
      <c r="B2328">
        <v>56.22</v>
      </c>
      <c r="C2328">
        <f t="shared" si="92"/>
        <v>8.9015488695027873E-4</v>
      </c>
      <c r="D2328">
        <f t="shared" si="91"/>
        <v>6.1096556548133632E-2</v>
      </c>
    </row>
    <row r="2329" spans="1:4">
      <c r="A2329" s="1">
        <v>21653</v>
      </c>
      <c r="B2329">
        <v>56.43</v>
      </c>
      <c r="C2329">
        <f t="shared" si="92"/>
        <v>3.7353255069370482E-3</v>
      </c>
      <c r="D2329">
        <f t="shared" si="91"/>
        <v>0.36154560689825282</v>
      </c>
    </row>
    <row r="2330" spans="1:4">
      <c r="A2330" s="1">
        <v>21654</v>
      </c>
      <c r="B2330">
        <v>56.71</v>
      </c>
      <c r="C2330">
        <f t="shared" si="92"/>
        <v>4.9618996987418245E-3</v>
      </c>
      <c r="D2330">
        <f t="shared" si="91"/>
        <v>0.49107142462001163</v>
      </c>
    </row>
    <row r="2331" spans="1:4">
      <c r="A2331" s="1">
        <v>21655</v>
      </c>
      <c r="B2331">
        <v>56.96</v>
      </c>
      <c r="C2331">
        <f t="shared" si="92"/>
        <v>4.408393581378945E-3</v>
      </c>
      <c r="D2331">
        <f t="shared" si="91"/>
        <v>0.43262136677236235</v>
      </c>
    </row>
    <row r="2332" spans="1:4">
      <c r="A2332" s="1">
        <v>21656</v>
      </c>
      <c r="B2332">
        <v>57.43</v>
      </c>
      <c r="C2332">
        <f t="shared" si="92"/>
        <v>8.2514044943820027E-3</v>
      </c>
      <c r="D2332">
        <f t="shared" si="91"/>
        <v>0.838442012882606</v>
      </c>
    </row>
    <row r="2333" spans="1:4">
      <c r="A2333" s="1">
        <v>21657</v>
      </c>
      <c r="B2333">
        <v>57.92</v>
      </c>
      <c r="C2333">
        <f t="shared" si="92"/>
        <v>8.5321260665157939E-3</v>
      </c>
      <c r="D2333">
        <f t="shared" si="91"/>
        <v>0.86808611547803571</v>
      </c>
    </row>
    <row r="2334" spans="1:4">
      <c r="A2334" s="1">
        <v>21660</v>
      </c>
      <c r="B2334">
        <v>58.17</v>
      </c>
      <c r="C2334">
        <f t="shared" si="92"/>
        <v>4.3162983425414367E-3</v>
      </c>
      <c r="D2334">
        <f t="shared" si="91"/>
        <v>0.42289614085581417</v>
      </c>
    </row>
    <row r="2335" spans="1:4">
      <c r="A2335" s="1">
        <v>21661</v>
      </c>
      <c r="B2335">
        <v>58.11</v>
      </c>
      <c r="C2335">
        <f t="shared" si="92"/>
        <v>-1.0314595152140669E-3</v>
      </c>
      <c r="D2335">
        <f t="shared" si="91"/>
        <v>-0.14182527113194918</v>
      </c>
    </row>
    <row r="2336" spans="1:4">
      <c r="A2336" s="1">
        <v>21662</v>
      </c>
      <c r="B2336">
        <v>57.73</v>
      </c>
      <c r="C2336">
        <f t="shared" si="92"/>
        <v>-6.5393219755636306E-3</v>
      </c>
      <c r="D2336">
        <f t="shared" si="91"/>
        <v>-0.72345367473144673</v>
      </c>
    </row>
    <row r="2337" spans="1:4">
      <c r="A2337" s="1">
        <v>21663</v>
      </c>
      <c r="B2337">
        <v>57.6</v>
      </c>
      <c r="C2337">
        <f t="shared" si="92"/>
        <v>-2.2518621167503111E-3</v>
      </c>
      <c r="D2337">
        <f t="shared" si="91"/>
        <v>-0.27069937101917652</v>
      </c>
    </row>
    <row r="2338" spans="1:4">
      <c r="A2338" s="1">
        <v>21664</v>
      </c>
      <c r="B2338">
        <v>57.96</v>
      </c>
      <c r="C2338">
        <f t="shared" si="92"/>
        <v>6.2499999999999899E-3</v>
      </c>
      <c r="D2338">
        <f t="shared" si="91"/>
        <v>0.62709437858630757</v>
      </c>
    </row>
    <row r="2339" spans="1:4">
      <c r="A2339" s="1">
        <v>21667</v>
      </c>
      <c r="B2339">
        <v>58.14</v>
      </c>
      <c r="C2339">
        <f t="shared" si="92"/>
        <v>3.1055900621117963E-3</v>
      </c>
      <c r="D2339">
        <f t="shared" si="91"/>
        <v>0.29504575798218441</v>
      </c>
    </row>
    <row r="2340" spans="1:4">
      <c r="A2340" s="1">
        <v>21668</v>
      </c>
      <c r="B2340">
        <v>57.92</v>
      </c>
      <c r="C2340">
        <f t="shared" si="92"/>
        <v>-3.7839697282421544E-3</v>
      </c>
      <c r="D2340">
        <f t="shared" si="91"/>
        <v>-0.43248941400403418</v>
      </c>
    </row>
    <row r="2341" spans="1:4">
      <c r="A2341" s="1">
        <v>21669</v>
      </c>
      <c r="B2341">
        <v>57.69</v>
      </c>
      <c r="C2341">
        <f t="shared" si="92"/>
        <v>-3.9709944751381903E-3</v>
      </c>
      <c r="D2341">
        <f t="shared" si="91"/>
        <v>-0.45223916370345529</v>
      </c>
    </row>
    <row r="2342" spans="1:4">
      <c r="A2342" s="1">
        <v>21670</v>
      </c>
      <c r="B2342">
        <v>57.59</v>
      </c>
      <c r="C2342">
        <f t="shared" si="92"/>
        <v>-1.7334026694400125E-3</v>
      </c>
      <c r="D2342">
        <f t="shared" si="91"/>
        <v>-0.21595022961613786</v>
      </c>
    </row>
    <row r="2343" spans="1:4">
      <c r="A2343" s="1">
        <v>21671</v>
      </c>
      <c r="B2343">
        <v>57.65</v>
      </c>
      <c r="C2343">
        <f t="shared" si="92"/>
        <v>1.0418475429761272E-3</v>
      </c>
      <c r="D2343">
        <f t="shared" si="91"/>
        <v>7.7115249461624152E-2</v>
      </c>
    </row>
    <row r="2344" spans="1:4">
      <c r="A2344" s="1">
        <v>21674</v>
      </c>
      <c r="B2344">
        <v>57.65</v>
      </c>
      <c r="C2344">
        <f t="shared" si="92"/>
        <v>0</v>
      </c>
      <c r="D2344">
        <f t="shared" si="91"/>
        <v>-3.29034969354682E-2</v>
      </c>
    </row>
    <row r="2345" spans="1:4">
      <c r="A2345" s="1">
        <v>21675</v>
      </c>
      <c r="B2345">
        <v>57.75</v>
      </c>
      <c r="C2345">
        <f t="shared" si="92"/>
        <v>1.7346053772766942E-3</v>
      </c>
      <c r="D2345">
        <f t="shared" si="91"/>
        <v>0.15027024128393476</v>
      </c>
    </row>
    <row r="2346" spans="1:4">
      <c r="A2346" s="1">
        <v>21676</v>
      </c>
      <c r="B2346">
        <v>57.61</v>
      </c>
      <c r="C2346">
        <f t="shared" si="92"/>
        <v>-2.4242424242424342E-3</v>
      </c>
      <c r="D2346">
        <f t="shared" si="91"/>
        <v>-0.2889026728954312</v>
      </c>
    </row>
    <row r="2347" spans="1:4">
      <c r="A2347" s="1">
        <v>21677</v>
      </c>
      <c r="B2347">
        <v>56.88</v>
      </c>
      <c r="C2347">
        <f t="shared" si="92"/>
        <v>-1.2671411213330964E-2</v>
      </c>
      <c r="D2347">
        <f t="shared" si="91"/>
        <v>-1.3710002138412694</v>
      </c>
    </row>
    <row r="2348" spans="1:4">
      <c r="A2348" s="1">
        <v>21678</v>
      </c>
      <c r="B2348">
        <v>57.32</v>
      </c>
      <c r="C2348">
        <f t="shared" si="92"/>
        <v>7.7355836849507332E-3</v>
      </c>
      <c r="D2348">
        <f t="shared" si="91"/>
        <v>0.78397151074267613</v>
      </c>
    </row>
    <row r="2349" spans="1:4">
      <c r="A2349" s="1">
        <v>21681</v>
      </c>
      <c r="B2349">
        <v>57.96</v>
      </c>
      <c r="C2349">
        <f t="shared" si="92"/>
        <v>1.1165387299371957E-2</v>
      </c>
      <c r="D2349">
        <f t="shared" si="91"/>
        <v>1.1461576065786634</v>
      </c>
    </row>
    <row r="2350" spans="1:4">
      <c r="A2350" s="1">
        <v>21682</v>
      </c>
      <c r="B2350">
        <v>57.96</v>
      </c>
      <c r="C2350">
        <f t="shared" si="92"/>
        <v>0</v>
      </c>
      <c r="D2350">
        <f t="shared" si="91"/>
        <v>-3.29034969354682E-2</v>
      </c>
    </row>
    <row r="2351" spans="1:4">
      <c r="A2351" s="1">
        <v>21683</v>
      </c>
      <c r="B2351">
        <v>57.97</v>
      </c>
      <c r="C2351">
        <f t="shared" si="92"/>
        <v>1.7253278122839906E-4</v>
      </c>
      <c r="D2351">
        <f t="shared" si="91"/>
        <v>-1.4684093884491095E-2</v>
      </c>
    </row>
    <row r="2352" spans="1:4">
      <c r="A2352" s="1">
        <v>21684</v>
      </c>
      <c r="B2352">
        <v>58.37</v>
      </c>
      <c r="C2352">
        <f t="shared" si="92"/>
        <v>6.9001207521131374E-3</v>
      </c>
      <c r="D2352">
        <f t="shared" si="91"/>
        <v>0.69574690902267511</v>
      </c>
    </row>
    <row r="2353" spans="1:4">
      <c r="A2353" s="1">
        <v>21685</v>
      </c>
      <c r="B2353">
        <v>58.16</v>
      </c>
      <c r="C2353">
        <f t="shared" si="92"/>
        <v>-3.5977385643310069E-3</v>
      </c>
      <c r="D2353">
        <f t="shared" si="91"/>
        <v>-0.41282346639806539</v>
      </c>
    </row>
    <row r="2354" spans="1:4">
      <c r="A2354" s="1">
        <v>21688</v>
      </c>
      <c r="B2354">
        <v>58.15</v>
      </c>
      <c r="C2354">
        <f t="shared" si="92"/>
        <v>-1.7193947730395479E-4</v>
      </c>
      <c r="D2354">
        <f t="shared" si="91"/>
        <v>-5.1060247293697791E-2</v>
      </c>
    </row>
    <row r="2355" spans="1:4">
      <c r="A2355" s="1">
        <v>21689</v>
      </c>
      <c r="B2355">
        <v>58.32</v>
      </c>
      <c r="C2355">
        <f t="shared" si="92"/>
        <v>2.9234737747205796E-3</v>
      </c>
      <c r="D2355">
        <f t="shared" si="91"/>
        <v>0.2758143399380058</v>
      </c>
    </row>
    <row r="2356" spans="1:4">
      <c r="A2356" s="1">
        <v>21690</v>
      </c>
      <c r="B2356">
        <v>58.09</v>
      </c>
      <c r="C2356">
        <f t="shared" si="92"/>
        <v>-3.9437585733881498E-3</v>
      </c>
      <c r="D2356">
        <f t="shared" si="91"/>
        <v>-0.44936306173658386</v>
      </c>
    </row>
    <row r="2357" spans="1:4">
      <c r="A2357" s="1">
        <v>21691</v>
      </c>
      <c r="B2357">
        <v>58.14</v>
      </c>
      <c r="C2357">
        <f t="shared" si="92"/>
        <v>8.6073334480972897E-4</v>
      </c>
      <c r="D2357">
        <f t="shared" si="91"/>
        <v>5.7989651698959678E-2</v>
      </c>
    </row>
    <row r="2358" spans="1:4">
      <c r="A2358" s="1">
        <v>21692</v>
      </c>
      <c r="B2358">
        <v>58.33</v>
      </c>
      <c r="C2358">
        <f t="shared" si="92"/>
        <v>3.2679738562091114E-3</v>
      </c>
      <c r="D2358">
        <f t="shared" si="91"/>
        <v>0.3121934314419274</v>
      </c>
    </row>
    <row r="2359" spans="1:4">
      <c r="A2359" s="1">
        <v>21695</v>
      </c>
      <c r="B2359">
        <v>58.18</v>
      </c>
      <c r="C2359">
        <f t="shared" si="92"/>
        <v>-2.5715755186010388E-3</v>
      </c>
      <c r="D2359">
        <f t="shared" si="91"/>
        <v>-0.30446099757874778</v>
      </c>
    </row>
    <row r="2360" spans="1:4">
      <c r="A2360" s="1">
        <v>21696</v>
      </c>
      <c r="B2360">
        <v>58.09</v>
      </c>
      <c r="C2360">
        <f t="shared" si="92"/>
        <v>-1.5469233413543538E-3</v>
      </c>
      <c r="D2360">
        <f t="shared" si="91"/>
        <v>-0.1962580759576957</v>
      </c>
    </row>
    <row r="2361" spans="1:4">
      <c r="A2361" s="1">
        <v>21697</v>
      </c>
      <c r="B2361">
        <v>58.19</v>
      </c>
      <c r="C2361">
        <f t="shared" si="92"/>
        <v>1.7214666896194579E-3</v>
      </c>
      <c r="D2361">
        <f t="shared" si="91"/>
        <v>0.14888280033338755</v>
      </c>
    </row>
    <row r="2362" spans="1:4">
      <c r="A2362" s="1">
        <v>21698</v>
      </c>
      <c r="B2362">
        <v>58.39</v>
      </c>
      <c r="C2362">
        <f t="shared" si="92"/>
        <v>3.4370166695308962E-3</v>
      </c>
      <c r="D2362">
        <f t="shared" si="91"/>
        <v>0.33004429506826377</v>
      </c>
    </row>
    <row r="2363" spans="1:4">
      <c r="A2363" s="1">
        <v>21699</v>
      </c>
      <c r="B2363">
        <v>58.68</v>
      </c>
      <c r="C2363">
        <f t="shared" si="92"/>
        <v>4.96660387052576E-3</v>
      </c>
      <c r="D2363">
        <f t="shared" si="91"/>
        <v>0.4915681835613695</v>
      </c>
    </row>
    <row r="2364" spans="1:4">
      <c r="A2364" s="1">
        <v>21702</v>
      </c>
      <c r="B2364">
        <v>58.63</v>
      </c>
      <c r="C2364">
        <f t="shared" si="92"/>
        <v>-8.5207907293792019E-4</v>
      </c>
      <c r="D2364">
        <f t="shared" si="91"/>
        <v>-0.122882757401963</v>
      </c>
    </row>
    <row r="2365" spans="1:4">
      <c r="A2365" s="1">
        <v>21703</v>
      </c>
      <c r="B2365">
        <v>58.23</v>
      </c>
      <c r="C2365">
        <f t="shared" si="92"/>
        <v>-6.822445846836187E-3</v>
      </c>
      <c r="D2365">
        <f t="shared" si="91"/>
        <v>-0.75335145929934888</v>
      </c>
    </row>
    <row r="2366" spans="1:4">
      <c r="A2366" s="1">
        <v>21704</v>
      </c>
      <c r="B2366">
        <v>58.25</v>
      </c>
      <c r="C2366">
        <f t="shared" si="92"/>
        <v>3.4346556757690414E-4</v>
      </c>
      <c r="D2366">
        <f t="shared" si="91"/>
        <v>3.3663502510338883E-3</v>
      </c>
    </row>
    <row r="2367" spans="1:4">
      <c r="A2367" s="1">
        <v>21705</v>
      </c>
      <c r="B2367">
        <v>57.63</v>
      </c>
      <c r="C2367">
        <f t="shared" si="92"/>
        <v>-1.0643776824034291E-2</v>
      </c>
      <c r="D2367">
        <f t="shared" si="91"/>
        <v>-1.1568827115579574</v>
      </c>
    </row>
    <row r="2368" spans="1:4">
      <c r="A2368" s="1">
        <v>21706</v>
      </c>
      <c r="B2368">
        <v>57.51</v>
      </c>
      <c r="C2368">
        <f t="shared" si="92"/>
        <v>-2.0822488287351127E-3</v>
      </c>
      <c r="D2368">
        <f t="shared" si="91"/>
        <v>-0.25278826545912941</v>
      </c>
    </row>
    <row r="2369" spans="1:4">
      <c r="A2369" s="1">
        <v>21709</v>
      </c>
      <c r="B2369">
        <v>56.76</v>
      </c>
      <c r="C2369">
        <f t="shared" si="92"/>
        <v>-1.3041210224308816E-2</v>
      </c>
      <c r="D2369">
        <f t="shared" si="91"/>
        <v>-1.4100508636997393</v>
      </c>
    </row>
    <row r="2370" spans="1:4">
      <c r="A2370" s="1">
        <v>21710</v>
      </c>
      <c r="B2370">
        <v>56.36</v>
      </c>
      <c r="C2370">
        <f t="shared" si="92"/>
        <v>-7.0472163495419061E-3</v>
      </c>
      <c r="D2370">
        <f t="shared" si="91"/>
        <v>-0.77708714798186662</v>
      </c>
    </row>
    <row r="2371" spans="1:4">
      <c r="A2371" s="1">
        <v>21711</v>
      </c>
      <c r="B2371">
        <v>57.19</v>
      </c>
      <c r="C2371">
        <f t="shared" si="92"/>
        <v>1.4726756564939644E-2</v>
      </c>
      <c r="D2371">
        <f t="shared" ref="D2371:D2434" si="93">(C2371-avg)/sd</f>
        <v>1.5222369904543793</v>
      </c>
    </row>
    <row r="2372" spans="1:4">
      <c r="A2372" s="1">
        <v>21712</v>
      </c>
      <c r="B2372">
        <v>57.25</v>
      </c>
      <c r="C2372">
        <f t="shared" ref="C2372:C2435" si="94">(B2372-B2371)/B2371</f>
        <v>1.0491344640671844E-3</v>
      </c>
      <c r="D2372">
        <f t="shared" si="93"/>
        <v>7.7884745851894963E-2</v>
      </c>
    </row>
    <row r="2373" spans="1:4">
      <c r="A2373" s="1">
        <v>21713</v>
      </c>
      <c r="B2373">
        <v>57.29</v>
      </c>
      <c r="C2373">
        <f t="shared" si="94"/>
        <v>6.9868995633186283E-4</v>
      </c>
      <c r="D2373">
        <f t="shared" si="93"/>
        <v>4.0877924956921011E-2</v>
      </c>
    </row>
    <row r="2374" spans="1:4">
      <c r="A2374" s="1">
        <v>21716</v>
      </c>
      <c r="B2374">
        <v>56.99</v>
      </c>
      <c r="C2374">
        <f t="shared" si="94"/>
        <v>-5.2365159713736635E-3</v>
      </c>
      <c r="D2374">
        <f t="shared" si="93"/>
        <v>-0.58587780353426377</v>
      </c>
    </row>
    <row r="2375" spans="1:4">
      <c r="A2375" s="1">
        <v>21717</v>
      </c>
      <c r="B2375">
        <v>56.56</v>
      </c>
      <c r="C2375">
        <f t="shared" si="94"/>
        <v>-7.5451833655027145E-3</v>
      </c>
      <c r="D2375">
        <f t="shared" si="93"/>
        <v>-0.82967229560011502</v>
      </c>
    </row>
    <row r="2376" spans="1:4">
      <c r="A2376" s="1">
        <v>21718</v>
      </c>
      <c r="B2376">
        <v>57.09</v>
      </c>
      <c r="C2376">
        <f t="shared" si="94"/>
        <v>9.3705799151343906E-3</v>
      </c>
      <c r="D2376">
        <f t="shared" si="93"/>
        <v>0.9566265568878487</v>
      </c>
    </row>
    <row r="2377" spans="1:4">
      <c r="A2377" s="1">
        <v>21719</v>
      </c>
      <c r="B2377">
        <v>57.05</v>
      </c>
      <c r="C2377">
        <f t="shared" si="94"/>
        <v>-7.0064809949213957E-4</v>
      </c>
      <c r="D2377">
        <f t="shared" si="93"/>
        <v>-0.10689169807997743</v>
      </c>
    </row>
    <row r="2378" spans="1:4">
      <c r="A2378" s="1">
        <v>21720</v>
      </c>
      <c r="B2378">
        <v>57.13</v>
      </c>
      <c r="C2378">
        <f t="shared" si="94"/>
        <v>1.4022787028922946E-3</v>
      </c>
      <c r="D2378">
        <f t="shared" si="93"/>
        <v>0.11517665743226739</v>
      </c>
    </row>
    <row r="2379" spans="1:4">
      <c r="A2379" s="1">
        <v>21723</v>
      </c>
      <c r="B2379">
        <v>57.13</v>
      </c>
      <c r="C2379">
        <f t="shared" si="94"/>
        <v>0</v>
      </c>
      <c r="D2379">
        <f t="shared" si="93"/>
        <v>-3.29034969354682E-2</v>
      </c>
    </row>
    <row r="2380" spans="1:4">
      <c r="A2380" s="1">
        <v>21724</v>
      </c>
      <c r="B2380">
        <v>57.12</v>
      </c>
      <c r="C2380">
        <f t="shared" si="94"/>
        <v>-1.7503938386145834E-4</v>
      </c>
      <c r="D2380">
        <f t="shared" si="93"/>
        <v>-5.138759637246073E-2</v>
      </c>
    </row>
    <row r="2381" spans="1:4">
      <c r="A2381" s="1">
        <v>21725</v>
      </c>
      <c r="B2381">
        <v>57.41</v>
      </c>
      <c r="C2381">
        <f t="shared" si="94"/>
        <v>5.0770308123249154E-3</v>
      </c>
      <c r="D2381">
        <f t="shared" si="93"/>
        <v>0.50322923107941908</v>
      </c>
    </row>
    <row r="2382" spans="1:4">
      <c r="A2382" s="1">
        <v>21726</v>
      </c>
      <c r="B2382">
        <v>57.73</v>
      </c>
      <c r="C2382">
        <f t="shared" si="94"/>
        <v>5.5739418219822381E-3</v>
      </c>
      <c r="D2382">
        <f t="shared" si="93"/>
        <v>0.55570286479097331</v>
      </c>
    </row>
    <row r="2383" spans="1:4">
      <c r="A2383" s="1">
        <v>21727</v>
      </c>
      <c r="B2383">
        <v>57.98</v>
      </c>
      <c r="C2383">
        <f t="shared" si="94"/>
        <v>4.3305040706738268E-3</v>
      </c>
      <c r="D2383">
        <f t="shared" si="93"/>
        <v>0.424396260917833</v>
      </c>
    </row>
    <row r="2384" spans="1:4">
      <c r="A2384" s="1">
        <v>21730</v>
      </c>
      <c r="B2384">
        <v>58.37</v>
      </c>
      <c r="C2384">
        <f t="shared" si="94"/>
        <v>6.7264573991031489E-3</v>
      </c>
      <c r="D2384">
        <f t="shared" si="93"/>
        <v>0.6774081179758622</v>
      </c>
    </row>
    <row r="2385" spans="1:4">
      <c r="A2385" s="1">
        <v>21731</v>
      </c>
      <c r="B2385">
        <v>58.47</v>
      </c>
      <c r="C2385">
        <f t="shared" si="94"/>
        <v>1.7132088401576396E-3</v>
      </c>
      <c r="D2385">
        <f t="shared" si="93"/>
        <v>0.14801077423719894</v>
      </c>
    </row>
    <row r="2386" spans="1:4">
      <c r="A2386" s="1">
        <v>21732</v>
      </c>
      <c r="B2386">
        <v>58.97</v>
      </c>
      <c r="C2386">
        <f t="shared" si="94"/>
        <v>8.5513938772019838E-3</v>
      </c>
      <c r="D2386">
        <f t="shared" si="93"/>
        <v>0.87012078973705032</v>
      </c>
    </row>
    <row r="2387" spans="1:4">
      <c r="A2387" s="1">
        <v>21733</v>
      </c>
      <c r="B2387">
        <v>59.28</v>
      </c>
      <c r="C2387">
        <f t="shared" si="94"/>
        <v>5.2569102933695483E-3</v>
      </c>
      <c r="D2387">
        <f t="shared" si="93"/>
        <v>0.52222444313372585</v>
      </c>
    </row>
    <row r="2388" spans="1:4">
      <c r="A2388" s="1">
        <v>21737</v>
      </c>
      <c r="B2388">
        <v>59.65</v>
      </c>
      <c r="C2388">
        <f t="shared" si="94"/>
        <v>6.2415654520917244E-3</v>
      </c>
      <c r="D2388">
        <f t="shared" si="93"/>
        <v>0.62620369319423697</v>
      </c>
    </row>
    <row r="2389" spans="1:4">
      <c r="A2389" s="1">
        <v>21738</v>
      </c>
      <c r="B2389">
        <v>60.01</v>
      </c>
      <c r="C2389">
        <f t="shared" si="94"/>
        <v>6.0352053646269815E-3</v>
      </c>
      <c r="D2389">
        <f t="shared" si="93"/>
        <v>0.60441213810316197</v>
      </c>
    </row>
    <row r="2390" spans="1:4">
      <c r="A2390" s="1">
        <v>21739</v>
      </c>
      <c r="B2390">
        <v>60.03</v>
      </c>
      <c r="C2390">
        <f t="shared" si="94"/>
        <v>3.3327778703554621E-4</v>
      </c>
      <c r="D2390">
        <f t="shared" si="93"/>
        <v>2.2905240888613544E-3</v>
      </c>
    </row>
    <row r="2391" spans="1:4">
      <c r="A2391" s="1">
        <v>21740</v>
      </c>
      <c r="B2391">
        <v>59.97</v>
      </c>
      <c r="C2391">
        <f t="shared" si="94"/>
        <v>-9.9950024987510038E-4</v>
      </c>
      <c r="D2391">
        <f t="shared" si="93"/>
        <v>-0.13845038357563641</v>
      </c>
    </row>
    <row r="2392" spans="1:4">
      <c r="A2392" s="1">
        <v>21741</v>
      </c>
      <c r="B2392">
        <v>59.91</v>
      </c>
      <c r="C2392">
        <f t="shared" si="94"/>
        <v>-1.0005002501251004E-3</v>
      </c>
      <c r="D2392">
        <f t="shared" si="93"/>
        <v>-0.13855598326211982</v>
      </c>
    </row>
    <row r="2393" spans="1:4">
      <c r="A2393" s="1">
        <v>21744</v>
      </c>
      <c r="B2393">
        <v>59.41</v>
      </c>
      <c r="C2393">
        <f t="shared" si="94"/>
        <v>-8.3458521115005839E-3</v>
      </c>
      <c r="D2393">
        <f t="shared" si="93"/>
        <v>-0.91422264301695955</v>
      </c>
    </row>
    <row r="2394" spans="1:4">
      <c r="A2394" s="1">
        <v>21745</v>
      </c>
      <c r="B2394">
        <v>59.55</v>
      </c>
      <c r="C2394">
        <f t="shared" si="94"/>
        <v>2.3565056387813595E-3</v>
      </c>
      <c r="D2394">
        <f t="shared" si="93"/>
        <v>0.21594269750465742</v>
      </c>
    </row>
    <row r="2395" spans="1:4">
      <c r="A2395" s="1">
        <v>21746</v>
      </c>
      <c r="B2395">
        <v>59.59</v>
      </c>
      <c r="C2395">
        <f t="shared" si="94"/>
        <v>6.7170445004208657E-4</v>
      </c>
      <c r="D2395">
        <f t="shared" si="93"/>
        <v>3.8028264665539907E-2</v>
      </c>
    </row>
    <row r="2396" spans="1:4">
      <c r="A2396" s="1">
        <v>21747</v>
      </c>
      <c r="B2396">
        <v>59.41</v>
      </c>
      <c r="C2396">
        <f t="shared" si="94"/>
        <v>-3.0206410471556775E-3</v>
      </c>
      <c r="D2396">
        <f t="shared" si="93"/>
        <v>-0.35188216474932782</v>
      </c>
    </row>
    <row r="2397" spans="1:4">
      <c r="A2397" s="1">
        <v>21748</v>
      </c>
      <c r="B2397">
        <v>59.19</v>
      </c>
      <c r="C2397">
        <f t="shared" si="94"/>
        <v>-3.7030802895135309E-3</v>
      </c>
      <c r="D2397">
        <f t="shared" si="93"/>
        <v>-0.42394751676994769</v>
      </c>
    </row>
    <row r="2398" spans="1:4">
      <c r="A2398" s="1">
        <v>21751</v>
      </c>
      <c r="B2398">
        <v>58.91</v>
      </c>
      <c r="C2398">
        <f t="shared" si="94"/>
        <v>-4.7305288055414958E-3</v>
      </c>
      <c r="D2398">
        <f t="shared" si="93"/>
        <v>-0.53244573081578128</v>
      </c>
    </row>
    <row r="2399" spans="1:4">
      <c r="A2399" s="1">
        <v>21752</v>
      </c>
      <c r="B2399">
        <v>59.41</v>
      </c>
      <c r="C2399">
        <f t="shared" si="94"/>
        <v>8.4875233406891872E-3</v>
      </c>
      <c r="D2399">
        <f t="shared" si="93"/>
        <v>0.86337608279194922</v>
      </c>
    </row>
    <row r="2400" spans="1:4">
      <c r="A2400" s="1">
        <v>21753</v>
      </c>
      <c r="B2400">
        <v>59.61</v>
      </c>
      <c r="C2400">
        <f t="shared" si="94"/>
        <v>3.366436626830548E-3</v>
      </c>
      <c r="D2400">
        <f t="shared" si="93"/>
        <v>0.32259106655042918</v>
      </c>
    </row>
    <row r="2401" spans="1:4">
      <c r="A2401" s="1">
        <v>21754</v>
      </c>
      <c r="B2401">
        <v>59.67</v>
      </c>
      <c r="C2401">
        <f t="shared" si="94"/>
        <v>1.0065425264217795E-3</v>
      </c>
      <c r="D2401">
        <f t="shared" si="93"/>
        <v>7.3387051714243243E-2</v>
      </c>
    </row>
    <row r="2402" spans="1:4">
      <c r="A2402" s="1">
        <v>21755</v>
      </c>
      <c r="B2402">
        <v>59.65</v>
      </c>
      <c r="C2402">
        <f t="shared" si="94"/>
        <v>-3.3517680576509345E-4</v>
      </c>
      <c r="D2402">
        <f t="shared" si="93"/>
        <v>-6.8298053692130115E-2</v>
      </c>
    </row>
    <row r="2403" spans="1:4">
      <c r="A2403" s="1">
        <v>21758</v>
      </c>
      <c r="B2403">
        <v>60.02</v>
      </c>
      <c r="C2403">
        <f t="shared" si="94"/>
        <v>6.2028499580889284E-3</v>
      </c>
      <c r="D2403">
        <f t="shared" si="93"/>
        <v>0.62211535018757746</v>
      </c>
    </row>
    <row r="2404" spans="1:4">
      <c r="A2404" s="1">
        <v>21759</v>
      </c>
      <c r="B2404">
        <v>60.32</v>
      </c>
      <c r="C2404">
        <f t="shared" si="94"/>
        <v>4.998333888703718E-3</v>
      </c>
      <c r="D2404">
        <f t="shared" si="93"/>
        <v>0.49491886269540469</v>
      </c>
    </row>
    <row r="2405" spans="1:4">
      <c r="A2405" s="1">
        <v>21760</v>
      </c>
      <c r="B2405">
        <v>60.62</v>
      </c>
      <c r="C2405">
        <f t="shared" si="94"/>
        <v>4.9734748010609609E-3</v>
      </c>
      <c r="D2405">
        <f t="shared" si="93"/>
        <v>0.49229375149034399</v>
      </c>
    </row>
    <row r="2406" spans="1:4">
      <c r="A2406" s="1">
        <v>21761</v>
      </c>
      <c r="B2406">
        <v>60.5</v>
      </c>
      <c r="C2406">
        <f t="shared" si="94"/>
        <v>-1.9795447047178728E-3</v>
      </c>
      <c r="D2406">
        <f t="shared" si="93"/>
        <v>-0.24194274487373688</v>
      </c>
    </row>
    <row r="2407" spans="1:4">
      <c r="A2407" s="1">
        <v>21762</v>
      </c>
      <c r="B2407">
        <v>60.51</v>
      </c>
      <c r="C2407">
        <f t="shared" si="94"/>
        <v>1.6528925619831421E-4</v>
      </c>
      <c r="D2407">
        <f t="shared" si="93"/>
        <v>-1.5449007665474265E-2</v>
      </c>
    </row>
    <row r="2408" spans="1:4">
      <c r="A2408" s="1">
        <v>21765</v>
      </c>
      <c r="B2408">
        <v>60.71</v>
      </c>
      <c r="C2408">
        <f t="shared" si="94"/>
        <v>3.3052388035036003E-3</v>
      </c>
      <c r="D2408">
        <f t="shared" si="93"/>
        <v>0.3161285972092544</v>
      </c>
    </row>
    <row r="2409" spans="1:4">
      <c r="A2409" s="1">
        <v>21766</v>
      </c>
      <c r="B2409">
        <v>60.61</v>
      </c>
      <c r="C2409">
        <f t="shared" si="94"/>
        <v>-1.6471750947125914E-3</v>
      </c>
      <c r="D2409">
        <f t="shared" si="93"/>
        <v>-0.2068446270350989</v>
      </c>
    </row>
    <row r="2410" spans="1:4">
      <c r="A2410" s="1">
        <v>21767</v>
      </c>
      <c r="B2410">
        <v>60.3</v>
      </c>
      <c r="C2410">
        <f t="shared" si="94"/>
        <v>-5.1146675466095083E-3</v>
      </c>
      <c r="D2410">
        <f t="shared" si="93"/>
        <v>-0.57301065129746098</v>
      </c>
    </row>
    <row r="2411" spans="1:4">
      <c r="A2411" s="1">
        <v>21768</v>
      </c>
      <c r="B2411">
        <v>60.24</v>
      </c>
      <c r="C2411">
        <f t="shared" si="94"/>
        <v>-9.9502487562181047E-4</v>
      </c>
      <c r="D2411">
        <f t="shared" si="93"/>
        <v>-0.13797778557574264</v>
      </c>
    </row>
    <row r="2412" spans="1:4">
      <c r="A2412" s="1">
        <v>21769</v>
      </c>
      <c r="B2412">
        <v>59.87</v>
      </c>
      <c r="C2412">
        <f t="shared" si="94"/>
        <v>-6.1420982735724524E-3</v>
      </c>
      <c r="D2412">
        <f t="shared" si="93"/>
        <v>-0.68150698682407496</v>
      </c>
    </row>
    <row r="2413" spans="1:4">
      <c r="A2413" s="1">
        <v>21772</v>
      </c>
      <c r="B2413">
        <v>58.62</v>
      </c>
      <c r="C2413">
        <f t="shared" si="94"/>
        <v>-2.0878570235510274E-2</v>
      </c>
      <c r="D2413">
        <f t="shared" si="93"/>
        <v>-2.237673416834506</v>
      </c>
    </row>
    <row r="2414" spans="1:4">
      <c r="A2414" s="1">
        <v>21773</v>
      </c>
      <c r="B2414">
        <v>59.39</v>
      </c>
      <c r="C2414">
        <f t="shared" si="94"/>
        <v>1.313544865233714E-2</v>
      </c>
      <c r="D2414">
        <f t="shared" si="93"/>
        <v>1.3541954157953959</v>
      </c>
    </row>
    <row r="2415" spans="1:4">
      <c r="A2415" s="1">
        <v>21774</v>
      </c>
      <c r="B2415">
        <v>59.25</v>
      </c>
      <c r="C2415">
        <f t="shared" si="94"/>
        <v>-2.3572992086209896E-3</v>
      </c>
      <c r="D2415">
        <f t="shared" si="93"/>
        <v>-0.28183349208091124</v>
      </c>
    </row>
    <row r="2416" spans="1:4">
      <c r="A2416" s="1">
        <v>21775</v>
      </c>
      <c r="B2416">
        <v>59.15</v>
      </c>
      <c r="C2416">
        <f t="shared" si="94"/>
        <v>-1.6877637130801927E-3</v>
      </c>
      <c r="D2416">
        <f t="shared" si="93"/>
        <v>-0.21113077133797586</v>
      </c>
    </row>
    <row r="2417" spans="1:4">
      <c r="A2417" s="1">
        <v>21776</v>
      </c>
      <c r="B2417">
        <v>59.29</v>
      </c>
      <c r="C2417">
        <f t="shared" si="94"/>
        <v>2.3668639053254534E-3</v>
      </c>
      <c r="D2417">
        <f t="shared" si="93"/>
        <v>0.21703652693076786</v>
      </c>
    </row>
    <row r="2418" spans="1:4">
      <c r="A2418" s="1">
        <v>21779</v>
      </c>
      <c r="B2418">
        <v>59.17</v>
      </c>
      <c r="C2418">
        <f t="shared" si="94"/>
        <v>-2.0239500758980847E-3</v>
      </c>
      <c r="D2418">
        <f t="shared" si="93"/>
        <v>-0.24663193697624822</v>
      </c>
    </row>
    <row r="2419" spans="1:4">
      <c r="A2419" s="1">
        <v>21780</v>
      </c>
      <c r="B2419">
        <v>58.62</v>
      </c>
      <c r="C2419">
        <f t="shared" si="94"/>
        <v>-9.2952509717763102E-3</v>
      </c>
      <c r="D2419">
        <f t="shared" si="93"/>
        <v>-1.0144788399457236</v>
      </c>
    </row>
    <row r="2420" spans="1:4">
      <c r="A2420" s="1">
        <v>21781</v>
      </c>
      <c r="B2420">
        <v>58.27</v>
      </c>
      <c r="C2420">
        <f t="shared" si="94"/>
        <v>-5.9706584783349422E-3</v>
      </c>
      <c r="D2420">
        <f t="shared" si="93"/>
        <v>-0.66340300272221175</v>
      </c>
    </row>
    <row r="2421" spans="1:4">
      <c r="A2421" s="1">
        <v>21782</v>
      </c>
      <c r="B2421">
        <v>59.14</v>
      </c>
      <c r="C2421">
        <f t="shared" si="94"/>
        <v>1.4930495967049895E-2</v>
      </c>
      <c r="D2421">
        <f t="shared" si="93"/>
        <v>1.543751802062834</v>
      </c>
    </row>
    <row r="2422" spans="1:4">
      <c r="A2422" s="1">
        <v>21783</v>
      </c>
      <c r="B2422">
        <v>59.08</v>
      </c>
      <c r="C2422">
        <f t="shared" si="94"/>
        <v>-1.01454176530271E-3</v>
      </c>
      <c r="D2422">
        <f t="shared" si="93"/>
        <v>-0.14003876249193248</v>
      </c>
    </row>
    <row r="2423" spans="1:4">
      <c r="A2423" s="1">
        <v>21786</v>
      </c>
      <c r="B2423">
        <v>58.87</v>
      </c>
      <c r="C2423">
        <f t="shared" si="94"/>
        <v>-3.554502369668261E-3</v>
      </c>
      <c r="D2423">
        <f t="shared" si="93"/>
        <v>-0.40825773893837602</v>
      </c>
    </row>
    <row r="2424" spans="1:4">
      <c r="A2424" s="1">
        <v>21787</v>
      </c>
      <c r="B2424">
        <v>58.99</v>
      </c>
      <c r="C2424">
        <f t="shared" si="94"/>
        <v>2.0383896721590717E-3</v>
      </c>
      <c r="D2424">
        <f t="shared" si="93"/>
        <v>0.1823497595622148</v>
      </c>
    </row>
    <row r="2425" spans="1:4">
      <c r="A2425" s="1">
        <v>21788</v>
      </c>
      <c r="B2425">
        <v>59.07</v>
      </c>
      <c r="C2425">
        <f t="shared" si="94"/>
        <v>1.3561620613663043E-3</v>
      </c>
      <c r="D2425">
        <f t="shared" si="93"/>
        <v>0.11030675576293093</v>
      </c>
    </row>
    <row r="2426" spans="1:4">
      <c r="A2426" s="1">
        <v>21789</v>
      </c>
      <c r="B2426">
        <v>59.58</v>
      </c>
      <c r="C2426">
        <f t="shared" si="94"/>
        <v>8.6338242762823425E-3</v>
      </c>
      <c r="D2426">
        <f t="shared" si="93"/>
        <v>0.87882541186048213</v>
      </c>
    </row>
    <row r="2427" spans="1:4">
      <c r="A2427" s="1">
        <v>21790</v>
      </c>
      <c r="B2427">
        <v>59.6</v>
      </c>
      <c r="C2427">
        <f t="shared" si="94"/>
        <v>3.3568311513936097E-4</v>
      </c>
      <c r="D2427">
        <f t="shared" si="93"/>
        <v>2.5445259190134454E-3</v>
      </c>
    </row>
    <row r="2428" spans="1:4">
      <c r="A2428" s="1">
        <v>21793</v>
      </c>
      <c r="B2428">
        <v>59.6</v>
      </c>
      <c r="C2428">
        <f t="shared" si="94"/>
        <v>0</v>
      </c>
      <c r="D2428">
        <f t="shared" si="93"/>
        <v>-3.29034969354682E-2</v>
      </c>
    </row>
    <row r="2429" spans="1:4">
      <c r="A2429" s="1">
        <v>21794</v>
      </c>
      <c r="B2429">
        <v>58.87</v>
      </c>
      <c r="C2429">
        <f t="shared" si="94"/>
        <v>-1.2248322147651073E-2</v>
      </c>
      <c r="D2429">
        <f t="shared" si="93"/>
        <v>-1.3263221523204338</v>
      </c>
    </row>
    <row r="2430" spans="1:4">
      <c r="A2430" s="1">
        <v>21795</v>
      </c>
      <c r="B2430">
        <v>58.92</v>
      </c>
      <c r="C2430">
        <f t="shared" si="94"/>
        <v>8.4932903006632011E-4</v>
      </c>
      <c r="D2430">
        <f t="shared" si="93"/>
        <v>5.6785359938570631E-2</v>
      </c>
    </row>
    <row r="2431" spans="1:4">
      <c r="A2431" s="1">
        <v>21796</v>
      </c>
      <c r="B2431">
        <v>58.26</v>
      </c>
      <c r="C2431">
        <f t="shared" si="94"/>
        <v>-1.1201629327902302E-2</v>
      </c>
      <c r="D2431">
        <f t="shared" si="93"/>
        <v>-1.21579174634314</v>
      </c>
    </row>
    <row r="2432" spans="1:4">
      <c r="A2432" s="1">
        <v>21797</v>
      </c>
      <c r="B2432">
        <v>58.54</v>
      </c>
      <c r="C2432">
        <f t="shared" si="94"/>
        <v>4.8060418812221279E-3</v>
      </c>
      <c r="D2432">
        <f t="shared" si="93"/>
        <v>0.47461289206857793</v>
      </c>
    </row>
    <row r="2433" spans="1:4">
      <c r="A2433" s="1">
        <v>21801</v>
      </c>
      <c r="B2433">
        <v>57.7</v>
      </c>
      <c r="C2433">
        <f t="shared" si="94"/>
        <v>-1.4349162965493616E-2</v>
      </c>
      <c r="D2433">
        <f t="shared" si="93"/>
        <v>-1.5481702285741157</v>
      </c>
    </row>
    <row r="2434" spans="1:4">
      <c r="A2434" s="1">
        <v>21802</v>
      </c>
      <c r="B2434">
        <v>57.29</v>
      </c>
      <c r="C2434">
        <f t="shared" si="94"/>
        <v>-7.1057192374350724E-3</v>
      </c>
      <c r="D2434">
        <f t="shared" si="93"/>
        <v>-0.78326503305728723</v>
      </c>
    </row>
    <row r="2435" spans="1:4">
      <c r="A2435" s="1">
        <v>21803</v>
      </c>
      <c r="B2435">
        <v>56.99</v>
      </c>
      <c r="C2435">
        <f t="shared" si="94"/>
        <v>-5.2365159713736635E-3</v>
      </c>
      <c r="D2435">
        <f t="shared" ref="D2435:D2498" si="95">(C2435-avg)/sd</f>
        <v>-0.58587780353426377</v>
      </c>
    </row>
    <row r="2436" spans="1:4">
      <c r="A2436" s="1">
        <v>21804</v>
      </c>
      <c r="B2436">
        <v>57.41</v>
      </c>
      <c r="C2436">
        <f t="shared" ref="C2436:C2499" si="96">(B2436-B2435)/B2435</f>
        <v>7.3697139849095384E-3</v>
      </c>
      <c r="D2436">
        <f t="shared" si="95"/>
        <v>0.74533579478347967</v>
      </c>
    </row>
    <row r="2437" spans="1:4">
      <c r="A2437" s="1">
        <v>21807</v>
      </c>
      <c r="B2437">
        <v>56.99</v>
      </c>
      <c r="C2437">
        <f t="shared" si="96"/>
        <v>-7.3157986413515874E-3</v>
      </c>
      <c r="D2437">
        <f t="shared" si="95"/>
        <v>-0.80544934670141222</v>
      </c>
    </row>
    <row r="2438" spans="1:4">
      <c r="A2438" s="1">
        <v>21808</v>
      </c>
      <c r="B2438">
        <v>56.68</v>
      </c>
      <c r="C2438">
        <f t="shared" si="96"/>
        <v>-5.4395507983857217E-3</v>
      </c>
      <c r="D2438">
        <f t="shared" si="95"/>
        <v>-0.60731821225184612</v>
      </c>
    </row>
    <row r="2439" spans="1:4">
      <c r="A2439" s="1">
        <v>21809</v>
      </c>
      <c r="B2439">
        <v>56.72</v>
      </c>
      <c r="C2439">
        <f t="shared" si="96"/>
        <v>7.0571630204656224E-4</v>
      </c>
      <c r="D2439">
        <f t="shared" si="95"/>
        <v>4.1619904676022314E-2</v>
      </c>
    </row>
    <row r="2440" spans="1:4">
      <c r="A2440" s="1">
        <v>21810</v>
      </c>
      <c r="B2440">
        <v>56.41</v>
      </c>
      <c r="C2440">
        <f t="shared" si="96"/>
        <v>-5.4654442877292361E-3</v>
      </c>
      <c r="D2440">
        <f t="shared" si="95"/>
        <v>-0.6100525559248966</v>
      </c>
    </row>
    <row r="2441" spans="1:4">
      <c r="A2441" s="1">
        <v>21811</v>
      </c>
      <c r="B2441">
        <v>56.19</v>
      </c>
      <c r="C2441">
        <f t="shared" si="96"/>
        <v>-3.9000177273532861E-3</v>
      </c>
      <c r="D2441">
        <f t="shared" si="95"/>
        <v>-0.44474404326353817</v>
      </c>
    </row>
    <row r="2442" spans="1:4">
      <c r="A2442" s="1">
        <v>21814</v>
      </c>
      <c r="B2442">
        <v>55.27</v>
      </c>
      <c r="C2442">
        <f t="shared" si="96"/>
        <v>-1.6373020110339823E-2</v>
      </c>
      <c r="D2442">
        <f t="shared" si="95"/>
        <v>-1.7618888551274063</v>
      </c>
    </row>
    <row r="2443" spans="1:4">
      <c r="A2443" s="1">
        <v>21815</v>
      </c>
      <c r="B2443">
        <v>55.14</v>
      </c>
      <c r="C2443">
        <f t="shared" si="96"/>
        <v>-2.3520897412701745E-3</v>
      </c>
      <c r="D2443">
        <f t="shared" si="95"/>
        <v>-0.28128337409944915</v>
      </c>
    </row>
    <row r="2444" spans="1:4">
      <c r="A2444" s="1">
        <v>21816</v>
      </c>
      <c r="B2444">
        <v>55.82</v>
      </c>
      <c r="C2444">
        <f t="shared" si="96"/>
        <v>1.2332245194051499E-2</v>
      </c>
      <c r="D2444">
        <f t="shared" si="95"/>
        <v>1.2693774036225531</v>
      </c>
    </row>
    <row r="2445" spans="1:4">
      <c r="A2445" s="1">
        <v>21817</v>
      </c>
      <c r="B2445">
        <v>56.78</v>
      </c>
      <c r="C2445">
        <f t="shared" si="96"/>
        <v>1.7198136868505926E-2</v>
      </c>
      <c r="D2445">
        <f t="shared" si="95"/>
        <v>1.7832139104479967</v>
      </c>
    </row>
    <row r="2446" spans="1:4">
      <c r="A2446" s="1">
        <v>21818</v>
      </c>
      <c r="B2446">
        <v>56.73</v>
      </c>
      <c r="C2446">
        <f t="shared" si="96"/>
        <v>-8.8059175766122338E-4</v>
      </c>
      <c r="D2446">
        <f t="shared" si="95"/>
        <v>-0.12589368721681138</v>
      </c>
    </row>
    <row r="2447" spans="1:4">
      <c r="A2447" s="1">
        <v>21821</v>
      </c>
      <c r="B2447">
        <v>57.15</v>
      </c>
      <c r="C2447">
        <f t="shared" si="96"/>
        <v>7.4034902168165296E-3</v>
      </c>
      <c r="D2447">
        <f t="shared" si="95"/>
        <v>0.74890255339175882</v>
      </c>
    </row>
    <row r="2448" spans="1:4">
      <c r="A2448" s="1">
        <v>21822</v>
      </c>
      <c r="B2448">
        <v>57.51</v>
      </c>
      <c r="C2448">
        <f t="shared" si="96"/>
        <v>6.2992125984251872E-3</v>
      </c>
      <c r="D2448">
        <f t="shared" si="95"/>
        <v>0.63229121225183349</v>
      </c>
    </row>
    <row r="2449" spans="1:4">
      <c r="A2449" s="1">
        <v>21823</v>
      </c>
      <c r="B2449">
        <v>56.88</v>
      </c>
      <c r="C2449">
        <f t="shared" si="96"/>
        <v>-1.0954616588419326E-2</v>
      </c>
      <c r="D2449">
        <f t="shared" si="95"/>
        <v>-1.1897072850174475</v>
      </c>
    </row>
    <row r="2450" spans="1:4">
      <c r="A2450" s="1">
        <v>21824</v>
      </c>
      <c r="B2450">
        <v>56.94</v>
      </c>
      <c r="C2450">
        <f t="shared" si="96"/>
        <v>1.0548523206750204E-3</v>
      </c>
      <c r="D2450">
        <f t="shared" si="95"/>
        <v>7.8488549566088542E-2</v>
      </c>
    </row>
    <row r="2451" spans="1:4">
      <c r="A2451" s="1">
        <v>21825</v>
      </c>
      <c r="B2451">
        <v>57.2</v>
      </c>
      <c r="C2451">
        <f t="shared" si="96"/>
        <v>4.5662100456621904E-3</v>
      </c>
      <c r="D2451">
        <f t="shared" si="95"/>
        <v>0.44928673175625045</v>
      </c>
    </row>
    <row r="2452" spans="1:4">
      <c r="A2452" s="1">
        <v>21828</v>
      </c>
      <c r="B2452">
        <v>57.14</v>
      </c>
      <c r="C2452">
        <f t="shared" si="96"/>
        <v>-1.0489510489510886E-3</v>
      </c>
      <c r="D2452">
        <f t="shared" si="95"/>
        <v>-0.14367237114891745</v>
      </c>
    </row>
    <row r="2453" spans="1:4">
      <c r="A2453" s="1">
        <v>21829</v>
      </c>
      <c r="B2453">
        <v>57.09</v>
      </c>
      <c r="C2453">
        <f t="shared" si="96"/>
        <v>-8.7504375218755968E-4</v>
      </c>
      <c r="D2453">
        <f t="shared" si="95"/>
        <v>-0.12530781972465116</v>
      </c>
    </row>
    <row r="2454" spans="1:4">
      <c r="A2454" s="1">
        <v>21830</v>
      </c>
      <c r="B2454">
        <v>56.94</v>
      </c>
      <c r="C2454">
        <f t="shared" si="96"/>
        <v>-2.6274303730952123E-3</v>
      </c>
      <c r="D2454">
        <f t="shared" si="95"/>
        <v>-0.31035925122734498</v>
      </c>
    </row>
    <row r="2455" spans="1:4">
      <c r="A2455" s="1">
        <v>21831</v>
      </c>
      <c r="B2455">
        <v>56.81</v>
      </c>
      <c r="C2455">
        <f t="shared" si="96"/>
        <v>-2.2831050228309703E-3</v>
      </c>
      <c r="D2455">
        <f t="shared" si="95"/>
        <v>-0.27399861128131431</v>
      </c>
    </row>
    <row r="2456" spans="1:4">
      <c r="A2456" s="1">
        <v>21832</v>
      </c>
      <c r="B2456">
        <v>57</v>
      </c>
      <c r="C2456">
        <f t="shared" si="96"/>
        <v>3.3444816053511306E-3</v>
      </c>
      <c r="D2456">
        <f t="shared" si="95"/>
        <v>0.32027262374507709</v>
      </c>
    </row>
    <row r="2457" spans="1:4">
      <c r="A2457" s="1">
        <v>21835</v>
      </c>
      <c r="B2457">
        <v>57.32</v>
      </c>
      <c r="C2457">
        <f t="shared" si="96"/>
        <v>5.614035087719303E-3</v>
      </c>
      <c r="D2457">
        <f t="shared" si="95"/>
        <v>0.55993670002444418</v>
      </c>
    </row>
    <row r="2458" spans="1:4">
      <c r="A2458" s="1">
        <v>21836</v>
      </c>
      <c r="B2458">
        <v>57.16</v>
      </c>
      <c r="C2458">
        <f t="shared" si="96"/>
        <v>-2.7913468248430512E-3</v>
      </c>
      <c r="D2458">
        <f t="shared" si="95"/>
        <v>-0.32766877281400758</v>
      </c>
    </row>
    <row r="2459" spans="1:4">
      <c r="A2459" s="1">
        <v>21837</v>
      </c>
      <c r="B2459">
        <v>56.71</v>
      </c>
      <c r="C2459">
        <f t="shared" si="96"/>
        <v>-7.872638208537364E-3</v>
      </c>
      <c r="D2459">
        <f t="shared" si="95"/>
        <v>-0.8642514157172646</v>
      </c>
    </row>
    <row r="2460" spans="1:4">
      <c r="A2460" s="1">
        <v>21838</v>
      </c>
      <c r="B2460">
        <v>56.87</v>
      </c>
      <c r="C2460">
        <f t="shared" si="96"/>
        <v>2.8213718920824648E-3</v>
      </c>
      <c r="D2460">
        <f t="shared" si="95"/>
        <v>0.26503241583753706</v>
      </c>
    </row>
    <row r="2461" spans="1:4">
      <c r="A2461" s="1">
        <v>21839</v>
      </c>
      <c r="B2461">
        <v>57.33</v>
      </c>
      <c r="C2461">
        <f t="shared" si="96"/>
        <v>8.0886231756638095E-3</v>
      </c>
      <c r="D2461">
        <f t="shared" si="95"/>
        <v>0.82125236095802345</v>
      </c>
    </row>
    <row r="2462" spans="1:4">
      <c r="A2462" s="1">
        <v>21842</v>
      </c>
      <c r="B2462">
        <v>57.01</v>
      </c>
      <c r="C2462">
        <f t="shared" si="96"/>
        <v>-5.5817198674341581E-3</v>
      </c>
      <c r="D2462">
        <f t="shared" si="95"/>
        <v>-0.62233121761774646</v>
      </c>
    </row>
    <row r="2463" spans="1:4">
      <c r="A2463" s="1">
        <v>21843</v>
      </c>
      <c r="B2463">
        <v>56.66</v>
      </c>
      <c r="C2463">
        <f t="shared" si="96"/>
        <v>-6.139273811612023E-3</v>
      </c>
      <c r="D2463">
        <f t="shared" si="95"/>
        <v>-0.68120872460113491</v>
      </c>
    </row>
    <row r="2464" spans="1:4">
      <c r="A2464" s="1">
        <v>21844</v>
      </c>
      <c r="B2464">
        <v>56.55</v>
      </c>
      <c r="C2464">
        <f t="shared" si="96"/>
        <v>-1.9414048711613031E-3</v>
      </c>
      <c r="D2464">
        <f t="shared" si="95"/>
        <v>-0.23791519141452244</v>
      </c>
    </row>
    <row r="2465" spans="1:4">
      <c r="A2465" s="1">
        <v>21845</v>
      </c>
      <c r="B2465">
        <v>56</v>
      </c>
      <c r="C2465">
        <f t="shared" si="96"/>
        <v>-9.7259062776303661E-3</v>
      </c>
      <c r="D2465">
        <f t="shared" si="95"/>
        <v>-1.059955893857061</v>
      </c>
    </row>
    <row r="2466" spans="1:4">
      <c r="A2466" s="1">
        <v>21846</v>
      </c>
      <c r="B2466">
        <v>56.56</v>
      </c>
      <c r="C2466">
        <f t="shared" si="96"/>
        <v>1.000000000000004E-2</v>
      </c>
      <c r="D2466">
        <f t="shared" si="95"/>
        <v>1.0230931038993791</v>
      </c>
    </row>
    <row r="2467" spans="1:4">
      <c r="A2467" s="1">
        <v>21849</v>
      </c>
      <c r="B2467">
        <v>56.94</v>
      </c>
      <c r="C2467">
        <f t="shared" si="96"/>
        <v>6.7185289957566383E-3</v>
      </c>
      <c r="D2467">
        <f t="shared" si="95"/>
        <v>0.6765708812774659</v>
      </c>
    </row>
    <row r="2468" spans="1:4">
      <c r="A2468" s="1">
        <v>21850</v>
      </c>
      <c r="B2468">
        <v>57.42</v>
      </c>
      <c r="C2468">
        <f t="shared" si="96"/>
        <v>8.4299262381454867E-3</v>
      </c>
      <c r="D2468">
        <f t="shared" si="95"/>
        <v>0.85729384834154088</v>
      </c>
    </row>
    <row r="2469" spans="1:4">
      <c r="A2469" s="1">
        <v>21851</v>
      </c>
      <c r="B2469">
        <v>57.46</v>
      </c>
      <c r="C2469">
        <f t="shared" si="96"/>
        <v>6.9662138627654387E-4</v>
      </c>
      <c r="D2469">
        <f t="shared" si="95"/>
        <v>4.0659484662220455E-2</v>
      </c>
    </row>
    <row r="2470" spans="1:4">
      <c r="A2470" s="1">
        <v>21852</v>
      </c>
      <c r="B2470">
        <v>57.41</v>
      </c>
      <c r="C2470">
        <f t="shared" si="96"/>
        <v>-8.7017055342854613E-4</v>
      </c>
      <c r="D2470">
        <f t="shared" si="95"/>
        <v>-0.1247932115921801</v>
      </c>
    </row>
    <row r="2471" spans="1:4">
      <c r="A2471" s="1">
        <v>21853</v>
      </c>
      <c r="B2471">
        <v>57.52</v>
      </c>
      <c r="C2471">
        <f t="shared" si="96"/>
        <v>1.9160425013065067E-3</v>
      </c>
      <c r="D2471">
        <f t="shared" si="95"/>
        <v>0.16942993990800795</v>
      </c>
    </row>
    <row r="2472" spans="1:4">
      <c r="A2472" s="1">
        <v>21856</v>
      </c>
      <c r="B2472">
        <v>57.41</v>
      </c>
      <c r="C2472">
        <f t="shared" si="96"/>
        <v>-1.9123783031990008E-3</v>
      </c>
      <c r="D2472">
        <f t="shared" si="95"/>
        <v>-0.23484999570431317</v>
      </c>
    </row>
    <row r="2473" spans="1:4">
      <c r="A2473" s="1">
        <v>21858</v>
      </c>
      <c r="B2473">
        <v>57.26</v>
      </c>
      <c r="C2473">
        <f t="shared" si="96"/>
        <v>-2.612785229054147E-3</v>
      </c>
      <c r="D2473">
        <f t="shared" si="95"/>
        <v>-0.30881272899473483</v>
      </c>
    </row>
    <row r="2474" spans="1:4">
      <c r="A2474" s="1">
        <v>21859</v>
      </c>
      <c r="B2474">
        <v>57.32</v>
      </c>
      <c r="C2474">
        <f t="shared" si="96"/>
        <v>1.0478519035976646E-3</v>
      </c>
      <c r="D2474">
        <f t="shared" si="95"/>
        <v>7.7749307902277159E-2</v>
      </c>
    </row>
    <row r="2475" spans="1:4">
      <c r="A2475" s="1">
        <v>21860</v>
      </c>
      <c r="B2475">
        <v>57.6</v>
      </c>
      <c r="C2475">
        <f t="shared" si="96"/>
        <v>4.8848569434752466E-3</v>
      </c>
      <c r="D2475">
        <f t="shared" si="95"/>
        <v>0.48293573585196592</v>
      </c>
    </row>
    <row r="2476" spans="1:4">
      <c r="A2476" s="1">
        <v>21863</v>
      </c>
      <c r="B2476">
        <v>57.5</v>
      </c>
      <c r="C2476">
        <f t="shared" si="96"/>
        <v>-1.7361111111111357E-3</v>
      </c>
      <c r="D2476">
        <f t="shared" si="95"/>
        <v>-0.21623624013596437</v>
      </c>
    </row>
    <row r="2477" spans="1:4">
      <c r="A2477" s="1">
        <v>21864</v>
      </c>
      <c r="B2477">
        <v>57.48</v>
      </c>
      <c r="C2477">
        <f t="shared" si="96"/>
        <v>-3.4782608695657614E-4</v>
      </c>
      <c r="D2477">
        <f t="shared" si="95"/>
        <v>-6.9633813486251084E-2</v>
      </c>
    </row>
    <row r="2478" spans="1:4">
      <c r="A2478" s="1">
        <v>21865</v>
      </c>
      <c r="B2478">
        <v>57.49</v>
      </c>
      <c r="C2478">
        <f t="shared" si="96"/>
        <v>1.7397355601957406E-4</v>
      </c>
      <c r="D2478">
        <f t="shared" si="95"/>
        <v>-1.4531948556286162E-2</v>
      </c>
    </row>
    <row r="2479" spans="1:4">
      <c r="A2479" s="1">
        <v>21866</v>
      </c>
      <c r="B2479">
        <v>57.17</v>
      </c>
      <c r="C2479">
        <f t="shared" si="96"/>
        <v>-5.5661854235519266E-3</v>
      </c>
      <c r="D2479">
        <f t="shared" si="95"/>
        <v>-0.62069078562419677</v>
      </c>
    </row>
    <row r="2480" spans="1:4">
      <c r="A2480" s="1">
        <v>21867</v>
      </c>
      <c r="B2480">
        <v>56.85</v>
      </c>
      <c r="C2480">
        <f t="shared" si="96"/>
        <v>-5.5973412629001275E-3</v>
      </c>
      <c r="D2480">
        <f t="shared" si="95"/>
        <v>-0.62398083166898244</v>
      </c>
    </row>
    <row r="2481" spans="1:4">
      <c r="A2481" s="1">
        <v>21870</v>
      </c>
      <c r="B2481">
        <v>56.22</v>
      </c>
      <c r="C2481">
        <f t="shared" si="96"/>
        <v>-1.1081794195250705E-2</v>
      </c>
      <c r="D2481">
        <f t="shared" si="95"/>
        <v>-1.2031371970690721</v>
      </c>
    </row>
    <row r="2482" spans="1:4">
      <c r="A2482" s="1">
        <v>21871</v>
      </c>
      <c r="B2482">
        <v>56.38</v>
      </c>
      <c r="C2482">
        <f t="shared" si="96"/>
        <v>2.8459622909997101E-3</v>
      </c>
      <c r="D2482">
        <f t="shared" si="95"/>
        <v>0.26762915360451545</v>
      </c>
    </row>
    <row r="2483" spans="1:4">
      <c r="A2483" s="1">
        <v>21872</v>
      </c>
      <c r="B2483">
        <v>56.99</v>
      </c>
      <c r="C2483">
        <f t="shared" si="96"/>
        <v>1.0819439517559407E-2</v>
      </c>
      <c r="D2483">
        <f t="shared" si="95"/>
        <v>1.1096256384126226</v>
      </c>
    </row>
    <row r="2484" spans="1:4">
      <c r="A2484" s="1">
        <v>21873</v>
      </c>
      <c r="B2484">
        <v>56.94</v>
      </c>
      <c r="C2484">
        <f t="shared" si="96"/>
        <v>-8.7734690296550726E-4</v>
      </c>
      <c r="D2484">
        <f t="shared" si="95"/>
        <v>-0.12555103166392345</v>
      </c>
    </row>
    <row r="2485" spans="1:4">
      <c r="A2485" s="1">
        <v>21874</v>
      </c>
      <c r="B2485">
        <v>56.97</v>
      </c>
      <c r="C2485">
        <f t="shared" si="96"/>
        <v>5.2687038988410853E-4</v>
      </c>
      <c r="D2485">
        <f t="shared" si="95"/>
        <v>2.2733837144346514E-2</v>
      </c>
    </row>
    <row r="2486" spans="1:4">
      <c r="A2486" s="1">
        <v>21877</v>
      </c>
      <c r="B2486">
        <v>57.08</v>
      </c>
      <c r="C2486">
        <f t="shared" si="96"/>
        <v>1.9308407934000252E-3</v>
      </c>
      <c r="D2486">
        <f t="shared" si="95"/>
        <v>0.17099263452289962</v>
      </c>
    </row>
    <row r="2487" spans="1:4">
      <c r="A2487" s="1">
        <v>21878</v>
      </c>
      <c r="B2487">
        <v>57.35</v>
      </c>
      <c r="C2487">
        <f t="shared" si="96"/>
        <v>4.7302032235459557E-3</v>
      </c>
      <c r="D2487">
        <f t="shared" si="95"/>
        <v>0.46660435559678642</v>
      </c>
    </row>
    <row r="2488" spans="1:4">
      <c r="A2488" s="1">
        <v>21879</v>
      </c>
      <c r="B2488">
        <v>57.44</v>
      </c>
      <c r="C2488">
        <f t="shared" si="96"/>
        <v>1.5693112467305371E-3</v>
      </c>
      <c r="D2488">
        <f t="shared" si="95"/>
        <v>0.13281523728446551</v>
      </c>
    </row>
    <row r="2489" spans="1:4">
      <c r="A2489" s="1">
        <v>21881</v>
      </c>
      <c r="B2489">
        <v>57.7</v>
      </c>
      <c r="C2489">
        <f t="shared" si="96"/>
        <v>4.526462395543265E-3</v>
      </c>
      <c r="D2489">
        <f t="shared" si="95"/>
        <v>0.44508939341457465</v>
      </c>
    </row>
    <row r="2490" spans="1:4">
      <c r="A2490" s="1">
        <v>21884</v>
      </c>
      <c r="B2490">
        <v>58.28</v>
      </c>
      <c r="C2490">
        <f t="shared" si="96"/>
        <v>1.0051993067590958E-2</v>
      </c>
      <c r="D2490">
        <f t="shared" si="95"/>
        <v>1.0285835541636776</v>
      </c>
    </row>
    <row r="2491" spans="1:4">
      <c r="A2491" s="1">
        <v>21885</v>
      </c>
      <c r="B2491">
        <v>58.7</v>
      </c>
      <c r="C2491">
        <f t="shared" si="96"/>
        <v>7.2065888812628976E-3</v>
      </c>
      <c r="D2491">
        <f t="shared" si="95"/>
        <v>0.72810983928731121</v>
      </c>
    </row>
    <row r="2492" spans="1:4">
      <c r="A2492" s="1">
        <v>21886</v>
      </c>
      <c r="B2492">
        <v>58.6</v>
      </c>
      <c r="C2492">
        <f t="shared" si="96"/>
        <v>-1.7035775127768554E-3</v>
      </c>
      <c r="D2492">
        <f t="shared" si="95"/>
        <v>-0.21280070321057179</v>
      </c>
    </row>
    <row r="2493" spans="1:4">
      <c r="A2493" s="1">
        <v>21887</v>
      </c>
      <c r="B2493">
        <v>58.73</v>
      </c>
      <c r="C2493">
        <f t="shared" si="96"/>
        <v>2.2184300341296153E-3</v>
      </c>
      <c r="D2493">
        <f t="shared" si="95"/>
        <v>0.20136196058761169</v>
      </c>
    </row>
    <row r="2494" spans="1:4">
      <c r="A2494" s="1">
        <v>21888</v>
      </c>
      <c r="B2494">
        <v>58.85</v>
      </c>
      <c r="C2494">
        <f t="shared" si="96"/>
        <v>2.0432487655372817E-3</v>
      </c>
      <c r="D2494">
        <f t="shared" si="95"/>
        <v>0.18286287817126767</v>
      </c>
    </row>
    <row r="2495" spans="1:4">
      <c r="A2495" s="1">
        <v>21891</v>
      </c>
      <c r="B2495">
        <v>58.96</v>
      </c>
      <c r="C2495">
        <f t="shared" si="96"/>
        <v>1.8691588785046632E-3</v>
      </c>
      <c r="D2495">
        <f t="shared" si="95"/>
        <v>0.164479045276651</v>
      </c>
    </row>
    <row r="2496" spans="1:4">
      <c r="A2496" s="1">
        <v>21892</v>
      </c>
      <c r="B2496">
        <v>59.34</v>
      </c>
      <c r="C2496">
        <f t="shared" si="96"/>
        <v>6.4450474898236527E-3</v>
      </c>
      <c r="D2496">
        <f t="shared" si="95"/>
        <v>0.64769132721182332</v>
      </c>
    </row>
    <row r="2497" spans="1:4">
      <c r="A2497" s="1">
        <v>21893</v>
      </c>
      <c r="B2497">
        <v>58.97</v>
      </c>
      <c r="C2497">
        <f t="shared" si="96"/>
        <v>-6.2352544657904366E-3</v>
      </c>
      <c r="D2497">
        <f t="shared" si="95"/>
        <v>-0.6913442490569659</v>
      </c>
    </row>
    <row r="2498" spans="1:4">
      <c r="A2498" s="1">
        <v>21894</v>
      </c>
      <c r="B2498">
        <v>59.02</v>
      </c>
      <c r="C2498">
        <f t="shared" si="96"/>
        <v>8.4788875699515459E-4</v>
      </c>
      <c r="D2498">
        <f t="shared" si="95"/>
        <v>5.663326759182815E-2</v>
      </c>
    </row>
    <row r="2499" spans="1:4">
      <c r="A2499" s="1">
        <v>21895</v>
      </c>
      <c r="B2499">
        <v>58.88</v>
      </c>
      <c r="C2499">
        <f t="shared" si="96"/>
        <v>-2.3720772619451129E-3</v>
      </c>
      <c r="D2499">
        <f t="shared" ref="D2499:D2562" si="97">(C2499-avg)/sd</f>
        <v>-0.28339404948863428</v>
      </c>
    </row>
    <row r="2500" spans="1:4">
      <c r="A2500" s="1">
        <v>21898</v>
      </c>
      <c r="B2500">
        <v>59.04</v>
      </c>
      <c r="C2500">
        <f t="shared" ref="C2500:C2563" si="98">(B2500-B2499)/B2499</f>
        <v>2.7173913043477679E-3</v>
      </c>
      <c r="D2500">
        <f t="shared" si="97"/>
        <v>0.25405210111747217</v>
      </c>
    </row>
    <row r="2501" spans="1:4">
      <c r="A2501" s="1">
        <v>21899</v>
      </c>
      <c r="B2501">
        <v>58.9</v>
      </c>
      <c r="C2501">
        <f t="shared" si="98"/>
        <v>-2.3712737127371372E-3</v>
      </c>
      <c r="D2501">
        <f t="shared" si="97"/>
        <v>-0.28330919496541168</v>
      </c>
    </row>
    <row r="2502" spans="1:4">
      <c r="A2502" s="1">
        <v>21900</v>
      </c>
      <c r="B2502">
        <v>58.97</v>
      </c>
      <c r="C2502">
        <f t="shared" si="98"/>
        <v>1.1884550084889692E-3</v>
      </c>
      <c r="D2502">
        <f t="shared" si="97"/>
        <v>9.2596947985481418E-2</v>
      </c>
    </row>
    <row r="2503" spans="1:4">
      <c r="A2503" s="1">
        <v>21901</v>
      </c>
      <c r="B2503">
        <v>58.86</v>
      </c>
      <c r="C2503">
        <f t="shared" si="98"/>
        <v>-1.8653552653891713E-3</v>
      </c>
      <c r="D2503">
        <f t="shared" si="97"/>
        <v>-0.22988437889550237</v>
      </c>
    </row>
    <row r="2504" spans="1:4">
      <c r="A2504" s="1">
        <v>21902</v>
      </c>
      <c r="B2504">
        <v>59.14</v>
      </c>
      <c r="C2504">
        <f t="shared" si="98"/>
        <v>4.7570506286102807E-3</v>
      </c>
      <c r="D2504">
        <f t="shared" si="97"/>
        <v>0.46943943244570274</v>
      </c>
    </row>
    <row r="2505" spans="1:4">
      <c r="A2505" s="1">
        <v>21905</v>
      </c>
      <c r="B2505">
        <v>59.21</v>
      </c>
      <c r="C2505">
        <f t="shared" si="98"/>
        <v>1.1836320595197884E-3</v>
      </c>
      <c r="D2505">
        <f t="shared" si="97"/>
        <v>9.2087646213735927E-2</v>
      </c>
    </row>
    <row r="2506" spans="1:4">
      <c r="A2506" s="1">
        <v>21906</v>
      </c>
      <c r="B2506">
        <v>59.14</v>
      </c>
      <c r="C2506">
        <f t="shared" si="98"/>
        <v>-1.1822327309576133E-3</v>
      </c>
      <c r="D2506">
        <f t="shared" si="97"/>
        <v>-0.15774687146416153</v>
      </c>
    </row>
    <row r="2507" spans="1:4">
      <c r="A2507" s="1">
        <v>21907</v>
      </c>
      <c r="B2507">
        <v>58.96</v>
      </c>
      <c r="C2507">
        <f t="shared" si="98"/>
        <v>-3.0436252959080102E-3</v>
      </c>
      <c r="D2507">
        <f t="shared" si="97"/>
        <v>-0.35430929360484842</v>
      </c>
    </row>
    <row r="2508" spans="1:4">
      <c r="A2508" s="1">
        <v>21908</v>
      </c>
      <c r="B2508">
        <v>59</v>
      </c>
      <c r="C2508">
        <f t="shared" si="98"/>
        <v>6.7842605156036545E-4</v>
      </c>
      <c r="D2508">
        <f t="shared" si="97"/>
        <v>3.8738063501086793E-2</v>
      </c>
    </row>
    <row r="2509" spans="1:4">
      <c r="A2509" s="1">
        <v>21912</v>
      </c>
      <c r="B2509">
        <v>58.98</v>
      </c>
      <c r="C2509">
        <f t="shared" si="98"/>
        <v>-3.3898305084751061E-4</v>
      </c>
      <c r="D2509">
        <f t="shared" si="97"/>
        <v>-6.8699991879027783E-2</v>
      </c>
    </row>
    <row r="2510" spans="1:4">
      <c r="A2510" s="1">
        <v>21913</v>
      </c>
      <c r="B2510">
        <v>59.3</v>
      </c>
      <c r="C2510">
        <f t="shared" si="98"/>
        <v>5.4255679891488688E-3</v>
      </c>
      <c r="D2510">
        <f t="shared" si="97"/>
        <v>0.54003463847848576</v>
      </c>
    </row>
    <row r="2511" spans="1:4">
      <c r="A2511" s="1">
        <v>21914</v>
      </c>
      <c r="B2511">
        <v>59.77</v>
      </c>
      <c r="C2511">
        <f t="shared" si="98"/>
        <v>7.9258010118044859E-3</v>
      </c>
      <c r="D2511">
        <f t="shared" si="97"/>
        <v>0.80405839580042149</v>
      </c>
    </row>
    <row r="2512" spans="1:4">
      <c r="A2512" s="1">
        <v>21915</v>
      </c>
      <c r="B2512">
        <v>59.89</v>
      </c>
      <c r="C2512">
        <f t="shared" si="98"/>
        <v>2.0076961686464351E-3</v>
      </c>
      <c r="D2512">
        <f t="shared" si="97"/>
        <v>0.17910853602450913</v>
      </c>
    </row>
    <row r="2513" spans="1:4">
      <c r="A2513" s="1">
        <v>21919</v>
      </c>
      <c r="B2513">
        <v>59.91</v>
      </c>
      <c r="C2513">
        <f t="shared" si="98"/>
        <v>3.3394556687253333E-4</v>
      </c>
      <c r="D2513">
        <f t="shared" si="97"/>
        <v>2.3610414126577993E-3</v>
      </c>
    </row>
    <row r="2514" spans="1:4">
      <c r="A2514" s="1">
        <v>21920</v>
      </c>
      <c r="B2514">
        <v>60.39</v>
      </c>
      <c r="C2514">
        <f t="shared" si="98"/>
        <v>8.0120180270406276E-3</v>
      </c>
      <c r="D2514">
        <f t="shared" si="97"/>
        <v>0.81316288330277064</v>
      </c>
    </row>
    <row r="2515" spans="1:4">
      <c r="A2515" s="1">
        <v>21921</v>
      </c>
      <c r="B2515">
        <v>60.13</v>
      </c>
      <c r="C2515">
        <f t="shared" si="98"/>
        <v>-4.3053485676436166E-3</v>
      </c>
      <c r="D2515">
        <f t="shared" si="97"/>
        <v>-0.48754684221955019</v>
      </c>
    </row>
    <row r="2516" spans="1:4">
      <c r="A2516" s="1">
        <v>21922</v>
      </c>
      <c r="B2516">
        <v>59.69</v>
      </c>
      <c r="C2516">
        <f t="shared" si="98"/>
        <v>-7.317478795942205E-3</v>
      </c>
      <c r="D2516">
        <f t="shared" si="97"/>
        <v>-0.80562677045506914</v>
      </c>
    </row>
    <row r="2517" spans="1:4">
      <c r="A2517" s="1">
        <v>21923</v>
      </c>
      <c r="B2517">
        <v>59.5</v>
      </c>
      <c r="C2517">
        <f t="shared" si="98"/>
        <v>-3.183112749204184E-3</v>
      </c>
      <c r="D2517">
        <f t="shared" si="97"/>
        <v>-0.36903912125883526</v>
      </c>
    </row>
    <row r="2518" spans="1:4">
      <c r="A2518" s="1">
        <v>21926</v>
      </c>
      <c r="B2518">
        <v>58.77</v>
      </c>
      <c r="C2518">
        <f t="shared" si="98"/>
        <v>-1.2268907563025157E-2</v>
      </c>
      <c r="D2518">
        <f t="shared" si="97"/>
        <v>-1.3284959651866146</v>
      </c>
    </row>
    <row r="2519" spans="1:4">
      <c r="A2519" s="1">
        <v>21927</v>
      </c>
      <c r="B2519">
        <v>58.41</v>
      </c>
      <c r="C2519">
        <f t="shared" si="98"/>
        <v>-6.1255742725881664E-3</v>
      </c>
      <c r="D2519">
        <f t="shared" si="97"/>
        <v>-0.67976205793691524</v>
      </c>
    </row>
    <row r="2520" spans="1:4">
      <c r="A2520" s="1">
        <v>21928</v>
      </c>
      <c r="B2520">
        <v>58.08</v>
      </c>
      <c r="C2520">
        <f t="shared" si="98"/>
        <v>-5.6497175141242651E-3</v>
      </c>
      <c r="D2520">
        <f t="shared" si="97"/>
        <v>-0.62951174599469861</v>
      </c>
    </row>
    <row r="2521" spans="1:4">
      <c r="A2521" s="1">
        <v>21929</v>
      </c>
      <c r="B2521">
        <v>58.4</v>
      </c>
      <c r="C2521">
        <f t="shared" si="98"/>
        <v>5.5096418732782423E-3</v>
      </c>
      <c r="D2521">
        <f t="shared" si="97"/>
        <v>0.54891281206444587</v>
      </c>
    </row>
    <row r="2522" spans="1:4">
      <c r="A2522" s="1">
        <v>21930</v>
      </c>
      <c r="B2522">
        <v>58.38</v>
      </c>
      <c r="C2522">
        <f t="shared" si="98"/>
        <v>-3.4246575342458939E-4</v>
      </c>
      <c r="D2522">
        <f t="shared" si="97"/>
        <v>-6.9067764087339195E-2</v>
      </c>
    </row>
    <row r="2523" spans="1:4">
      <c r="A2523" s="1">
        <v>21933</v>
      </c>
      <c r="B2523">
        <v>57.89</v>
      </c>
      <c r="C2523">
        <f t="shared" si="98"/>
        <v>-8.3932853717026724E-3</v>
      </c>
      <c r="D2523">
        <f t="shared" si="97"/>
        <v>-0.91923157917095155</v>
      </c>
    </row>
    <row r="2524" spans="1:4">
      <c r="A2524" s="1">
        <v>21934</v>
      </c>
      <c r="B2524">
        <v>57.27</v>
      </c>
      <c r="C2524">
        <f t="shared" si="98"/>
        <v>-1.0709967179132794E-2</v>
      </c>
      <c r="D2524">
        <f t="shared" si="97"/>
        <v>-1.1638723905571646</v>
      </c>
    </row>
    <row r="2525" spans="1:4">
      <c r="A2525" s="1">
        <v>21935</v>
      </c>
      <c r="B2525">
        <v>57.07</v>
      </c>
      <c r="C2525">
        <f t="shared" si="98"/>
        <v>-3.4922297887201473E-3</v>
      </c>
      <c r="D2525">
        <f t="shared" si="97"/>
        <v>-0.40168177555773399</v>
      </c>
    </row>
    <row r="2526" spans="1:4">
      <c r="A2526" s="1">
        <v>21936</v>
      </c>
      <c r="B2526">
        <v>57.21</v>
      </c>
      <c r="C2526">
        <f t="shared" si="98"/>
        <v>2.4531277378657887E-3</v>
      </c>
      <c r="D2526">
        <f t="shared" si="97"/>
        <v>0.22614595832452589</v>
      </c>
    </row>
    <row r="2527" spans="1:4">
      <c r="A2527" s="1">
        <v>21937</v>
      </c>
      <c r="B2527">
        <v>57.38</v>
      </c>
      <c r="C2527">
        <f t="shared" si="98"/>
        <v>2.9715084775389215E-3</v>
      </c>
      <c r="D2527">
        <f t="shared" si="97"/>
        <v>0.28088678822783386</v>
      </c>
    </row>
    <row r="2528" spans="1:4">
      <c r="A2528" s="1">
        <v>21940</v>
      </c>
      <c r="B2528">
        <v>56.78</v>
      </c>
      <c r="C2528">
        <f t="shared" si="98"/>
        <v>-1.0456605088881167E-2</v>
      </c>
      <c r="D2528">
        <f t="shared" si="97"/>
        <v>-1.1371174399485515</v>
      </c>
    </row>
    <row r="2529" spans="1:4">
      <c r="A2529" s="1">
        <v>21941</v>
      </c>
      <c r="B2529">
        <v>56.86</v>
      </c>
      <c r="C2529">
        <f t="shared" si="98"/>
        <v>1.4089468122578071E-3</v>
      </c>
      <c r="D2529">
        <f t="shared" si="97"/>
        <v>0.11588080751466502</v>
      </c>
    </row>
    <row r="2530" spans="1:4">
      <c r="A2530" s="1">
        <v>21942</v>
      </c>
      <c r="B2530">
        <v>56.72</v>
      </c>
      <c r="C2530">
        <f t="shared" si="98"/>
        <v>-2.4621878297573087E-3</v>
      </c>
      <c r="D2530">
        <f t="shared" si="97"/>
        <v>-0.29290969481953194</v>
      </c>
    </row>
    <row r="2531" spans="1:4">
      <c r="A2531" s="1">
        <v>21943</v>
      </c>
      <c r="B2531">
        <v>56.13</v>
      </c>
      <c r="C2531">
        <f t="shared" si="98"/>
        <v>-1.0401974612129695E-2</v>
      </c>
      <c r="D2531">
        <f t="shared" si="97"/>
        <v>-1.1313484801733975</v>
      </c>
    </row>
    <row r="2532" spans="1:4">
      <c r="A2532" s="1">
        <v>21944</v>
      </c>
      <c r="B2532">
        <v>55.61</v>
      </c>
      <c r="C2532">
        <f t="shared" si="98"/>
        <v>-9.2642080883663484E-3</v>
      </c>
      <c r="D2532">
        <f t="shared" si="97"/>
        <v>-1.0112007220096204</v>
      </c>
    </row>
    <row r="2533" spans="1:4">
      <c r="A2533" s="1">
        <v>21947</v>
      </c>
      <c r="B2533">
        <v>55.96</v>
      </c>
      <c r="C2533">
        <f t="shared" si="98"/>
        <v>6.2938320445963215E-3</v>
      </c>
      <c r="D2533">
        <f t="shared" si="97"/>
        <v>0.63172302759644439</v>
      </c>
    </row>
    <row r="2534" spans="1:4">
      <c r="A2534" s="1">
        <v>21948</v>
      </c>
      <c r="B2534">
        <v>56.82</v>
      </c>
      <c r="C2534">
        <f t="shared" si="98"/>
        <v>1.5368120085775544E-2</v>
      </c>
      <c r="D2534">
        <f t="shared" si="97"/>
        <v>1.589964760244597</v>
      </c>
    </row>
    <row r="2535" spans="1:4">
      <c r="A2535" s="1">
        <v>21949</v>
      </c>
      <c r="B2535">
        <v>56.32</v>
      </c>
      <c r="C2535">
        <f t="shared" si="98"/>
        <v>-8.7997184090109117E-3</v>
      </c>
      <c r="D2535">
        <f t="shared" si="97"/>
        <v>-0.96215076975739977</v>
      </c>
    </row>
    <row r="2536" spans="1:4">
      <c r="A2536" s="1">
        <v>21950</v>
      </c>
      <c r="B2536">
        <v>56.27</v>
      </c>
      <c r="C2536">
        <f t="shared" si="98"/>
        <v>-8.8778409090904046E-4</v>
      </c>
      <c r="D2536">
        <f t="shared" si="97"/>
        <v>-0.12665319516298801</v>
      </c>
    </row>
    <row r="2537" spans="1:4">
      <c r="A2537" s="1">
        <v>21951</v>
      </c>
      <c r="B2537">
        <v>55.98</v>
      </c>
      <c r="C2537">
        <f t="shared" si="98"/>
        <v>-5.153723120668318E-3</v>
      </c>
      <c r="D2537">
        <f t="shared" si="97"/>
        <v>-0.57713490664243661</v>
      </c>
    </row>
    <row r="2538" spans="1:4">
      <c r="A2538" s="1">
        <v>21954</v>
      </c>
      <c r="B2538">
        <v>55.32</v>
      </c>
      <c r="C2538">
        <f t="shared" si="98"/>
        <v>-1.1789924973204656E-2</v>
      </c>
      <c r="D2538">
        <f t="shared" si="97"/>
        <v>-1.2779155665156627</v>
      </c>
    </row>
    <row r="2539" spans="1:4">
      <c r="A2539" s="1">
        <v>21955</v>
      </c>
      <c r="B2539">
        <v>55.84</v>
      </c>
      <c r="C2539">
        <f t="shared" si="98"/>
        <v>9.3998553868402581E-3</v>
      </c>
      <c r="D2539">
        <f t="shared" si="97"/>
        <v>0.95971803674877199</v>
      </c>
    </row>
    <row r="2540" spans="1:4">
      <c r="A2540" s="1">
        <v>21956</v>
      </c>
      <c r="B2540">
        <v>55.49</v>
      </c>
      <c r="C2540">
        <f t="shared" si="98"/>
        <v>-6.2679083094556122E-3</v>
      </c>
      <c r="D2540">
        <f t="shared" si="97"/>
        <v>-0.69479248384842762</v>
      </c>
    </row>
    <row r="2541" spans="1:4">
      <c r="A2541" s="1">
        <v>21957</v>
      </c>
      <c r="B2541">
        <v>55.18</v>
      </c>
      <c r="C2541">
        <f t="shared" si="98"/>
        <v>-5.5865921787709907E-3</v>
      </c>
      <c r="D2541">
        <f t="shared" si="97"/>
        <v>-0.62284573203873683</v>
      </c>
    </row>
    <row r="2542" spans="1:4">
      <c r="A2542" s="1">
        <v>21958</v>
      </c>
      <c r="B2542">
        <v>55.46</v>
      </c>
      <c r="C2542">
        <f t="shared" si="98"/>
        <v>5.0743022834360482E-3</v>
      </c>
      <c r="D2542">
        <f t="shared" si="97"/>
        <v>0.50294109935622666</v>
      </c>
    </row>
    <row r="2543" spans="1:4">
      <c r="A2543" s="1">
        <v>21961</v>
      </c>
      <c r="B2543">
        <v>55.17</v>
      </c>
      <c r="C2543">
        <f t="shared" si="98"/>
        <v>-5.2289938694554481E-3</v>
      </c>
      <c r="D2543">
        <f t="shared" si="97"/>
        <v>-0.58508347212858691</v>
      </c>
    </row>
    <row r="2544" spans="1:4">
      <c r="A2544" s="1">
        <v>21962</v>
      </c>
      <c r="B2544">
        <v>54.73</v>
      </c>
      <c r="C2544">
        <f t="shared" si="98"/>
        <v>-7.9753489215154041E-3</v>
      </c>
      <c r="D2544">
        <f t="shared" si="97"/>
        <v>-0.87509763209467795</v>
      </c>
    </row>
    <row r="2545" spans="1:4">
      <c r="A2545" s="1">
        <v>21963</v>
      </c>
      <c r="B2545">
        <v>55.03</v>
      </c>
      <c r="C2545">
        <f t="shared" si="98"/>
        <v>5.4814544125708804E-3</v>
      </c>
      <c r="D2545">
        <f t="shared" si="97"/>
        <v>0.5459362257951319</v>
      </c>
    </row>
    <row r="2546" spans="1:4">
      <c r="A2546" s="1">
        <v>21964</v>
      </c>
      <c r="B2546">
        <v>55.8</v>
      </c>
      <c r="C2546">
        <f t="shared" si="98"/>
        <v>1.3992367799382083E-2</v>
      </c>
      <c r="D2546">
        <f t="shared" si="97"/>
        <v>1.4446857864423712</v>
      </c>
    </row>
    <row r="2547" spans="1:4">
      <c r="A2547" s="1">
        <v>21965</v>
      </c>
      <c r="B2547">
        <v>56.24</v>
      </c>
      <c r="C2547">
        <f t="shared" si="98"/>
        <v>7.8853046594982955E-3</v>
      </c>
      <c r="D2547">
        <f t="shared" si="97"/>
        <v>0.79978199476226675</v>
      </c>
    </row>
    <row r="2548" spans="1:4">
      <c r="A2548" s="1">
        <v>21969</v>
      </c>
      <c r="B2548">
        <v>55.94</v>
      </c>
      <c r="C2548">
        <f t="shared" si="98"/>
        <v>-5.3342816500711997E-3</v>
      </c>
      <c r="D2548">
        <f t="shared" si="97"/>
        <v>-0.59620182597255467</v>
      </c>
    </row>
    <row r="2549" spans="1:4">
      <c r="A2549" s="1">
        <v>21970</v>
      </c>
      <c r="B2549">
        <v>55.74</v>
      </c>
      <c r="C2549">
        <f t="shared" si="98"/>
        <v>-3.5752592062923802E-3</v>
      </c>
      <c r="D2549">
        <f t="shared" si="97"/>
        <v>-0.41044965383029142</v>
      </c>
    </row>
    <row r="2550" spans="1:4">
      <c r="A2550" s="1">
        <v>21971</v>
      </c>
      <c r="B2550">
        <v>55.93</v>
      </c>
      <c r="C2550">
        <f t="shared" si="98"/>
        <v>3.4086831718693525E-3</v>
      </c>
      <c r="D2550">
        <f t="shared" si="97"/>
        <v>0.32705228734622854</v>
      </c>
    </row>
    <row r="2551" spans="1:4">
      <c r="A2551" s="1">
        <v>21972</v>
      </c>
      <c r="B2551">
        <v>56.16</v>
      </c>
      <c r="C2551">
        <f t="shared" si="98"/>
        <v>4.112283211156747E-3</v>
      </c>
      <c r="D2551">
        <f t="shared" si="97"/>
        <v>0.40135221232970364</v>
      </c>
    </row>
    <row r="2552" spans="1:4">
      <c r="A2552" s="1">
        <v>21975</v>
      </c>
      <c r="B2552">
        <v>56.12</v>
      </c>
      <c r="C2552">
        <f t="shared" si="98"/>
        <v>-7.1225071225069711E-4</v>
      </c>
      <c r="D2552">
        <f t="shared" si="97"/>
        <v>-0.10811693004336141</v>
      </c>
    </row>
    <row r="2553" spans="1:4">
      <c r="A2553" s="1">
        <v>21976</v>
      </c>
      <c r="B2553">
        <v>56.01</v>
      </c>
      <c r="C2553">
        <f t="shared" si="98"/>
        <v>-1.9600855310049794E-3</v>
      </c>
      <c r="D2553">
        <f t="shared" si="97"/>
        <v>-0.23988786274414986</v>
      </c>
    </row>
    <row r="2554" spans="1:4">
      <c r="A2554" s="1">
        <v>21977</v>
      </c>
      <c r="B2554">
        <v>55.62</v>
      </c>
      <c r="C2554">
        <f t="shared" si="98"/>
        <v>-6.963042313872533E-3</v>
      </c>
      <c r="D2554">
        <f t="shared" si="97"/>
        <v>-0.76819839842732573</v>
      </c>
    </row>
    <row r="2555" spans="1:4">
      <c r="A2555" s="1">
        <v>21978</v>
      </c>
      <c r="B2555">
        <v>54.78</v>
      </c>
      <c r="C2555">
        <f t="shared" si="98"/>
        <v>-1.5102481121898532E-2</v>
      </c>
      <c r="D2555">
        <f t="shared" si="97"/>
        <v>-1.6277203698251919</v>
      </c>
    </row>
    <row r="2556" spans="1:4">
      <c r="A2556" s="1">
        <v>21979</v>
      </c>
      <c r="B2556">
        <v>54.57</v>
      </c>
      <c r="C2556">
        <f t="shared" si="98"/>
        <v>-3.8335158817086683E-3</v>
      </c>
      <c r="D2556">
        <f t="shared" si="97"/>
        <v>-0.43772147096854219</v>
      </c>
    </row>
    <row r="2557" spans="1:4">
      <c r="A2557" s="1">
        <v>21982</v>
      </c>
      <c r="B2557">
        <v>54.02</v>
      </c>
      <c r="C2557">
        <f t="shared" si="98"/>
        <v>-1.0078797874289851E-2</v>
      </c>
      <c r="D2557">
        <f t="shared" si="97"/>
        <v>-1.0972211265106206</v>
      </c>
    </row>
    <row r="2558" spans="1:4">
      <c r="A2558" s="1">
        <v>21983</v>
      </c>
      <c r="B2558">
        <v>53.47</v>
      </c>
      <c r="C2558">
        <f t="shared" si="98"/>
        <v>-1.018141429100341E-2</v>
      </c>
      <c r="D2558">
        <f t="shared" si="97"/>
        <v>-1.1080573852345577</v>
      </c>
    </row>
    <row r="2559" spans="1:4">
      <c r="A2559" s="1">
        <v>21984</v>
      </c>
      <c r="B2559">
        <v>54.04</v>
      </c>
      <c r="C2559">
        <f t="shared" si="98"/>
        <v>1.0660183280344123E-2</v>
      </c>
      <c r="D2559">
        <f t="shared" si="97"/>
        <v>1.0928082338965139</v>
      </c>
    </row>
    <row r="2560" spans="1:4">
      <c r="A2560" s="1">
        <v>21985</v>
      </c>
      <c r="B2560">
        <v>53.83</v>
      </c>
      <c r="C2560">
        <f t="shared" si="98"/>
        <v>-3.8860103626943165E-3</v>
      </c>
      <c r="D2560">
        <f t="shared" si="97"/>
        <v>-0.44326487031688561</v>
      </c>
    </row>
    <row r="2561" spans="1:4">
      <c r="A2561" s="1">
        <v>21986</v>
      </c>
      <c r="B2561">
        <v>54.24</v>
      </c>
      <c r="C2561">
        <f t="shared" si="98"/>
        <v>7.6165706854914306E-3</v>
      </c>
      <c r="D2561">
        <f t="shared" si="97"/>
        <v>0.77140377845425789</v>
      </c>
    </row>
    <row r="2562" spans="1:4">
      <c r="A2562" s="1">
        <v>21989</v>
      </c>
      <c r="B2562">
        <v>54.32</v>
      </c>
      <c r="C2562">
        <f t="shared" si="98"/>
        <v>1.4749262536872842E-3</v>
      </c>
      <c r="D2562">
        <f t="shared" si="97"/>
        <v>0.12284821410211597</v>
      </c>
    </row>
    <row r="2563" spans="1:4">
      <c r="A2563" s="1">
        <v>21990</v>
      </c>
      <c r="B2563">
        <v>54.74</v>
      </c>
      <c r="C2563">
        <f t="shared" si="98"/>
        <v>7.7319587628866294E-3</v>
      </c>
      <c r="D2563">
        <f t="shared" ref="D2563:D2626" si="99">(C2563-avg)/sd</f>
        <v>0.78358872020487769</v>
      </c>
    </row>
    <row r="2564" spans="1:4">
      <c r="A2564" s="1">
        <v>21991</v>
      </c>
      <c r="B2564">
        <v>55.04</v>
      </c>
      <c r="C2564">
        <f t="shared" ref="C2564:C2627" si="100">(B2564-B2563)/B2563</f>
        <v>5.4804530507854797E-3</v>
      </c>
      <c r="D2564">
        <f t="shared" si="99"/>
        <v>0.54583048233097298</v>
      </c>
    </row>
    <row r="2565" spans="1:4">
      <c r="A2565" s="1">
        <v>21992</v>
      </c>
      <c r="B2565">
        <v>54.96</v>
      </c>
      <c r="C2565">
        <f t="shared" si="100"/>
        <v>-1.4534883720929922E-3</v>
      </c>
      <c r="D2565">
        <f t="shared" si="99"/>
        <v>-0.18639137496378513</v>
      </c>
    </row>
    <row r="2566" spans="1:4">
      <c r="A2566" s="1">
        <v>21993</v>
      </c>
      <c r="B2566">
        <v>55.01</v>
      </c>
      <c r="C2566">
        <f t="shared" si="100"/>
        <v>9.0975254730708073E-4</v>
      </c>
      <c r="D2566">
        <f t="shared" si="99"/>
        <v>6.3166062820243507E-2</v>
      </c>
    </row>
    <row r="2567" spans="1:4">
      <c r="A2567" s="1">
        <v>21996</v>
      </c>
      <c r="B2567">
        <v>55.07</v>
      </c>
      <c r="C2567">
        <f t="shared" si="100"/>
        <v>1.0907107798582489E-3</v>
      </c>
      <c r="D2567">
        <f t="shared" si="99"/>
        <v>8.2275190666954975E-2</v>
      </c>
    </row>
    <row r="2568" spans="1:4">
      <c r="A2568" s="1">
        <v>21997</v>
      </c>
      <c r="B2568">
        <v>55.29</v>
      </c>
      <c r="C2568">
        <f t="shared" si="100"/>
        <v>3.9949155620119638E-3</v>
      </c>
      <c r="D2568">
        <f t="shared" si="99"/>
        <v>0.38895822847521688</v>
      </c>
    </row>
    <row r="2569" spans="1:4">
      <c r="A2569" s="1">
        <v>21998</v>
      </c>
      <c r="B2569">
        <v>55.74</v>
      </c>
      <c r="C2569">
        <f t="shared" si="100"/>
        <v>8.1389039609333132E-3</v>
      </c>
      <c r="D2569">
        <f t="shared" si="99"/>
        <v>0.82656199479121373</v>
      </c>
    </row>
    <row r="2570" spans="1:4">
      <c r="A2570" s="1">
        <v>21999</v>
      </c>
      <c r="B2570">
        <v>55.98</v>
      </c>
      <c r="C2570">
        <f t="shared" si="100"/>
        <v>4.3057050592033522E-3</v>
      </c>
      <c r="D2570">
        <f t="shared" si="99"/>
        <v>0.42177749373614443</v>
      </c>
    </row>
    <row r="2571" spans="1:4">
      <c r="A2571" s="1">
        <v>22000</v>
      </c>
      <c r="B2571">
        <v>55.98</v>
      </c>
      <c r="C2571">
        <f t="shared" si="100"/>
        <v>0</v>
      </c>
      <c r="D2571">
        <f t="shared" si="99"/>
        <v>-3.29034969354682E-2</v>
      </c>
    </row>
    <row r="2572" spans="1:4">
      <c r="A2572" s="1">
        <v>22003</v>
      </c>
      <c r="B2572">
        <v>55.86</v>
      </c>
      <c r="C2572">
        <f t="shared" si="100"/>
        <v>-2.1436227224008119E-3</v>
      </c>
      <c r="D2572">
        <f t="shared" si="99"/>
        <v>-0.25926932776822714</v>
      </c>
    </row>
    <row r="2573" spans="1:4">
      <c r="A2573" s="1">
        <v>22004</v>
      </c>
      <c r="B2573">
        <v>55.78</v>
      </c>
      <c r="C2573">
        <f t="shared" si="100"/>
        <v>-1.4321518080916272E-3</v>
      </c>
      <c r="D2573">
        <f t="shared" si="99"/>
        <v>-0.18413824105789148</v>
      </c>
    </row>
    <row r="2574" spans="1:4">
      <c r="A2574" s="1">
        <v>22005</v>
      </c>
      <c r="B2574">
        <v>55.66</v>
      </c>
      <c r="C2574">
        <f t="shared" si="100"/>
        <v>-2.1513087128003684E-3</v>
      </c>
      <c r="D2574">
        <f t="shared" si="99"/>
        <v>-0.26008096574182527</v>
      </c>
    </row>
    <row r="2575" spans="1:4">
      <c r="A2575" s="1">
        <v>22006</v>
      </c>
      <c r="B2575">
        <v>55.34</v>
      </c>
      <c r="C2575">
        <f t="shared" si="100"/>
        <v>-5.7491915199423859E-3</v>
      </c>
      <c r="D2575">
        <f t="shared" si="99"/>
        <v>-0.64001616719623466</v>
      </c>
    </row>
    <row r="2576" spans="1:4">
      <c r="A2576" s="1">
        <v>22007</v>
      </c>
      <c r="B2576">
        <v>55.43</v>
      </c>
      <c r="C2576">
        <f t="shared" si="100"/>
        <v>1.6263100831224485E-3</v>
      </c>
      <c r="D2576">
        <f t="shared" si="99"/>
        <v>0.13883429503260547</v>
      </c>
    </row>
    <row r="2577" spans="1:4">
      <c r="A2577" s="1">
        <v>22010</v>
      </c>
      <c r="B2577">
        <v>55.54</v>
      </c>
      <c r="C2577">
        <f t="shared" si="100"/>
        <v>1.9844849359552485E-3</v>
      </c>
      <c r="D2577">
        <f t="shared" si="99"/>
        <v>0.17665743774220119</v>
      </c>
    </row>
    <row r="2578" spans="1:4">
      <c r="A2578" s="1">
        <v>22011</v>
      </c>
      <c r="B2578">
        <v>55.37</v>
      </c>
      <c r="C2578">
        <f t="shared" si="100"/>
        <v>-3.0608570399712227E-3</v>
      </c>
      <c r="D2578">
        <f t="shared" si="99"/>
        <v>-0.35612895992056925</v>
      </c>
    </row>
    <row r="2579" spans="1:4">
      <c r="A2579" s="1">
        <v>22012</v>
      </c>
      <c r="B2579">
        <v>56.51</v>
      </c>
      <c r="C2579">
        <f t="shared" si="100"/>
        <v>2.0588766480043357E-2</v>
      </c>
      <c r="D2579">
        <f t="shared" si="99"/>
        <v>2.1412632448953457</v>
      </c>
    </row>
    <row r="2580" spans="1:4">
      <c r="A2580" s="1">
        <v>22013</v>
      </c>
      <c r="B2580">
        <v>56.52</v>
      </c>
      <c r="C2580">
        <f t="shared" si="100"/>
        <v>1.7695983011865361E-4</v>
      </c>
      <c r="D2580">
        <f t="shared" si="99"/>
        <v>-1.4216599026507248E-2</v>
      </c>
    </row>
    <row r="2581" spans="1:4">
      <c r="A2581" s="1">
        <v>22014</v>
      </c>
      <c r="B2581">
        <v>56.39</v>
      </c>
      <c r="C2581">
        <f t="shared" si="100"/>
        <v>-2.3000707714083963E-3</v>
      </c>
      <c r="D2581">
        <f t="shared" si="99"/>
        <v>-0.27579018856415238</v>
      </c>
    </row>
    <row r="2582" spans="1:4">
      <c r="A2582" s="1">
        <v>22017</v>
      </c>
      <c r="B2582">
        <v>56.17</v>
      </c>
      <c r="C2582">
        <f t="shared" si="100"/>
        <v>-3.9014009576165787E-3</v>
      </c>
      <c r="D2582">
        <f t="shared" si="99"/>
        <v>-0.44489011190915906</v>
      </c>
    </row>
    <row r="2583" spans="1:4">
      <c r="A2583" s="1">
        <v>22018</v>
      </c>
      <c r="B2583">
        <v>56.3</v>
      </c>
      <c r="C2583">
        <f t="shared" si="100"/>
        <v>2.3144027060707753E-3</v>
      </c>
      <c r="D2583">
        <f t="shared" si="99"/>
        <v>0.21149664212190192</v>
      </c>
    </row>
    <row r="2584" spans="1:4">
      <c r="A2584" s="1">
        <v>22019</v>
      </c>
      <c r="B2584">
        <v>56.3</v>
      </c>
      <c r="C2584">
        <f t="shared" si="100"/>
        <v>0</v>
      </c>
      <c r="D2584">
        <f t="shared" si="99"/>
        <v>-3.29034969354682E-2</v>
      </c>
    </row>
    <row r="2585" spans="1:4">
      <c r="A2585" s="1">
        <v>22020</v>
      </c>
      <c r="B2585">
        <v>56.43</v>
      </c>
      <c r="C2585">
        <f t="shared" si="100"/>
        <v>2.309058614564877E-3</v>
      </c>
      <c r="D2585">
        <f t="shared" si="99"/>
        <v>0.21093230787542402</v>
      </c>
    </row>
    <row r="2586" spans="1:4">
      <c r="A2586" s="1">
        <v>22024</v>
      </c>
      <c r="B2586">
        <v>56.59</v>
      </c>
      <c r="C2586">
        <f t="shared" si="100"/>
        <v>2.8353712564239534E-3</v>
      </c>
      <c r="D2586">
        <f t="shared" si="99"/>
        <v>0.26651074395338309</v>
      </c>
    </row>
    <row r="2587" spans="1:4">
      <c r="A2587" s="1">
        <v>22025</v>
      </c>
      <c r="B2587">
        <v>56.13</v>
      </c>
      <c r="C2587">
        <f t="shared" si="100"/>
        <v>-8.1286446368616511E-3</v>
      </c>
      <c r="D2587">
        <f t="shared" si="99"/>
        <v>-0.89128560752749619</v>
      </c>
    </row>
    <row r="2588" spans="1:4">
      <c r="A2588" s="1">
        <v>22026</v>
      </c>
      <c r="B2588">
        <v>55.44</v>
      </c>
      <c r="C2588">
        <f t="shared" si="100"/>
        <v>-1.2292891501870743E-2</v>
      </c>
      <c r="D2588">
        <f t="shared" si="99"/>
        <v>-1.3310286609761715</v>
      </c>
    </row>
    <row r="2589" spans="1:4">
      <c r="A2589" s="1">
        <v>22027</v>
      </c>
      <c r="B2589">
        <v>55.59</v>
      </c>
      <c r="C2589">
        <f t="shared" si="100"/>
        <v>2.7056277056278083E-3</v>
      </c>
      <c r="D2589">
        <f t="shared" si="99"/>
        <v>0.25280986909128589</v>
      </c>
    </row>
    <row r="2590" spans="1:4">
      <c r="A2590" s="1">
        <v>22028</v>
      </c>
      <c r="B2590">
        <v>55.42</v>
      </c>
      <c r="C2590">
        <f t="shared" si="100"/>
        <v>-3.0581039755351986E-3</v>
      </c>
      <c r="D2590">
        <f t="shared" si="99"/>
        <v>-0.3558382372519372</v>
      </c>
    </row>
    <row r="2591" spans="1:4">
      <c r="A2591" s="1">
        <v>22031</v>
      </c>
      <c r="B2591">
        <v>54.86</v>
      </c>
      <c r="C2591">
        <f t="shared" si="100"/>
        <v>-1.0104655359076186E-2</v>
      </c>
      <c r="D2591">
        <f t="shared" si="99"/>
        <v>-1.0999516681146715</v>
      </c>
    </row>
    <row r="2592" spans="1:4">
      <c r="A2592" s="1">
        <v>22032</v>
      </c>
      <c r="B2592">
        <v>55.04</v>
      </c>
      <c r="C2592">
        <f t="shared" si="100"/>
        <v>3.2810791104629917E-3</v>
      </c>
      <c r="D2592">
        <f t="shared" si="99"/>
        <v>0.31357734183644481</v>
      </c>
    </row>
    <row r="2593" spans="1:4">
      <c r="A2593" s="1">
        <v>22033</v>
      </c>
      <c r="B2593">
        <v>55.04</v>
      </c>
      <c r="C2593">
        <f t="shared" si="100"/>
        <v>0</v>
      </c>
      <c r="D2593">
        <f t="shared" si="99"/>
        <v>-3.29034969354682E-2</v>
      </c>
    </row>
    <row r="2594" spans="1:4">
      <c r="A2594" s="1">
        <v>22034</v>
      </c>
      <c r="B2594">
        <v>54.56</v>
      </c>
      <c r="C2594">
        <f t="shared" si="100"/>
        <v>-8.7209302325580822E-3</v>
      </c>
      <c r="D2594">
        <f t="shared" si="99"/>
        <v>-0.95383076510538334</v>
      </c>
    </row>
    <row r="2595" spans="1:4">
      <c r="A2595" s="1">
        <v>22035</v>
      </c>
      <c r="B2595">
        <v>54.37</v>
      </c>
      <c r="C2595">
        <f t="shared" si="100"/>
        <v>-3.4824046920821999E-3</v>
      </c>
      <c r="D2595">
        <f t="shared" si="99"/>
        <v>-0.40064424869247933</v>
      </c>
    </row>
    <row r="2596" spans="1:4">
      <c r="A2596" s="1">
        <v>22038</v>
      </c>
      <c r="B2596">
        <v>54.13</v>
      </c>
      <c r="C2596">
        <f t="shared" si="100"/>
        <v>-4.41419900680513E-3</v>
      </c>
      <c r="D2596">
        <f t="shared" si="99"/>
        <v>-0.49904141159494397</v>
      </c>
    </row>
    <row r="2597" spans="1:4">
      <c r="A2597" s="1">
        <v>22039</v>
      </c>
      <c r="B2597">
        <v>54.83</v>
      </c>
      <c r="C2597">
        <f t="shared" si="100"/>
        <v>1.2931830777757171E-2</v>
      </c>
      <c r="D2597">
        <f t="shared" si="99"/>
        <v>1.3326934374528296</v>
      </c>
    </row>
    <row r="2598" spans="1:4">
      <c r="A2598" s="1">
        <v>22040</v>
      </c>
      <c r="B2598">
        <v>55.04</v>
      </c>
      <c r="C2598">
        <f t="shared" si="100"/>
        <v>3.8300200620098642E-3</v>
      </c>
      <c r="D2598">
        <f t="shared" si="99"/>
        <v>0.37154531972569893</v>
      </c>
    </row>
    <row r="2599" spans="1:4">
      <c r="A2599" s="1">
        <v>22041</v>
      </c>
      <c r="B2599">
        <v>54.86</v>
      </c>
      <c r="C2599">
        <f t="shared" si="100"/>
        <v>-3.2703488372092973E-3</v>
      </c>
      <c r="D2599">
        <f t="shared" si="99"/>
        <v>-0.37825122249918813</v>
      </c>
    </row>
    <row r="2600" spans="1:4">
      <c r="A2600" s="1">
        <v>22042</v>
      </c>
      <c r="B2600">
        <v>54.75</v>
      </c>
      <c r="C2600">
        <f t="shared" si="100"/>
        <v>-2.0051039008384878E-3</v>
      </c>
      <c r="D2600">
        <f t="shared" si="99"/>
        <v>-0.24464178729608094</v>
      </c>
    </row>
    <row r="2601" spans="1:4">
      <c r="A2601" s="1">
        <v>22045</v>
      </c>
      <c r="B2601">
        <v>54.8</v>
      </c>
      <c r="C2601">
        <f t="shared" si="100"/>
        <v>9.1324200913236813E-4</v>
      </c>
      <c r="D2601">
        <f t="shared" si="99"/>
        <v>6.3534548802868157E-2</v>
      </c>
    </row>
    <row r="2602" spans="1:4">
      <c r="A2602" s="1">
        <v>22046</v>
      </c>
      <c r="B2602">
        <v>54.42</v>
      </c>
      <c r="C2602">
        <f t="shared" si="100"/>
        <v>-6.9343065693429828E-3</v>
      </c>
      <c r="D2602">
        <f t="shared" si="99"/>
        <v>-0.76516391357275937</v>
      </c>
    </row>
    <row r="2603" spans="1:4">
      <c r="A2603" s="1">
        <v>22047</v>
      </c>
      <c r="B2603">
        <v>54.57</v>
      </c>
      <c r="C2603">
        <f t="shared" si="100"/>
        <v>2.7563395810363575E-3</v>
      </c>
      <c r="D2603">
        <f t="shared" si="99"/>
        <v>0.25816502589662471</v>
      </c>
    </row>
    <row r="2604" spans="1:4">
      <c r="A2604" s="1">
        <v>22048</v>
      </c>
      <c r="B2604">
        <v>54.85</v>
      </c>
      <c r="C2604">
        <f t="shared" si="100"/>
        <v>5.1310243723657898E-3</v>
      </c>
      <c r="D2604">
        <f t="shared" si="99"/>
        <v>0.50893093266643252</v>
      </c>
    </row>
    <row r="2605" spans="1:4">
      <c r="A2605" s="1">
        <v>22049</v>
      </c>
      <c r="B2605">
        <v>55.3</v>
      </c>
      <c r="C2605">
        <f t="shared" si="100"/>
        <v>8.2041932543299133E-3</v>
      </c>
      <c r="D2605">
        <f t="shared" si="99"/>
        <v>0.83345652198098563</v>
      </c>
    </row>
    <row r="2606" spans="1:4">
      <c r="A2606" s="1">
        <v>22052</v>
      </c>
      <c r="B2606">
        <v>55.25</v>
      </c>
      <c r="C2606">
        <f t="shared" si="100"/>
        <v>-9.0415913200718196E-4</v>
      </c>
      <c r="D2606">
        <f t="shared" si="99"/>
        <v>-0.12838239393680481</v>
      </c>
    </row>
    <row r="2607" spans="1:4">
      <c r="A2607" s="1">
        <v>22053</v>
      </c>
      <c r="B2607">
        <v>55.46</v>
      </c>
      <c r="C2607">
        <f t="shared" si="100"/>
        <v>3.800904977375581E-3</v>
      </c>
      <c r="D2607">
        <f t="shared" si="99"/>
        <v>0.36847077668501677</v>
      </c>
    </row>
    <row r="2608" spans="1:4">
      <c r="A2608" s="1">
        <v>22054</v>
      </c>
      <c r="B2608">
        <v>55.44</v>
      </c>
      <c r="C2608">
        <f t="shared" si="100"/>
        <v>-3.6062026685905382E-4</v>
      </c>
      <c r="D2608">
        <f t="shared" si="99"/>
        <v>-7.0984874534999673E-2</v>
      </c>
    </row>
    <row r="2609" spans="1:4">
      <c r="A2609" s="1">
        <v>22055</v>
      </c>
      <c r="B2609">
        <v>55.68</v>
      </c>
      <c r="C2609">
        <f t="shared" si="100"/>
        <v>4.3290043290043654E-3</v>
      </c>
      <c r="D2609">
        <f t="shared" si="99"/>
        <v>0.42423788870732482</v>
      </c>
    </row>
    <row r="2610" spans="1:4">
      <c r="A2610" s="1">
        <v>22056</v>
      </c>
      <c r="B2610">
        <v>55.73</v>
      </c>
      <c r="C2610">
        <f t="shared" si="100"/>
        <v>8.9798850574707536E-4</v>
      </c>
      <c r="D2610">
        <f t="shared" si="99"/>
        <v>6.1923784030298946E-2</v>
      </c>
    </row>
    <row r="2611" spans="1:4">
      <c r="A2611" s="1">
        <v>22059</v>
      </c>
      <c r="B2611">
        <v>55.76</v>
      </c>
      <c r="C2611">
        <f t="shared" si="100"/>
        <v>5.3830970751841273E-4</v>
      </c>
      <c r="D2611">
        <f t="shared" si="99"/>
        <v>2.3941825198116041E-2</v>
      </c>
    </row>
    <row r="2612" spans="1:4">
      <c r="A2612" s="1">
        <v>22060</v>
      </c>
      <c r="B2612">
        <v>55.7</v>
      </c>
      <c r="C2612">
        <f t="shared" si="100"/>
        <v>-1.076040172166341E-3</v>
      </c>
      <c r="D2612">
        <f t="shared" si="99"/>
        <v>-0.14653297335240772</v>
      </c>
    </row>
    <row r="2613" spans="1:4">
      <c r="A2613" s="1">
        <v>22061</v>
      </c>
      <c r="B2613">
        <v>55.67</v>
      </c>
      <c r="C2613">
        <f t="shared" si="100"/>
        <v>-5.3859964093359305E-4</v>
      </c>
      <c r="D2613">
        <f t="shared" si="99"/>
        <v>-8.9779435939142324E-2</v>
      </c>
    </row>
    <row r="2614" spans="1:4">
      <c r="A2614" s="1">
        <v>22062</v>
      </c>
      <c r="B2614">
        <v>55.71</v>
      </c>
      <c r="C2614">
        <f t="shared" si="100"/>
        <v>7.1851984911081631E-4</v>
      </c>
      <c r="D2614">
        <f t="shared" si="99"/>
        <v>4.2971954893870436E-2</v>
      </c>
    </row>
    <row r="2615" spans="1:4">
      <c r="A2615" s="1">
        <v>22063</v>
      </c>
      <c r="B2615">
        <v>55.74</v>
      </c>
      <c r="C2615">
        <f t="shared" si="100"/>
        <v>5.3850296176631009E-4</v>
      </c>
      <c r="D2615">
        <f t="shared" si="99"/>
        <v>2.3962232781003696E-2</v>
      </c>
    </row>
    <row r="2616" spans="1:4">
      <c r="A2616" s="1">
        <v>22067</v>
      </c>
      <c r="B2616">
        <v>55.83</v>
      </c>
      <c r="C2616">
        <f t="shared" si="100"/>
        <v>1.6146393972012254E-3</v>
      </c>
      <c r="D2616">
        <f t="shared" si="99"/>
        <v>0.1376018745663832</v>
      </c>
    </row>
    <row r="2617" spans="1:4">
      <c r="A2617" s="1">
        <v>22068</v>
      </c>
      <c r="B2617">
        <v>55.89</v>
      </c>
      <c r="C2617">
        <f t="shared" si="100"/>
        <v>1.074691026329971E-3</v>
      </c>
      <c r="D2617">
        <f t="shared" si="99"/>
        <v>8.0583510139747627E-2</v>
      </c>
    </row>
    <row r="2618" spans="1:4">
      <c r="A2618" s="1">
        <v>22069</v>
      </c>
      <c r="B2618">
        <v>56.13</v>
      </c>
      <c r="C2618">
        <f t="shared" si="100"/>
        <v>4.2941492216854891E-3</v>
      </c>
      <c r="D2618">
        <f t="shared" si="99"/>
        <v>0.42055720122227813</v>
      </c>
    </row>
    <row r="2619" spans="1:4">
      <c r="A2619" s="1">
        <v>22070</v>
      </c>
      <c r="B2619">
        <v>56.23</v>
      </c>
      <c r="C2619">
        <f t="shared" si="100"/>
        <v>1.781578478531878E-3</v>
      </c>
      <c r="D2619">
        <f t="shared" si="99"/>
        <v>0.15523058480954927</v>
      </c>
    </row>
    <row r="2620" spans="1:4">
      <c r="A2620" s="1">
        <v>22073</v>
      </c>
      <c r="B2620">
        <v>56.89</v>
      </c>
      <c r="C2620">
        <f t="shared" si="100"/>
        <v>1.1737506669037947E-2</v>
      </c>
      <c r="D2620">
        <f t="shared" si="99"/>
        <v>1.2065732175425692</v>
      </c>
    </row>
    <row r="2621" spans="1:4">
      <c r="A2621" s="1">
        <v>22074</v>
      </c>
      <c r="B2621">
        <v>57.43</v>
      </c>
      <c r="C2621">
        <f t="shared" si="100"/>
        <v>9.4920021093337862E-3</v>
      </c>
      <c r="D2621">
        <f t="shared" si="99"/>
        <v>0.9694486993218957</v>
      </c>
    </row>
    <row r="2622" spans="1:4">
      <c r="A2622" s="1">
        <v>22075</v>
      </c>
      <c r="B2622">
        <v>57.89</v>
      </c>
      <c r="C2622">
        <f t="shared" si="100"/>
        <v>8.0097510012188903E-3</v>
      </c>
      <c r="D2622">
        <f t="shared" si="99"/>
        <v>0.81292348614659471</v>
      </c>
    </row>
    <row r="2623" spans="1:4">
      <c r="A2623" s="1">
        <v>22076</v>
      </c>
      <c r="B2623">
        <v>58</v>
      </c>
      <c r="C2623">
        <f t="shared" si="100"/>
        <v>1.9001554672654936E-3</v>
      </c>
      <c r="D2623">
        <f t="shared" si="99"/>
        <v>0.16775227451354222</v>
      </c>
    </row>
    <row r="2624" spans="1:4">
      <c r="A2624" s="1">
        <v>22077</v>
      </c>
      <c r="B2624">
        <v>57.97</v>
      </c>
      <c r="C2624">
        <f t="shared" si="100"/>
        <v>-5.1724137931036447E-4</v>
      </c>
      <c r="D2624">
        <f t="shared" si="99"/>
        <v>-8.7524010771755256E-2</v>
      </c>
    </row>
    <row r="2625" spans="1:4">
      <c r="A2625" s="1">
        <v>22080</v>
      </c>
      <c r="B2625">
        <v>57.99</v>
      </c>
      <c r="C2625">
        <f t="shared" si="100"/>
        <v>3.4500603760571203E-4</v>
      </c>
      <c r="D2625">
        <f t="shared" si="99"/>
        <v>3.529023362444796E-3</v>
      </c>
    </row>
    <row r="2626" spans="1:4">
      <c r="A2626" s="1">
        <v>22081</v>
      </c>
      <c r="B2626">
        <v>57.91</v>
      </c>
      <c r="C2626">
        <f t="shared" si="100"/>
        <v>-1.3795481979652594E-3</v>
      </c>
      <c r="D2626">
        <f t="shared" si="99"/>
        <v>-0.1785833177093829</v>
      </c>
    </row>
    <row r="2627" spans="1:4">
      <c r="A2627" s="1">
        <v>22082</v>
      </c>
      <c r="B2627">
        <v>57.57</v>
      </c>
      <c r="C2627">
        <f t="shared" si="100"/>
        <v>-5.8711794163356298E-3</v>
      </c>
      <c r="D2627">
        <f t="shared" ref="D2627:D2690" si="101">(C2627-avg)/sd</f>
        <v>-0.65289804758966052</v>
      </c>
    </row>
    <row r="2628" spans="1:4">
      <c r="A2628" s="1">
        <v>22083</v>
      </c>
      <c r="B2628">
        <v>57.5</v>
      </c>
      <c r="C2628">
        <f t="shared" ref="C2628:C2691" si="102">(B2628-B2627)/B2627</f>
        <v>-1.2159110647906946E-3</v>
      </c>
      <c r="D2628">
        <f t="shared" si="101"/>
        <v>-0.16130329206911301</v>
      </c>
    </row>
    <row r="2629" spans="1:4">
      <c r="A2629" s="1">
        <v>22084</v>
      </c>
      <c r="B2629">
        <v>57.44</v>
      </c>
      <c r="C2629">
        <f t="shared" si="102"/>
        <v>-1.0434782608696048E-3</v>
      </c>
      <c r="D2629">
        <f t="shared" si="101"/>
        <v>-0.14309444658780382</v>
      </c>
    </row>
    <row r="2630" spans="1:4">
      <c r="A2630" s="1">
        <v>22087</v>
      </c>
      <c r="B2630">
        <v>57.16</v>
      </c>
      <c r="C2630">
        <f t="shared" si="102"/>
        <v>-4.8746518105849783E-3</v>
      </c>
      <c r="D2630">
        <f t="shared" si="101"/>
        <v>-0.54766507115858332</v>
      </c>
    </row>
    <row r="2631" spans="1:4">
      <c r="A2631" s="1">
        <v>22088</v>
      </c>
      <c r="B2631">
        <v>57.11</v>
      </c>
      <c r="C2631">
        <f t="shared" si="102"/>
        <v>-8.7473757872633237E-4</v>
      </c>
      <c r="D2631">
        <f t="shared" si="101"/>
        <v>-0.12527548791121901</v>
      </c>
    </row>
    <row r="2632" spans="1:4">
      <c r="A2632" s="1">
        <v>22089</v>
      </c>
      <c r="B2632">
        <v>57.28</v>
      </c>
      <c r="C2632">
        <f t="shared" si="102"/>
        <v>2.9767116091753056E-3</v>
      </c>
      <c r="D2632">
        <f t="shared" si="101"/>
        <v>0.28143623716000565</v>
      </c>
    </row>
    <row r="2633" spans="1:4">
      <c r="A2633" s="1">
        <v>22090</v>
      </c>
      <c r="B2633">
        <v>57.59</v>
      </c>
      <c r="C2633">
        <f t="shared" si="102"/>
        <v>5.4120111731843969E-3</v>
      </c>
      <c r="D2633">
        <f t="shared" si="101"/>
        <v>0.5386030433208232</v>
      </c>
    </row>
    <row r="2634" spans="1:4">
      <c r="A2634" s="1">
        <v>22091</v>
      </c>
      <c r="B2634">
        <v>57.68</v>
      </c>
      <c r="C2634">
        <f t="shared" si="102"/>
        <v>1.5627713144642525E-3</v>
      </c>
      <c r="D2634">
        <f t="shared" si="101"/>
        <v>0.13212462266017683</v>
      </c>
    </row>
    <row r="2635" spans="1:4">
      <c r="A2635" s="1">
        <v>22094</v>
      </c>
      <c r="B2635">
        <v>57.33</v>
      </c>
      <c r="C2635">
        <f t="shared" si="102"/>
        <v>-6.0679611650485688E-3</v>
      </c>
      <c r="D2635">
        <f t="shared" si="101"/>
        <v>-0.67367813336438054</v>
      </c>
    </row>
    <row r="2636" spans="1:4">
      <c r="A2636" s="1">
        <v>22095</v>
      </c>
      <c r="B2636">
        <v>56.94</v>
      </c>
      <c r="C2636">
        <f t="shared" si="102"/>
        <v>-6.8027210884353843E-3</v>
      </c>
      <c r="D2636">
        <f t="shared" si="101"/>
        <v>-0.75126853151699524</v>
      </c>
    </row>
    <row r="2637" spans="1:4">
      <c r="A2637" s="1">
        <v>22096</v>
      </c>
      <c r="B2637">
        <v>56.94</v>
      </c>
      <c r="C2637">
        <f t="shared" si="102"/>
        <v>0</v>
      </c>
      <c r="D2637">
        <f t="shared" si="101"/>
        <v>-3.29034969354682E-2</v>
      </c>
    </row>
    <row r="2638" spans="1:4">
      <c r="A2638" s="1">
        <v>22097</v>
      </c>
      <c r="B2638">
        <v>56.92</v>
      </c>
      <c r="C2638">
        <f t="shared" si="102"/>
        <v>-3.5124692658932246E-4</v>
      </c>
      <c r="D2638">
        <f t="shared" si="101"/>
        <v>-6.9995052988669218E-2</v>
      </c>
    </row>
    <row r="2639" spans="1:4">
      <c r="A2639" s="1">
        <v>22098</v>
      </c>
      <c r="B2639">
        <v>57.06</v>
      </c>
      <c r="C2639">
        <f t="shared" si="102"/>
        <v>2.4595924104005721E-3</v>
      </c>
      <c r="D2639">
        <f t="shared" si="101"/>
        <v>0.22682862554675004</v>
      </c>
    </row>
    <row r="2640" spans="1:4">
      <c r="A2640" s="1">
        <v>22102</v>
      </c>
      <c r="B2640">
        <v>57.02</v>
      </c>
      <c r="C2640">
        <f t="shared" si="102"/>
        <v>-7.0101647388712133E-4</v>
      </c>
      <c r="D2640">
        <f t="shared" si="101"/>
        <v>-0.10693059829087097</v>
      </c>
    </row>
    <row r="2641" spans="1:4">
      <c r="A2641" s="1">
        <v>22103</v>
      </c>
      <c r="B2641">
        <v>56.94</v>
      </c>
      <c r="C2641">
        <f t="shared" si="102"/>
        <v>-1.4030164854437986E-3</v>
      </c>
      <c r="D2641">
        <f t="shared" si="101"/>
        <v>-0.18106156088985814</v>
      </c>
    </row>
    <row r="2642" spans="1:4">
      <c r="A2642" s="1">
        <v>22104</v>
      </c>
      <c r="B2642">
        <v>57.24</v>
      </c>
      <c r="C2642">
        <f t="shared" si="102"/>
        <v>5.2687038988409604E-3</v>
      </c>
      <c r="D2642">
        <f t="shared" si="101"/>
        <v>0.52346984386266571</v>
      </c>
    </row>
    <row r="2643" spans="1:4">
      <c r="A2643" s="1">
        <v>22105</v>
      </c>
      <c r="B2643">
        <v>57.38</v>
      </c>
      <c r="C2643">
        <f t="shared" si="102"/>
        <v>2.4458420684835879E-3</v>
      </c>
      <c r="D2643">
        <f t="shared" si="101"/>
        <v>0.22537659411428485</v>
      </c>
    </row>
    <row r="2644" spans="1:4">
      <c r="A2644" s="1">
        <v>22108</v>
      </c>
      <c r="B2644">
        <v>56.87</v>
      </c>
      <c r="C2644">
        <f t="shared" si="102"/>
        <v>-8.8881143255490607E-3</v>
      </c>
      <c r="D2644">
        <f t="shared" si="101"/>
        <v>-0.97148534849659629</v>
      </c>
    </row>
    <row r="2645" spans="1:4">
      <c r="A2645" s="1">
        <v>22109</v>
      </c>
      <c r="B2645">
        <v>56.25</v>
      </c>
      <c r="C2645">
        <f t="shared" si="102"/>
        <v>-1.0902057323720722E-2</v>
      </c>
      <c r="D2645">
        <f t="shared" si="101"/>
        <v>-1.184157044531037</v>
      </c>
    </row>
    <row r="2646" spans="1:4">
      <c r="A2646" s="1">
        <v>22110</v>
      </c>
      <c r="B2646">
        <v>56.1</v>
      </c>
      <c r="C2646">
        <f t="shared" si="102"/>
        <v>-2.6666666666666414E-3</v>
      </c>
      <c r="D2646">
        <f t="shared" si="101"/>
        <v>-0.31450259049142371</v>
      </c>
    </row>
    <row r="2647" spans="1:4">
      <c r="A2647" s="1">
        <v>22111</v>
      </c>
      <c r="B2647">
        <v>56.12</v>
      </c>
      <c r="C2647">
        <f t="shared" si="102"/>
        <v>3.5650623885910912E-4</v>
      </c>
      <c r="D2647">
        <f t="shared" si="101"/>
        <v>4.7434407056951896E-3</v>
      </c>
    </row>
    <row r="2648" spans="1:4">
      <c r="A2648" s="1">
        <v>22112</v>
      </c>
      <c r="B2648">
        <v>56.05</v>
      </c>
      <c r="C2648">
        <f t="shared" si="102"/>
        <v>-1.2473271560940892E-3</v>
      </c>
      <c r="D2648">
        <f t="shared" si="101"/>
        <v>-0.16462082063190317</v>
      </c>
    </row>
    <row r="2649" spans="1:4">
      <c r="A2649" s="1">
        <v>22115</v>
      </c>
      <c r="B2649">
        <v>55.7</v>
      </c>
      <c r="C2649">
        <f t="shared" si="102"/>
        <v>-6.2444246208741188E-3</v>
      </c>
      <c r="D2649">
        <f t="shared" si="101"/>
        <v>-0.69231261431671554</v>
      </c>
    </row>
    <row r="2650" spans="1:4">
      <c r="A2650" s="1">
        <v>22116</v>
      </c>
      <c r="B2650">
        <v>55.7</v>
      </c>
      <c r="C2650">
        <f t="shared" si="102"/>
        <v>0</v>
      </c>
      <c r="D2650">
        <f t="shared" si="101"/>
        <v>-3.29034969354682E-2</v>
      </c>
    </row>
    <row r="2651" spans="1:4">
      <c r="A2651" s="1">
        <v>22117</v>
      </c>
      <c r="B2651">
        <v>55.61</v>
      </c>
      <c r="C2651">
        <f t="shared" si="102"/>
        <v>-1.6157989228007793E-3</v>
      </c>
      <c r="D2651">
        <f t="shared" si="101"/>
        <v>-0.20353131394649057</v>
      </c>
    </row>
    <row r="2652" spans="1:4">
      <c r="A2652" s="1">
        <v>22118</v>
      </c>
      <c r="B2652">
        <v>55.1</v>
      </c>
      <c r="C2652">
        <f t="shared" si="102"/>
        <v>-9.1710124078402816E-3</v>
      </c>
      <c r="D2652">
        <f t="shared" si="101"/>
        <v>-1.0013592898248189</v>
      </c>
    </row>
    <row r="2653" spans="1:4">
      <c r="A2653" s="1">
        <v>22119</v>
      </c>
      <c r="B2653">
        <v>54.72</v>
      </c>
      <c r="C2653">
        <f t="shared" si="102"/>
        <v>-6.8965517241379769E-3</v>
      </c>
      <c r="D2653">
        <f t="shared" si="101"/>
        <v>-0.76117701475260624</v>
      </c>
    </row>
    <row r="2654" spans="1:4">
      <c r="A2654" s="1">
        <v>22122</v>
      </c>
      <c r="B2654">
        <v>54.18</v>
      </c>
      <c r="C2654">
        <f t="shared" si="102"/>
        <v>-9.8684210526315628E-3</v>
      </c>
      <c r="D2654">
        <f t="shared" si="101"/>
        <v>-1.0750054056540617</v>
      </c>
    </row>
    <row r="2655" spans="1:4">
      <c r="A2655" s="1">
        <v>22123</v>
      </c>
      <c r="B2655">
        <v>54.51</v>
      </c>
      <c r="C2655">
        <f t="shared" si="102"/>
        <v>6.0908084163897799E-3</v>
      </c>
      <c r="D2655">
        <f t="shared" si="101"/>
        <v>0.61028380146891792</v>
      </c>
    </row>
    <row r="2656" spans="1:4">
      <c r="A2656" s="1">
        <v>22124</v>
      </c>
      <c r="B2656">
        <v>54.17</v>
      </c>
      <c r="C2656">
        <f t="shared" si="102"/>
        <v>-6.2373876352962085E-3</v>
      </c>
      <c r="D2656">
        <f t="shared" si="101"/>
        <v>-0.69156951103167585</v>
      </c>
    </row>
    <row r="2657" spans="1:4">
      <c r="A2657" s="1">
        <v>22125</v>
      </c>
      <c r="B2657">
        <v>54.57</v>
      </c>
      <c r="C2657">
        <f t="shared" si="102"/>
        <v>7.384160974709222E-3</v>
      </c>
      <c r="D2657">
        <f t="shared" si="101"/>
        <v>0.74686139199555579</v>
      </c>
    </row>
    <row r="2658" spans="1:4">
      <c r="A2658" s="1">
        <v>22126</v>
      </c>
      <c r="B2658">
        <v>55.51</v>
      </c>
      <c r="C2658">
        <f t="shared" si="102"/>
        <v>1.7225581821513611E-2</v>
      </c>
      <c r="D2658">
        <f t="shared" si="101"/>
        <v>1.7861120881566155</v>
      </c>
    </row>
    <row r="2659" spans="1:4">
      <c r="A2659" s="1">
        <v>22129</v>
      </c>
      <c r="B2659">
        <v>55.53</v>
      </c>
      <c r="C2659">
        <f t="shared" si="102"/>
        <v>3.602954422627117E-4</v>
      </c>
      <c r="D2659">
        <f t="shared" si="101"/>
        <v>5.1435792971028039E-3</v>
      </c>
    </row>
    <row r="2660" spans="1:4">
      <c r="A2660" s="1">
        <v>22130</v>
      </c>
      <c r="B2660">
        <v>55.04</v>
      </c>
      <c r="C2660">
        <f t="shared" si="102"/>
        <v>-8.8240590671709342E-3</v>
      </c>
      <c r="D2660">
        <f t="shared" si="101"/>
        <v>-0.96472113498530643</v>
      </c>
    </row>
    <row r="2661" spans="1:4">
      <c r="A2661" s="1">
        <v>22131</v>
      </c>
      <c r="B2661">
        <v>54.72</v>
      </c>
      <c r="C2661">
        <f t="shared" si="102"/>
        <v>-5.8139534883720981E-3</v>
      </c>
      <c r="D2661">
        <f t="shared" si="101"/>
        <v>-0.6468550090487496</v>
      </c>
    </row>
    <row r="2662" spans="1:4">
      <c r="A2662" s="1">
        <v>22132</v>
      </c>
      <c r="B2662">
        <v>54.89</v>
      </c>
      <c r="C2662">
        <f t="shared" si="102"/>
        <v>3.1067251461988615E-3</v>
      </c>
      <c r="D2662">
        <f t="shared" si="101"/>
        <v>0.29516562247594469</v>
      </c>
    </row>
    <row r="2663" spans="1:4">
      <c r="A2663" s="1">
        <v>22133</v>
      </c>
      <c r="B2663">
        <v>55.44</v>
      </c>
      <c r="C2663">
        <f t="shared" si="102"/>
        <v>1.0020040080160268E-2</v>
      </c>
      <c r="D2663">
        <f t="shared" si="101"/>
        <v>1.025209329552345</v>
      </c>
    </row>
    <row r="2664" spans="1:4">
      <c r="A2664" s="1">
        <v>22136</v>
      </c>
      <c r="B2664">
        <v>55.52</v>
      </c>
      <c r="C2664">
        <f t="shared" si="102"/>
        <v>1.4430014430015404E-3</v>
      </c>
      <c r="D2664">
        <f t="shared" si="101"/>
        <v>0.11947696494547183</v>
      </c>
    </row>
    <row r="2665" spans="1:4">
      <c r="A2665" s="1">
        <v>22137</v>
      </c>
      <c r="B2665">
        <v>55.84</v>
      </c>
      <c r="C2665">
        <f t="shared" si="102"/>
        <v>5.7636887608069213E-3</v>
      </c>
      <c r="D2665">
        <f t="shared" si="101"/>
        <v>0.57574007703274155</v>
      </c>
    </row>
    <row r="2666" spans="1:4">
      <c r="A2666" s="1">
        <v>22138</v>
      </c>
      <c r="B2666">
        <v>56.07</v>
      </c>
      <c r="C2666">
        <f t="shared" si="102"/>
        <v>4.1189111747850444E-3</v>
      </c>
      <c r="D2666">
        <f t="shared" si="101"/>
        <v>0.40205212303589749</v>
      </c>
    </row>
    <row r="2667" spans="1:4">
      <c r="A2667" s="1">
        <v>22139</v>
      </c>
      <c r="B2667">
        <v>56.28</v>
      </c>
      <c r="C2667">
        <f t="shared" si="102"/>
        <v>3.7453183520599403E-3</v>
      </c>
      <c r="D2667">
        <f t="shared" si="101"/>
        <v>0.36260084794649711</v>
      </c>
    </row>
    <row r="2668" spans="1:4">
      <c r="A2668" s="1">
        <v>22140</v>
      </c>
      <c r="B2668">
        <v>56.66</v>
      </c>
      <c r="C2668">
        <f t="shared" si="102"/>
        <v>6.7519545131484622E-3</v>
      </c>
      <c r="D2668">
        <f t="shared" si="101"/>
        <v>0.68010060455215715</v>
      </c>
    </row>
    <row r="2669" spans="1:4">
      <c r="A2669" s="1">
        <v>22143</v>
      </c>
      <c r="B2669">
        <v>56.61</v>
      </c>
      <c r="C2669">
        <f t="shared" si="102"/>
        <v>-8.8245675961872859E-4</v>
      </c>
      <c r="D2669">
        <f t="shared" si="101"/>
        <v>-0.12609063078957894</v>
      </c>
    </row>
    <row r="2670" spans="1:4">
      <c r="A2670" s="1">
        <v>22144</v>
      </c>
      <c r="B2670">
        <v>56.72</v>
      </c>
      <c r="C2670">
        <f t="shared" si="102"/>
        <v>1.9431195901784036E-3</v>
      </c>
      <c r="D2670">
        <f t="shared" si="101"/>
        <v>0.17228927128893057</v>
      </c>
    </row>
    <row r="2671" spans="1:4">
      <c r="A2671" s="1">
        <v>22145</v>
      </c>
      <c r="B2671">
        <v>56.84</v>
      </c>
      <c r="C2671">
        <f t="shared" si="102"/>
        <v>2.1156558533146079E-3</v>
      </c>
      <c r="D2671">
        <f t="shared" si="101"/>
        <v>0.19050904202818833</v>
      </c>
    </row>
    <row r="2672" spans="1:4">
      <c r="A2672" s="1">
        <v>22146</v>
      </c>
      <c r="B2672">
        <v>56.81</v>
      </c>
      <c r="C2672">
        <f t="shared" si="102"/>
        <v>-5.2779732582690245E-4</v>
      </c>
      <c r="D2672">
        <f t="shared" si="101"/>
        <v>-8.8638715135761117E-2</v>
      </c>
    </row>
    <row r="2673" spans="1:4">
      <c r="A2673" s="1">
        <v>22147</v>
      </c>
      <c r="B2673">
        <v>57.01</v>
      </c>
      <c r="C2673">
        <f t="shared" si="102"/>
        <v>3.5205069530011568E-3</v>
      </c>
      <c r="D2673">
        <f t="shared" si="101"/>
        <v>0.33886084062299704</v>
      </c>
    </row>
    <row r="2674" spans="1:4">
      <c r="A2674" s="1">
        <v>22150</v>
      </c>
      <c r="B2674">
        <v>57.19</v>
      </c>
      <c r="C2674">
        <f t="shared" si="102"/>
        <v>3.1573408174004514E-3</v>
      </c>
      <c r="D2674">
        <f t="shared" si="101"/>
        <v>0.30051062014972996</v>
      </c>
    </row>
    <row r="2675" spans="1:4">
      <c r="A2675" s="1">
        <v>22151</v>
      </c>
      <c r="B2675">
        <v>57.75</v>
      </c>
      <c r="C2675">
        <f t="shared" si="102"/>
        <v>9.7919216646267238E-3</v>
      </c>
      <c r="D2675">
        <f t="shared" si="101"/>
        <v>1.0011201024132197</v>
      </c>
    </row>
    <row r="2676" spans="1:4">
      <c r="A2676" s="1">
        <v>22152</v>
      </c>
      <c r="B2676">
        <v>58.07</v>
      </c>
      <c r="C2676">
        <f t="shared" si="102"/>
        <v>5.5411255411255463E-3</v>
      </c>
      <c r="D2676">
        <f t="shared" si="101"/>
        <v>0.5522374766873025</v>
      </c>
    </row>
    <row r="2677" spans="1:4">
      <c r="A2677" s="1">
        <v>22153</v>
      </c>
      <c r="B2677">
        <v>57.79</v>
      </c>
      <c r="C2677">
        <f t="shared" si="102"/>
        <v>-4.8217668331324457E-3</v>
      </c>
      <c r="D2677">
        <f t="shared" si="101"/>
        <v>-0.5420804355160731</v>
      </c>
    </row>
    <row r="2678" spans="1:4">
      <c r="A2678" s="1">
        <v>22154</v>
      </c>
      <c r="B2678">
        <v>57.6</v>
      </c>
      <c r="C2678">
        <f t="shared" si="102"/>
        <v>-3.2877660494894916E-3</v>
      </c>
      <c r="D2678">
        <f t="shared" si="101"/>
        <v>-0.38009047419557856</v>
      </c>
    </row>
    <row r="2679" spans="1:4">
      <c r="A2679" s="1">
        <v>22157</v>
      </c>
      <c r="B2679">
        <v>57.44</v>
      </c>
      <c r="C2679">
        <f t="shared" si="102"/>
        <v>-2.7777777777778421E-3</v>
      </c>
      <c r="D2679">
        <f t="shared" si="101"/>
        <v>-0.32623588605626475</v>
      </c>
    </row>
    <row r="2680" spans="1:4">
      <c r="A2680" s="1">
        <v>22158</v>
      </c>
      <c r="B2680">
        <v>56.84</v>
      </c>
      <c r="C2680">
        <f t="shared" si="102"/>
        <v>-1.0445682451253383E-2</v>
      </c>
      <c r="D2680">
        <f t="shared" si="101"/>
        <v>-1.1359640131278426</v>
      </c>
    </row>
    <row r="2681" spans="1:4">
      <c r="A2681" s="1">
        <v>22159</v>
      </c>
      <c r="B2681">
        <v>56.96</v>
      </c>
      <c r="C2681">
        <f t="shared" si="102"/>
        <v>2.1111893033074849E-3</v>
      </c>
      <c r="D2681">
        <f t="shared" si="101"/>
        <v>0.19003737586569025</v>
      </c>
    </row>
    <row r="2682" spans="1:4">
      <c r="A2682" s="1">
        <v>22160</v>
      </c>
      <c r="B2682">
        <v>57.09</v>
      </c>
      <c r="C2682">
        <f t="shared" si="102"/>
        <v>2.2823033707865619E-3</v>
      </c>
      <c r="D2682">
        <f t="shared" si="101"/>
        <v>0.20810696322698319</v>
      </c>
    </row>
    <row r="2683" spans="1:4">
      <c r="A2683" s="1">
        <v>22161</v>
      </c>
      <c r="B2683">
        <v>57</v>
      </c>
      <c r="C2683">
        <f t="shared" si="102"/>
        <v>-1.5764582238571275E-3</v>
      </c>
      <c r="D2683">
        <f t="shared" si="101"/>
        <v>-0.19937694951059426</v>
      </c>
    </row>
    <row r="2684" spans="1:4">
      <c r="A2684" s="1">
        <v>22165</v>
      </c>
      <c r="B2684">
        <v>56.49</v>
      </c>
      <c r="C2684">
        <f t="shared" si="102"/>
        <v>-8.9473684210525962E-3</v>
      </c>
      <c r="D2684">
        <f t="shared" si="101"/>
        <v>-0.97774256084032396</v>
      </c>
    </row>
    <row r="2685" spans="1:4">
      <c r="A2685" s="1">
        <v>22166</v>
      </c>
      <c r="B2685">
        <v>55.79</v>
      </c>
      <c r="C2685">
        <f t="shared" si="102"/>
        <v>-1.2391573729863742E-2</v>
      </c>
      <c r="D2685">
        <f t="shared" si="101"/>
        <v>-1.3414494707085132</v>
      </c>
    </row>
    <row r="2686" spans="1:4">
      <c r="A2686" s="1">
        <v>22167</v>
      </c>
      <c r="B2686">
        <v>55.74</v>
      </c>
      <c r="C2686">
        <f t="shared" si="102"/>
        <v>-8.9621796020787159E-4</v>
      </c>
      <c r="D2686">
        <f t="shared" si="101"/>
        <v>-0.12754380889413311</v>
      </c>
    </row>
    <row r="2687" spans="1:4">
      <c r="A2687" s="1">
        <v>22168</v>
      </c>
      <c r="B2687">
        <v>56.11</v>
      </c>
      <c r="C2687">
        <f t="shared" si="102"/>
        <v>6.6379619662719309E-3</v>
      </c>
      <c r="D2687">
        <f t="shared" si="101"/>
        <v>0.66806303034994474</v>
      </c>
    </row>
    <row r="2688" spans="1:4">
      <c r="A2688" s="1">
        <v>22171</v>
      </c>
      <c r="B2688">
        <v>55.72</v>
      </c>
      <c r="C2688">
        <f t="shared" si="102"/>
        <v>-6.9506326857957683E-3</v>
      </c>
      <c r="D2688">
        <f t="shared" si="101"/>
        <v>-0.7668879459206569</v>
      </c>
    </row>
    <row r="2689" spans="1:4">
      <c r="A2689" s="1">
        <v>22172</v>
      </c>
      <c r="B2689">
        <v>55.83</v>
      </c>
      <c r="C2689">
        <f t="shared" si="102"/>
        <v>1.9741564967695521E-3</v>
      </c>
      <c r="D2689">
        <f t="shared" si="101"/>
        <v>0.17556675807499869</v>
      </c>
    </row>
    <row r="2690" spans="1:4">
      <c r="A2690" s="1">
        <v>22173</v>
      </c>
      <c r="B2690">
        <v>55.44</v>
      </c>
      <c r="C2690">
        <f t="shared" si="102"/>
        <v>-6.9854916711445565E-3</v>
      </c>
      <c r="D2690">
        <f t="shared" si="101"/>
        <v>-0.77056904292434414</v>
      </c>
    </row>
    <row r="2691" spans="1:4">
      <c r="A2691" s="1">
        <v>22174</v>
      </c>
      <c r="B2691">
        <v>55.22</v>
      </c>
      <c r="C2691">
        <f t="shared" si="102"/>
        <v>-3.9682539682539481E-3</v>
      </c>
      <c r="D2691">
        <f t="shared" ref="D2691:D2754" si="103">(C2691-avg)/sd</f>
        <v>-0.45194976710802287</v>
      </c>
    </row>
    <row r="2692" spans="1:4">
      <c r="A2692" s="1">
        <v>22175</v>
      </c>
      <c r="B2692">
        <v>55.11</v>
      </c>
      <c r="C2692">
        <f t="shared" ref="C2692:C2755" si="104">(B2692-B2691)/B2691</f>
        <v>-1.9920318725099497E-3</v>
      </c>
      <c r="D2692">
        <f t="shared" si="103"/>
        <v>-0.24326138554798563</v>
      </c>
    </row>
    <row r="2693" spans="1:4">
      <c r="A2693" s="1">
        <v>22178</v>
      </c>
      <c r="B2693">
        <v>53.86</v>
      </c>
      <c r="C2693">
        <f t="shared" si="104"/>
        <v>-2.2681908909453818E-2</v>
      </c>
      <c r="D2693">
        <f t="shared" si="103"/>
        <v>-2.428105367818346</v>
      </c>
    </row>
    <row r="2694" spans="1:4">
      <c r="A2694" s="1">
        <v>22179</v>
      </c>
      <c r="B2694">
        <v>54.01</v>
      </c>
      <c r="C2694">
        <f t="shared" si="104"/>
        <v>2.7849981433345447E-3</v>
      </c>
      <c r="D2694">
        <f t="shared" si="103"/>
        <v>0.26119136033379464</v>
      </c>
    </row>
    <row r="2695" spans="1:4">
      <c r="A2695" s="1">
        <v>22180</v>
      </c>
      <c r="B2695">
        <v>54.57</v>
      </c>
      <c r="C2695">
        <f t="shared" si="104"/>
        <v>1.0368450286983934E-2</v>
      </c>
      <c r="D2695">
        <f t="shared" si="103"/>
        <v>1.0620013289625407</v>
      </c>
    </row>
    <row r="2696" spans="1:4">
      <c r="A2696" s="1">
        <v>22181</v>
      </c>
      <c r="B2696">
        <v>54.36</v>
      </c>
      <c r="C2696">
        <f t="shared" si="104"/>
        <v>-3.8482682792743421E-3</v>
      </c>
      <c r="D2696">
        <f t="shared" si="103"/>
        <v>-0.43927931913689378</v>
      </c>
    </row>
    <row r="2697" spans="1:4">
      <c r="A2697" s="1">
        <v>22182</v>
      </c>
      <c r="B2697">
        <v>53.9</v>
      </c>
      <c r="C2697">
        <f t="shared" si="104"/>
        <v>-8.4621044885945709E-3</v>
      </c>
      <c r="D2697">
        <f t="shared" si="103"/>
        <v>-0.92649885452198166</v>
      </c>
    </row>
    <row r="2698" spans="1:4">
      <c r="A2698" s="1">
        <v>22185</v>
      </c>
      <c r="B2698">
        <v>53.06</v>
      </c>
      <c r="C2698">
        <f t="shared" si="104"/>
        <v>-1.5584415584415517E-2</v>
      </c>
      <c r="D2698">
        <f t="shared" si="103"/>
        <v>-1.6786124852495024</v>
      </c>
    </row>
    <row r="2699" spans="1:4">
      <c r="A2699" s="1">
        <v>22186</v>
      </c>
      <c r="B2699">
        <v>52.94</v>
      </c>
      <c r="C2699">
        <f t="shared" si="104"/>
        <v>-2.261590652092057E-3</v>
      </c>
      <c r="D2699">
        <f t="shared" si="103"/>
        <v>-0.27172670104437502</v>
      </c>
    </row>
    <row r="2700" spans="1:4">
      <c r="A2700" s="1">
        <v>22187</v>
      </c>
      <c r="B2700">
        <v>52.48</v>
      </c>
      <c r="C2700">
        <f t="shared" si="104"/>
        <v>-8.6890819795995625E-3</v>
      </c>
      <c r="D2700">
        <f t="shared" si="103"/>
        <v>-0.95046760041871081</v>
      </c>
    </row>
    <row r="2701" spans="1:4">
      <c r="A2701" s="1">
        <v>22188</v>
      </c>
      <c r="B2701">
        <v>52.62</v>
      </c>
      <c r="C2701">
        <f t="shared" si="104"/>
        <v>2.6676829268292793E-3</v>
      </c>
      <c r="D2701">
        <f t="shared" si="103"/>
        <v>0.24880291334821825</v>
      </c>
    </row>
    <row r="2702" spans="1:4">
      <c r="A2702" s="1">
        <v>22189</v>
      </c>
      <c r="B2702">
        <v>53.52</v>
      </c>
      <c r="C2702">
        <f t="shared" si="104"/>
        <v>1.7103762827822229E-2</v>
      </c>
      <c r="D2702">
        <f t="shared" si="103"/>
        <v>1.7732480438310934</v>
      </c>
    </row>
    <row r="2703" spans="1:4">
      <c r="A2703" s="1">
        <v>22192</v>
      </c>
      <c r="B2703">
        <v>53.36</v>
      </c>
      <c r="C2703">
        <f t="shared" si="104"/>
        <v>-2.9895366218236864E-3</v>
      </c>
      <c r="D2703">
        <f t="shared" si="103"/>
        <v>-0.34859754800717746</v>
      </c>
    </row>
    <row r="2704" spans="1:4">
      <c r="A2704" s="1">
        <v>22193</v>
      </c>
      <c r="B2704">
        <v>52.99</v>
      </c>
      <c r="C2704">
        <f t="shared" si="104"/>
        <v>-6.9340329835081982E-3</v>
      </c>
      <c r="D2704">
        <f t="shared" si="103"/>
        <v>-0.76513502300160252</v>
      </c>
    </row>
    <row r="2705" spans="1:4">
      <c r="A2705" s="1">
        <v>22194</v>
      </c>
      <c r="B2705">
        <v>53.39</v>
      </c>
      <c r="C2705">
        <f t="shared" si="104"/>
        <v>7.5485940743536244E-3</v>
      </c>
      <c r="D2705">
        <f t="shared" si="103"/>
        <v>0.76422547142447839</v>
      </c>
    </row>
    <row r="2706" spans="1:4">
      <c r="A2706" s="1">
        <v>22195</v>
      </c>
      <c r="B2706">
        <v>53.72</v>
      </c>
      <c r="C2706">
        <f t="shared" si="104"/>
        <v>6.1809327589435904E-3</v>
      </c>
      <c r="D2706">
        <f t="shared" si="103"/>
        <v>0.61980090140784772</v>
      </c>
    </row>
    <row r="2707" spans="1:4">
      <c r="A2707" s="1">
        <v>22196</v>
      </c>
      <c r="B2707">
        <v>54.03</v>
      </c>
      <c r="C2707">
        <f t="shared" si="104"/>
        <v>5.7706626954579726E-3</v>
      </c>
      <c r="D2707">
        <f t="shared" si="103"/>
        <v>0.57647652216133705</v>
      </c>
    </row>
    <row r="2708" spans="1:4">
      <c r="A2708" s="1">
        <v>22199</v>
      </c>
      <c r="B2708">
        <v>54.14</v>
      </c>
      <c r="C2708">
        <f t="shared" si="104"/>
        <v>2.0359059781602708E-3</v>
      </c>
      <c r="D2708">
        <f t="shared" si="103"/>
        <v>0.18208748232019004</v>
      </c>
    </row>
    <row r="2709" spans="1:4">
      <c r="A2709" s="1">
        <v>22200</v>
      </c>
      <c r="B2709">
        <v>54.22</v>
      </c>
      <c r="C2709">
        <f t="shared" si="104"/>
        <v>1.4776505356482877E-3</v>
      </c>
      <c r="D2709">
        <f t="shared" si="103"/>
        <v>0.1231358973511695</v>
      </c>
    </row>
    <row r="2710" spans="1:4">
      <c r="A2710" s="1">
        <v>22201</v>
      </c>
      <c r="B2710">
        <v>54.15</v>
      </c>
      <c r="C2710">
        <f t="shared" si="104"/>
        <v>-1.2910365178900828E-3</v>
      </c>
      <c r="D2710">
        <f t="shared" si="103"/>
        <v>-0.16923651438002613</v>
      </c>
    </row>
    <row r="2711" spans="1:4">
      <c r="A2711" s="1">
        <v>22202</v>
      </c>
      <c r="B2711">
        <v>54.57</v>
      </c>
      <c r="C2711">
        <f t="shared" si="104"/>
        <v>7.7562326869806408E-3</v>
      </c>
      <c r="D2711">
        <f t="shared" si="103"/>
        <v>0.78615203833809755</v>
      </c>
    </row>
    <row r="2712" spans="1:4">
      <c r="A2712" s="1">
        <v>22203</v>
      </c>
      <c r="B2712">
        <v>54.86</v>
      </c>
      <c r="C2712">
        <f t="shared" si="104"/>
        <v>5.3142752428073873E-3</v>
      </c>
      <c r="D2712">
        <f t="shared" si="103"/>
        <v>0.52828216229506786</v>
      </c>
    </row>
    <row r="2713" spans="1:4">
      <c r="A2713" s="1">
        <v>22206</v>
      </c>
      <c r="B2713">
        <v>54.63</v>
      </c>
      <c r="C2713">
        <f t="shared" si="104"/>
        <v>-4.1924899744804388E-3</v>
      </c>
      <c r="D2713">
        <f t="shared" si="103"/>
        <v>-0.4756290131440184</v>
      </c>
    </row>
    <row r="2714" spans="1:4">
      <c r="A2714" s="1">
        <v>22207</v>
      </c>
      <c r="B2714">
        <v>54.35</v>
      </c>
      <c r="C2714">
        <f t="shared" si="104"/>
        <v>-5.1253889804137127E-3</v>
      </c>
      <c r="D2714">
        <f t="shared" si="103"/>
        <v>-0.57414283106279251</v>
      </c>
    </row>
    <row r="2715" spans="1:4">
      <c r="A2715" s="1">
        <v>22208</v>
      </c>
      <c r="B2715">
        <v>54.25</v>
      </c>
      <c r="C2715">
        <f t="shared" si="104"/>
        <v>-1.8399264029439082E-3</v>
      </c>
      <c r="D2715">
        <f t="shared" si="103"/>
        <v>-0.22719909966497287</v>
      </c>
    </row>
    <row r="2716" spans="1:4">
      <c r="A2716" s="1">
        <v>22209</v>
      </c>
      <c r="B2716">
        <v>53.86</v>
      </c>
      <c r="C2716">
        <f t="shared" si="104"/>
        <v>-7.188940092165909E-3</v>
      </c>
      <c r="D2716">
        <f t="shared" si="103"/>
        <v>-0.79205312702872055</v>
      </c>
    </row>
    <row r="2717" spans="1:4">
      <c r="A2717" s="1">
        <v>22210</v>
      </c>
      <c r="B2717">
        <v>53.72</v>
      </c>
      <c r="C2717">
        <f t="shared" si="104"/>
        <v>-2.5993316004456102E-3</v>
      </c>
      <c r="D2717">
        <f t="shared" si="103"/>
        <v>-0.30739203038678387</v>
      </c>
    </row>
    <row r="2718" spans="1:4">
      <c r="A2718" s="1">
        <v>22213</v>
      </c>
      <c r="B2718">
        <v>52.7</v>
      </c>
      <c r="C2718">
        <f t="shared" si="104"/>
        <v>-1.8987341772151826E-2</v>
      </c>
      <c r="D2718">
        <f t="shared" si="103"/>
        <v>-2.0379603339636438</v>
      </c>
    </row>
    <row r="2719" spans="1:4">
      <c r="A2719" s="1">
        <v>22214</v>
      </c>
      <c r="B2719">
        <v>52.2</v>
      </c>
      <c r="C2719">
        <f t="shared" si="104"/>
        <v>-9.4876660341555973E-3</v>
      </c>
      <c r="D2719">
        <f t="shared" si="103"/>
        <v>-1.0347978051279187</v>
      </c>
    </row>
    <row r="2720" spans="1:4">
      <c r="A2720" s="1">
        <v>22215</v>
      </c>
      <c r="B2720">
        <v>53.05</v>
      </c>
      <c r="C2720">
        <f t="shared" si="104"/>
        <v>1.628352490421445E-2</v>
      </c>
      <c r="D2720">
        <f t="shared" si="103"/>
        <v>1.6866311979105291</v>
      </c>
    </row>
    <row r="2721" spans="1:4">
      <c r="A2721" s="1">
        <v>22216</v>
      </c>
      <c r="B2721">
        <v>53.62</v>
      </c>
      <c r="C2721">
        <f t="shared" si="104"/>
        <v>1.0744580584354388E-2</v>
      </c>
      <c r="D2721">
        <f t="shared" si="103"/>
        <v>1.1017205605119604</v>
      </c>
    </row>
    <row r="2722" spans="1:4">
      <c r="A2722" s="1">
        <v>22217</v>
      </c>
      <c r="B2722">
        <v>53.41</v>
      </c>
      <c r="C2722">
        <f t="shared" si="104"/>
        <v>-3.916449086161896E-3</v>
      </c>
      <c r="D2722">
        <f t="shared" si="103"/>
        <v>-0.44647918916843721</v>
      </c>
    </row>
    <row r="2723" spans="1:4">
      <c r="A2723" s="1">
        <v>22220</v>
      </c>
      <c r="B2723">
        <v>53.39</v>
      </c>
      <c r="C2723">
        <f t="shared" si="104"/>
        <v>-3.7446171128994614E-4</v>
      </c>
      <c r="D2723">
        <f t="shared" si="103"/>
        <v>-7.2446526361966343E-2</v>
      </c>
    </row>
    <row r="2724" spans="1:4">
      <c r="A2724" s="1">
        <v>22221</v>
      </c>
      <c r="B2724">
        <v>53.94</v>
      </c>
      <c r="C2724">
        <f t="shared" si="104"/>
        <v>1.0301554598239317E-2</v>
      </c>
      <c r="D2724">
        <f t="shared" si="103"/>
        <v>1.0549371669700585</v>
      </c>
    </row>
    <row r="2725" spans="1:4">
      <c r="A2725" s="1">
        <v>22222</v>
      </c>
      <c r="B2725">
        <v>54.22</v>
      </c>
      <c r="C2725">
        <f t="shared" si="104"/>
        <v>5.190952910641475E-3</v>
      </c>
      <c r="D2725">
        <f t="shared" si="103"/>
        <v>0.51525936593764499</v>
      </c>
    </row>
    <row r="2726" spans="1:4">
      <c r="A2726" s="1">
        <v>22223</v>
      </c>
      <c r="B2726">
        <v>54.43</v>
      </c>
      <c r="C2726">
        <f t="shared" si="104"/>
        <v>3.8731095536702481E-3</v>
      </c>
      <c r="D2726">
        <f t="shared" si="103"/>
        <v>0.37609555539820561</v>
      </c>
    </row>
    <row r="2727" spans="1:4">
      <c r="A2727" s="1">
        <v>22224</v>
      </c>
      <c r="B2727">
        <v>54.9</v>
      </c>
      <c r="C2727">
        <f t="shared" si="104"/>
        <v>8.6349439647253143E-3</v>
      </c>
      <c r="D2727">
        <f t="shared" si="103"/>
        <v>0.87894365057945933</v>
      </c>
    </row>
    <row r="2728" spans="1:4">
      <c r="A2728" s="1">
        <v>22227</v>
      </c>
      <c r="B2728">
        <v>55.11</v>
      </c>
      <c r="C2728">
        <f t="shared" si="104"/>
        <v>3.8251366120218735E-3</v>
      </c>
      <c r="D2728">
        <f t="shared" si="103"/>
        <v>0.37102962906693243</v>
      </c>
    </row>
    <row r="2729" spans="1:4">
      <c r="A2729" s="1">
        <v>22229</v>
      </c>
      <c r="B2729">
        <v>55.35</v>
      </c>
      <c r="C2729">
        <f t="shared" si="104"/>
        <v>4.3549265106151694E-3</v>
      </c>
      <c r="D2729">
        <f t="shared" si="103"/>
        <v>0.42697526227404808</v>
      </c>
    </row>
    <row r="2730" spans="1:4">
      <c r="A2730" s="1">
        <v>22230</v>
      </c>
      <c r="B2730">
        <v>56.43</v>
      </c>
      <c r="C2730">
        <f t="shared" si="104"/>
        <v>1.9512195121951188E-2</v>
      </c>
      <c r="D2730">
        <f t="shared" si="103"/>
        <v>2.027577675425198</v>
      </c>
    </row>
    <row r="2731" spans="1:4">
      <c r="A2731" s="1">
        <v>22231</v>
      </c>
      <c r="B2731">
        <v>55.87</v>
      </c>
      <c r="C2731">
        <f t="shared" si="104"/>
        <v>-9.9237993974836489E-3</v>
      </c>
      <c r="D2731">
        <f t="shared" si="103"/>
        <v>-1.0808533400464277</v>
      </c>
    </row>
    <row r="2732" spans="1:4">
      <c r="A2732" s="1">
        <v>22234</v>
      </c>
      <c r="B2732">
        <v>55.59</v>
      </c>
      <c r="C2732">
        <f t="shared" si="104"/>
        <v>-5.0116341507068915E-3</v>
      </c>
      <c r="D2732">
        <f t="shared" si="103"/>
        <v>-0.56213035971289749</v>
      </c>
    </row>
    <row r="2733" spans="1:4">
      <c r="A2733" s="1">
        <v>22235</v>
      </c>
      <c r="B2733">
        <v>55.81</v>
      </c>
      <c r="C2733">
        <f t="shared" si="104"/>
        <v>3.9575463212807851E-3</v>
      </c>
      <c r="D2733">
        <f t="shared" si="103"/>
        <v>0.38501204935642647</v>
      </c>
    </row>
    <row r="2734" spans="1:4">
      <c r="A2734" s="1">
        <v>22236</v>
      </c>
      <c r="B2734">
        <v>55.7</v>
      </c>
      <c r="C2734">
        <f t="shared" si="104"/>
        <v>-1.9709729439168506E-3</v>
      </c>
      <c r="D2734">
        <f t="shared" si="103"/>
        <v>-0.241037569846832</v>
      </c>
    </row>
    <row r="2735" spans="1:4">
      <c r="A2735" s="1">
        <v>22237</v>
      </c>
      <c r="B2735">
        <v>55.55</v>
      </c>
      <c r="C2735">
        <f t="shared" si="104"/>
        <v>-2.6929982046679656E-3</v>
      </c>
      <c r="D2735">
        <f t="shared" si="103"/>
        <v>-0.31728319195383886</v>
      </c>
    </row>
    <row r="2736" spans="1:4">
      <c r="A2736" s="1">
        <v>22238</v>
      </c>
      <c r="B2736">
        <v>55.82</v>
      </c>
      <c r="C2736">
        <f t="shared" si="104"/>
        <v>4.8604860486049168E-3</v>
      </c>
      <c r="D2736">
        <f t="shared" si="103"/>
        <v>0.48036217763772876</v>
      </c>
    </row>
    <row r="2737" spans="1:4">
      <c r="A2737" s="1">
        <v>22241</v>
      </c>
      <c r="B2737">
        <v>55.93</v>
      </c>
      <c r="C2737">
        <f t="shared" si="104"/>
        <v>1.9706198495162922E-3</v>
      </c>
      <c r="D2737">
        <f t="shared" si="103"/>
        <v>0.17519328932721925</v>
      </c>
    </row>
    <row r="2738" spans="1:4">
      <c r="A2738" s="1">
        <v>22242</v>
      </c>
      <c r="B2738">
        <v>55.72</v>
      </c>
      <c r="C2738">
        <f t="shared" si="104"/>
        <v>-3.7546933667084005E-3</v>
      </c>
      <c r="D2738">
        <f t="shared" si="103"/>
        <v>-0.42939784017758864</v>
      </c>
    </row>
    <row r="2739" spans="1:4">
      <c r="A2739" s="1">
        <v>22243</v>
      </c>
      <c r="B2739">
        <v>55.8</v>
      </c>
      <c r="C2739">
        <f t="shared" si="104"/>
        <v>1.4357501794687419E-3</v>
      </c>
      <c r="D2739">
        <f t="shared" si="103"/>
        <v>0.11871123398123254</v>
      </c>
    </row>
    <row r="2740" spans="1:4">
      <c r="A2740" s="1">
        <v>22245</v>
      </c>
      <c r="B2740">
        <v>56.13</v>
      </c>
      <c r="C2740">
        <f t="shared" si="104"/>
        <v>5.9139784946237528E-3</v>
      </c>
      <c r="D2740">
        <f t="shared" si="103"/>
        <v>0.5916106218378363</v>
      </c>
    </row>
    <row r="2741" spans="1:4">
      <c r="A2741" s="1">
        <v>22248</v>
      </c>
      <c r="B2741">
        <v>56.03</v>
      </c>
      <c r="C2741">
        <f t="shared" si="104"/>
        <v>-1.7815784785320046E-3</v>
      </c>
      <c r="D2741">
        <f t="shared" si="103"/>
        <v>-0.22103757868049903</v>
      </c>
    </row>
    <row r="2742" spans="1:4">
      <c r="A2742" s="1">
        <v>22249</v>
      </c>
      <c r="B2742">
        <v>55.83</v>
      </c>
      <c r="C2742">
        <f t="shared" si="104"/>
        <v>-3.5695163305372629E-3</v>
      </c>
      <c r="D2742">
        <f t="shared" si="103"/>
        <v>-0.40984320810264935</v>
      </c>
    </row>
    <row r="2743" spans="1:4">
      <c r="A2743" s="1">
        <v>22250</v>
      </c>
      <c r="B2743">
        <v>55.54</v>
      </c>
      <c r="C2743">
        <f t="shared" si="104"/>
        <v>-5.1943399605946473E-3</v>
      </c>
      <c r="D2743">
        <f t="shared" si="103"/>
        <v>-0.58142403113232222</v>
      </c>
    </row>
    <row r="2744" spans="1:4">
      <c r="A2744" s="1">
        <v>22251</v>
      </c>
      <c r="B2744">
        <v>55.3</v>
      </c>
      <c r="C2744">
        <f t="shared" si="104"/>
        <v>-4.3212099387828955E-3</v>
      </c>
      <c r="D2744">
        <f t="shared" si="103"/>
        <v>-0.48922179762031603</v>
      </c>
    </row>
    <row r="2745" spans="1:4">
      <c r="A2745" s="1">
        <v>22252</v>
      </c>
      <c r="B2745">
        <v>55.39</v>
      </c>
      <c r="C2745">
        <f t="shared" si="104"/>
        <v>1.6274864376130817E-3</v>
      </c>
      <c r="D2745">
        <f t="shared" si="103"/>
        <v>0.13895851766695402</v>
      </c>
    </row>
    <row r="2746" spans="1:4">
      <c r="A2746" s="1">
        <v>22255</v>
      </c>
      <c r="B2746">
        <v>55.31</v>
      </c>
      <c r="C2746">
        <f t="shared" si="104"/>
        <v>-1.4443040259974416E-3</v>
      </c>
      <c r="D2746">
        <f t="shared" si="103"/>
        <v>-0.1854215111380059</v>
      </c>
    </row>
    <row r="2747" spans="1:4">
      <c r="A2747" s="1">
        <v>22256</v>
      </c>
      <c r="B2747">
        <v>55.47</v>
      </c>
      <c r="C2747">
        <f t="shared" si="104"/>
        <v>2.8927861146265882E-3</v>
      </c>
      <c r="D2747">
        <f t="shared" si="103"/>
        <v>0.27257373346332281</v>
      </c>
    </row>
    <row r="2748" spans="1:4">
      <c r="A2748" s="1">
        <v>22257</v>
      </c>
      <c r="B2748">
        <v>56.02</v>
      </c>
      <c r="C2748">
        <f t="shared" si="104"/>
        <v>9.9152695150532596E-3</v>
      </c>
      <c r="D2748">
        <f t="shared" si="103"/>
        <v>1.0141455934902903</v>
      </c>
    </row>
    <row r="2749" spans="1:4">
      <c r="A2749" s="1">
        <v>22258</v>
      </c>
      <c r="B2749">
        <v>56.15</v>
      </c>
      <c r="C2749">
        <f t="shared" si="104"/>
        <v>2.3205997857907077E-3</v>
      </c>
      <c r="D2749">
        <f t="shared" si="103"/>
        <v>0.21215105163383705</v>
      </c>
    </row>
    <row r="2750" spans="1:4">
      <c r="A2750" s="1">
        <v>22259</v>
      </c>
      <c r="B2750">
        <v>56.65</v>
      </c>
      <c r="C2750">
        <f t="shared" si="104"/>
        <v>8.9047195013357075E-3</v>
      </c>
      <c r="D2750">
        <f t="shared" si="103"/>
        <v>0.90743185554435646</v>
      </c>
    </row>
    <row r="2751" spans="1:4">
      <c r="A2751" s="1">
        <v>22262</v>
      </c>
      <c r="B2751">
        <v>56.85</v>
      </c>
      <c r="C2751">
        <f t="shared" si="104"/>
        <v>3.5304501323919304E-3</v>
      </c>
      <c r="D2751">
        <f t="shared" si="103"/>
        <v>0.33991083698681185</v>
      </c>
    </row>
    <row r="2752" spans="1:4">
      <c r="A2752" s="1">
        <v>22263</v>
      </c>
      <c r="B2752">
        <v>56.88</v>
      </c>
      <c r="C2752">
        <f t="shared" si="104"/>
        <v>5.2770448548814658E-4</v>
      </c>
      <c r="D2752">
        <f t="shared" si="103"/>
        <v>2.2821917356610058E-2</v>
      </c>
    </row>
    <row r="2753" spans="1:4">
      <c r="A2753" s="1">
        <v>22264</v>
      </c>
      <c r="B2753">
        <v>56.84</v>
      </c>
      <c r="C2753">
        <f t="shared" si="104"/>
        <v>-7.0323488045005527E-4</v>
      </c>
      <c r="D2753">
        <f t="shared" si="103"/>
        <v>-0.10716486126984376</v>
      </c>
    </row>
    <row r="2754" spans="1:4">
      <c r="A2754" s="1">
        <v>22265</v>
      </c>
      <c r="B2754">
        <v>56.68</v>
      </c>
      <c r="C2754">
        <f t="shared" si="104"/>
        <v>-2.8149190710767716E-3</v>
      </c>
      <c r="D2754">
        <f t="shared" si="103"/>
        <v>-0.33015799400369267</v>
      </c>
    </row>
    <row r="2755" spans="1:4">
      <c r="A2755" s="1">
        <v>22266</v>
      </c>
      <c r="B2755">
        <v>57.2</v>
      </c>
      <c r="C2755">
        <f t="shared" si="104"/>
        <v>9.1743119266055606E-3</v>
      </c>
      <c r="D2755">
        <f t="shared" ref="D2755:D2818" si="105">(C2755-avg)/sd</f>
        <v>0.93590072401393509</v>
      </c>
    </row>
    <row r="2756" spans="1:4">
      <c r="A2756" s="1">
        <v>22269</v>
      </c>
      <c r="B2756">
        <v>57.13</v>
      </c>
      <c r="C2756">
        <f t="shared" ref="C2756:C2819" si="106">(B2756-B2755)/B2755</f>
        <v>-1.2237762237762287E-3</v>
      </c>
      <c r="D2756">
        <f t="shared" si="105"/>
        <v>-0.16213385018448798</v>
      </c>
    </row>
    <row r="2757" spans="1:4">
      <c r="A2757" s="1">
        <v>22270</v>
      </c>
      <c r="B2757">
        <v>57.09</v>
      </c>
      <c r="C2757">
        <f t="shared" si="106"/>
        <v>-7.0015753544546029E-4</v>
      </c>
      <c r="D2757">
        <f t="shared" si="105"/>
        <v>-0.10683989468339893</v>
      </c>
    </row>
    <row r="2758" spans="1:4">
      <c r="A2758" s="1">
        <v>22271</v>
      </c>
      <c r="B2758">
        <v>57.55</v>
      </c>
      <c r="C2758">
        <f t="shared" si="106"/>
        <v>8.0574531441582366E-3</v>
      </c>
      <c r="D2758">
        <f t="shared" si="105"/>
        <v>0.81796081622624339</v>
      </c>
    </row>
    <row r="2759" spans="1:4">
      <c r="A2759" s="1">
        <v>22272</v>
      </c>
      <c r="B2759">
        <v>57.39</v>
      </c>
      <c r="C2759">
        <f t="shared" si="106"/>
        <v>-2.7801911381406881E-3</v>
      </c>
      <c r="D2759">
        <f t="shared" si="105"/>
        <v>-0.32649073609024021</v>
      </c>
    </row>
    <row r="2760" spans="1:4">
      <c r="A2760" s="1">
        <v>22273</v>
      </c>
      <c r="B2760">
        <v>57.44</v>
      </c>
      <c r="C2760">
        <f t="shared" si="106"/>
        <v>8.7123192193757021E-4</v>
      </c>
      <c r="D2760">
        <f t="shared" si="105"/>
        <v>5.9098297875019953E-2</v>
      </c>
    </row>
    <row r="2761" spans="1:4">
      <c r="A2761" s="1">
        <v>22277</v>
      </c>
      <c r="B2761">
        <v>57.52</v>
      </c>
      <c r="C2761">
        <f t="shared" si="106"/>
        <v>1.392757660167225E-3</v>
      </c>
      <c r="D2761">
        <f t="shared" si="105"/>
        <v>0.11417123855685972</v>
      </c>
    </row>
    <row r="2762" spans="1:4">
      <c r="A2762" s="1">
        <v>22278</v>
      </c>
      <c r="B2762">
        <v>57.78</v>
      </c>
      <c r="C2762">
        <f t="shared" si="106"/>
        <v>4.5201668984700622E-3</v>
      </c>
      <c r="D2762">
        <f t="shared" si="105"/>
        <v>0.44442459106358784</v>
      </c>
    </row>
    <row r="2763" spans="1:4">
      <c r="A2763" s="1">
        <v>22279</v>
      </c>
      <c r="B2763">
        <v>58.05</v>
      </c>
      <c r="C2763">
        <f t="shared" si="106"/>
        <v>4.6728971962616134E-3</v>
      </c>
      <c r="D2763">
        <f t="shared" si="105"/>
        <v>0.46055285859482498</v>
      </c>
    </row>
    <row r="2764" spans="1:4">
      <c r="A2764" s="1">
        <v>22280</v>
      </c>
      <c r="B2764">
        <v>58.11</v>
      </c>
      <c r="C2764">
        <f t="shared" si="106"/>
        <v>1.033591731266189E-3</v>
      </c>
      <c r="D2764">
        <f t="shared" si="105"/>
        <v>7.6243438551341428E-2</v>
      </c>
    </row>
    <row r="2765" spans="1:4">
      <c r="A2765" s="1">
        <v>22284</v>
      </c>
      <c r="B2765">
        <v>57.57</v>
      </c>
      <c r="C2765">
        <f t="shared" si="106"/>
        <v>-9.2927207021166608E-3</v>
      </c>
      <c r="D2765">
        <f t="shared" si="105"/>
        <v>-1.0142116443297451</v>
      </c>
    </row>
    <row r="2766" spans="1:4">
      <c r="A2766" s="1">
        <v>22285</v>
      </c>
      <c r="B2766">
        <v>58.36</v>
      </c>
      <c r="C2766">
        <f t="shared" si="106"/>
        <v>1.3722424874066339E-2</v>
      </c>
      <c r="D2766">
        <f t="shared" si="105"/>
        <v>1.4161799052870871</v>
      </c>
    </row>
    <row r="2767" spans="1:4">
      <c r="A2767" s="1">
        <v>22286</v>
      </c>
      <c r="B2767">
        <v>58.57</v>
      </c>
      <c r="C2767">
        <f t="shared" si="106"/>
        <v>3.5983550376970674E-3</v>
      </c>
      <c r="D2767">
        <f t="shared" si="105"/>
        <v>0.34708157190503547</v>
      </c>
    </row>
    <row r="2768" spans="1:4">
      <c r="A2768" s="1">
        <v>22287</v>
      </c>
      <c r="B2768">
        <v>58.4</v>
      </c>
      <c r="C2768">
        <f t="shared" si="106"/>
        <v>-2.9025098173126465E-3</v>
      </c>
      <c r="D2768">
        <f t="shared" si="105"/>
        <v>-0.3394075470326598</v>
      </c>
    </row>
    <row r="2769" spans="1:4">
      <c r="A2769" s="1">
        <v>22290</v>
      </c>
      <c r="B2769">
        <v>58.81</v>
      </c>
      <c r="C2769">
        <f t="shared" si="106"/>
        <v>7.0205479452055426E-3</v>
      </c>
      <c r="D2769">
        <f t="shared" si="105"/>
        <v>0.70846397967804131</v>
      </c>
    </row>
    <row r="2770" spans="1:4">
      <c r="A2770" s="1">
        <v>22291</v>
      </c>
      <c r="B2770">
        <v>58.97</v>
      </c>
      <c r="C2770">
        <f t="shared" si="106"/>
        <v>2.7206257439210436E-3</v>
      </c>
      <c r="D2770">
        <f t="shared" si="105"/>
        <v>0.25439365683697063</v>
      </c>
    </row>
    <row r="2771" spans="1:4">
      <c r="A2771" s="1">
        <v>22292</v>
      </c>
      <c r="B2771">
        <v>59.14</v>
      </c>
      <c r="C2771">
        <f t="shared" si="106"/>
        <v>2.8828217737833085E-3</v>
      </c>
      <c r="D2771">
        <f t="shared" si="105"/>
        <v>0.27152150245731649</v>
      </c>
    </row>
    <row r="2772" spans="1:4">
      <c r="A2772" s="1">
        <v>22293</v>
      </c>
      <c r="B2772">
        <v>59.32</v>
      </c>
      <c r="C2772">
        <f t="shared" si="106"/>
        <v>3.0436252959080102E-3</v>
      </c>
      <c r="D2772">
        <f t="shared" si="105"/>
        <v>0.288502299733912</v>
      </c>
    </row>
    <row r="2773" spans="1:4">
      <c r="A2773" s="1">
        <v>22294</v>
      </c>
      <c r="B2773">
        <v>59.6</v>
      </c>
      <c r="C2773">
        <f t="shared" si="106"/>
        <v>4.7201618341200461E-3</v>
      </c>
      <c r="D2773">
        <f t="shared" si="105"/>
        <v>0.46554398828664445</v>
      </c>
    </row>
    <row r="2774" spans="1:4">
      <c r="A2774" s="1">
        <v>22297</v>
      </c>
      <c r="B2774">
        <v>59.58</v>
      </c>
      <c r="C2774">
        <f t="shared" si="106"/>
        <v>-3.3557046979871018E-4</v>
      </c>
      <c r="D2774">
        <f t="shared" si="105"/>
        <v>-6.8339624480267133E-2</v>
      </c>
    </row>
    <row r="2775" spans="1:4">
      <c r="A2775" s="1">
        <v>22298</v>
      </c>
      <c r="B2775">
        <v>59.64</v>
      </c>
      <c r="C2775">
        <f t="shared" si="106"/>
        <v>1.0070493454179636E-3</v>
      </c>
      <c r="D2775">
        <f t="shared" si="105"/>
        <v>7.3440571627964149E-2</v>
      </c>
    </row>
    <row r="2776" spans="1:4">
      <c r="A2776" s="1">
        <v>22299</v>
      </c>
      <c r="B2776">
        <v>59.68</v>
      </c>
      <c r="C2776">
        <f t="shared" si="106"/>
        <v>6.7069081153586763E-4</v>
      </c>
      <c r="D2776">
        <f t="shared" si="105"/>
        <v>3.7921224783835659E-2</v>
      </c>
    </row>
    <row r="2777" spans="1:4">
      <c r="A2777" s="1">
        <v>22300</v>
      </c>
      <c r="B2777">
        <v>59.77</v>
      </c>
      <c r="C2777">
        <f t="shared" si="106"/>
        <v>1.5080428954424164E-3</v>
      </c>
      <c r="D2777">
        <f t="shared" si="105"/>
        <v>0.12634532021456446</v>
      </c>
    </row>
    <row r="2778" spans="1:4">
      <c r="A2778" s="1">
        <v>22301</v>
      </c>
      <c r="B2778">
        <v>59.96</v>
      </c>
      <c r="C2778">
        <f t="shared" si="106"/>
        <v>3.1788522670235524E-3</v>
      </c>
      <c r="D2778">
        <f t="shared" si="105"/>
        <v>0.30278222191783244</v>
      </c>
    </row>
    <row r="2779" spans="1:4">
      <c r="A2779" s="1">
        <v>22304</v>
      </c>
      <c r="B2779">
        <v>60.29</v>
      </c>
      <c r="C2779">
        <f t="shared" si="106"/>
        <v>5.5036691127417995E-3</v>
      </c>
      <c r="D2779">
        <f t="shared" si="105"/>
        <v>0.54828209058203747</v>
      </c>
    </row>
    <row r="2780" spans="1:4">
      <c r="A2780" s="1">
        <v>22305</v>
      </c>
      <c r="B2780">
        <v>60.45</v>
      </c>
      <c r="C2780">
        <f t="shared" si="106"/>
        <v>2.6538397744236804E-3</v>
      </c>
      <c r="D2780">
        <f t="shared" si="105"/>
        <v>0.24734108115970313</v>
      </c>
    </row>
    <row r="2781" spans="1:4">
      <c r="A2781" s="1">
        <v>22306</v>
      </c>
      <c r="B2781">
        <v>60.53</v>
      </c>
      <c r="C2781">
        <f t="shared" si="106"/>
        <v>1.3234077750206501E-3</v>
      </c>
      <c r="D2781">
        <f t="shared" si="105"/>
        <v>0.10684791425855272</v>
      </c>
    </row>
    <row r="2782" spans="1:4">
      <c r="A2782" s="1">
        <v>22307</v>
      </c>
      <c r="B2782">
        <v>60.62</v>
      </c>
      <c r="C2782">
        <f t="shared" si="106"/>
        <v>1.486866016851087E-3</v>
      </c>
      <c r="D2782">
        <f t="shared" si="105"/>
        <v>0.12410904903369085</v>
      </c>
    </row>
    <row r="2783" spans="1:4">
      <c r="A2783" s="1">
        <v>22308</v>
      </c>
      <c r="B2783">
        <v>61.24</v>
      </c>
      <c r="C2783">
        <f t="shared" si="106"/>
        <v>1.0227647641042635E-2</v>
      </c>
      <c r="D2783">
        <f t="shared" si="105"/>
        <v>1.0471326174122841</v>
      </c>
    </row>
    <row r="2784" spans="1:4">
      <c r="A2784" s="1">
        <v>22311</v>
      </c>
      <c r="B2784">
        <v>61.97</v>
      </c>
      <c r="C2784">
        <f t="shared" si="106"/>
        <v>1.1920313520574736E-2</v>
      </c>
      <c r="D2784">
        <f t="shared" si="105"/>
        <v>1.2258775589257862</v>
      </c>
    </row>
    <row r="2785" spans="1:4">
      <c r="A2785" s="1">
        <v>22312</v>
      </c>
      <c r="B2785">
        <v>61.78</v>
      </c>
      <c r="C2785">
        <f t="shared" si="106"/>
        <v>-3.0659996772631551E-3</v>
      </c>
      <c r="D2785">
        <f t="shared" si="105"/>
        <v>-0.35667202067052994</v>
      </c>
    </row>
    <row r="2786" spans="1:4">
      <c r="A2786" s="1">
        <v>22313</v>
      </c>
      <c r="B2786">
        <v>61.9</v>
      </c>
      <c r="C2786">
        <f t="shared" si="106"/>
        <v>1.9423761735188967E-3</v>
      </c>
      <c r="D2786">
        <f t="shared" si="105"/>
        <v>0.17221076674238622</v>
      </c>
    </row>
    <row r="2787" spans="1:4">
      <c r="A2787" s="1">
        <v>22314</v>
      </c>
      <c r="B2787">
        <v>62.3</v>
      </c>
      <c r="C2787">
        <f t="shared" si="106"/>
        <v>6.4620355411954536E-3</v>
      </c>
      <c r="D2787">
        <f t="shared" si="105"/>
        <v>0.64948525966216619</v>
      </c>
    </row>
    <row r="2788" spans="1:4">
      <c r="A2788" s="1">
        <v>22315</v>
      </c>
      <c r="B2788">
        <v>62.22</v>
      </c>
      <c r="C2788">
        <f t="shared" si="106"/>
        <v>-1.2841091492776613E-3</v>
      </c>
      <c r="D2788">
        <f t="shared" si="105"/>
        <v>-0.16850498660928143</v>
      </c>
    </row>
    <row r="2789" spans="1:4">
      <c r="A2789" s="1">
        <v>22318</v>
      </c>
      <c r="B2789">
        <v>61.76</v>
      </c>
      <c r="C2789">
        <f t="shared" si="106"/>
        <v>-7.393121182899403E-3</v>
      </c>
      <c r="D2789">
        <f t="shared" si="105"/>
        <v>-0.81361458080565263</v>
      </c>
    </row>
    <row r="2790" spans="1:4">
      <c r="A2790" s="1">
        <v>22319</v>
      </c>
      <c r="B2790">
        <v>61.65</v>
      </c>
      <c r="C2790">
        <f t="shared" si="106"/>
        <v>-1.7810880829015453E-3</v>
      </c>
      <c r="D2790">
        <f t="shared" si="105"/>
        <v>-0.22098579306861613</v>
      </c>
    </row>
    <row r="2791" spans="1:4">
      <c r="A2791" s="1">
        <v>22320</v>
      </c>
      <c r="B2791">
        <v>62.21</v>
      </c>
      <c r="C2791">
        <f t="shared" si="106"/>
        <v>9.0835360908353979E-3</v>
      </c>
      <c r="D2791">
        <f t="shared" si="105"/>
        <v>0.92631482661281173</v>
      </c>
    </row>
    <row r="2792" spans="1:4">
      <c r="A2792" s="1">
        <v>22321</v>
      </c>
      <c r="B2792">
        <v>62.02</v>
      </c>
      <c r="C2792">
        <f t="shared" si="106"/>
        <v>-3.0541713550875701E-3</v>
      </c>
      <c r="D2792">
        <f t="shared" si="105"/>
        <v>-0.35542295386943024</v>
      </c>
    </row>
    <row r="2793" spans="1:4">
      <c r="A2793" s="1">
        <v>22322</v>
      </c>
      <c r="B2793">
        <v>61.5</v>
      </c>
      <c r="C2793">
        <f t="shared" si="106"/>
        <v>-8.3843921315705106E-3</v>
      </c>
      <c r="D2793">
        <f t="shared" si="105"/>
        <v>-0.91829245603595455</v>
      </c>
    </row>
    <row r="2794" spans="1:4">
      <c r="A2794" s="1">
        <v>22325</v>
      </c>
      <c r="B2794">
        <v>61.14</v>
      </c>
      <c r="C2794">
        <f t="shared" si="106"/>
        <v>-5.8536585365853563E-3</v>
      </c>
      <c r="D2794">
        <f t="shared" si="105"/>
        <v>-0.65104784864366805</v>
      </c>
    </row>
    <row r="2795" spans="1:4">
      <c r="A2795" s="1">
        <v>22326</v>
      </c>
      <c r="B2795">
        <v>61.41</v>
      </c>
      <c r="C2795">
        <f t="shared" si="106"/>
        <v>4.4160942100097481E-3</v>
      </c>
      <c r="D2795">
        <f t="shared" si="105"/>
        <v>0.43343455053820434</v>
      </c>
    </row>
    <row r="2796" spans="1:4">
      <c r="A2796" s="1">
        <v>22327</v>
      </c>
      <c r="B2796">
        <v>61.92</v>
      </c>
      <c r="C2796">
        <f t="shared" si="106"/>
        <v>8.3048363458720909E-3</v>
      </c>
      <c r="D2796">
        <f t="shared" si="105"/>
        <v>0.84408439823759052</v>
      </c>
    </row>
    <row r="2797" spans="1:4">
      <c r="A2797" s="1">
        <v>22328</v>
      </c>
      <c r="B2797">
        <v>62.3</v>
      </c>
      <c r="C2797">
        <f t="shared" si="106"/>
        <v>6.1369509043926913E-3</v>
      </c>
      <c r="D2797">
        <f t="shared" si="105"/>
        <v>0.61515643251743157</v>
      </c>
    </row>
    <row r="2798" spans="1:4">
      <c r="A2798" s="1">
        <v>22329</v>
      </c>
      <c r="B2798">
        <v>62.1</v>
      </c>
      <c r="C2798">
        <f t="shared" si="106"/>
        <v>-3.2102728731941534E-3</v>
      </c>
      <c r="D2798">
        <f t="shared" si="105"/>
        <v>-0.3719072211200013</v>
      </c>
    </row>
    <row r="2799" spans="1:4">
      <c r="A2799" s="1">
        <v>22332</v>
      </c>
      <c r="B2799">
        <v>62.32</v>
      </c>
      <c r="C2799">
        <f t="shared" si="106"/>
        <v>3.5426731078904809E-3</v>
      </c>
      <c r="D2799">
        <f t="shared" si="105"/>
        <v>0.34120157904466752</v>
      </c>
    </row>
    <row r="2800" spans="1:4">
      <c r="A2800" s="1">
        <v>22333</v>
      </c>
      <c r="B2800">
        <v>62.36</v>
      </c>
      <c r="C2800">
        <f t="shared" si="106"/>
        <v>6.4184852374838167E-4</v>
      </c>
      <c r="D2800">
        <f t="shared" si="105"/>
        <v>3.4875488997447114E-2</v>
      </c>
    </row>
    <row r="2801" spans="1:4">
      <c r="A2801" s="1">
        <v>22335</v>
      </c>
      <c r="B2801">
        <v>62.59</v>
      </c>
      <c r="C2801">
        <f t="shared" si="106"/>
        <v>3.688261706222001E-3</v>
      </c>
      <c r="D2801">
        <f t="shared" si="105"/>
        <v>0.35657568554050695</v>
      </c>
    </row>
    <row r="2802" spans="1:4">
      <c r="A2802" s="1">
        <v>22336</v>
      </c>
      <c r="B2802">
        <v>62.84</v>
      </c>
      <c r="C2802">
        <f t="shared" si="106"/>
        <v>3.9942482824732381E-3</v>
      </c>
      <c r="D2802">
        <f t="shared" si="105"/>
        <v>0.38888776398274677</v>
      </c>
    </row>
    <row r="2803" spans="1:4">
      <c r="A2803" s="1">
        <v>22339</v>
      </c>
      <c r="B2803">
        <v>63.3</v>
      </c>
      <c r="C2803">
        <f t="shared" si="106"/>
        <v>7.3201782304263803E-3</v>
      </c>
      <c r="D2803">
        <f t="shared" si="105"/>
        <v>0.74010483594807919</v>
      </c>
    </row>
    <row r="2804" spans="1:4">
      <c r="A2804" s="1">
        <v>22340</v>
      </c>
      <c r="B2804">
        <v>63.44</v>
      </c>
      <c r="C2804">
        <f t="shared" si="106"/>
        <v>2.2116903633491404E-3</v>
      </c>
      <c r="D2804">
        <f t="shared" si="105"/>
        <v>0.20065025364411893</v>
      </c>
    </row>
    <row r="2805" spans="1:4">
      <c r="A2805" s="1">
        <v>22341</v>
      </c>
      <c r="B2805">
        <v>63.43</v>
      </c>
      <c r="C2805">
        <f t="shared" si="106"/>
        <v>-1.5762925598988037E-4</v>
      </c>
      <c r="D2805">
        <f t="shared" si="105"/>
        <v>-4.9549092787212097E-2</v>
      </c>
    </row>
    <row r="2806" spans="1:4">
      <c r="A2806" s="1">
        <v>22342</v>
      </c>
      <c r="B2806">
        <v>63.85</v>
      </c>
      <c r="C2806">
        <f t="shared" si="106"/>
        <v>6.6214724893583748E-3</v>
      </c>
      <c r="D2806">
        <f t="shared" si="105"/>
        <v>0.66632174719291881</v>
      </c>
    </row>
    <row r="2807" spans="1:4">
      <c r="A2807" s="1">
        <v>22343</v>
      </c>
      <c r="B2807">
        <v>63.95</v>
      </c>
      <c r="C2807">
        <f t="shared" si="106"/>
        <v>1.5661707126076964E-3</v>
      </c>
      <c r="D2807">
        <f t="shared" si="105"/>
        <v>0.13248359794861292</v>
      </c>
    </row>
    <row r="2808" spans="1:4">
      <c r="A2808" s="1">
        <v>22346</v>
      </c>
      <c r="B2808">
        <v>64.05</v>
      </c>
      <c r="C2808">
        <f t="shared" si="106"/>
        <v>1.5637216575448681E-3</v>
      </c>
      <c r="D2808">
        <f t="shared" si="105"/>
        <v>0.13222497856645252</v>
      </c>
    </row>
    <row r="2809" spans="1:4">
      <c r="A2809" s="1">
        <v>22347</v>
      </c>
      <c r="B2809">
        <v>63.47</v>
      </c>
      <c r="C2809">
        <f t="shared" si="106"/>
        <v>-9.0554254488680458E-3</v>
      </c>
      <c r="D2809">
        <f t="shared" si="105"/>
        <v>-0.98915334624726703</v>
      </c>
    </row>
    <row r="2810" spans="1:4">
      <c r="A2810" s="1">
        <v>22348</v>
      </c>
      <c r="B2810">
        <v>63.44</v>
      </c>
      <c r="C2810">
        <f t="shared" si="106"/>
        <v>-4.7266425082718034E-4</v>
      </c>
      <c r="D2810">
        <f t="shared" si="105"/>
        <v>-8.2816681156433217E-2</v>
      </c>
    </row>
    <row r="2811" spans="1:4">
      <c r="A2811" s="1">
        <v>22349</v>
      </c>
      <c r="B2811">
        <v>63.5</v>
      </c>
      <c r="C2811">
        <f t="shared" si="106"/>
        <v>9.4577553593950625E-4</v>
      </c>
      <c r="D2811">
        <f t="shared" si="105"/>
        <v>6.6970078175018849E-2</v>
      </c>
    </row>
    <row r="2812" spans="1:4">
      <c r="A2812" s="1">
        <v>22350</v>
      </c>
      <c r="B2812">
        <v>63.48</v>
      </c>
      <c r="C2812">
        <f t="shared" si="106"/>
        <v>-3.1496062992130905E-4</v>
      </c>
      <c r="D2812">
        <f t="shared" si="105"/>
        <v>-6.6163232394838525E-2</v>
      </c>
    </row>
    <row r="2813" spans="1:4">
      <c r="A2813" s="1">
        <v>22353</v>
      </c>
      <c r="B2813">
        <v>63.66</v>
      </c>
      <c r="C2813">
        <f t="shared" si="106"/>
        <v>2.8355387523629448E-3</v>
      </c>
      <c r="D2813">
        <f t="shared" si="105"/>
        <v>0.26652843146760596</v>
      </c>
    </row>
    <row r="2814" spans="1:4">
      <c r="A2814" s="1">
        <v>22354</v>
      </c>
      <c r="B2814">
        <v>63.38</v>
      </c>
      <c r="C2814">
        <f t="shared" si="106"/>
        <v>-4.3983663210806481E-3</v>
      </c>
      <c r="D2814">
        <f t="shared" si="105"/>
        <v>-0.49736948536423009</v>
      </c>
    </row>
    <row r="2815" spans="1:4">
      <c r="A2815" s="1">
        <v>22355</v>
      </c>
      <c r="B2815">
        <v>63.57</v>
      </c>
      <c r="C2815">
        <f t="shared" si="106"/>
        <v>2.9977911012937473E-3</v>
      </c>
      <c r="D2815">
        <f t="shared" si="105"/>
        <v>0.28366222436244559</v>
      </c>
    </row>
    <row r="2816" spans="1:4">
      <c r="A2816" s="1">
        <v>22356</v>
      </c>
      <c r="B2816">
        <v>64.209999999999994</v>
      </c>
      <c r="C2816">
        <f t="shared" si="106"/>
        <v>1.0067641969482358E-2</v>
      </c>
      <c r="D2816">
        <f t="shared" si="105"/>
        <v>1.0302360728840894</v>
      </c>
    </row>
    <row r="2817" spans="1:4">
      <c r="A2817" s="1">
        <v>22357</v>
      </c>
      <c r="B2817">
        <v>64</v>
      </c>
      <c r="C2817">
        <f t="shared" si="106"/>
        <v>-3.2705186108081884E-3</v>
      </c>
      <c r="D2817">
        <f t="shared" si="105"/>
        <v>-0.37826915053352217</v>
      </c>
    </row>
    <row r="2818" spans="1:4">
      <c r="A2818" s="1">
        <v>22360</v>
      </c>
      <c r="B2818">
        <v>64.86</v>
      </c>
      <c r="C2818">
        <f t="shared" si="106"/>
        <v>1.3437499999999991E-2</v>
      </c>
      <c r="D2818">
        <f t="shared" si="105"/>
        <v>1.3860919354363512</v>
      </c>
    </row>
    <row r="2819" spans="1:4">
      <c r="A2819" s="1">
        <v>22361</v>
      </c>
      <c r="B2819">
        <v>64.739999999999995</v>
      </c>
      <c r="C2819">
        <f t="shared" si="106"/>
        <v>-1.8501387604071007E-3</v>
      </c>
      <c r="D2819">
        <f t="shared" ref="D2819:D2882" si="107">(C2819-avg)/sd</f>
        <v>-0.22827752114173705</v>
      </c>
    </row>
    <row r="2820" spans="1:4">
      <c r="A2820" s="1">
        <v>22362</v>
      </c>
      <c r="B2820">
        <v>64.7</v>
      </c>
      <c r="C2820">
        <f t="shared" ref="C2820:C2883" si="108">(B2820-B2819)/B2819</f>
        <v>-6.178560395426637E-4</v>
      </c>
      <c r="D2820">
        <f t="shared" si="107"/>
        <v>-9.8148884691701327E-2</v>
      </c>
    </row>
    <row r="2821" spans="1:4">
      <c r="A2821" s="1">
        <v>22363</v>
      </c>
      <c r="B2821">
        <v>64.53</v>
      </c>
      <c r="C2821">
        <f t="shared" si="108"/>
        <v>-2.6275115919629321E-3</v>
      </c>
      <c r="D2821">
        <f t="shared" si="107"/>
        <v>-0.31036782791216855</v>
      </c>
    </row>
    <row r="2822" spans="1:4">
      <c r="A2822" s="1">
        <v>22364</v>
      </c>
      <c r="B2822">
        <v>64.42</v>
      </c>
      <c r="C2822">
        <f t="shared" si="108"/>
        <v>-1.7046335037966748E-3</v>
      </c>
      <c r="D2822">
        <f t="shared" si="107"/>
        <v>-0.21291221550331593</v>
      </c>
    </row>
    <row r="2823" spans="1:4">
      <c r="A2823" s="1">
        <v>22367</v>
      </c>
      <c r="B2823">
        <v>64.349999999999994</v>
      </c>
      <c r="C2823">
        <f t="shared" si="108"/>
        <v>-1.0866190624030951E-3</v>
      </c>
      <c r="D2823">
        <f t="shared" si="107"/>
        <v>-0.14765010056546946</v>
      </c>
    </row>
    <row r="2824" spans="1:4">
      <c r="A2824" s="1">
        <v>22368</v>
      </c>
      <c r="B2824">
        <v>64.38</v>
      </c>
      <c r="C2824">
        <f t="shared" si="108"/>
        <v>4.6620046620048393E-4</v>
      </c>
      <c r="D2824">
        <f t="shared" si="107"/>
        <v>1.6327113826064818E-2</v>
      </c>
    </row>
    <row r="2825" spans="1:4">
      <c r="A2825" s="1">
        <v>22369</v>
      </c>
      <c r="B2825">
        <v>64.930000000000007</v>
      </c>
      <c r="C2825">
        <f t="shared" si="108"/>
        <v>8.5430257844052726E-3</v>
      </c>
      <c r="D2825">
        <f t="shared" si="107"/>
        <v>0.86923712198217051</v>
      </c>
    </row>
    <row r="2826" spans="1:4">
      <c r="A2826" s="1">
        <v>22370</v>
      </c>
      <c r="B2826">
        <v>65.06</v>
      </c>
      <c r="C2826">
        <f t="shared" si="108"/>
        <v>2.0021561681810478E-3</v>
      </c>
      <c r="D2826">
        <f t="shared" si="107"/>
        <v>0.1785235138585019</v>
      </c>
    </row>
    <row r="2827" spans="1:4">
      <c r="A2827" s="1">
        <v>22374</v>
      </c>
      <c r="B2827">
        <v>65.599999999999994</v>
      </c>
      <c r="C2827">
        <f t="shared" si="108"/>
        <v>8.3000307408544732E-3</v>
      </c>
      <c r="D2827">
        <f t="shared" si="107"/>
        <v>0.84357692798123463</v>
      </c>
    </row>
    <row r="2828" spans="1:4">
      <c r="A2828" s="1">
        <v>22375</v>
      </c>
      <c r="B2828">
        <v>65.66</v>
      </c>
      <c r="C2828">
        <f t="shared" si="108"/>
        <v>9.1463414634149816E-4</v>
      </c>
      <c r="D2828">
        <f t="shared" si="107"/>
        <v>6.3681558018941847E-2</v>
      </c>
    </row>
    <row r="2829" spans="1:4">
      <c r="A2829" s="1">
        <v>22376</v>
      </c>
      <c r="B2829">
        <v>65.459999999999994</v>
      </c>
      <c r="C2829">
        <f t="shared" si="108"/>
        <v>-3.0459945172099123E-3</v>
      </c>
      <c r="D2829">
        <f t="shared" si="107"/>
        <v>-0.35455948256899184</v>
      </c>
    </row>
    <row r="2830" spans="1:4">
      <c r="A2830" s="1">
        <v>22377</v>
      </c>
      <c r="B2830">
        <v>65.61</v>
      </c>
      <c r="C2830">
        <f t="shared" si="108"/>
        <v>2.2914757103575573E-3</v>
      </c>
      <c r="D2830">
        <f t="shared" si="107"/>
        <v>0.20907555916785062</v>
      </c>
    </row>
    <row r="2831" spans="1:4">
      <c r="A2831" s="1">
        <v>22378</v>
      </c>
      <c r="B2831">
        <v>65.959999999999994</v>
      </c>
      <c r="C2831">
        <f t="shared" si="108"/>
        <v>5.3345526596554537E-3</v>
      </c>
      <c r="D2831">
        <f t="shared" si="107"/>
        <v>0.53042345062159479</v>
      </c>
    </row>
    <row r="2832" spans="1:4">
      <c r="A2832" s="1">
        <v>22381</v>
      </c>
      <c r="B2832">
        <v>66.53</v>
      </c>
      <c r="C2832">
        <f t="shared" si="108"/>
        <v>8.6416009702851345E-3</v>
      </c>
      <c r="D2832">
        <f t="shared" si="107"/>
        <v>0.87964662810375027</v>
      </c>
    </row>
    <row r="2833" spans="1:4">
      <c r="A2833" s="1">
        <v>22382</v>
      </c>
      <c r="B2833">
        <v>66.62</v>
      </c>
      <c r="C2833">
        <f t="shared" si="108"/>
        <v>1.3527731850293612E-3</v>
      </c>
      <c r="D2833">
        <f t="shared" si="107"/>
        <v>0.10994889157368477</v>
      </c>
    </row>
    <row r="2834" spans="1:4">
      <c r="A2834" s="1">
        <v>22383</v>
      </c>
      <c r="B2834">
        <v>66.31</v>
      </c>
      <c r="C2834">
        <f t="shared" si="108"/>
        <v>-4.6532572800961009E-3</v>
      </c>
      <c r="D2834">
        <f t="shared" si="107"/>
        <v>-0.52428588399461518</v>
      </c>
    </row>
    <row r="2835" spans="1:4">
      <c r="A2835" s="1">
        <v>22384</v>
      </c>
      <c r="B2835">
        <v>66.260000000000005</v>
      </c>
      <c r="C2835">
        <f t="shared" si="108"/>
        <v>-7.5403408234047894E-4</v>
      </c>
      <c r="D2835">
        <f t="shared" si="107"/>
        <v>-0.11252923972198479</v>
      </c>
    </row>
    <row r="2836" spans="1:4">
      <c r="A2836" s="1">
        <v>22385</v>
      </c>
      <c r="B2836">
        <v>66.37</v>
      </c>
      <c r="C2836">
        <f t="shared" si="108"/>
        <v>1.6601267733172265E-3</v>
      </c>
      <c r="D2836">
        <f t="shared" si="107"/>
        <v>0.14240532602232253</v>
      </c>
    </row>
    <row r="2837" spans="1:4">
      <c r="A2837" s="1">
        <v>22388</v>
      </c>
      <c r="B2837">
        <v>68.680000000000007</v>
      </c>
      <c r="C2837">
        <f t="shared" si="108"/>
        <v>3.4804881723670363E-2</v>
      </c>
      <c r="D2837">
        <f t="shared" si="107"/>
        <v>3.6424801823299977</v>
      </c>
    </row>
    <row r="2838" spans="1:4">
      <c r="A2838" s="1">
        <v>22389</v>
      </c>
      <c r="B2838">
        <v>66.2</v>
      </c>
      <c r="C2838">
        <f t="shared" si="108"/>
        <v>-3.6109493302271457E-2</v>
      </c>
      <c r="D2838">
        <f t="shared" si="107"/>
        <v>-3.8460537154421872</v>
      </c>
    </row>
    <row r="2839" spans="1:4">
      <c r="A2839" s="1">
        <v>22390</v>
      </c>
      <c r="B2839">
        <v>65.81</v>
      </c>
      <c r="C2839">
        <f t="shared" si="108"/>
        <v>-5.8912386706948721E-3</v>
      </c>
      <c r="D2839">
        <f t="shared" si="107"/>
        <v>-0.65501629803152472</v>
      </c>
    </row>
    <row r="2840" spans="1:4">
      <c r="A2840" s="1">
        <v>22391</v>
      </c>
      <c r="B2840">
        <v>65.819999999999993</v>
      </c>
      <c r="C2840">
        <f t="shared" si="108"/>
        <v>1.5195259079153479E-4</v>
      </c>
      <c r="D2840">
        <f t="shared" si="107"/>
        <v>-1.6857354999077336E-2</v>
      </c>
    </row>
    <row r="2841" spans="1:4">
      <c r="A2841" s="1">
        <v>22392</v>
      </c>
      <c r="B2841">
        <v>65.77</v>
      </c>
      <c r="C2841">
        <f t="shared" si="108"/>
        <v>-7.596475235490301E-4</v>
      </c>
      <c r="D2841">
        <f t="shared" si="107"/>
        <v>-0.11312201720550641</v>
      </c>
    </row>
    <row r="2842" spans="1:4">
      <c r="A2842" s="1">
        <v>22395</v>
      </c>
      <c r="B2842">
        <v>64.400000000000006</v>
      </c>
      <c r="C2842">
        <f t="shared" si="108"/>
        <v>-2.0830165729055654E-2</v>
      </c>
      <c r="D2842">
        <f t="shared" si="107"/>
        <v>-2.2325619174063895</v>
      </c>
    </row>
    <row r="2843" spans="1:4">
      <c r="A2843" s="1">
        <v>22396</v>
      </c>
      <c r="B2843">
        <v>65.3</v>
      </c>
      <c r="C2843">
        <f t="shared" si="108"/>
        <v>1.3975155279502972E-2</v>
      </c>
      <c r="D2843">
        <f t="shared" si="107"/>
        <v>1.4428681501939569</v>
      </c>
    </row>
    <row r="2844" spans="1:4">
      <c r="A2844" s="1">
        <v>22397</v>
      </c>
      <c r="B2844">
        <v>65.55</v>
      </c>
      <c r="C2844">
        <f t="shared" si="108"/>
        <v>3.8284839203675345E-3</v>
      </c>
      <c r="D2844">
        <f t="shared" si="107"/>
        <v>0.37138310369042887</v>
      </c>
    </row>
    <row r="2845" spans="1:4">
      <c r="A2845" s="1">
        <v>22398</v>
      </c>
      <c r="B2845">
        <v>65.459999999999994</v>
      </c>
      <c r="C2845">
        <f t="shared" si="108"/>
        <v>-1.3729977116705326E-3</v>
      </c>
      <c r="D2845">
        <f t="shared" si="107"/>
        <v>-0.17789158858327822</v>
      </c>
    </row>
    <row r="2846" spans="1:4">
      <c r="A2846" s="1">
        <v>22399</v>
      </c>
      <c r="B2846">
        <v>65.31</v>
      </c>
      <c r="C2846">
        <f t="shared" si="108"/>
        <v>-2.2914757103573401E-3</v>
      </c>
      <c r="D2846">
        <f t="shared" si="107"/>
        <v>-0.27488255303876402</v>
      </c>
    </row>
    <row r="2847" spans="1:4">
      <c r="A2847" s="1">
        <v>22402</v>
      </c>
      <c r="B2847">
        <v>65.17</v>
      </c>
      <c r="C2847">
        <f t="shared" si="108"/>
        <v>-2.1436227224008661E-3</v>
      </c>
      <c r="D2847">
        <f t="shared" si="107"/>
        <v>-0.25926932776823292</v>
      </c>
    </row>
    <row r="2848" spans="1:4">
      <c r="A2848" s="1">
        <v>22403</v>
      </c>
      <c r="B2848">
        <v>65.64</v>
      </c>
      <c r="C2848">
        <f t="shared" si="108"/>
        <v>7.211907319318687E-3</v>
      </c>
      <c r="D2848">
        <f t="shared" si="107"/>
        <v>0.72867146453817766</v>
      </c>
    </row>
    <row r="2849" spans="1:4">
      <c r="A2849" s="1">
        <v>22404</v>
      </c>
      <c r="B2849">
        <v>66.180000000000007</v>
      </c>
      <c r="C2849">
        <f t="shared" si="108"/>
        <v>8.2266910420476271E-3</v>
      </c>
      <c r="D2849">
        <f t="shared" si="107"/>
        <v>0.83583228071660653</v>
      </c>
    </row>
    <row r="2850" spans="1:4">
      <c r="A2850" s="1">
        <v>22405</v>
      </c>
      <c r="B2850">
        <v>66.44</v>
      </c>
      <c r="C2850">
        <f t="shared" si="108"/>
        <v>3.9286793593229204E-3</v>
      </c>
      <c r="D2850">
        <f t="shared" si="107"/>
        <v>0.38196370798603313</v>
      </c>
    </row>
    <row r="2851" spans="1:4">
      <c r="A2851" s="1">
        <v>22406</v>
      </c>
      <c r="B2851">
        <v>66.52</v>
      </c>
      <c r="C2851">
        <f t="shared" si="108"/>
        <v>1.2040939193256818E-3</v>
      </c>
      <c r="D2851">
        <f t="shared" si="107"/>
        <v>9.4248411653914177E-2</v>
      </c>
    </row>
    <row r="2852" spans="1:4">
      <c r="A2852" s="1">
        <v>22409</v>
      </c>
      <c r="B2852">
        <v>66.41</v>
      </c>
      <c r="C2852">
        <f t="shared" si="108"/>
        <v>-1.6536380036079291E-3</v>
      </c>
      <c r="D2852">
        <f t="shared" si="107"/>
        <v>-0.20752710801759713</v>
      </c>
    </row>
    <row r="2853" spans="1:4">
      <c r="A2853" s="1">
        <v>22410</v>
      </c>
      <c r="B2853">
        <v>66.47</v>
      </c>
      <c r="C2853">
        <f t="shared" si="108"/>
        <v>9.0347839180849687E-4</v>
      </c>
      <c r="D2853">
        <f t="shared" si="107"/>
        <v>6.2503514132282112E-2</v>
      </c>
    </row>
    <row r="2854" spans="1:4">
      <c r="A2854" s="1">
        <v>22411</v>
      </c>
      <c r="B2854">
        <v>66.41</v>
      </c>
      <c r="C2854">
        <f t="shared" si="108"/>
        <v>-9.0266285542353359E-4</v>
      </c>
      <c r="D2854">
        <f t="shared" si="107"/>
        <v>-0.1282243876381807</v>
      </c>
    </row>
    <row r="2855" spans="1:4">
      <c r="A2855" s="1">
        <v>22412</v>
      </c>
      <c r="B2855">
        <v>66.39</v>
      </c>
      <c r="C2855">
        <f t="shared" si="108"/>
        <v>-3.011594639360943E-4</v>
      </c>
      <c r="D2855">
        <f t="shared" si="107"/>
        <v>-6.4705833958044107E-2</v>
      </c>
    </row>
    <row r="2856" spans="1:4">
      <c r="A2856" s="1">
        <v>22413</v>
      </c>
      <c r="B2856">
        <v>66.5</v>
      </c>
      <c r="C2856">
        <f t="shared" si="108"/>
        <v>1.6568760355475136E-3</v>
      </c>
      <c r="D2856">
        <f t="shared" si="107"/>
        <v>0.14206204921882029</v>
      </c>
    </row>
    <row r="2857" spans="1:4">
      <c r="A2857" s="1">
        <v>22416</v>
      </c>
      <c r="B2857">
        <v>66.83</v>
      </c>
      <c r="C2857">
        <f t="shared" si="108"/>
        <v>4.9624060150375683E-3</v>
      </c>
      <c r="D2857">
        <f t="shared" si="107"/>
        <v>0.49112489144873689</v>
      </c>
    </row>
    <row r="2858" spans="1:4">
      <c r="A2858" s="1">
        <v>22417</v>
      </c>
      <c r="B2858">
        <v>67.08</v>
      </c>
      <c r="C2858">
        <f t="shared" si="108"/>
        <v>3.7408349543618137E-3</v>
      </c>
      <c r="D2858">
        <f t="shared" si="107"/>
        <v>0.36212740267355586</v>
      </c>
    </row>
    <row r="2859" spans="1:4">
      <c r="A2859" s="1">
        <v>22418</v>
      </c>
      <c r="B2859">
        <v>67.39</v>
      </c>
      <c r="C2859">
        <f t="shared" si="108"/>
        <v>4.6213476446034926E-3</v>
      </c>
      <c r="D2859">
        <f t="shared" si="107"/>
        <v>0.45510924346227144</v>
      </c>
    </row>
    <row r="2860" spans="1:4">
      <c r="A2860" s="1">
        <v>22419</v>
      </c>
      <c r="B2860">
        <v>66.989999999999995</v>
      </c>
      <c r="C2860">
        <f t="shared" si="108"/>
        <v>-5.9355987535243465E-3</v>
      </c>
      <c r="D2860">
        <f t="shared" si="107"/>
        <v>-0.65970070769959233</v>
      </c>
    </row>
    <row r="2861" spans="1:4">
      <c r="A2861" s="1">
        <v>22420</v>
      </c>
      <c r="B2861">
        <v>67.27</v>
      </c>
      <c r="C2861">
        <f t="shared" si="108"/>
        <v>4.179728317659369E-3</v>
      </c>
      <c r="D2861">
        <f t="shared" si="107"/>
        <v>0.40847439265067492</v>
      </c>
    </row>
    <row r="2862" spans="1:4">
      <c r="A2862" s="1">
        <v>22423</v>
      </c>
      <c r="B2862">
        <v>66.849999999999994</v>
      </c>
      <c r="C2862">
        <f t="shared" si="108"/>
        <v>-6.2434963579604836E-3</v>
      </c>
      <c r="D2862">
        <f t="shared" si="107"/>
        <v>-0.69221459006856756</v>
      </c>
    </row>
    <row r="2863" spans="1:4">
      <c r="A2863" s="1">
        <v>22424</v>
      </c>
      <c r="B2863">
        <v>66.680000000000007</v>
      </c>
      <c r="C2863">
        <f t="shared" si="108"/>
        <v>-2.5430067314882198E-3</v>
      </c>
      <c r="D2863">
        <f t="shared" si="107"/>
        <v>-0.30144414337063663</v>
      </c>
    </row>
    <row r="2864" spans="1:4">
      <c r="A2864" s="1">
        <v>22425</v>
      </c>
      <c r="B2864">
        <v>66.260000000000005</v>
      </c>
      <c r="C2864">
        <f t="shared" si="108"/>
        <v>-6.2987402519496354E-3</v>
      </c>
      <c r="D2864">
        <f t="shared" si="107"/>
        <v>-0.69804832649551007</v>
      </c>
    </row>
    <row r="2865" spans="1:4">
      <c r="A2865" s="1">
        <v>22426</v>
      </c>
      <c r="B2865">
        <v>66.010000000000005</v>
      </c>
      <c r="C2865">
        <f t="shared" si="108"/>
        <v>-3.7730153939028069E-3</v>
      </c>
      <c r="D2865">
        <f t="shared" si="107"/>
        <v>-0.43133264002135824</v>
      </c>
    </row>
    <row r="2866" spans="1:4">
      <c r="A2866" s="1">
        <v>22427</v>
      </c>
      <c r="B2866">
        <v>66.430000000000007</v>
      </c>
      <c r="C2866">
        <f t="shared" si="108"/>
        <v>6.362672322375423E-3</v>
      </c>
      <c r="D2866">
        <f t="shared" si="107"/>
        <v>0.63899253752997009</v>
      </c>
    </row>
    <row r="2867" spans="1:4">
      <c r="A2867" s="1">
        <v>22432</v>
      </c>
      <c r="B2867">
        <v>66.56</v>
      </c>
      <c r="C2867">
        <f t="shared" si="108"/>
        <v>1.9569471624265459E-3</v>
      </c>
      <c r="D2867">
        <f t="shared" si="107"/>
        <v>0.17374945821811419</v>
      </c>
    </row>
    <row r="2868" spans="1:4">
      <c r="A2868" s="1">
        <v>22433</v>
      </c>
      <c r="B2868">
        <v>66.56</v>
      </c>
      <c r="C2868">
        <f t="shared" si="108"/>
        <v>0</v>
      </c>
      <c r="D2868">
        <f t="shared" si="107"/>
        <v>-3.29034969354682E-2</v>
      </c>
    </row>
    <row r="2869" spans="1:4">
      <c r="A2869" s="1">
        <v>22434</v>
      </c>
      <c r="B2869">
        <v>66.73</v>
      </c>
      <c r="C2869">
        <f t="shared" si="108"/>
        <v>2.5540865384615641E-3</v>
      </c>
      <c r="D2869">
        <f t="shared" si="107"/>
        <v>0.23680717334987605</v>
      </c>
    </row>
    <row r="2870" spans="1:4">
      <c r="A2870" s="1">
        <v>22437</v>
      </c>
      <c r="B2870">
        <v>67.08</v>
      </c>
      <c r="C2870">
        <f t="shared" si="108"/>
        <v>5.2450172336279679E-3</v>
      </c>
      <c r="D2870">
        <f t="shared" si="107"/>
        <v>0.52096854006766236</v>
      </c>
    </row>
    <row r="2871" spans="1:4">
      <c r="A2871" s="1">
        <v>22438</v>
      </c>
      <c r="B2871">
        <v>66.89</v>
      </c>
      <c r="C2871">
        <f t="shared" si="108"/>
        <v>-2.8324388789504732E-3</v>
      </c>
      <c r="D2871">
        <f t="shared" si="107"/>
        <v>-0.3320080797598835</v>
      </c>
    </row>
    <row r="2872" spans="1:4">
      <c r="A2872" s="1">
        <v>22439</v>
      </c>
      <c r="B2872">
        <v>65.64</v>
      </c>
      <c r="C2872">
        <f t="shared" si="108"/>
        <v>-1.8687397219315293E-2</v>
      </c>
      <c r="D2872">
        <f t="shared" si="107"/>
        <v>-2.0062862911402131</v>
      </c>
    </row>
    <row r="2873" spans="1:4">
      <c r="A2873" s="1">
        <v>22440</v>
      </c>
      <c r="B2873">
        <v>66.67</v>
      </c>
      <c r="C2873">
        <f t="shared" si="108"/>
        <v>1.5691651432053644E-2</v>
      </c>
      <c r="D2873">
        <f t="shared" si="107"/>
        <v>1.6241295604379165</v>
      </c>
    </row>
    <row r="2874" spans="1:4">
      <c r="A2874" s="1">
        <v>22441</v>
      </c>
      <c r="B2874">
        <v>66.66</v>
      </c>
      <c r="C2874">
        <f t="shared" si="108"/>
        <v>-1.4999250037505798E-4</v>
      </c>
      <c r="D2874">
        <f t="shared" si="107"/>
        <v>-4.8742653990146219E-2</v>
      </c>
    </row>
    <row r="2875" spans="1:4">
      <c r="A2875" s="1">
        <v>22444</v>
      </c>
      <c r="B2875">
        <v>66.150000000000006</v>
      </c>
      <c r="C2875">
        <f t="shared" si="108"/>
        <v>-7.6507650765075151E-3</v>
      </c>
      <c r="D2875">
        <f t="shared" si="107"/>
        <v>-0.84082168839325466</v>
      </c>
    </row>
    <row r="2876" spans="1:4">
      <c r="A2876" s="1">
        <v>22445</v>
      </c>
      <c r="B2876">
        <v>65.8</v>
      </c>
      <c r="C2876">
        <f t="shared" si="108"/>
        <v>-5.2910052910054191E-3</v>
      </c>
      <c r="D2876">
        <f t="shared" si="107"/>
        <v>-0.59163185716555744</v>
      </c>
    </row>
    <row r="2877" spans="1:4">
      <c r="A2877" s="1">
        <v>22446</v>
      </c>
      <c r="B2877">
        <v>65.98</v>
      </c>
      <c r="C2877">
        <f t="shared" si="108"/>
        <v>2.7355623100304991E-3</v>
      </c>
      <c r="D2877">
        <f t="shared" si="107"/>
        <v>0.25597095314094365</v>
      </c>
    </row>
    <row r="2878" spans="1:4">
      <c r="A2878" s="1">
        <v>22447</v>
      </c>
      <c r="B2878">
        <v>65.69</v>
      </c>
      <c r="C2878">
        <f t="shared" si="108"/>
        <v>-4.3952712943317101E-3</v>
      </c>
      <c r="D2878">
        <f t="shared" si="107"/>
        <v>-0.49704265159159294</v>
      </c>
    </row>
    <row r="2879" spans="1:4">
      <c r="A2879" s="1">
        <v>22448</v>
      </c>
      <c r="B2879">
        <v>65.180000000000007</v>
      </c>
      <c r="C2879">
        <f t="shared" si="108"/>
        <v>-7.7637387730246756E-3</v>
      </c>
      <c r="D2879">
        <f t="shared" si="107"/>
        <v>-0.85275167234384153</v>
      </c>
    </row>
    <row r="2880" spans="1:4">
      <c r="A2880" s="1">
        <v>22451</v>
      </c>
      <c r="B2880">
        <v>64.58</v>
      </c>
      <c r="C2880">
        <f t="shared" si="108"/>
        <v>-9.2052776925438552E-3</v>
      </c>
      <c r="D2880">
        <f t="shared" si="107"/>
        <v>-1.00497769224218</v>
      </c>
    </row>
    <row r="2881" spans="1:4">
      <c r="A2881" s="1">
        <v>22452</v>
      </c>
      <c r="B2881">
        <v>65.150000000000006</v>
      </c>
      <c r="C2881">
        <f t="shared" si="108"/>
        <v>8.8262620006195006E-3</v>
      </c>
      <c r="D2881">
        <f t="shared" si="107"/>
        <v>0.89914677013772526</v>
      </c>
    </row>
    <row r="2882" spans="1:4">
      <c r="A2882" s="1">
        <v>22453</v>
      </c>
      <c r="B2882">
        <v>65.14</v>
      </c>
      <c r="C2882">
        <f t="shared" si="108"/>
        <v>-1.5349194167314068E-4</v>
      </c>
      <c r="D2882">
        <f t="shared" si="107"/>
        <v>-4.9112193801705853E-2</v>
      </c>
    </row>
    <row r="2883" spans="1:4">
      <c r="A2883" s="1">
        <v>22454</v>
      </c>
      <c r="B2883">
        <v>64.900000000000006</v>
      </c>
      <c r="C2883">
        <f t="shared" si="108"/>
        <v>-3.6843721215842015E-3</v>
      </c>
      <c r="D2883">
        <f t="shared" ref="D2883:D2946" si="109">(C2883-avg)/sd</f>
        <v>-0.42197194059582577</v>
      </c>
    </row>
    <row r="2884" spans="1:4">
      <c r="A2884" s="1">
        <v>22455</v>
      </c>
      <c r="B2884">
        <v>65.16</v>
      </c>
      <c r="C2884">
        <f t="shared" ref="C2884:C2947" si="110">(B2884-B2883)/B2883</f>
        <v>4.0061633281970859E-3</v>
      </c>
      <c r="D2884">
        <f t="shared" si="109"/>
        <v>0.39014598876106427</v>
      </c>
    </row>
    <row r="2885" spans="1:4">
      <c r="A2885" s="1">
        <v>22458</v>
      </c>
      <c r="B2885">
        <v>64.47</v>
      </c>
      <c r="C2885">
        <f t="shared" si="110"/>
        <v>-1.058931860036829E-2</v>
      </c>
      <c r="D2885">
        <f t="shared" si="109"/>
        <v>-1.1511319416500774</v>
      </c>
    </row>
    <row r="2886" spans="1:4">
      <c r="A2886" s="1">
        <v>22459</v>
      </c>
      <c r="B2886">
        <v>64.47</v>
      </c>
      <c r="C2886">
        <f t="shared" si="110"/>
        <v>0</v>
      </c>
      <c r="D2886">
        <f t="shared" si="109"/>
        <v>-3.29034969354682E-2</v>
      </c>
    </row>
    <row r="2887" spans="1:4">
      <c r="A2887" s="1">
        <v>22460</v>
      </c>
      <c r="B2887">
        <v>64.59</v>
      </c>
      <c r="C2887">
        <f t="shared" si="110"/>
        <v>1.8613308515589351E-3</v>
      </c>
      <c r="D2887">
        <f t="shared" si="109"/>
        <v>0.16365240829205774</v>
      </c>
    </row>
    <row r="2888" spans="1:4">
      <c r="A2888" s="1">
        <v>22461</v>
      </c>
      <c r="B2888">
        <v>64.52</v>
      </c>
      <c r="C2888">
        <f t="shared" si="110"/>
        <v>-1.0837590958353829E-3</v>
      </c>
      <c r="D2888">
        <f t="shared" si="109"/>
        <v>-0.14734808906806893</v>
      </c>
    </row>
    <row r="2889" spans="1:4">
      <c r="A2889" s="1">
        <v>22462</v>
      </c>
      <c r="B2889">
        <v>64.64</v>
      </c>
      <c r="C2889">
        <f t="shared" si="110"/>
        <v>1.8598884066956688E-3</v>
      </c>
      <c r="D2889">
        <f t="shared" si="109"/>
        <v>0.16350008660480764</v>
      </c>
    </row>
    <row r="2890" spans="1:4">
      <c r="A2890" s="1">
        <v>22465</v>
      </c>
      <c r="B2890">
        <v>65.209999999999994</v>
      </c>
      <c r="C2890">
        <f t="shared" si="110"/>
        <v>8.8180693069305881E-3</v>
      </c>
      <c r="D2890">
        <f t="shared" si="109"/>
        <v>0.89828162446900806</v>
      </c>
    </row>
    <row r="2891" spans="1:4">
      <c r="A2891" s="1">
        <v>22467</v>
      </c>
      <c r="B2891">
        <v>65.63</v>
      </c>
      <c r="C2891">
        <f t="shared" si="110"/>
        <v>6.4407299493942916E-3</v>
      </c>
      <c r="D2891">
        <f t="shared" si="109"/>
        <v>0.64723539641008598</v>
      </c>
    </row>
    <row r="2892" spans="1:4">
      <c r="A2892" s="1">
        <v>22468</v>
      </c>
      <c r="B2892">
        <v>65.81</v>
      </c>
      <c r="C2892">
        <f t="shared" si="110"/>
        <v>2.742648179186452E-3</v>
      </c>
      <c r="D2892">
        <f t="shared" si="109"/>
        <v>0.25671921851520829</v>
      </c>
    </row>
    <row r="2893" spans="1:4">
      <c r="A2893" s="1">
        <v>22469</v>
      </c>
      <c r="B2893">
        <v>65.77</v>
      </c>
      <c r="C2893">
        <f t="shared" si="110"/>
        <v>-6.0781036316678698E-4</v>
      </c>
      <c r="D2893">
        <f t="shared" si="109"/>
        <v>-9.7088064681100053E-2</v>
      </c>
    </row>
    <row r="2894" spans="1:4">
      <c r="A2894" s="1">
        <v>22472</v>
      </c>
      <c r="B2894">
        <v>65.709999999999994</v>
      </c>
      <c r="C2894">
        <f t="shared" si="110"/>
        <v>-9.1227003192948571E-4</v>
      </c>
      <c r="D2894">
        <f t="shared" si="109"/>
        <v>-0.12923890221157125</v>
      </c>
    </row>
    <row r="2895" spans="1:4">
      <c r="A2895" s="1">
        <v>22473</v>
      </c>
      <c r="B2895">
        <v>65.69</v>
      </c>
      <c r="C2895">
        <f t="shared" si="110"/>
        <v>-3.0436767615273205E-4</v>
      </c>
      <c r="D2895">
        <f t="shared" si="109"/>
        <v>-6.5044620077596746E-2</v>
      </c>
    </row>
    <row r="2896" spans="1:4">
      <c r="A2896" s="1">
        <v>22474</v>
      </c>
      <c r="B2896">
        <v>65.319999999999993</v>
      </c>
      <c r="C2896">
        <f t="shared" si="110"/>
        <v>-5.6325163647435615E-3</v>
      </c>
      <c r="D2896">
        <f t="shared" si="109"/>
        <v>-0.62769531046705107</v>
      </c>
    </row>
    <row r="2897" spans="1:4">
      <c r="A2897" s="1">
        <v>22475</v>
      </c>
      <c r="B2897">
        <v>64.86</v>
      </c>
      <c r="C2897">
        <f t="shared" si="110"/>
        <v>-7.0422535211266653E-3</v>
      </c>
      <c r="D2897">
        <f t="shared" si="109"/>
        <v>-0.77656307498816457</v>
      </c>
    </row>
    <row r="2898" spans="1:4">
      <c r="A2898" s="1">
        <v>22476</v>
      </c>
      <c r="B2898">
        <v>65.28</v>
      </c>
      <c r="C2898">
        <f t="shared" si="110"/>
        <v>6.4754856614246334E-3</v>
      </c>
      <c r="D2898">
        <f t="shared" si="109"/>
        <v>0.65090558778644958</v>
      </c>
    </row>
    <row r="2899" spans="1:4">
      <c r="A2899" s="1">
        <v>22479</v>
      </c>
      <c r="B2899">
        <v>64.790000000000006</v>
      </c>
      <c r="C2899">
        <f t="shared" si="110"/>
        <v>-7.5061274509803134E-3</v>
      </c>
      <c r="D2899">
        <f t="shared" si="109"/>
        <v>-0.8255480043022998</v>
      </c>
    </row>
    <row r="2900" spans="1:4">
      <c r="A2900" s="1">
        <v>22480</v>
      </c>
      <c r="B2900">
        <v>64.41</v>
      </c>
      <c r="C2900">
        <f t="shared" si="110"/>
        <v>-5.865102639296336E-3</v>
      </c>
      <c r="D2900">
        <f t="shared" si="109"/>
        <v>-0.65225634199990801</v>
      </c>
    </row>
    <row r="2901" spans="1:4">
      <c r="A2901" s="1">
        <v>22481</v>
      </c>
      <c r="B2901">
        <v>64.7</v>
      </c>
      <c r="C2901">
        <f t="shared" si="110"/>
        <v>4.5024064586245346E-3</v>
      </c>
      <c r="D2901">
        <f t="shared" si="109"/>
        <v>0.44254909465296699</v>
      </c>
    </row>
    <row r="2902" spans="1:4">
      <c r="A2902" s="1">
        <v>22482</v>
      </c>
      <c r="B2902">
        <v>64.709999999999994</v>
      </c>
      <c r="C2902">
        <f t="shared" si="110"/>
        <v>1.545595054094421E-4</v>
      </c>
      <c r="D2902">
        <f t="shared" si="109"/>
        <v>-1.6582065701559658E-2</v>
      </c>
    </row>
    <row r="2903" spans="1:4">
      <c r="A2903" s="1">
        <v>22483</v>
      </c>
      <c r="B2903">
        <v>64.86</v>
      </c>
      <c r="C2903">
        <f t="shared" si="110"/>
        <v>2.3180343069078304E-3</v>
      </c>
      <c r="D2903">
        <f t="shared" si="109"/>
        <v>0.21188013793585384</v>
      </c>
    </row>
    <row r="2904" spans="1:4">
      <c r="A2904" s="1">
        <v>22486</v>
      </c>
      <c r="B2904">
        <v>64.87</v>
      </c>
      <c r="C2904">
        <f t="shared" si="110"/>
        <v>1.5417823003399808E-4</v>
      </c>
      <c r="D2904">
        <f t="shared" si="109"/>
        <v>-1.662232825160475E-2</v>
      </c>
    </row>
    <row r="2905" spans="1:4">
      <c r="A2905" s="1">
        <v>22487</v>
      </c>
      <c r="B2905">
        <v>65.23</v>
      </c>
      <c r="C2905">
        <f t="shared" si="110"/>
        <v>5.5495606597810911E-3</v>
      </c>
      <c r="D2905">
        <f t="shared" si="109"/>
        <v>0.55312822235009185</v>
      </c>
    </row>
    <row r="2906" spans="1:4">
      <c r="A2906" s="1">
        <v>22488</v>
      </c>
      <c r="B2906">
        <v>65.84</v>
      </c>
      <c r="C2906">
        <f t="shared" si="110"/>
        <v>9.3515253717614509E-3</v>
      </c>
      <c r="D2906">
        <f t="shared" si="109"/>
        <v>0.95461440358462024</v>
      </c>
    </row>
    <row r="2907" spans="1:4">
      <c r="A2907" s="1">
        <v>22489</v>
      </c>
      <c r="B2907">
        <v>66.61</v>
      </c>
      <c r="C2907">
        <f t="shared" si="110"/>
        <v>1.1695018226002369E-2</v>
      </c>
      <c r="D2907">
        <f t="shared" si="109"/>
        <v>1.2020864524005357</v>
      </c>
    </row>
    <row r="2908" spans="1:4">
      <c r="A2908" s="1">
        <v>22490</v>
      </c>
      <c r="B2908">
        <v>66.709999999999994</v>
      </c>
      <c r="C2908">
        <f t="shared" si="110"/>
        <v>1.5012760846718858E-3</v>
      </c>
      <c r="D2908">
        <f t="shared" si="109"/>
        <v>0.12563074729734716</v>
      </c>
    </row>
    <row r="2909" spans="1:4">
      <c r="A2909" s="1">
        <v>22493</v>
      </c>
      <c r="B2909">
        <v>66.760000000000005</v>
      </c>
      <c r="C2909">
        <f t="shared" si="110"/>
        <v>7.4951281666933549E-4</v>
      </c>
      <c r="D2909">
        <f t="shared" si="109"/>
        <v>4.6244801733028522E-2</v>
      </c>
    </row>
    <row r="2910" spans="1:4">
      <c r="A2910" s="1">
        <v>22494</v>
      </c>
      <c r="B2910">
        <v>67.37</v>
      </c>
      <c r="C2910">
        <f t="shared" si="110"/>
        <v>9.1372079089274919E-3</v>
      </c>
      <c r="D2910">
        <f t="shared" si="109"/>
        <v>0.93198255235939942</v>
      </c>
    </row>
    <row r="2911" spans="1:4">
      <c r="A2911" s="1">
        <v>22495</v>
      </c>
      <c r="B2911">
        <v>66.94</v>
      </c>
      <c r="C2911">
        <f t="shared" si="110"/>
        <v>-6.3826629063382335E-3</v>
      </c>
      <c r="D2911">
        <f t="shared" si="109"/>
        <v>-0.7069105302722497</v>
      </c>
    </row>
    <row r="2912" spans="1:4">
      <c r="A2912" s="1">
        <v>22496</v>
      </c>
      <c r="B2912">
        <v>67.290000000000006</v>
      </c>
      <c r="C2912">
        <f t="shared" si="110"/>
        <v>5.2285628921423443E-3</v>
      </c>
      <c r="D2912">
        <f t="shared" si="109"/>
        <v>0.51923096719988293</v>
      </c>
    </row>
    <row r="2913" spans="1:4">
      <c r="A2913" s="1">
        <v>22497</v>
      </c>
      <c r="B2913">
        <v>67.680000000000007</v>
      </c>
      <c r="C2913">
        <f t="shared" si="110"/>
        <v>5.7958091841284077E-3</v>
      </c>
      <c r="D2913">
        <f t="shared" si="109"/>
        <v>0.57913198281722811</v>
      </c>
    </row>
    <row r="2914" spans="1:4">
      <c r="A2914" s="1">
        <v>22500</v>
      </c>
      <c r="B2914">
        <v>67.67</v>
      </c>
      <c r="C2914">
        <f t="shared" si="110"/>
        <v>-1.4775413711591481E-4</v>
      </c>
      <c r="D2914">
        <f t="shared" si="109"/>
        <v>-4.8506283590837335E-2</v>
      </c>
    </row>
    <row r="2915" spans="1:4">
      <c r="A2915" s="1">
        <v>22501</v>
      </c>
      <c r="B2915">
        <v>67.819999999999993</v>
      </c>
      <c r="C2915">
        <f t="shared" si="110"/>
        <v>2.2166395744050759E-3</v>
      </c>
      <c r="D2915">
        <f t="shared" si="109"/>
        <v>0.20117288864930713</v>
      </c>
    </row>
    <row r="2916" spans="1:4">
      <c r="A2916" s="1">
        <v>22502</v>
      </c>
      <c r="B2916">
        <v>67.739999999999995</v>
      </c>
      <c r="C2916">
        <f t="shared" si="110"/>
        <v>-1.1795930404010365E-3</v>
      </c>
      <c r="D2916">
        <f t="shared" si="109"/>
        <v>-0.15746812103866142</v>
      </c>
    </row>
    <row r="2917" spans="1:4">
      <c r="A2917" s="1">
        <v>22503</v>
      </c>
      <c r="B2917">
        <v>67.95</v>
      </c>
      <c r="C2917">
        <f t="shared" si="110"/>
        <v>3.1000885739593735E-3</v>
      </c>
      <c r="D2917">
        <f t="shared" si="109"/>
        <v>0.29446480270333525</v>
      </c>
    </row>
    <row r="2918" spans="1:4">
      <c r="A2918" s="1">
        <v>22504</v>
      </c>
      <c r="B2918">
        <v>68.06</v>
      </c>
      <c r="C2918">
        <f t="shared" si="110"/>
        <v>1.6188373804267759E-3</v>
      </c>
      <c r="D2918">
        <f t="shared" si="109"/>
        <v>0.13804518016803752</v>
      </c>
    </row>
    <row r="2919" spans="1:4">
      <c r="A2919" s="1">
        <v>22507</v>
      </c>
      <c r="B2919">
        <v>67.72</v>
      </c>
      <c r="C2919">
        <f t="shared" si="110"/>
        <v>-4.9955921245959951E-3</v>
      </c>
      <c r="D2919">
        <f t="shared" si="109"/>
        <v>-0.56043632720853653</v>
      </c>
    </row>
    <row r="2920" spans="1:4">
      <c r="A2920" s="1">
        <v>22508</v>
      </c>
      <c r="B2920">
        <v>67.55</v>
      </c>
      <c r="C2920">
        <f t="shared" si="110"/>
        <v>-2.5103366804489326E-3</v>
      </c>
      <c r="D2920">
        <f t="shared" si="109"/>
        <v>-0.29799419708597785</v>
      </c>
    </row>
    <row r="2921" spans="1:4">
      <c r="A2921" s="1">
        <v>22509</v>
      </c>
      <c r="B2921">
        <v>67.73</v>
      </c>
      <c r="C2921">
        <f t="shared" si="110"/>
        <v>2.6646928201333356E-3</v>
      </c>
      <c r="D2921">
        <f t="shared" si="109"/>
        <v>0.24848715909751323</v>
      </c>
    </row>
    <row r="2922" spans="1:4">
      <c r="A2922" s="1">
        <v>22510</v>
      </c>
      <c r="B2922">
        <v>68.11</v>
      </c>
      <c r="C2922">
        <f t="shared" si="110"/>
        <v>5.6105123283625487E-3</v>
      </c>
      <c r="D2922">
        <f t="shared" si="109"/>
        <v>0.55956469783381502</v>
      </c>
    </row>
    <row r="2923" spans="1:4">
      <c r="A2923" s="1">
        <v>22511</v>
      </c>
      <c r="B2923">
        <v>68.290000000000006</v>
      </c>
      <c r="C2923">
        <f t="shared" si="110"/>
        <v>2.6427837321980154E-3</v>
      </c>
      <c r="D2923">
        <f t="shared" si="109"/>
        <v>0.24617356685880426</v>
      </c>
    </row>
    <row r="2924" spans="1:4">
      <c r="A2924" s="1">
        <v>22514</v>
      </c>
      <c r="B2924">
        <v>68.430000000000007</v>
      </c>
      <c r="C2924">
        <f t="shared" si="110"/>
        <v>2.050080538878321E-3</v>
      </c>
      <c r="D2924">
        <f t="shared" si="109"/>
        <v>0.18358431111384885</v>
      </c>
    </row>
    <row r="2925" spans="1:4">
      <c r="A2925" s="1">
        <v>22515</v>
      </c>
      <c r="B2925">
        <v>68.44</v>
      </c>
      <c r="C2925">
        <f t="shared" si="110"/>
        <v>1.4613473622666819E-4</v>
      </c>
      <c r="D2925">
        <f t="shared" si="109"/>
        <v>-1.7471718463542396E-2</v>
      </c>
    </row>
    <row r="2926" spans="1:4">
      <c r="A2926" s="1">
        <v>22516</v>
      </c>
      <c r="B2926">
        <v>67.98</v>
      </c>
      <c r="C2926">
        <f t="shared" si="110"/>
        <v>-6.7212156633546724E-3</v>
      </c>
      <c r="D2926">
        <f t="shared" si="109"/>
        <v>-0.74266158633351209</v>
      </c>
    </row>
    <row r="2927" spans="1:4">
      <c r="A2927" s="1">
        <v>22517</v>
      </c>
      <c r="B2927">
        <v>67.59</v>
      </c>
      <c r="C2927">
        <f t="shared" si="110"/>
        <v>-5.7369814651368131E-3</v>
      </c>
      <c r="D2927">
        <f t="shared" si="109"/>
        <v>-0.63872678955916551</v>
      </c>
    </row>
    <row r="2928" spans="1:4">
      <c r="A2928" s="1">
        <v>22518</v>
      </c>
      <c r="B2928">
        <v>67.67</v>
      </c>
      <c r="C2928">
        <f t="shared" si="110"/>
        <v>1.1836070424618773E-3</v>
      </c>
      <c r="D2928">
        <f t="shared" si="109"/>
        <v>9.2085004420924224E-2</v>
      </c>
    </row>
    <row r="2929" spans="1:4">
      <c r="A2929" s="1">
        <v>22521</v>
      </c>
      <c r="B2929">
        <v>67.7</v>
      </c>
      <c r="C2929">
        <f t="shared" si="110"/>
        <v>4.4332791488105712E-4</v>
      </c>
      <c r="D2929">
        <f t="shared" si="109"/>
        <v>1.3911780181491298E-2</v>
      </c>
    </row>
    <row r="2930" spans="1:4">
      <c r="A2930" s="1">
        <v>22522</v>
      </c>
      <c r="B2930">
        <v>67.55</v>
      </c>
      <c r="C2930">
        <f t="shared" si="110"/>
        <v>-2.2156573116692124E-3</v>
      </c>
      <c r="D2930">
        <f t="shared" si="109"/>
        <v>-0.26687615590922364</v>
      </c>
    </row>
    <row r="2931" spans="1:4">
      <c r="A2931" s="1">
        <v>22523</v>
      </c>
      <c r="B2931">
        <v>67.81</v>
      </c>
      <c r="C2931">
        <f t="shared" si="110"/>
        <v>3.8490007401925258E-3</v>
      </c>
      <c r="D2931">
        <f t="shared" si="109"/>
        <v>0.37354967288994201</v>
      </c>
    </row>
    <row r="2932" spans="1:4">
      <c r="A2932" s="1">
        <v>22524</v>
      </c>
      <c r="B2932">
        <v>68.069999999999993</v>
      </c>
      <c r="C2932">
        <f t="shared" si="110"/>
        <v>3.8342427370592967E-3</v>
      </c>
      <c r="D2932">
        <f t="shared" si="109"/>
        <v>0.37199123277556206</v>
      </c>
    </row>
    <row r="2933" spans="1:4">
      <c r="A2933" s="1">
        <v>22525</v>
      </c>
      <c r="B2933">
        <v>68.19</v>
      </c>
      <c r="C2933">
        <f t="shared" si="110"/>
        <v>1.7628911414720812E-3</v>
      </c>
      <c r="D2933">
        <f t="shared" si="109"/>
        <v>0.15325720836816922</v>
      </c>
    </row>
    <row r="2934" spans="1:4">
      <c r="A2934" s="1">
        <v>22529</v>
      </c>
      <c r="B2934">
        <v>67.959999999999994</v>
      </c>
      <c r="C2934">
        <f t="shared" si="110"/>
        <v>-3.3729285819035634E-3</v>
      </c>
      <c r="D2934">
        <f t="shared" si="109"/>
        <v>-0.38908360867035324</v>
      </c>
    </row>
    <row r="2935" spans="1:4">
      <c r="A2935" s="1">
        <v>22530</v>
      </c>
      <c r="B2935">
        <v>68.459999999999994</v>
      </c>
      <c r="C2935">
        <f t="shared" si="110"/>
        <v>7.3572689817539734E-3</v>
      </c>
      <c r="D2935">
        <f t="shared" si="109"/>
        <v>0.74402160668051409</v>
      </c>
    </row>
    <row r="2936" spans="1:4">
      <c r="A2936" s="1">
        <v>22531</v>
      </c>
      <c r="B2936">
        <v>68.349999999999994</v>
      </c>
      <c r="C2936">
        <f t="shared" si="110"/>
        <v>-1.6067776803973042E-3</v>
      </c>
      <c r="D2936">
        <f t="shared" si="109"/>
        <v>-0.2025786738151529</v>
      </c>
    </row>
    <row r="2937" spans="1:4">
      <c r="A2937" s="1">
        <v>22532</v>
      </c>
      <c r="B2937">
        <v>67.88</v>
      </c>
      <c r="C2937">
        <f t="shared" si="110"/>
        <v>-6.8763716166788426E-3</v>
      </c>
      <c r="D2937">
        <f t="shared" si="109"/>
        <v>-0.7590460022644735</v>
      </c>
    </row>
    <row r="2938" spans="1:4">
      <c r="A2938" s="1">
        <v>22535</v>
      </c>
      <c r="B2938">
        <v>67.28</v>
      </c>
      <c r="C2938">
        <f t="shared" si="110"/>
        <v>-8.8391278727164759E-3</v>
      </c>
      <c r="D2938">
        <f t="shared" si="109"/>
        <v>-0.96631239572877969</v>
      </c>
    </row>
    <row r="2939" spans="1:4">
      <c r="A2939" s="1">
        <v>22536</v>
      </c>
      <c r="B2939">
        <v>67.959999999999994</v>
      </c>
      <c r="C2939">
        <f t="shared" si="110"/>
        <v>1.0107015457788237E-2</v>
      </c>
      <c r="D2939">
        <f t="shared" si="109"/>
        <v>1.0343938998654911</v>
      </c>
    </row>
    <row r="2940" spans="1:4">
      <c r="A2940" s="1">
        <v>22537</v>
      </c>
      <c r="B2940">
        <v>68.010000000000005</v>
      </c>
      <c r="C2940">
        <f t="shared" si="110"/>
        <v>7.3572689817556465E-4</v>
      </c>
      <c r="D2940">
        <f t="shared" si="109"/>
        <v>4.4789013426147703E-2</v>
      </c>
    </row>
    <row r="2941" spans="1:4">
      <c r="A2941" s="1">
        <v>22538</v>
      </c>
      <c r="B2941">
        <v>67.53</v>
      </c>
      <c r="C2941">
        <f t="shared" si="110"/>
        <v>-7.0577856197618577E-3</v>
      </c>
      <c r="D2941">
        <f t="shared" si="109"/>
        <v>-0.77820325932442402</v>
      </c>
    </row>
    <row r="2942" spans="1:4">
      <c r="A2942" s="1">
        <v>22539</v>
      </c>
      <c r="B2942">
        <v>67.650000000000006</v>
      </c>
      <c r="C2942">
        <f t="shared" si="110"/>
        <v>1.7769880053310314E-3</v>
      </c>
      <c r="D2942">
        <f t="shared" si="109"/>
        <v>0.15474583239991752</v>
      </c>
    </row>
    <row r="2943" spans="1:4">
      <c r="A2943" s="1">
        <v>22542</v>
      </c>
      <c r="B2943">
        <v>67.209999999999994</v>
      </c>
      <c r="C2943">
        <f t="shared" si="110"/>
        <v>-6.5040650406505826E-3</v>
      </c>
      <c r="D2943">
        <f t="shared" si="109"/>
        <v>-0.71973055438904332</v>
      </c>
    </row>
    <row r="2944" spans="1:4">
      <c r="A2944" s="1">
        <v>22543</v>
      </c>
      <c r="B2944">
        <v>66.08</v>
      </c>
      <c r="C2944">
        <f t="shared" si="110"/>
        <v>-1.6812974259782704E-2</v>
      </c>
      <c r="D2944">
        <f t="shared" si="109"/>
        <v>-1.808347863760893</v>
      </c>
    </row>
    <row r="2945" spans="1:4">
      <c r="A2945" s="1">
        <v>22544</v>
      </c>
      <c r="B2945">
        <v>66.959999999999994</v>
      </c>
      <c r="C2945">
        <f t="shared" si="110"/>
        <v>1.3317191283292909E-2</v>
      </c>
      <c r="D2945">
        <f t="shared" si="109"/>
        <v>1.3733873758470032</v>
      </c>
    </row>
    <row r="2946" spans="1:4">
      <c r="A2946" s="1">
        <v>22545</v>
      </c>
      <c r="B2946">
        <v>66.989999999999995</v>
      </c>
      <c r="C2946">
        <f t="shared" si="110"/>
        <v>4.4802867383514247E-4</v>
      </c>
      <c r="D2946">
        <f t="shared" si="109"/>
        <v>1.4408178729177107E-2</v>
      </c>
    </row>
    <row r="2947" spans="1:4">
      <c r="A2947" s="1">
        <v>22546</v>
      </c>
      <c r="B2947">
        <v>66.72</v>
      </c>
      <c r="C2947">
        <f t="shared" si="110"/>
        <v>-4.0304523063143163E-3</v>
      </c>
      <c r="D2947">
        <f t="shared" ref="D2947:D3010" si="111">(C2947-avg)/sd</f>
        <v>-0.45851789046495539</v>
      </c>
    </row>
    <row r="2948" spans="1:4">
      <c r="A2948" s="1">
        <v>22549</v>
      </c>
      <c r="B2948">
        <v>65.77</v>
      </c>
      <c r="C2948">
        <f t="shared" ref="C2948:C3011" si="112">(B2948-B2947)/B2947</f>
        <v>-1.4238609112709875E-2</v>
      </c>
      <c r="D2948">
        <f t="shared" si="111"/>
        <v>-1.5364957792992331</v>
      </c>
    </row>
    <row r="2949" spans="1:4">
      <c r="A2949" s="1">
        <v>22550</v>
      </c>
      <c r="B2949">
        <v>65.78</v>
      </c>
      <c r="C2949">
        <f t="shared" si="112"/>
        <v>1.5204500532165299E-4</v>
      </c>
      <c r="D2949">
        <f t="shared" si="111"/>
        <v>-1.6847596056110081E-2</v>
      </c>
    </row>
    <row r="2950" spans="1:4">
      <c r="A2950" s="1">
        <v>22551</v>
      </c>
      <c r="B2950">
        <v>66.47</v>
      </c>
      <c r="C2950">
        <f t="shared" si="112"/>
        <v>1.0489510489510455E-2</v>
      </c>
      <c r="D2950">
        <f t="shared" si="111"/>
        <v>1.074785245198979</v>
      </c>
    </row>
    <row r="2951" spans="1:4">
      <c r="A2951" s="1">
        <v>22552</v>
      </c>
      <c r="B2951">
        <v>66.58</v>
      </c>
      <c r="C2951">
        <f t="shared" si="112"/>
        <v>1.6548819016097402E-3</v>
      </c>
      <c r="D2951">
        <f t="shared" si="111"/>
        <v>0.14185146935283049</v>
      </c>
    </row>
    <row r="2952" spans="1:4">
      <c r="A2952" s="1">
        <v>22553</v>
      </c>
      <c r="B2952">
        <v>66.73</v>
      </c>
      <c r="C2952">
        <f t="shared" si="112"/>
        <v>2.2529288074497702E-3</v>
      </c>
      <c r="D2952">
        <f t="shared" si="111"/>
        <v>0.2050050193235172</v>
      </c>
    </row>
    <row r="2953" spans="1:4">
      <c r="A2953" s="1">
        <v>22556</v>
      </c>
      <c r="B2953">
        <v>66.77</v>
      </c>
      <c r="C2953">
        <f t="shared" si="112"/>
        <v>5.9943054098594395E-4</v>
      </c>
      <c r="D2953">
        <f t="shared" si="111"/>
        <v>3.0396164436306591E-2</v>
      </c>
    </row>
    <row r="2954" spans="1:4">
      <c r="A2954" s="1">
        <v>22557</v>
      </c>
      <c r="B2954">
        <v>66.73</v>
      </c>
      <c r="C2954">
        <f t="shared" si="112"/>
        <v>-5.990714392690137E-4</v>
      </c>
      <c r="D2954">
        <f t="shared" si="111"/>
        <v>-9.6165237287999764E-2</v>
      </c>
    </row>
    <row r="2955" spans="1:4">
      <c r="A2955" s="1">
        <v>22558</v>
      </c>
      <c r="B2955">
        <v>67.180000000000007</v>
      </c>
      <c r="C2955">
        <f t="shared" si="112"/>
        <v>6.7435935860932538E-3</v>
      </c>
      <c r="D2955">
        <f t="shared" si="111"/>
        <v>0.67921769349714434</v>
      </c>
    </row>
    <row r="2956" spans="1:4">
      <c r="A2956" s="1">
        <v>22559</v>
      </c>
      <c r="B2956">
        <v>67.77</v>
      </c>
      <c r="C2956">
        <f t="shared" si="112"/>
        <v>8.7823757070555099E-3</v>
      </c>
      <c r="D2956">
        <f t="shared" si="111"/>
        <v>0.89451239245504388</v>
      </c>
    </row>
    <row r="2957" spans="1:4">
      <c r="A2957" s="1">
        <v>22560</v>
      </c>
      <c r="B2957">
        <v>66.97</v>
      </c>
      <c r="C2957">
        <f t="shared" si="112"/>
        <v>-1.18046333185775E-2</v>
      </c>
      <c r="D2957">
        <f t="shared" si="111"/>
        <v>-1.2794687627874255</v>
      </c>
    </row>
    <row r="2958" spans="1:4">
      <c r="A2958" s="1">
        <v>22563</v>
      </c>
      <c r="B2958">
        <v>67.94</v>
      </c>
      <c r="C2958">
        <f t="shared" si="112"/>
        <v>1.4484097357025516E-2</v>
      </c>
      <c r="D2958">
        <f t="shared" si="111"/>
        <v>1.4966122605825198</v>
      </c>
    </row>
    <row r="2959" spans="1:4">
      <c r="A2959" s="1">
        <v>22564</v>
      </c>
      <c r="B2959">
        <v>68.11</v>
      </c>
      <c r="C2959">
        <f t="shared" si="112"/>
        <v>2.5022078304386473E-3</v>
      </c>
      <c r="D2959">
        <f t="shared" si="111"/>
        <v>0.2313287994170857</v>
      </c>
    </row>
    <row r="2960" spans="1:4">
      <c r="A2960" s="1">
        <v>22565</v>
      </c>
      <c r="B2960">
        <v>68.17</v>
      </c>
      <c r="C2960">
        <f t="shared" si="112"/>
        <v>8.8092791073267178E-4</v>
      </c>
      <c r="D2960">
        <f t="shared" si="111"/>
        <v>6.0122190995955942E-2</v>
      </c>
    </row>
    <row r="2961" spans="1:4">
      <c r="A2961" s="1">
        <v>22566</v>
      </c>
      <c r="B2961">
        <v>68.16</v>
      </c>
      <c r="C2961">
        <f t="shared" si="112"/>
        <v>-1.4669209329624638E-4</v>
      </c>
      <c r="D2961">
        <f t="shared" si="111"/>
        <v>-4.839413212448658E-2</v>
      </c>
    </row>
    <row r="2962" spans="1:4">
      <c r="A2962" s="1">
        <v>22567</v>
      </c>
      <c r="B2962">
        <v>68.040000000000006</v>
      </c>
      <c r="C2962">
        <f t="shared" si="112"/>
        <v>-1.7605633802815484E-3</v>
      </c>
      <c r="D2962">
        <f t="shared" si="111"/>
        <v>-0.21881839144862983</v>
      </c>
    </row>
    <row r="2963" spans="1:4">
      <c r="A2963" s="1">
        <v>22570</v>
      </c>
      <c r="B2963">
        <v>67.849999999999994</v>
      </c>
      <c r="C2963">
        <f t="shared" si="112"/>
        <v>-2.7924750146974121E-3</v>
      </c>
      <c r="D2963">
        <f t="shared" si="111"/>
        <v>-0.32778790927913776</v>
      </c>
    </row>
    <row r="2964" spans="1:4">
      <c r="A2964" s="1">
        <v>22571</v>
      </c>
      <c r="B2964">
        <v>67.87</v>
      </c>
      <c r="C2964">
        <f t="shared" si="112"/>
        <v>2.947678703022879E-4</v>
      </c>
      <c r="D2964">
        <f t="shared" si="111"/>
        <v>-1.7761100280140074E-3</v>
      </c>
    </row>
    <row r="2965" spans="1:4">
      <c r="A2965" s="1">
        <v>22572</v>
      </c>
      <c r="B2965">
        <v>68.209999999999994</v>
      </c>
      <c r="C2965">
        <f t="shared" si="112"/>
        <v>5.0095771327536348E-3</v>
      </c>
      <c r="D2965">
        <f t="shared" si="111"/>
        <v>0.49610614544531151</v>
      </c>
    </row>
    <row r="2966" spans="1:4">
      <c r="A2966" s="1">
        <v>22573</v>
      </c>
      <c r="B2966">
        <v>68.45</v>
      </c>
      <c r="C2966">
        <f t="shared" si="112"/>
        <v>3.5185456677907802E-3</v>
      </c>
      <c r="D2966">
        <f t="shared" si="111"/>
        <v>0.33865372957145451</v>
      </c>
    </row>
    <row r="2967" spans="1:4">
      <c r="A2967" s="1">
        <v>22574</v>
      </c>
      <c r="B2967">
        <v>68</v>
      </c>
      <c r="C2967">
        <f t="shared" si="112"/>
        <v>-6.5741417092768858E-3</v>
      </c>
      <c r="D2967">
        <f t="shared" si="111"/>
        <v>-0.7271306267757639</v>
      </c>
    </row>
    <row r="2968" spans="1:4">
      <c r="A2968" s="1">
        <v>22577</v>
      </c>
      <c r="B2968">
        <v>68.06</v>
      </c>
      <c r="C2968">
        <f t="shared" si="112"/>
        <v>8.8235294117650401E-4</v>
      </c>
      <c r="D2968">
        <f t="shared" si="111"/>
        <v>6.0272673726433253E-2</v>
      </c>
    </row>
    <row r="2969" spans="1:4">
      <c r="A2969" s="1">
        <v>22578</v>
      </c>
      <c r="B2969">
        <v>67.98</v>
      </c>
      <c r="C2969">
        <f t="shared" si="112"/>
        <v>-1.1754334410813737E-3</v>
      </c>
      <c r="D2969">
        <f t="shared" si="111"/>
        <v>-0.15702886876442154</v>
      </c>
    </row>
    <row r="2970" spans="1:4">
      <c r="A2970" s="1">
        <v>22579</v>
      </c>
      <c r="B2970">
        <v>68.34</v>
      </c>
      <c r="C2970">
        <f t="shared" si="112"/>
        <v>5.2956751985878117E-3</v>
      </c>
      <c r="D2970">
        <f t="shared" si="111"/>
        <v>0.52631800394794293</v>
      </c>
    </row>
    <row r="2971" spans="1:4">
      <c r="A2971" s="1">
        <v>22580</v>
      </c>
      <c r="B2971">
        <v>68.459999999999994</v>
      </c>
      <c r="C2971">
        <f t="shared" si="112"/>
        <v>1.7559262510973123E-3</v>
      </c>
      <c r="D2971">
        <f t="shared" si="111"/>
        <v>0.15252171831207489</v>
      </c>
    </row>
    <row r="2972" spans="1:4">
      <c r="A2972" s="1">
        <v>22581</v>
      </c>
      <c r="B2972">
        <v>68.34</v>
      </c>
      <c r="C2972">
        <f t="shared" si="112"/>
        <v>-1.7528483786151089E-3</v>
      </c>
      <c r="D2972">
        <f t="shared" si="111"/>
        <v>-0.21800368989511029</v>
      </c>
    </row>
    <row r="2973" spans="1:4">
      <c r="A2973" s="1">
        <v>22584</v>
      </c>
      <c r="B2973">
        <v>68.42</v>
      </c>
      <c r="C2973">
        <f t="shared" si="112"/>
        <v>1.170617500731611E-3</v>
      </c>
      <c r="D2973">
        <f t="shared" si="111"/>
        <v>9.0713313229567868E-2</v>
      </c>
    </row>
    <row r="2974" spans="1:4">
      <c r="A2974" s="1">
        <v>22585</v>
      </c>
      <c r="B2974">
        <v>68.62</v>
      </c>
      <c r="C2974">
        <f t="shared" si="112"/>
        <v>2.9231218941830287E-3</v>
      </c>
      <c r="D2974">
        <f t="shared" si="111"/>
        <v>0.27577718147285041</v>
      </c>
    </row>
    <row r="2975" spans="1:4">
      <c r="A2975" s="1">
        <v>22586</v>
      </c>
      <c r="B2975">
        <v>68.73</v>
      </c>
      <c r="C2975">
        <f t="shared" si="112"/>
        <v>1.6030311862430693E-3</v>
      </c>
      <c r="D2975">
        <f t="shared" si="111"/>
        <v>0.13637605143502454</v>
      </c>
    </row>
    <row r="2976" spans="1:4">
      <c r="A2976" s="1">
        <v>22587</v>
      </c>
      <c r="B2976">
        <v>69.11</v>
      </c>
      <c r="C2976">
        <f t="shared" si="112"/>
        <v>5.5288811290556588E-3</v>
      </c>
      <c r="D2976">
        <f t="shared" si="111"/>
        <v>0.55094447093480026</v>
      </c>
    </row>
    <row r="2977" spans="1:4">
      <c r="A2977" s="1">
        <v>22588</v>
      </c>
      <c r="B2977">
        <v>69.47</v>
      </c>
      <c r="C2977">
        <f t="shared" si="112"/>
        <v>5.2090869628128988E-3</v>
      </c>
      <c r="D2977">
        <f t="shared" si="111"/>
        <v>0.51717431568288352</v>
      </c>
    </row>
    <row r="2978" spans="1:4">
      <c r="A2978" s="1">
        <v>22591</v>
      </c>
      <c r="B2978">
        <v>70.010000000000005</v>
      </c>
      <c r="C2978">
        <f t="shared" si="112"/>
        <v>7.7731394846697315E-3</v>
      </c>
      <c r="D2978">
        <f t="shared" si="111"/>
        <v>0.78793739042716582</v>
      </c>
    </row>
    <row r="2979" spans="1:4">
      <c r="A2979" s="1">
        <v>22593</v>
      </c>
      <c r="B2979">
        <v>70.87</v>
      </c>
      <c r="C2979">
        <f t="shared" si="112"/>
        <v>1.228395943436651E-2</v>
      </c>
      <c r="D2979">
        <f t="shared" si="111"/>
        <v>1.2642784438129455</v>
      </c>
    </row>
    <row r="2980" spans="1:4">
      <c r="A2980" s="1">
        <v>22594</v>
      </c>
      <c r="B2980">
        <v>70.77</v>
      </c>
      <c r="C2980">
        <f t="shared" si="112"/>
        <v>-1.4110342881333219E-3</v>
      </c>
      <c r="D2980">
        <f t="shared" si="111"/>
        <v>-0.18190823812848825</v>
      </c>
    </row>
    <row r="2981" spans="1:4">
      <c r="A2981" s="1">
        <v>22595</v>
      </c>
      <c r="B2981">
        <v>71.069999999999993</v>
      </c>
      <c r="C2981">
        <f t="shared" si="112"/>
        <v>4.2390843577786797E-3</v>
      </c>
      <c r="D2981">
        <f t="shared" si="111"/>
        <v>0.41474237031117572</v>
      </c>
    </row>
    <row r="2982" spans="1:4">
      <c r="A2982" s="1">
        <v>22598</v>
      </c>
      <c r="B2982">
        <v>71.27</v>
      </c>
      <c r="C2982">
        <f t="shared" si="112"/>
        <v>2.8141269171240027E-3</v>
      </c>
      <c r="D2982">
        <f t="shared" si="111"/>
        <v>0.26426734894461013</v>
      </c>
    </row>
    <row r="2983" spans="1:4">
      <c r="A2983" s="1">
        <v>22599</v>
      </c>
      <c r="B2983">
        <v>71.66</v>
      </c>
      <c r="C2983">
        <f t="shared" si="112"/>
        <v>5.4721481689350444E-3</v>
      </c>
      <c r="D2983">
        <f t="shared" si="111"/>
        <v>0.54495348963053347</v>
      </c>
    </row>
    <row r="2984" spans="1:4">
      <c r="A2984" s="1">
        <v>22600</v>
      </c>
      <c r="B2984">
        <v>71.67</v>
      </c>
      <c r="C2984">
        <f t="shared" si="112"/>
        <v>1.3954786491773816E-4</v>
      </c>
      <c r="D2984">
        <f t="shared" si="111"/>
        <v>-1.8167289834779062E-2</v>
      </c>
    </row>
    <row r="2985" spans="1:4">
      <c r="A2985" s="1">
        <v>22601</v>
      </c>
      <c r="B2985">
        <v>71.62</v>
      </c>
      <c r="C2985">
        <f t="shared" si="112"/>
        <v>-6.9764197014088401E-4</v>
      </c>
      <c r="D2985">
        <f t="shared" si="111"/>
        <v>-0.10657425184231785</v>
      </c>
    </row>
    <row r="2986" spans="1:4">
      <c r="A2986" s="1">
        <v>22602</v>
      </c>
      <c r="B2986">
        <v>71.62</v>
      </c>
      <c r="C2986">
        <f t="shared" si="112"/>
        <v>0</v>
      </c>
      <c r="D2986">
        <f t="shared" si="111"/>
        <v>-3.29034969354682E-2</v>
      </c>
    </row>
    <row r="2987" spans="1:4">
      <c r="A2987" s="1">
        <v>22605</v>
      </c>
      <c r="B2987">
        <v>71.72</v>
      </c>
      <c r="C2987">
        <f t="shared" si="112"/>
        <v>1.3962580284835842E-3</v>
      </c>
      <c r="D2987">
        <f t="shared" si="111"/>
        <v>0.11454087626123426</v>
      </c>
    </row>
    <row r="2988" spans="1:4">
      <c r="A2988" s="1">
        <v>22606</v>
      </c>
      <c r="B2988">
        <v>71.78</v>
      </c>
      <c r="C2988">
        <f t="shared" si="112"/>
        <v>8.3658672615731001E-4</v>
      </c>
      <c r="D2988">
        <f t="shared" si="111"/>
        <v>5.5439776977098704E-2</v>
      </c>
    </row>
    <row r="2989" spans="1:4">
      <c r="A2989" s="1">
        <v>22607</v>
      </c>
      <c r="B2989">
        <v>71.7</v>
      </c>
      <c r="C2989">
        <f t="shared" si="112"/>
        <v>-1.1145165784340804E-3</v>
      </c>
      <c r="D2989">
        <f t="shared" si="111"/>
        <v>-0.15059606877551507</v>
      </c>
    </row>
    <row r="2990" spans="1:4">
      <c r="A2990" s="1">
        <v>22609</v>
      </c>
      <c r="B2990">
        <v>71.84</v>
      </c>
      <c r="C2990">
        <f t="shared" si="112"/>
        <v>1.9525801952580274E-3</v>
      </c>
      <c r="D2990">
        <f t="shared" si="111"/>
        <v>0.17328830796952291</v>
      </c>
    </row>
    <row r="2991" spans="1:4">
      <c r="A2991" s="1">
        <v>22612</v>
      </c>
      <c r="B2991">
        <v>71.849999999999994</v>
      </c>
      <c r="C2991">
        <f t="shared" si="112"/>
        <v>1.3919821826267962E-4</v>
      </c>
      <c r="D2991">
        <f t="shared" si="111"/>
        <v>-1.8204212402702574E-2</v>
      </c>
    </row>
    <row r="2992" spans="1:4">
      <c r="A2992" s="1">
        <v>22613</v>
      </c>
      <c r="B2992">
        <v>71.75</v>
      </c>
      <c r="C2992">
        <f t="shared" si="112"/>
        <v>-1.3917884481558012E-3</v>
      </c>
      <c r="D2992">
        <f t="shared" si="111"/>
        <v>-0.17987588396884091</v>
      </c>
    </row>
    <row r="2993" spans="1:4">
      <c r="A2993" s="1">
        <v>22614</v>
      </c>
      <c r="B2993">
        <v>71.7</v>
      </c>
      <c r="C2993">
        <f t="shared" si="112"/>
        <v>-6.9686411149821827E-4</v>
      </c>
      <c r="D2993">
        <f t="shared" si="111"/>
        <v>-0.10649211023405936</v>
      </c>
    </row>
    <row r="2994" spans="1:4">
      <c r="A2994" s="1">
        <v>22615</v>
      </c>
      <c r="B2994">
        <v>71.319999999999993</v>
      </c>
      <c r="C2994">
        <f t="shared" si="112"/>
        <v>-5.2998605299861877E-3</v>
      </c>
      <c r="D2994">
        <f t="shared" si="111"/>
        <v>-0.59256696739188464</v>
      </c>
    </row>
    <row r="2995" spans="1:4">
      <c r="A2995" s="1">
        <v>22616</v>
      </c>
      <c r="B2995">
        <v>71.78</v>
      </c>
      <c r="C2995">
        <f t="shared" si="112"/>
        <v>6.4498037016265846E-3</v>
      </c>
      <c r="D2995">
        <f t="shared" si="111"/>
        <v>0.64819358156149798</v>
      </c>
    </row>
    <row r="2996" spans="1:4">
      <c r="A2996" s="1">
        <v>22619</v>
      </c>
      <c r="B2996">
        <v>72.010000000000005</v>
      </c>
      <c r="C2996">
        <f t="shared" si="112"/>
        <v>3.2042351629981052E-3</v>
      </c>
      <c r="D2996">
        <f t="shared" si="111"/>
        <v>0.30546264710467963</v>
      </c>
    </row>
    <row r="2997" spans="1:4">
      <c r="A2997" s="1">
        <v>22620</v>
      </c>
      <c r="B2997">
        <v>71.930000000000007</v>
      </c>
      <c r="C2997">
        <f t="shared" si="112"/>
        <v>-1.1109568115539271E-3</v>
      </c>
      <c r="D2997">
        <f t="shared" si="111"/>
        <v>-0.15022015860299442</v>
      </c>
    </row>
    <row r="2998" spans="1:4">
      <c r="A2998" s="1">
        <v>22621</v>
      </c>
      <c r="B2998">
        <v>71.989999999999995</v>
      </c>
      <c r="C2998">
        <f t="shared" si="112"/>
        <v>8.3414430696493892E-4</v>
      </c>
      <c r="D2998">
        <f t="shared" si="111"/>
        <v>5.5181858340602949E-2</v>
      </c>
    </row>
    <row r="2999" spans="1:4">
      <c r="A2999" s="1">
        <v>22622</v>
      </c>
      <c r="B2999">
        <v>71.7</v>
      </c>
      <c r="C2999">
        <f t="shared" si="112"/>
        <v>-4.0283372690650375E-3</v>
      </c>
      <c r="D2999">
        <f t="shared" si="111"/>
        <v>-0.45829454325036767</v>
      </c>
    </row>
    <row r="3000" spans="1:4">
      <c r="A3000" s="1">
        <v>22623</v>
      </c>
      <c r="B3000">
        <v>72.040000000000006</v>
      </c>
      <c r="C3000">
        <f t="shared" si="112"/>
        <v>4.7419804741980947E-3</v>
      </c>
      <c r="D3000">
        <f t="shared" si="111"/>
        <v>0.46784802926237029</v>
      </c>
    </row>
    <row r="3001" spans="1:4">
      <c r="A3001" s="1">
        <v>22626</v>
      </c>
      <c r="B3001">
        <v>72.39</v>
      </c>
      <c r="C3001">
        <f t="shared" si="112"/>
        <v>4.8584119933369561E-3</v>
      </c>
      <c r="D3001">
        <f t="shared" si="111"/>
        <v>0.48014315810643776</v>
      </c>
    </row>
    <row r="3002" spans="1:4">
      <c r="A3002" s="1">
        <v>22627</v>
      </c>
      <c r="B3002">
        <v>72.64</v>
      </c>
      <c r="C3002">
        <f t="shared" si="112"/>
        <v>3.4535156789611823E-3</v>
      </c>
      <c r="D3002">
        <f t="shared" si="111"/>
        <v>0.33178658485581619</v>
      </c>
    </row>
    <row r="3003" spans="1:4">
      <c r="A3003" s="1">
        <v>22628</v>
      </c>
      <c r="B3003">
        <v>72.53</v>
      </c>
      <c r="C3003">
        <f t="shared" si="112"/>
        <v>-1.5143171806167323E-3</v>
      </c>
      <c r="D3003">
        <f t="shared" si="111"/>
        <v>-0.19281487646717543</v>
      </c>
    </row>
    <row r="3004" spans="1:4">
      <c r="A3004" s="1">
        <v>22629</v>
      </c>
      <c r="B3004">
        <v>71.98</v>
      </c>
      <c r="C3004">
        <f t="shared" si="112"/>
        <v>-7.5830690748655335E-3</v>
      </c>
      <c r="D3004">
        <f t="shared" si="111"/>
        <v>-0.83367301363085033</v>
      </c>
    </row>
    <row r="3005" spans="1:4">
      <c r="A3005" s="1">
        <v>22630</v>
      </c>
      <c r="B3005">
        <v>72.010000000000005</v>
      </c>
      <c r="C3005">
        <f t="shared" si="112"/>
        <v>4.1678243956656206E-4</v>
      </c>
      <c r="D3005">
        <f t="shared" si="111"/>
        <v>1.1108587011526096E-2</v>
      </c>
    </row>
    <row r="3006" spans="1:4">
      <c r="A3006" s="1">
        <v>22633</v>
      </c>
      <c r="B3006">
        <v>71.760000000000005</v>
      </c>
      <c r="C3006">
        <f t="shared" si="112"/>
        <v>-3.471740036106096E-3</v>
      </c>
      <c r="D3006">
        <f t="shared" si="111"/>
        <v>-0.39951806464649547</v>
      </c>
    </row>
    <row r="3007" spans="1:4">
      <c r="A3007" s="1">
        <v>22634</v>
      </c>
      <c r="B3007">
        <v>71.260000000000005</v>
      </c>
      <c r="C3007">
        <f t="shared" si="112"/>
        <v>-6.9676700111482711E-3</v>
      </c>
      <c r="D3007">
        <f t="shared" si="111"/>
        <v>-0.76868708168661293</v>
      </c>
    </row>
    <row r="3008" spans="1:4">
      <c r="A3008" s="1">
        <v>22635</v>
      </c>
      <c r="B3008">
        <v>71.12</v>
      </c>
      <c r="C3008">
        <f t="shared" si="112"/>
        <v>-1.9646365422396933E-3</v>
      </c>
      <c r="D3008">
        <f t="shared" si="111"/>
        <v>-0.24036844798357176</v>
      </c>
    </row>
    <row r="3009" spans="1:4">
      <c r="A3009" s="1">
        <v>22636</v>
      </c>
      <c r="B3009">
        <v>70.86</v>
      </c>
      <c r="C3009">
        <f t="shared" si="112"/>
        <v>-3.6557930258718377E-3</v>
      </c>
      <c r="D3009">
        <f t="shared" si="111"/>
        <v>-0.41895399780310683</v>
      </c>
    </row>
    <row r="3010" spans="1:4">
      <c r="A3010" s="1">
        <v>22637</v>
      </c>
      <c r="B3010">
        <v>70.91</v>
      </c>
      <c r="C3010">
        <f t="shared" si="112"/>
        <v>7.0561670900362908E-4</v>
      </c>
      <c r="D3010">
        <f t="shared" si="111"/>
        <v>4.1609387684541893E-2</v>
      </c>
    </row>
    <row r="3011" spans="1:4">
      <c r="A3011" s="1">
        <v>22641</v>
      </c>
      <c r="B3011">
        <v>71.02</v>
      </c>
      <c r="C3011">
        <f t="shared" si="112"/>
        <v>1.5512621633055907E-3</v>
      </c>
      <c r="D3011">
        <f t="shared" ref="D3011:D3074" si="113">(C3011-avg)/sd</f>
        <v>0.13090926020997271</v>
      </c>
    </row>
    <row r="3012" spans="1:4">
      <c r="A3012" s="1">
        <v>22642</v>
      </c>
      <c r="B3012">
        <v>71.650000000000006</v>
      </c>
      <c r="C3012">
        <f t="shared" ref="C3012:C3075" si="114">(B3012-B3011)/B3011</f>
        <v>8.8707406364405758E-3</v>
      </c>
      <c r="D3012">
        <f t="shared" si="113"/>
        <v>0.90384369896140793</v>
      </c>
    </row>
    <row r="3013" spans="1:4">
      <c r="A3013" s="1">
        <v>22643</v>
      </c>
      <c r="B3013">
        <v>71.69</v>
      </c>
      <c r="C3013">
        <f t="shared" si="114"/>
        <v>5.5826936496848622E-4</v>
      </c>
      <c r="D3013">
        <f t="shared" si="113"/>
        <v>2.6049558240226589E-2</v>
      </c>
    </row>
    <row r="3014" spans="1:4">
      <c r="A3014" s="1">
        <v>22644</v>
      </c>
      <c r="B3014">
        <v>71.55</v>
      </c>
      <c r="C3014">
        <f t="shared" si="114"/>
        <v>-1.9528525596317558E-3</v>
      </c>
      <c r="D3014">
        <f t="shared" si="113"/>
        <v>-0.23912406342574388</v>
      </c>
    </row>
    <row r="3015" spans="1:4">
      <c r="A3015" s="1">
        <v>22648</v>
      </c>
      <c r="B3015">
        <v>70.959999999999994</v>
      </c>
      <c r="C3015">
        <f t="shared" si="114"/>
        <v>-8.2459818308875388E-3</v>
      </c>
      <c r="D3015">
        <f t="shared" si="113"/>
        <v>-0.9036763753317798</v>
      </c>
    </row>
    <row r="3016" spans="1:4">
      <c r="A3016" s="1">
        <v>22649</v>
      </c>
      <c r="B3016">
        <v>71.13</v>
      </c>
      <c r="C3016">
        <f t="shared" si="114"/>
        <v>2.3957158962796183E-3</v>
      </c>
      <c r="D3016">
        <f t="shared" si="113"/>
        <v>0.22008328736825944</v>
      </c>
    </row>
    <row r="3017" spans="1:4">
      <c r="A3017" s="1">
        <v>22650</v>
      </c>
      <c r="B3017">
        <v>70.64</v>
      </c>
      <c r="C3017">
        <f t="shared" si="114"/>
        <v>-6.8887951637845481E-3</v>
      </c>
      <c r="D3017">
        <f t="shared" si="113"/>
        <v>-0.76035792461586715</v>
      </c>
    </row>
    <row r="3018" spans="1:4">
      <c r="A3018" s="1">
        <v>22651</v>
      </c>
      <c r="B3018">
        <v>69.66</v>
      </c>
      <c r="C3018">
        <f t="shared" si="114"/>
        <v>-1.3873159682899263E-2</v>
      </c>
      <c r="D3018">
        <f t="shared" si="113"/>
        <v>-1.4979044437335292</v>
      </c>
    </row>
    <row r="3019" spans="1:4">
      <c r="A3019" s="1">
        <v>22654</v>
      </c>
      <c r="B3019">
        <v>69.12</v>
      </c>
      <c r="C3019">
        <f t="shared" si="114"/>
        <v>-7.7519379844960103E-3</v>
      </c>
      <c r="D3019">
        <f t="shared" si="113"/>
        <v>-0.85150551308649736</v>
      </c>
    </row>
    <row r="3020" spans="1:4">
      <c r="A3020" s="1">
        <v>22655</v>
      </c>
      <c r="B3020">
        <v>69.150000000000006</v>
      </c>
      <c r="C3020">
        <f t="shared" si="114"/>
        <v>4.3402777777779418E-4</v>
      </c>
      <c r="D3020">
        <f t="shared" si="113"/>
        <v>1.2929688864656931E-2</v>
      </c>
    </row>
    <row r="3021" spans="1:4">
      <c r="A3021" s="1">
        <v>22656</v>
      </c>
      <c r="B3021">
        <v>68.959999999999994</v>
      </c>
      <c r="C3021">
        <f t="shared" si="114"/>
        <v>-2.7476500361534625E-3</v>
      </c>
      <c r="D3021">
        <f t="shared" si="113"/>
        <v>-0.32305440678164721</v>
      </c>
    </row>
    <row r="3022" spans="1:4">
      <c r="A3022" s="1">
        <v>22657</v>
      </c>
      <c r="B3022">
        <v>69.37</v>
      </c>
      <c r="C3022">
        <f t="shared" si="114"/>
        <v>5.9454756380512008E-3</v>
      </c>
      <c r="D3022">
        <f t="shared" si="113"/>
        <v>0.59493670947737554</v>
      </c>
    </row>
    <row r="3023" spans="1:4">
      <c r="A3023" s="1">
        <v>22658</v>
      </c>
      <c r="B3023">
        <v>69.61</v>
      </c>
      <c r="C3023">
        <f t="shared" si="114"/>
        <v>3.4597088078419328E-3</v>
      </c>
      <c r="D3023">
        <f t="shared" si="113"/>
        <v>0.33244057716047665</v>
      </c>
    </row>
    <row r="3024" spans="1:4">
      <c r="A3024" s="1">
        <v>22661</v>
      </c>
      <c r="B3024">
        <v>69.47</v>
      </c>
      <c r="C3024">
        <f t="shared" si="114"/>
        <v>-2.0112052865967614E-3</v>
      </c>
      <c r="D3024">
        <f t="shared" si="113"/>
        <v>-0.24528609155819284</v>
      </c>
    </row>
    <row r="3025" spans="1:4">
      <c r="A3025" s="1">
        <v>22662</v>
      </c>
      <c r="B3025">
        <v>69.069999999999993</v>
      </c>
      <c r="C3025">
        <f t="shared" si="114"/>
        <v>-5.7578810997553718E-3</v>
      </c>
      <c r="D3025">
        <f t="shared" si="113"/>
        <v>-0.64093378387075428</v>
      </c>
    </row>
    <row r="3026" spans="1:4">
      <c r="A3026" s="1">
        <v>22663</v>
      </c>
      <c r="B3026">
        <v>68.319999999999993</v>
      </c>
      <c r="C3026">
        <f t="shared" si="114"/>
        <v>-1.0858549297813814E-2</v>
      </c>
      <c r="D3026">
        <f t="shared" si="113"/>
        <v>-1.1795626117843641</v>
      </c>
    </row>
    <row r="3027" spans="1:4">
      <c r="A3027" s="1">
        <v>22664</v>
      </c>
      <c r="B3027">
        <v>68.39</v>
      </c>
      <c r="C3027">
        <f t="shared" si="114"/>
        <v>1.0245901639345345E-3</v>
      </c>
      <c r="D3027">
        <f t="shared" si="113"/>
        <v>7.5292876100900116E-2</v>
      </c>
    </row>
    <row r="3028" spans="1:4">
      <c r="A3028" s="1">
        <v>22665</v>
      </c>
      <c r="B3028">
        <v>68.75</v>
      </c>
      <c r="C3028">
        <f t="shared" si="114"/>
        <v>5.2639274747770057E-3</v>
      </c>
      <c r="D3028">
        <f t="shared" si="113"/>
        <v>0.52296545510509751</v>
      </c>
    </row>
    <row r="3029" spans="1:4">
      <c r="A3029" s="1">
        <v>22668</v>
      </c>
      <c r="B3029">
        <v>68.81</v>
      </c>
      <c r="C3029">
        <f t="shared" si="114"/>
        <v>8.7272727272730581E-4</v>
      </c>
      <c r="D3029">
        <f t="shared" si="113"/>
        <v>5.9256206410121602E-2</v>
      </c>
    </row>
    <row r="3030" spans="1:4">
      <c r="A3030" s="1">
        <v>22669</v>
      </c>
      <c r="B3030">
        <v>68.290000000000006</v>
      </c>
      <c r="C3030">
        <f t="shared" si="114"/>
        <v>-7.5570411277430024E-3</v>
      </c>
      <c r="D3030">
        <f t="shared" si="113"/>
        <v>-0.83092447126204005</v>
      </c>
    </row>
    <row r="3031" spans="1:4">
      <c r="A3031" s="1">
        <v>22670</v>
      </c>
      <c r="B3031">
        <v>68.400000000000006</v>
      </c>
      <c r="C3031">
        <f t="shared" si="114"/>
        <v>1.6107775662615232E-3</v>
      </c>
      <c r="D3031">
        <f t="shared" si="113"/>
        <v>0.13719406653185079</v>
      </c>
    </row>
    <row r="3032" spans="1:4">
      <c r="A3032" s="1">
        <v>22671</v>
      </c>
      <c r="B3032">
        <v>68.349999999999994</v>
      </c>
      <c r="C3032">
        <f t="shared" si="114"/>
        <v>-7.3099415204694979E-4</v>
      </c>
      <c r="D3032">
        <f t="shared" si="113"/>
        <v>-0.11009623091464095</v>
      </c>
    </row>
    <row r="3033" spans="1:4">
      <c r="A3033" s="1">
        <v>22672</v>
      </c>
      <c r="B3033">
        <v>68.13</v>
      </c>
      <c r="C3033">
        <f t="shared" si="114"/>
        <v>-3.2187271397220029E-3</v>
      </c>
      <c r="D3033">
        <f t="shared" si="113"/>
        <v>-0.37279998879159737</v>
      </c>
    </row>
    <row r="3034" spans="1:4">
      <c r="A3034" s="1">
        <v>22675</v>
      </c>
      <c r="B3034">
        <v>67.900000000000006</v>
      </c>
      <c r="C3034">
        <f t="shared" si="114"/>
        <v>-3.3758990165857886E-3</v>
      </c>
      <c r="D3034">
        <f t="shared" si="113"/>
        <v>-0.38939728556309644</v>
      </c>
    </row>
    <row r="3035" spans="1:4">
      <c r="A3035" s="1">
        <v>22676</v>
      </c>
      <c r="B3035">
        <v>68.17</v>
      </c>
      <c r="C3035">
        <f t="shared" si="114"/>
        <v>3.9764359351987626E-3</v>
      </c>
      <c r="D3035">
        <f t="shared" si="113"/>
        <v>0.38700678616527318</v>
      </c>
    </row>
    <row r="3036" spans="1:4">
      <c r="A3036" s="1">
        <v>22677</v>
      </c>
      <c r="B3036">
        <v>68.84</v>
      </c>
      <c r="C3036">
        <f t="shared" si="114"/>
        <v>9.8283702508435052E-3</v>
      </c>
      <c r="D3036">
        <f t="shared" si="113"/>
        <v>1.0049690607282353</v>
      </c>
    </row>
    <row r="3037" spans="1:4">
      <c r="A3037" s="1">
        <v>22678</v>
      </c>
      <c r="B3037">
        <v>69.260000000000005</v>
      </c>
      <c r="C3037">
        <f t="shared" si="114"/>
        <v>6.1011040092969447E-3</v>
      </c>
      <c r="D3037">
        <f t="shared" si="113"/>
        <v>0.61137101258027238</v>
      </c>
    </row>
    <row r="3038" spans="1:4">
      <c r="A3038" s="1">
        <v>22679</v>
      </c>
      <c r="B3038">
        <v>69.81</v>
      </c>
      <c r="C3038">
        <f t="shared" si="114"/>
        <v>7.941091539127882E-3</v>
      </c>
      <c r="D3038">
        <f t="shared" si="113"/>
        <v>0.80567307028826929</v>
      </c>
    </row>
    <row r="3039" spans="1:4">
      <c r="A3039" s="1">
        <v>22682</v>
      </c>
      <c r="B3039">
        <v>69.88</v>
      </c>
      <c r="C3039">
        <f t="shared" si="114"/>
        <v>1.0027216731126368E-3</v>
      </c>
      <c r="D3039">
        <f t="shared" si="113"/>
        <v>7.2983570903568926E-2</v>
      </c>
    </row>
    <row r="3040" spans="1:4">
      <c r="A3040" s="1">
        <v>22683</v>
      </c>
      <c r="B3040">
        <v>69.959999999999994</v>
      </c>
      <c r="C3040">
        <f t="shared" si="114"/>
        <v>1.1448196908986591E-3</v>
      </c>
      <c r="D3040">
        <f t="shared" si="113"/>
        <v>8.7989073280309776E-2</v>
      </c>
    </row>
    <row r="3041" spans="1:4">
      <c r="A3041" s="1">
        <v>22684</v>
      </c>
      <c r="B3041">
        <v>70.42</v>
      </c>
      <c r="C3041">
        <f t="shared" si="114"/>
        <v>6.5751858204689539E-3</v>
      </c>
      <c r="D3041">
        <f t="shared" si="113"/>
        <v>0.66143389069179914</v>
      </c>
    </row>
    <row r="3042" spans="1:4">
      <c r="A3042" s="1">
        <v>22685</v>
      </c>
      <c r="B3042">
        <v>70.58</v>
      </c>
      <c r="C3042">
        <f t="shared" si="114"/>
        <v>2.2720817949445694E-3</v>
      </c>
      <c r="D3042">
        <f t="shared" si="113"/>
        <v>0.20702756829255123</v>
      </c>
    </row>
    <row r="3043" spans="1:4">
      <c r="A3043" s="1">
        <v>22686</v>
      </c>
      <c r="B3043">
        <v>70.48</v>
      </c>
      <c r="C3043">
        <f t="shared" si="114"/>
        <v>-1.4168319637290212E-3</v>
      </c>
      <c r="D3043">
        <f t="shared" si="113"/>
        <v>-0.1825204707006684</v>
      </c>
    </row>
    <row r="3044" spans="1:4">
      <c r="A3044" s="1">
        <v>22689</v>
      </c>
      <c r="B3044">
        <v>70.459999999999994</v>
      </c>
      <c r="C3044">
        <f t="shared" si="114"/>
        <v>-2.8376844494906685E-4</v>
      </c>
      <c r="D3044">
        <f t="shared" si="113"/>
        <v>-6.2869348264508587E-2</v>
      </c>
    </row>
    <row r="3045" spans="1:4">
      <c r="A3045" s="1">
        <v>22690</v>
      </c>
      <c r="B3045">
        <v>70.45</v>
      </c>
      <c r="C3045">
        <f t="shared" si="114"/>
        <v>-1.4192449616790953E-4</v>
      </c>
      <c r="D3045">
        <f t="shared" si="113"/>
        <v>-4.7890675488319212E-2</v>
      </c>
    </row>
    <row r="3046" spans="1:4">
      <c r="A3046" s="1">
        <v>22691</v>
      </c>
      <c r="B3046">
        <v>70.42</v>
      </c>
      <c r="C3046">
        <f t="shared" si="114"/>
        <v>-4.2583392476935606E-4</v>
      </c>
      <c r="D3046">
        <f t="shared" si="113"/>
        <v>-7.7871414643128231E-2</v>
      </c>
    </row>
    <row r="3047" spans="1:4">
      <c r="A3047" s="1">
        <v>22692</v>
      </c>
      <c r="B3047">
        <v>70.739999999999995</v>
      </c>
      <c r="C3047">
        <f t="shared" si="114"/>
        <v>4.5441635898891388E-3</v>
      </c>
      <c r="D3047">
        <f t="shared" si="113"/>
        <v>0.44695863352057058</v>
      </c>
    </row>
    <row r="3048" spans="1:4">
      <c r="A3048" s="1">
        <v>22693</v>
      </c>
      <c r="B3048">
        <v>70.59</v>
      </c>
      <c r="C3048">
        <f t="shared" si="114"/>
        <v>-2.1204410517386414E-3</v>
      </c>
      <c r="D3048">
        <f t="shared" si="113"/>
        <v>-0.2568213512261347</v>
      </c>
    </row>
    <row r="3049" spans="1:4">
      <c r="A3049" s="1">
        <v>22696</v>
      </c>
      <c r="B3049">
        <v>70.41</v>
      </c>
      <c r="C3049">
        <f t="shared" si="114"/>
        <v>-2.5499362515938066E-3</v>
      </c>
      <c r="D3049">
        <f t="shared" si="113"/>
        <v>-0.30217589833832831</v>
      </c>
    </row>
    <row r="3050" spans="1:4">
      <c r="A3050" s="1">
        <v>22697</v>
      </c>
      <c r="B3050">
        <v>70.66</v>
      </c>
      <c r="C3050">
        <f t="shared" si="114"/>
        <v>3.5506320124982249E-3</v>
      </c>
      <c r="D3050">
        <f t="shared" si="113"/>
        <v>0.34204203666588218</v>
      </c>
    </row>
    <row r="3051" spans="1:4">
      <c r="A3051" s="1">
        <v>22698</v>
      </c>
      <c r="B3051">
        <v>70.319999999999993</v>
      </c>
      <c r="C3051">
        <f t="shared" si="114"/>
        <v>-4.8117746957260605E-3</v>
      </c>
      <c r="D3051">
        <f t="shared" si="113"/>
        <v>-0.54102526920245131</v>
      </c>
    </row>
    <row r="3052" spans="1:4">
      <c r="A3052" s="1">
        <v>22700</v>
      </c>
      <c r="B3052">
        <v>70.16</v>
      </c>
      <c r="C3052">
        <f t="shared" si="114"/>
        <v>-2.2753128555175854E-3</v>
      </c>
      <c r="D3052">
        <f t="shared" si="113"/>
        <v>-0.27317576106170727</v>
      </c>
    </row>
    <row r="3053" spans="1:4">
      <c r="A3053" s="1">
        <v>22703</v>
      </c>
      <c r="B3053">
        <v>69.760000000000005</v>
      </c>
      <c r="C3053">
        <f t="shared" si="114"/>
        <v>-5.7012542759405857E-3</v>
      </c>
      <c r="D3053">
        <f t="shared" si="113"/>
        <v>-0.63495401052430556</v>
      </c>
    </row>
    <row r="3054" spans="1:4">
      <c r="A3054" s="1">
        <v>22704</v>
      </c>
      <c r="B3054">
        <v>69.89</v>
      </c>
      <c r="C3054">
        <f t="shared" si="114"/>
        <v>1.8635321100916777E-3</v>
      </c>
      <c r="D3054">
        <f t="shared" si="113"/>
        <v>0.16388486044487124</v>
      </c>
    </row>
    <row r="3055" spans="1:4">
      <c r="A3055" s="1">
        <v>22705</v>
      </c>
      <c r="B3055">
        <v>69.959999999999994</v>
      </c>
      <c r="C3055">
        <f t="shared" si="114"/>
        <v>1.00157390184566E-3</v>
      </c>
      <c r="D3055">
        <f t="shared" si="113"/>
        <v>7.2862366647922575E-2</v>
      </c>
    </row>
    <row r="3056" spans="1:4">
      <c r="A3056" s="1">
        <v>22706</v>
      </c>
      <c r="B3056">
        <v>70.2</v>
      </c>
      <c r="C3056">
        <f t="shared" si="114"/>
        <v>3.4305317324186554E-3</v>
      </c>
      <c r="D3056">
        <f t="shared" si="113"/>
        <v>0.32935948791354835</v>
      </c>
    </row>
    <row r="3057" spans="1:4">
      <c r="A3057" s="1">
        <v>22707</v>
      </c>
      <c r="B3057">
        <v>70.16</v>
      </c>
      <c r="C3057">
        <f t="shared" si="114"/>
        <v>-5.6980056980065889E-4</v>
      </c>
      <c r="D3057">
        <f t="shared" si="113"/>
        <v>-9.3074243421793448E-2</v>
      </c>
    </row>
    <row r="3058" spans="1:4">
      <c r="A3058" s="1">
        <v>22710</v>
      </c>
      <c r="B3058">
        <v>70.010000000000005</v>
      </c>
      <c r="C3058">
        <f t="shared" si="114"/>
        <v>-2.1379703534776437E-3</v>
      </c>
      <c r="D3058">
        <f t="shared" si="113"/>
        <v>-0.25867243953127417</v>
      </c>
    </row>
    <row r="3059" spans="1:4">
      <c r="A3059" s="1">
        <v>22711</v>
      </c>
      <c r="B3059">
        <v>69.78</v>
      </c>
      <c r="C3059">
        <f t="shared" si="114"/>
        <v>-3.285244965005056E-3</v>
      </c>
      <c r="D3059">
        <f t="shared" si="113"/>
        <v>-0.3798242485309804</v>
      </c>
    </row>
    <row r="3060" spans="1:4">
      <c r="A3060" s="1">
        <v>22712</v>
      </c>
      <c r="B3060">
        <v>69.69</v>
      </c>
      <c r="C3060">
        <f t="shared" si="114"/>
        <v>-1.2897678417885269E-3</v>
      </c>
      <c r="D3060">
        <f t="shared" si="113"/>
        <v>-0.16910254261494581</v>
      </c>
    </row>
    <row r="3061" spans="1:4">
      <c r="A3061" s="1">
        <v>22713</v>
      </c>
      <c r="B3061">
        <v>70.19</v>
      </c>
      <c r="C3061">
        <f t="shared" si="114"/>
        <v>7.1746305065289138E-3</v>
      </c>
      <c r="D3061">
        <f t="shared" si="113"/>
        <v>0.72473504577858194</v>
      </c>
    </row>
    <row r="3062" spans="1:4">
      <c r="A3062" s="1">
        <v>22714</v>
      </c>
      <c r="B3062">
        <v>70.42</v>
      </c>
      <c r="C3062">
        <f t="shared" si="114"/>
        <v>3.2768200598376407E-3</v>
      </c>
      <c r="D3062">
        <f t="shared" si="113"/>
        <v>0.31312758753812936</v>
      </c>
    </row>
    <row r="3063" spans="1:4">
      <c r="A3063" s="1">
        <v>22717</v>
      </c>
      <c r="B3063">
        <v>70.400000000000006</v>
      </c>
      <c r="C3063">
        <f t="shared" si="114"/>
        <v>-2.8401022436802076E-4</v>
      </c>
      <c r="D3063">
        <f t="shared" si="113"/>
        <v>-6.2894880088965308E-2</v>
      </c>
    </row>
    <row r="3064" spans="1:4">
      <c r="A3064" s="1">
        <v>22718</v>
      </c>
      <c r="B3064">
        <v>70.599999999999994</v>
      </c>
      <c r="C3064">
        <f t="shared" si="114"/>
        <v>2.8409090909089292E-3</v>
      </c>
      <c r="D3064">
        <f t="shared" si="113"/>
        <v>0.26709553739259517</v>
      </c>
    </row>
    <row r="3065" spans="1:4">
      <c r="A3065" s="1">
        <v>22719</v>
      </c>
      <c r="B3065">
        <v>70.91</v>
      </c>
      <c r="C3065">
        <f t="shared" si="114"/>
        <v>4.3909348441926671E-3</v>
      </c>
      <c r="D3065">
        <f t="shared" si="113"/>
        <v>0.43077773006000453</v>
      </c>
    </row>
    <row r="3066" spans="1:4">
      <c r="A3066" s="1">
        <v>22720</v>
      </c>
      <c r="B3066">
        <v>71.06</v>
      </c>
      <c r="C3066">
        <f t="shared" si="114"/>
        <v>2.1153574954168057E-3</v>
      </c>
      <c r="D3066">
        <f t="shared" si="113"/>
        <v>0.19047753553559721</v>
      </c>
    </row>
    <row r="3067" spans="1:4">
      <c r="A3067" s="1">
        <v>22721</v>
      </c>
      <c r="B3067">
        <v>70.94</v>
      </c>
      <c r="C3067">
        <f t="shared" si="114"/>
        <v>-1.6887137630172326E-3</v>
      </c>
      <c r="D3067">
        <f t="shared" si="113"/>
        <v>-0.21123109628838965</v>
      </c>
    </row>
    <row r="3068" spans="1:4">
      <c r="A3068" s="1">
        <v>22724</v>
      </c>
      <c r="B3068">
        <v>70.849999999999994</v>
      </c>
      <c r="C3068">
        <f t="shared" si="114"/>
        <v>-1.2686777558500622E-3</v>
      </c>
      <c r="D3068">
        <f t="shared" si="113"/>
        <v>-0.16687543670871247</v>
      </c>
    </row>
    <row r="3069" spans="1:4">
      <c r="A3069" s="1">
        <v>22725</v>
      </c>
      <c r="B3069">
        <v>70.66</v>
      </c>
      <c r="C3069">
        <f t="shared" si="114"/>
        <v>-2.6817219477769617E-3</v>
      </c>
      <c r="D3069">
        <f t="shared" si="113"/>
        <v>-0.31609242305913482</v>
      </c>
    </row>
    <row r="3070" spans="1:4">
      <c r="A3070" s="1">
        <v>22726</v>
      </c>
      <c r="B3070">
        <v>70.510000000000005</v>
      </c>
      <c r="C3070">
        <f t="shared" si="114"/>
        <v>-2.1228417775260612E-3</v>
      </c>
      <c r="D3070">
        <f t="shared" si="113"/>
        <v>-0.2570748670532399</v>
      </c>
    </row>
    <row r="3071" spans="1:4">
      <c r="A3071" s="1">
        <v>22727</v>
      </c>
      <c r="B3071">
        <v>70.400000000000006</v>
      </c>
      <c r="C3071">
        <f t="shared" si="114"/>
        <v>-1.5600624024960917E-3</v>
      </c>
      <c r="D3071">
        <f t="shared" si="113"/>
        <v>-0.19764555634807934</v>
      </c>
    </row>
    <row r="3072" spans="1:4">
      <c r="A3072" s="1">
        <v>22728</v>
      </c>
      <c r="B3072">
        <v>70.45</v>
      </c>
      <c r="C3072">
        <f t="shared" si="114"/>
        <v>7.1022727272723231E-4</v>
      </c>
      <c r="D3072">
        <f t="shared" si="113"/>
        <v>4.2096261646547638E-2</v>
      </c>
    </row>
    <row r="3073" spans="1:4">
      <c r="A3073" s="1">
        <v>22731</v>
      </c>
      <c r="B3073">
        <v>69.89</v>
      </c>
      <c r="C3073">
        <f t="shared" si="114"/>
        <v>-7.9488999290277113E-3</v>
      </c>
      <c r="D3073">
        <f t="shared" si="113"/>
        <v>-0.87230462747842696</v>
      </c>
    </row>
    <row r="3074" spans="1:4">
      <c r="A3074" s="1">
        <v>22732</v>
      </c>
      <c r="B3074">
        <v>69.7</v>
      </c>
      <c r="C3074">
        <f t="shared" si="114"/>
        <v>-2.7185577335813098E-3</v>
      </c>
      <c r="D3074">
        <f t="shared" si="113"/>
        <v>-0.31998226951898201</v>
      </c>
    </row>
    <row r="3075" spans="1:4">
      <c r="A3075" s="1">
        <v>22733</v>
      </c>
      <c r="B3075">
        <v>70.040000000000006</v>
      </c>
      <c r="C3075">
        <f t="shared" si="114"/>
        <v>4.8780487804878534E-3</v>
      </c>
      <c r="D3075">
        <f t="shared" ref="D3075:D3138" si="115">(C3075-avg)/sd</f>
        <v>0.48221679615470425</v>
      </c>
    </row>
    <row r="3076" spans="1:4">
      <c r="A3076" s="1">
        <v>22734</v>
      </c>
      <c r="B3076">
        <v>70.010000000000005</v>
      </c>
      <c r="C3076">
        <f t="shared" ref="C3076:C3139" si="116">(B3076-B3075)/B3075</f>
        <v>-4.2832667047403104E-4</v>
      </c>
      <c r="D3076">
        <f t="shared" si="115"/>
        <v>-7.813464774221647E-2</v>
      </c>
    </row>
    <row r="3077" spans="1:4">
      <c r="A3077" s="1">
        <v>22735</v>
      </c>
      <c r="B3077">
        <v>69.55</v>
      </c>
      <c r="C3077">
        <f t="shared" si="116"/>
        <v>-6.570489930010112E-3</v>
      </c>
      <c r="D3077">
        <f t="shared" si="115"/>
        <v>-0.72674500012649268</v>
      </c>
    </row>
    <row r="3078" spans="1:4">
      <c r="A3078" s="1">
        <v>22738</v>
      </c>
      <c r="B3078">
        <v>69.37</v>
      </c>
      <c r="C3078">
        <f t="shared" si="116"/>
        <v>-2.5880661394679025E-3</v>
      </c>
      <c r="D3078">
        <f t="shared" si="115"/>
        <v>-0.30620240153685419</v>
      </c>
    </row>
    <row r="3079" spans="1:4">
      <c r="A3079" s="1">
        <v>22739</v>
      </c>
      <c r="B3079">
        <v>68.81</v>
      </c>
      <c r="C3079">
        <f t="shared" si="116"/>
        <v>-8.0726538849647152E-3</v>
      </c>
      <c r="D3079">
        <f t="shared" si="115"/>
        <v>-0.88537300315936107</v>
      </c>
    </row>
    <row r="3080" spans="1:4">
      <c r="A3080" s="1">
        <v>22740</v>
      </c>
      <c r="B3080">
        <v>68.489999999999995</v>
      </c>
      <c r="C3080">
        <f t="shared" si="116"/>
        <v>-4.6504868478419907E-3</v>
      </c>
      <c r="D3080">
        <f t="shared" si="115"/>
        <v>-0.52399332729029691</v>
      </c>
    </row>
    <row r="3081" spans="1:4">
      <c r="A3081" s="1">
        <v>22741</v>
      </c>
      <c r="B3081">
        <v>68.91</v>
      </c>
      <c r="C3081">
        <f t="shared" si="116"/>
        <v>6.1322820849759345E-3</v>
      </c>
      <c r="D3081">
        <f t="shared" si="115"/>
        <v>0.61466340677403086</v>
      </c>
    </row>
    <row r="3082" spans="1:4">
      <c r="A3082" s="1">
        <v>22742</v>
      </c>
      <c r="B3082">
        <v>68.84</v>
      </c>
      <c r="C3082">
        <f t="shared" si="116"/>
        <v>-1.0158177332751878E-3</v>
      </c>
      <c r="D3082">
        <f t="shared" si="115"/>
        <v>-0.14017350427610353</v>
      </c>
    </row>
    <row r="3083" spans="1:4">
      <c r="A3083" s="1">
        <v>22745</v>
      </c>
      <c r="B3083">
        <v>68.31</v>
      </c>
      <c r="C3083">
        <f t="shared" si="116"/>
        <v>-7.6990122022080349E-3</v>
      </c>
      <c r="D3083">
        <f t="shared" si="115"/>
        <v>-0.84591656846723462</v>
      </c>
    </row>
    <row r="3084" spans="1:4">
      <c r="A3084" s="1">
        <v>22746</v>
      </c>
      <c r="B3084">
        <v>68.56</v>
      </c>
      <c r="C3084">
        <f t="shared" si="116"/>
        <v>3.6597862684819207E-3</v>
      </c>
      <c r="D3084">
        <f t="shared" si="115"/>
        <v>0.35356868899442606</v>
      </c>
    </row>
    <row r="3085" spans="1:4">
      <c r="A3085" s="1">
        <v>22747</v>
      </c>
      <c r="B3085">
        <v>68.41</v>
      </c>
      <c r="C3085">
        <f t="shared" si="116"/>
        <v>-2.1878646441074339E-3</v>
      </c>
      <c r="D3085">
        <f t="shared" si="115"/>
        <v>-0.26394125966188658</v>
      </c>
    </row>
    <row r="3086" spans="1:4">
      <c r="A3086" s="1">
        <v>22748</v>
      </c>
      <c r="B3086">
        <v>67.900000000000006</v>
      </c>
      <c r="C3086">
        <f t="shared" si="116"/>
        <v>-7.4550504312233725E-3</v>
      </c>
      <c r="D3086">
        <f t="shared" si="115"/>
        <v>-0.82015428837788951</v>
      </c>
    </row>
    <row r="3087" spans="1:4">
      <c r="A3087" s="1">
        <v>22749</v>
      </c>
      <c r="B3087">
        <v>67.900000000000006</v>
      </c>
      <c r="C3087">
        <f t="shared" si="116"/>
        <v>0</v>
      </c>
      <c r="D3087">
        <f t="shared" si="115"/>
        <v>-3.29034969354682E-2</v>
      </c>
    </row>
    <row r="3088" spans="1:4">
      <c r="A3088" s="1">
        <v>22752</v>
      </c>
      <c r="B3088">
        <v>67.599999999999994</v>
      </c>
      <c r="C3088">
        <f t="shared" si="116"/>
        <v>-4.4182621502210804E-3</v>
      </c>
      <c r="D3088">
        <f t="shared" si="115"/>
        <v>-0.49947047815853879</v>
      </c>
    </row>
    <row r="3089" spans="1:4">
      <c r="A3089" s="1">
        <v>22753</v>
      </c>
      <c r="B3089">
        <v>67.900000000000006</v>
      </c>
      <c r="C3089">
        <f t="shared" si="116"/>
        <v>4.4378698224853755E-3</v>
      </c>
      <c r="D3089">
        <f t="shared" si="115"/>
        <v>0.43573404781374026</v>
      </c>
    </row>
    <row r="3090" spans="1:4">
      <c r="A3090" s="1">
        <v>22754</v>
      </c>
      <c r="B3090">
        <v>68.27</v>
      </c>
      <c r="C3090">
        <f t="shared" si="116"/>
        <v>5.449189985272317E-3</v>
      </c>
      <c r="D3090">
        <f t="shared" si="115"/>
        <v>0.54252911323961528</v>
      </c>
    </row>
    <row r="3091" spans="1:4">
      <c r="A3091" s="1">
        <v>22755</v>
      </c>
      <c r="B3091">
        <v>68.59</v>
      </c>
      <c r="C3091">
        <f t="shared" si="116"/>
        <v>4.6872711293394964E-3</v>
      </c>
      <c r="D3091">
        <f t="shared" si="115"/>
        <v>0.4620707410419122</v>
      </c>
    </row>
    <row r="3092" spans="1:4">
      <c r="A3092" s="1">
        <v>22759</v>
      </c>
      <c r="B3092">
        <v>68.53</v>
      </c>
      <c r="C3092">
        <f t="shared" si="116"/>
        <v>-8.7476308499784619E-4</v>
      </c>
      <c r="D3092">
        <f t="shared" si="115"/>
        <v>-0.12527818136482083</v>
      </c>
    </row>
    <row r="3093" spans="1:4">
      <c r="A3093" s="1">
        <v>22760</v>
      </c>
      <c r="B3093">
        <v>68.459999999999994</v>
      </c>
      <c r="C3093">
        <f t="shared" si="116"/>
        <v>-1.0214504596528146E-3</v>
      </c>
      <c r="D3093">
        <f t="shared" si="115"/>
        <v>-0.14076831826692421</v>
      </c>
    </row>
    <row r="3094" spans="1:4">
      <c r="A3094" s="1">
        <v>22761</v>
      </c>
      <c r="B3094">
        <v>67.709999999999994</v>
      </c>
      <c r="C3094">
        <f t="shared" si="116"/>
        <v>-1.0955302366345312E-2</v>
      </c>
      <c r="D3094">
        <f t="shared" si="115"/>
        <v>-1.1897797029333244</v>
      </c>
    </row>
    <row r="3095" spans="1:4">
      <c r="A3095" s="1">
        <v>22762</v>
      </c>
      <c r="B3095">
        <v>67.05</v>
      </c>
      <c r="C3095">
        <f t="shared" si="116"/>
        <v>-9.7474523704031407E-3</v>
      </c>
      <c r="D3095">
        <f t="shared" si="115"/>
        <v>-1.0622311539299931</v>
      </c>
    </row>
    <row r="3096" spans="1:4">
      <c r="A3096" s="1">
        <v>22763</v>
      </c>
      <c r="B3096">
        <v>66.3</v>
      </c>
      <c r="C3096">
        <f t="shared" si="116"/>
        <v>-1.1185682326621925E-2</v>
      </c>
      <c r="D3096">
        <f t="shared" si="115"/>
        <v>-1.2141077484285812</v>
      </c>
    </row>
    <row r="3097" spans="1:4">
      <c r="A3097" s="1">
        <v>22766</v>
      </c>
      <c r="B3097">
        <v>65.239999999999995</v>
      </c>
      <c r="C3097">
        <f t="shared" si="116"/>
        <v>-1.5987933634992492E-2</v>
      </c>
      <c r="D3097">
        <f t="shared" si="115"/>
        <v>-1.7212238542279812</v>
      </c>
    </row>
    <row r="3098" spans="1:4">
      <c r="A3098" s="1">
        <v>22767</v>
      </c>
      <c r="B3098">
        <v>65.7</v>
      </c>
      <c r="C3098">
        <f t="shared" si="116"/>
        <v>7.0508890251380751E-3</v>
      </c>
      <c r="D3098">
        <f t="shared" si="115"/>
        <v>0.71166798740548254</v>
      </c>
    </row>
    <row r="3099" spans="1:4">
      <c r="A3099" s="1">
        <v>22768</v>
      </c>
      <c r="B3099">
        <v>65.989999999999995</v>
      </c>
      <c r="C3099">
        <f t="shared" si="116"/>
        <v>4.4140030441399093E-3</v>
      </c>
      <c r="D3099">
        <f t="shared" si="115"/>
        <v>0.43321372413317116</v>
      </c>
    </row>
    <row r="3100" spans="1:4">
      <c r="A3100" s="1">
        <v>22769</v>
      </c>
      <c r="B3100">
        <v>66.53</v>
      </c>
      <c r="C3100">
        <f t="shared" si="116"/>
        <v>8.1830580390969288E-3</v>
      </c>
      <c r="D3100">
        <f t="shared" si="115"/>
        <v>0.83122465043659122</v>
      </c>
    </row>
    <row r="3101" spans="1:4">
      <c r="A3101" s="1">
        <v>22770</v>
      </c>
      <c r="B3101">
        <v>66.239999999999995</v>
      </c>
      <c r="C3101">
        <f t="shared" si="116"/>
        <v>-4.358935818427871E-3</v>
      </c>
      <c r="D3101">
        <f t="shared" si="115"/>
        <v>-0.4932056376871759</v>
      </c>
    </row>
    <row r="3102" spans="1:4">
      <c r="A3102" s="1">
        <v>22773</v>
      </c>
      <c r="B3102">
        <v>66.02</v>
      </c>
      <c r="C3102">
        <f t="shared" si="116"/>
        <v>-3.3212560386473261E-3</v>
      </c>
      <c r="D3102">
        <f t="shared" si="115"/>
        <v>-0.38362700566684543</v>
      </c>
    </row>
    <row r="3103" spans="1:4">
      <c r="A3103" s="1">
        <v>22774</v>
      </c>
      <c r="B3103">
        <v>65.17</v>
      </c>
      <c r="C3103">
        <f t="shared" si="116"/>
        <v>-1.2874886398061109E-2</v>
      </c>
      <c r="D3103">
        <f t="shared" si="115"/>
        <v>-1.392487124184197</v>
      </c>
    </row>
    <row r="3104" spans="1:4">
      <c r="A3104" s="1">
        <v>22775</v>
      </c>
      <c r="B3104">
        <v>64.260000000000005</v>
      </c>
      <c r="C3104">
        <f t="shared" si="116"/>
        <v>-1.396348012889361E-2</v>
      </c>
      <c r="D3104">
        <f t="shared" si="115"/>
        <v>-1.5074422521291209</v>
      </c>
    </row>
    <row r="3105" spans="1:4">
      <c r="A3105" s="1">
        <v>22776</v>
      </c>
      <c r="B3105">
        <v>63.57</v>
      </c>
      <c r="C3105">
        <f t="shared" si="116"/>
        <v>-1.0737628384687283E-2</v>
      </c>
      <c r="D3105">
        <f t="shared" si="115"/>
        <v>-1.1667934044612178</v>
      </c>
    </row>
    <row r="3106" spans="1:4">
      <c r="A3106" s="1">
        <v>22777</v>
      </c>
      <c r="B3106">
        <v>62.65</v>
      </c>
      <c r="C3106">
        <f t="shared" si="116"/>
        <v>-1.4472235331131064E-2</v>
      </c>
      <c r="D3106">
        <f t="shared" si="115"/>
        <v>-1.5611666285511003</v>
      </c>
    </row>
    <row r="3107" spans="1:4">
      <c r="A3107" s="1">
        <v>22780</v>
      </c>
      <c r="B3107">
        <v>63.1</v>
      </c>
      <c r="C3107">
        <f t="shared" si="116"/>
        <v>7.1827613727055524E-3</v>
      </c>
      <c r="D3107">
        <f t="shared" si="115"/>
        <v>0.72559366248301926</v>
      </c>
    </row>
    <row r="3108" spans="1:4">
      <c r="A3108" s="1">
        <v>22781</v>
      </c>
      <c r="B3108">
        <v>64.290000000000006</v>
      </c>
      <c r="C3108">
        <f t="shared" si="116"/>
        <v>1.8858954041204513E-2</v>
      </c>
      <c r="D3108">
        <f t="shared" si="115"/>
        <v>1.9585956393457808</v>
      </c>
    </row>
    <row r="3109" spans="1:4">
      <c r="A3109" s="1">
        <v>22782</v>
      </c>
      <c r="B3109">
        <v>64.27</v>
      </c>
      <c r="C3109">
        <f t="shared" si="116"/>
        <v>-3.1109037175315336E-4</v>
      </c>
      <c r="D3109">
        <f t="shared" si="115"/>
        <v>-6.5754534447845958E-2</v>
      </c>
    </row>
    <row r="3110" spans="1:4">
      <c r="A3110" s="1">
        <v>22783</v>
      </c>
      <c r="B3110">
        <v>63.93</v>
      </c>
      <c r="C3110">
        <f t="shared" si="116"/>
        <v>-5.2901820444997095E-3</v>
      </c>
      <c r="D3110">
        <f t="shared" si="115"/>
        <v>-0.59154492261438962</v>
      </c>
    </row>
    <row r="3111" spans="1:4">
      <c r="A3111" s="1">
        <v>22784</v>
      </c>
      <c r="B3111">
        <v>63.82</v>
      </c>
      <c r="C3111">
        <f t="shared" si="116"/>
        <v>-1.7206319411856629E-3</v>
      </c>
      <c r="D3111">
        <f t="shared" si="115"/>
        <v>-0.21460164505345997</v>
      </c>
    </row>
    <row r="3112" spans="1:4">
      <c r="A3112" s="1">
        <v>22787</v>
      </c>
      <c r="B3112">
        <v>63.59</v>
      </c>
      <c r="C3112">
        <f t="shared" si="116"/>
        <v>-3.6038859291757579E-3</v>
      </c>
      <c r="D3112">
        <f t="shared" si="115"/>
        <v>-0.4134726260360802</v>
      </c>
    </row>
    <row r="3113" spans="1:4">
      <c r="A3113" s="1">
        <v>22788</v>
      </c>
      <c r="B3113">
        <v>62.34</v>
      </c>
      <c r="C3113">
        <f t="shared" si="116"/>
        <v>-1.9657178801698379E-2</v>
      </c>
      <c r="D3113">
        <f t="shared" si="115"/>
        <v>-2.1086948965950905</v>
      </c>
    </row>
    <row r="3114" spans="1:4">
      <c r="A3114" s="1">
        <v>22789</v>
      </c>
      <c r="B3114">
        <v>61.11</v>
      </c>
      <c r="C3114">
        <f t="shared" si="116"/>
        <v>-1.9730510105871093E-2</v>
      </c>
      <c r="D3114">
        <f t="shared" si="115"/>
        <v>-2.1164386573892076</v>
      </c>
    </row>
    <row r="3115" spans="1:4">
      <c r="A3115" s="1">
        <v>22790</v>
      </c>
      <c r="B3115">
        <v>60.62</v>
      </c>
      <c r="C3115">
        <f t="shared" si="116"/>
        <v>-8.0183276059565042E-3</v>
      </c>
      <c r="D3115">
        <f t="shared" si="115"/>
        <v>-0.87963616656249344</v>
      </c>
    </row>
    <row r="3116" spans="1:4">
      <c r="A3116" s="1">
        <v>22791</v>
      </c>
      <c r="B3116">
        <v>59.47</v>
      </c>
      <c r="C3116">
        <f t="shared" si="116"/>
        <v>-1.8970636753546662E-2</v>
      </c>
      <c r="D3116">
        <f t="shared" si="115"/>
        <v>-2.0361962896772501</v>
      </c>
    </row>
    <row r="3117" spans="1:4">
      <c r="A3117" s="1">
        <v>22794</v>
      </c>
      <c r="B3117">
        <v>55.5</v>
      </c>
      <c r="C3117">
        <f t="shared" si="116"/>
        <v>-6.6756347738355454E-2</v>
      </c>
      <c r="D3117">
        <f t="shared" si="115"/>
        <v>-7.0823511265206802</v>
      </c>
    </row>
    <row r="3118" spans="1:4">
      <c r="A3118" s="1">
        <v>22795</v>
      </c>
      <c r="B3118">
        <v>58.08</v>
      </c>
      <c r="C3118">
        <f t="shared" si="116"/>
        <v>4.6486486486486456E-2</v>
      </c>
      <c r="D3118">
        <f t="shared" si="115"/>
        <v>4.8760536745129883</v>
      </c>
    </row>
    <row r="3119" spans="1:4">
      <c r="A3119" s="1">
        <v>22797</v>
      </c>
      <c r="B3119">
        <v>59.63</v>
      </c>
      <c r="C3119">
        <f t="shared" si="116"/>
        <v>2.6687327823691535E-2</v>
      </c>
      <c r="D3119">
        <f t="shared" si="115"/>
        <v>2.7852692497828708</v>
      </c>
    </row>
    <row r="3120" spans="1:4">
      <c r="A3120" s="1">
        <v>22798</v>
      </c>
      <c r="B3120">
        <v>59.38</v>
      </c>
      <c r="C3120">
        <f t="shared" si="116"/>
        <v>-4.1925205433506621E-3</v>
      </c>
      <c r="D3120">
        <f t="shared" si="115"/>
        <v>-0.47563224120632308</v>
      </c>
    </row>
    <row r="3121" spans="1:4">
      <c r="A3121" s="1">
        <v>22801</v>
      </c>
      <c r="B3121">
        <v>57.27</v>
      </c>
      <c r="C3121">
        <f t="shared" si="116"/>
        <v>-3.5533849781071054E-2</v>
      </c>
      <c r="D3121">
        <f t="shared" si="115"/>
        <v>-3.7852659552741645</v>
      </c>
    </row>
    <row r="3122" spans="1:4">
      <c r="A3122" s="1">
        <v>22802</v>
      </c>
      <c r="B3122">
        <v>57.57</v>
      </c>
      <c r="C3122">
        <f t="shared" si="116"/>
        <v>5.2383446830800966E-3</v>
      </c>
      <c r="D3122">
        <f t="shared" si="115"/>
        <v>0.5202639209979173</v>
      </c>
    </row>
    <row r="3123" spans="1:4">
      <c r="A3123" s="1">
        <v>22803</v>
      </c>
      <c r="B3123">
        <v>58.39</v>
      </c>
      <c r="C3123">
        <f t="shared" si="116"/>
        <v>1.4243529616119511E-2</v>
      </c>
      <c r="D3123">
        <f t="shared" si="115"/>
        <v>1.4712083889157939</v>
      </c>
    </row>
    <row r="3124" spans="1:4">
      <c r="A3124" s="1">
        <v>22804</v>
      </c>
      <c r="B3124">
        <v>58.4</v>
      </c>
      <c r="C3124">
        <f t="shared" si="116"/>
        <v>1.7126220243188919E-4</v>
      </c>
      <c r="D3124">
        <f t="shared" si="115"/>
        <v>-1.481826657351182E-2</v>
      </c>
    </row>
    <row r="3125" spans="1:4">
      <c r="A3125" s="1">
        <v>22805</v>
      </c>
      <c r="B3125">
        <v>58.45</v>
      </c>
      <c r="C3125">
        <f t="shared" si="116"/>
        <v>8.5616438356171686E-4</v>
      </c>
      <c r="D3125">
        <f t="shared" si="115"/>
        <v>5.7507170944234985E-2</v>
      </c>
    </row>
    <row r="3126" spans="1:4">
      <c r="A3126" s="1">
        <v>22808</v>
      </c>
      <c r="B3126">
        <v>57.82</v>
      </c>
      <c r="C3126">
        <f t="shared" si="116"/>
        <v>-1.0778443113772499E-2</v>
      </c>
      <c r="D3126">
        <f t="shared" si="115"/>
        <v>-1.1711034259790163</v>
      </c>
    </row>
    <row r="3127" spans="1:4">
      <c r="A3127" s="1">
        <v>22809</v>
      </c>
      <c r="B3127">
        <v>56.34</v>
      </c>
      <c r="C3127">
        <f t="shared" si="116"/>
        <v>-2.5596679349705932E-2</v>
      </c>
      <c r="D3127">
        <f t="shared" si="115"/>
        <v>-2.7359041355303568</v>
      </c>
    </row>
    <row r="3128" spans="1:4">
      <c r="A3128" s="1">
        <v>22810</v>
      </c>
      <c r="B3128">
        <v>55.5</v>
      </c>
      <c r="C3128">
        <f t="shared" si="116"/>
        <v>-1.490947816826417E-2</v>
      </c>
      <c r="D3128">
        <f t="shared" si="115"/>
        <v>-1.6073393235262947</v>
      </c>
    </row>
    <row r="3129" spans="1:4">
      <c r="A3129" s="1">
        <v>22811</v>
      </c>
      <c r="B3129">
        <v>54.33</v>
      </c>
      <c r="C3129">
        <f t="shared" si="116"/>
        <v>-2.1081081081081112E-2</v>
      </c>
      <c r="D3129">
        <f t="shared" si="115"/>
        <v>-2.2590584932900057</v>
      </c>
    </row>
    <row r="3130" spans="1:4">
      <c r="A3130" s="1">
        <v>22812</v>
      </c>
      <c r="B3130">
        <v>55.89</v>
      </c>
      <c r="C3130">
        <f t="shared" si="116"/>
        <v>2.8713418001104406E-2</v>
      </c>
      <c r="D3130">
        <f t="shared" si="115"/>
        <v>2.9992236838161563</v>
      </c>
    </row>
    <row r="3131" spans="1:4">
      <c r="A3131" s="1">
        <v>22815</v>
      </c>
      <c r="B3131">
        <v>55.74</v>
      </c>
      <c r="C3131">
        <f t="shared" si="116"/>
        <v>-2.6838432635533831E-3</v>
      </c>
      <c r="D3131">
        <f t="shared" si="115"/>
        <v>-0.31631643328405462</v>
      </c>
    </row>
    <row r="3132" spans="1:4">
      <c r="A3132" s="1">
        <v>22816</v>
      </c>
      <c r="B3132">
        <v>55.54</v>
      </c>
      <c r="C3132">
        <f t="shared" si="116"/>
        <v>-3.5880875493362547E-3</v>
      </c>
      <c r="D3132">
        <f t="shared" si="115"/>
        <v>-0.41180432249515891</v>
      </c>
    </row>
    <row r="3133" spans="1:4">
      <c r="A3133" s="1">
        <v>22817</v>
      </c>
      <c r="B3133">
        <v>54.78</v>
      </c>
      <c r="C3133">
        <f t="shared" si="116"/>
        <v>-1.3683831472812352E-2</v>
      </c>
      <c r="D3133">
        <f t="shared" si="115"/>
        <v>-1.477911449104137</v>
      </c>
    </row>
    <row r="3134" spans="1:4">
      <c r="A3134" s="1">
        <v>22818</v>
      </c>
      <c r="B3134">
        <v>53.59</v>
      </c>
      <c r="C3134">
        <f t="shared" si="116"/>
        <v>-2.1723256663015656E-2</v>
      </c>
      <c r="D3134">
        <f t="shared" si="115"/>
        <v>-2.3268720164562073</v>
      </c>
    </row>
    <row r="3135" spans="1:4">
      <c r="A3135" s="1">
        <v>22819</v>
      </c>
      <c r="B3135">
        <v>52.68</v>
      </c>
      <c r="C3135">
        <f t="shared" si="116"/>
        <v>-1.6980779996268028E-2</v>
      </c>
      <c r="D3135">
        <f t="shared" si="115"/>
        <v>-1.826068092493802</v>
      </c>
    </row>
    <row r="3136" spans="1:4">
      <c r="A3136" s="1">
        <v>22822</v>
      </c>
      <c r="B3136">
        <v>52.45</v>
      </c>
      <c r="C3136">
        <f t="shared" si="116"/>
        <v>-4.3659832953682016E-3</v>
      </c>
      <c r="D3136">
        <f t="shared" si="115"/>
        <v>-0.49394984885652099</v>
      </c>
    </row>
    <row r="3137" spans="1:4">
      <c r="A3137" s="1">
        <v>22823</v>
      </c>
      <c r="B3137">
        <v>52.32</v>
      </c>
      <c r="C3137">
        <f t="shared" si="116"/>
        <v>-2.4785510009533375E-3</v>
      </c>
      <c r="D3137">
        <f t="shared" si="115"/>
        <v>-0.29463764013572041</v>
      </c>
    </row>
    <row r="3138" spans="1:4">
      <c r="A3138" s="1">
        <v>22824</v>
      </c>
      <c r="B3138">
        <v>52.6</v>
      </c>
      <c r="C3138">
        <f t="shared" si="116"/>
        <v>5.3516819571865657E-3</v>
      </c>
      <c r="D3138">
        <f t="shared" si="115"/>
        <v>0.53223229861834909</v>
      </c>
    </row>
    <row r="3139" spans="1:4">
      <c r="A3139" s="1">
        <v>22825</v>
      </c>
      <c r="B3139">
        <v>54.41</v>
      </c>
      <c r="C3139">
        <f t="shared" si="116"/>
        <v>3.4410646387832609E-2</v>
      </c>
      <c r="D3139">
        <f t="shared" ref="D3139:D3202" si="117">(C3139-avg)/sd</f>
        <v>3.6008490648726328</v>
      </c>
    </row>
    <row r="3140" spans="1:4">
      <c r="A3140" s="1">
        <v>22826</v>
      </c>
      <c r="B3140">
        <v>54.75</v>
      </c>
      <c r="C3140">
        <f t="shared" ref="C3140:C3203" si="118">(B3140-B3139)/B3139</f>
        <v>6.2488513140967362E-3</v>
      </c>
      <c r="D3140">
        <f t="shared" si="117"/>
        <v>0.62697307774538136</v>
      </c>
    </row>
    <row r="3141" spans="1:4">
      <c r="A3141" s="1">
        <v>22829</v>
      </c>
      <c r="B3141">
        <v>55.86</v>
      </c>
      <c r="C3141">
        <f t="shared" si="118"/>
        <v>2.0273972602739717E-2</v>
      </c>
      <c r="D3141">
        <f t="shared" si="117"/>
        <v>2.1080211184557194</v>
      </c>
    </row>
    <row r="3142" spans="1:4">
      <c r="A3142" s="1">
        <v>22830</v>
      </c>
      <c r="B3142">
        <v>56.49</v>
      </c>
      <c r="C3142">
        <f t="shared" si="118"/>
        <v>1.1278195488721851E-2</v>
      </c>
      <c r="D3142">
        <f t="shared" si="117"/>
        <v>1.1580701130286455</v>
      </c>
    </row>
    <row r="3143" spans="1:4">
      <c r="A3143" s="1">
        <v>22832</v>
      </c>
      <c r="B3143">
        <v>56.81</v>
      </c>
      <c r="C3143">
        <f t="shared" si="118"/>
        <v>5.6647194193662643E-3</v>
      </c>
      <c r="D3143">
        <f t="shared" si="117"/>
        <v>0.56528894821792186</v>
      </c>
    </row>
    <row r="3144" spans="1:4">
      <c r="A3144" s="1">
        <v>22833</v>
      </c>
      <c r="B3144">
        <v>56.17</v>
      </c>
      <c r="C3144">
        <f t="shared" si="118"/>
        <v>-1.1265622249603953E-2</v>
      </c>
      <c r="D3144">
        <f t="shared" si="117"/>
        <v>-1.2225493771225835</v>
      </c>
    </row>
    <row r="3145" spans="1:4">
      <c r="A3145" s="1">
        <v>22836</v>
      </c>
      <c r="B3145">
        <v>56.55</v>
      </c>
      <c r="C3145">
        <f t="shared" si="118"/>
        <v>6.7651771408224221E-3</v>
      </c>
      <c r="D3145">
        <f t="shared" si="117"/>
        <v>0.6814969095399378</v>
      </c>
    </row>
    <row r="3146" spans="1:4">
      <c r="A3146" s="1">
        <v>22837</v>
      </c>
      <c r="B3146">
        <v>57.2</v>
      </c>
      <c r="C3146">
        <f t="shared" si="118"/>
        <v>1.1494252873563319E-2</v>
      </c>
      <c r="D3146">
        <f t="shared" si="117"/>
        <v>1.180885699426431</v>
      </c>
    </row>
    <row r="3147" spans="1:4">
      <c r="A3147" s="1">
        <v>22838</v>
      </c>
      <c r="B3147">
        <v>57.73</v>
      </c>
      <c r="C3147">
        <f t="shared" si="118"/>
        <v>9.2657342657341615E-3</v>
      </c>
      <c r="D3147">
        <f t="shared" si="117"/>
        <v>0.94555489194995235</v>
      </c>
    </row>
    <row r="3148" spans="1:4">
      <c r="A3148" s="1">
        <v>22839</v>
      </c>
      <c r="B3148">
        <v>58.03</v>
      </c>
      <c r="C3148">
        <f t="shared" si="118"/>
        <v>5.1966048848086661E-3</v>
      </c>
      <c r="D3148">
        <f t="shared" si="117"/>
        <v>0.515856212488501</v>
      </c>
    </row>
    <row r="3149" spans="1:4">
      <c r="A3149" s="1">
        <v>22840</v>
      </c>
      <c r="B3149">
        <v>57.83</v>
      </c>
      <c r="C3149">
        <f t="shared" si="118"/>
        <v>-3.4464931931759923E-3</v>
      </c>
      <c r="D3149">
        <f t="shared" si="117"/>
        <v>-0.39685200661489539</v>
      </c>
    </row>
    <row r="3150" spans="1:4">
      <c r="A3150" s="1">
        <v>22843</v>
      </c>
      <c r="B3150">
        <v>57.83</v>
      </c>
      <c r="C3150">
        <f t="shared" si="118"/>
        <v>0</v>
      </c>
      <c r="D3150">
        <f t="shared" si="117"/>
        <v>-3.29034969354682E-2</v>
      </c>
    </row>
    <row r="3151" spans="1:4">
      <c r="A3151" s="1">
        <v>22844</v>
      </c>
      <c r="B3151">
        <v>56.78</v>
      </c>
      <c r="C3151">
        <f t="shared" si="118"/>
        <v>-1.815666609026452E-2</v>
      </c>
      <c r="D3151">
        <f t="shared" si="117"/>
        <v>-1.9502412643167277</v>
      </c>
    </row>
    <row r="3152" spans="1:4">
      <c r="A3152" s="1">
        <v>22845</v>
      </c>
      <c r="B3152">
        <v>56.2</v>
      </c>
      <c r="C3152">
        <f t="shared" si="118"/>
        <v>-1.021486438886929E-2</v>
      </c>
      <c r="D3152">
        <f t="shared" si="117"/>
        <v>-1.1115897041989538</v>
      </c>
    </row>
    <row r="3153" spans="1:4">
      <c r="A3153" s="1">
        <v>22846</v>
      </c>
      <c r="B3153">
        <v>56.42</v>
      </c>
      <c r="C3153">
        <f t="shared" si="118"/>
        <v>3.9145907473309401E-3</v>
      </c>
      <c r="D3153">
        <f t="shared" si="117"/>
        <v>0.38047595534863188</v>
      </c>
    </row>
    <row r="3154" spans="1:4">
      <c r="A3154" s="1">
        <v>22847</v>
      </c>
      <c r="B3154">
        <v>56.81</v>
      </c>
      <c r="C3154">
        <f t="shared" si="118"/>
        <v>6.912442396313374E-3</v>
      </c>
      <c r="D3154">
        <f t="shared" si="117"/>
        <v>0.69704807046188977</v>
      </c>
    </row>
    <row r="3155" spans="1:4">
      <c r="A3155" s="1">
        <v>22850</v>
      </c>
      <c r="B3155">
        <v>56.8</v>
      </c>
      <c r="C3155">
        <f t="shared" si="118"/>
        <v>-1.7602534765015165E-4</v>
      </c>
      <c r="D3155">
        <f t="shared" si="117"/>
        <v>-5.1491713813401369E-2</v>
      </c>
    </row>
    <row r="3156" spans="1:4">
      <c r="A3156" s="1">
        <v>22851</v>
      </c>
      <c r="B3156">
        <v>56.36</v>
      </c>
      <c r="C3156">
        <f t="shared" si="118"/>
        <v>-7.7464788732393968E-3</v>
      </c>
      <c r="D3156">
        <f t="shared" si="117"/>
        <v>-0.85092903279344101</v>
      </c>
    </row>
    <row r="3157" spans="1:4">
      <c r="A3157" s="1">
        <v>22852</v>
      </c>
      <c r="B3157">
        <v>56.46</v>
      </c>
      <c r="C3157">
        <f t="shared" si="118"/>
        <v>1.7743080198722751E-3</v>
      </c>
      <c r="D3157">
        <f t="shared" si="117"/>
        <v>0.15446282684644419</v>
      </c>
    </row>
    <row r="3158" spans="1:4">
      <c r="A3158" s="1">
        <v>22853</v>
      </c>
      <c r="B3158">
        <v>56.77</v>
      </c>
      <c r="C3158">
        <f t="shared" si="118"/>
        <v>5.4906128232377303E-3</v>
      </c>
      <c r="D3158">
        <f t="shared" si="117"/>
        <v>0.5469033508484562</v>
      </c>
    </row>
    <row r="3159" spans="1:4">
      <c r="A3159" s="1">
        <v>22854</v>
      </c>
      <c r="B3159">
        <v>57.2</v>
      </c>
      <c r="C3159">
        <f t="shared" si="118"/>
        <v>7.5744231107979509E-3</v>
      </c>
      <c r="D3159">
        <f t="shared" si="117"/>
        <v>0.76695300889328322</v>
      </c>
    </row>
    <row r="3160" spans="1:4">
      <c r="A3160" s="1">
        <v>22857</v>
      </c>
      <c r="B3160">
        <v>57.83</v>
      </c>
      <c r="C3160">
        <f t="shared" si="118"/>
        <v>1.1013986013985934E-2</v>
      </c>
      <c r="D3160">
        <f t="shared" si="117"/>
        <v>1.1301696823056968</v>
      </c>
    </row>
    <row r="3161" spans="1:4">
      <c r="A3161" s="1">
        <v>22858</v>
      </c>
      <c r="B3161">
        <v>58.23</v>
      </c>
      <c r="C3161">
        <f t="shared" si="118"/>
        <v>6.9168251772436205E-3</v>
      </c>
      <c r="D3161">
        <f t="shared" si="117"/>
        <v>0.69751089063834415</v>
      </c>
    </row>
    <row r="3162" spans="1:4">
      <c r="A3162" s="1">
        <v>22859</v>
      </c>
      <c r="B3162">
        <v>57.75</v>
      </c>
      <c r="C3162">
        <f t="shared" si="118"/>
        <v>-8.2431736218443567E-3</v>
      </c>
      <c r="D3162">
        <f t="shared" si="117"/>
        <v>-0.9033798294113764</v>
      </c>
    </row>
    <row r="3163" spans="1:4">
      <c r="A3163" s="1">
        <v>22860</v>
      </c>
      <c r="B3163">
        <v>57.98</v>
      </c>
      <c r="C3163">
        <f t="shared" si="118"/>
        <v>3.9826839826839289E-3</v>
      </c>
      <c r="D3163">
        <f t="shared" si="117"/>
        <v>0.3876665778558922</v>
      </c>
    </row>
    <row r="3164" spans="1:4">
      <c r="A3164" s="1">
        <v>22861</v>
      </c>
      <c r="B3164">
        <v>58.12</v>
      </c>
      <c r="C3164">
        <f t="shared" si="118"/>
        <v>2.414625733011393E-3</v>
      </c>
      <c r="D3164">
        <f t="shared" si="117"/>
        <v>0.22208015969936903</v>
      </c>
    </row>
    <row r="3165" spans="1:4">
      <c r="A3165" s="1">
        <v>22864</v>
      </c>
      <c r="B3165">
        <v>57.75</v>
      </c>
      <c r="C3165">
        <f t="shared" si="118"/>
        <v>-6.3661390227115876E-3</v>
      </c>
      <c r="D3165">
        <f t="shared" si="117"/>
        <v>-0.7051656137780169</v>
      </c>
    </row>
    <row r="3166" spans="1:4">
      <c r="A3166" s="1">
        <v>22865</v>
      </c>
      <c r="B3166">
        <v>57.36</v>
      </c>
      <c r="C3166">
        <f t="shared" si="118"/>
        <v>-6.7532467532467628E-3</v>
      </c>
      <c r="D3166">
        <f t="shared" si="117"/>
        <v>-0.74604405853822042</v>
      </c>
    </row>
    <row r="3167" spans="1:4">
      <c r="A3167" s="1">
        <v>22866</v>
      </c>
      <c r="B3167">
        <v>57.51</v>
      </c>
      <c r="C3167">
        <f t="shared" si="118"/>
        <v>2.6150627615062513E-3</v>
      </c>
      <c r="D3167">
        <f t="shared" si="117"/>
        <v>0.24324624177656973</v>
      </c>
    </row>
    <row r="3168" spans="1:4">
      <c r="A3168" s="1">
        <v>22867</v>
      </c>
      <c r="B3168">
        <v>57.57</v>
      </c>
      <c r="C3168">
        <f t="shared" si="118"/>
        <v>1.0432968179447449E-3</v>
      </c>
      <c r="D3168">
        <f t="shared" si="117"/>
        <v>7.7268292405677674E-2</v>
      </c>
    </row>
    <row r="3169" spans="1:4">
      <c r="A3169" s="1">
        <v>22868</v>
      </c>
      <c r="B3169">
        <v>57.55</v>
      </c>
      <c r="C3169">
        <f t="shared" si="118"/>
        <v>-3.4740316136882274E-4</v>
      </c>
      <c r="D3169">
        <f t="shared" si="117"/>
        <v>-6.9589152687943731E-2</v>
      </c>
    </row>
    <row r="3170" spans="1:4">
      <c r="A3170" s="1">
        <v>22871</v>
      </c>
      <c r="B3170">
        <v>57.63</v>
      </c>
      <c r="C3170">
        <f t="shared" si="118"/>
        <v>1.3900955690704674E-3</v>
      </c>
      <c r="D3170">
        <f t="shared" si="117"/>
        <v>0.11389012264193085</v>
      </c>
    </row>
    <row r="3171" spans="1:4">
      <c r="A3171" s="1">
        <v>22872</v>
      </c>
      <c r="B3171">
        <v>58.25</v>
      </c>
      <c r="C3171">
        <f t="shared" si="118"/>
        <v>1.0758285615130963E-2</v>
      </c>
      <c r="D3171">
        <f t="shared" si="117"/>
        <v>1.1031678071034003</v>
      </c>
    </row>
    <row r="3172" spans="1:4">
      <c r="A3172" s="1">
        <v>22873</v>
      </c>
      <c r="B3172">
        <v>58.66</v>
      </c>
      <c r="C3172">
        <f t="shared" si="118"/>
        <v>7.0386266094420013E-3</v>
      </c>
      <c r="D3172">
        <f t="shared" si="117"/>
        <v>0.71037308047617476</v>
      </c>
    </row>
    <row r="3173" spans="1:4">
      <c r="A3173" s="1">
        <v>22874</v>
      </c>
      <c r="B3173">
        <v>58.64</v>
      </c>
      <c r="C3173">
        <f t="shared" si="118"/>
        <v>-3.4094783498118004E-4</v>
      </c>
      <c r="D3173">
        <f t="shared" si="117"/>
        <v>-6.8907472415680709E-2</v>
      </c>
    </row>
    <row r="3174" spans="1:4">
      <c r="A3174" s="1">
        <v>22875</v>
      </c>
      <c r="B3174">
        <v>59.01</v>
      </c>
      <c r="C3174">
        <f t="shared" si="118"/>
        <v>6.3096862210095059E-3</v>
      </c>
      <c r="D3174">
        <f t="shared" si="117"/>
        <v>0.63339722323658021</v>
      </c>
    </row>
    <row r="3175" spans="1:4">
      <c r="A3175" s="1">
        <v>22878</v>
      </c>
      <c r="B3175">
        <v>59.37</v>
      </c>
      <c r="C3175">
        <f t="shared" si="118"/>
        <v>6.1006609049313581E-3</v>
      </c>
      <c r="D3175">
        <f t="shared" si="117"/>
        <v>0.61132422090988492</v>
      </c>
    </row>
    <row r="3176" spans="1:4">
      <c r="A3176" s="1">
        <v>22879</v>
      </c>
      <c r="B3176">
        <v>59.12</v>
      </c>
      <c r="C3176">
        <f t="shared" si="118"/>
        <v>-4.2108809162876874E-3</v>
      </c>
      <c r="D3176">
        <f t="shared" si="117"/>
        <v>-0.47757109034747897</v>
      </c>
    </row>
    <row r="3177" spans="1:4">
      <c r="A3177" s="1">
        <v>22880</v>
      </c>
      <c r="B3177">
        <v>59.78</v>
      </c>
      <c r="C3177">
        <f t="shared" si="118"/>
        <v>1.1163734776725368E-2</v>
      </c>
      <c r="D3177">
        <f t="shared" si="117"/>
        <v>1.1459831007489032</v>
      </c>
    </row>
    <row r="3178" spans="1:4">
      <c r="A3178" s="1">
        <v>22881</v>
      </c>
      <c r="B3178">
        <v>59.7</v>
      </c>
      <c r="C3178">
        <f t="shared" si="118"/>
        <v>-1.3382402141184056E-3</v>
      </c>
      <c r="D3178">
        <f t="shared" si="117"/>
        <v>-0.17422120865642107</v>
      </c>
    </row>
    <row r="3179" spans="1:4">
      <c r="A3179" s="1">
        <v>22882</v>
      </c>
      <c r="B3179">
        <v>59.58</v>
      </c>
      <c r="C3179">
        <f t="shared" si="118"/>
        <v>-2.0100502512563575E-3</v>
      </c>
      <c r="D3179">
        <f t="shared" si="117"/>
        <v>-0.24516412021886178</v>
      </c>
    </row>
    <row r="3180" spans="1:4">
      <c r="A3180" s="1">
        <v>22885</v>
      </c>
      <c r="B3180">
        <v>59.55</v>
      </c>
      <c r="C3180">
        <f t="shared" si="118"/>
        <v>-5.0352467270898182E-4</v>
      </c>
      <c r="D3180">
        <f t="shared" si="117"/>
        <v>-8.6075531217184365E-2</v>
      </c>
    </row>
    <row r="3181" spans="1:4">
      <c r="A3181" s="1">
        <v>22886</v>
      </c>
      <c r="B3181">
        <v>58.79</v>
      </c>
      <c r="C3181">
        <f t="shared" si="118"/>
        <v>-1.2762384550797616E-2</v>
      </c>
      <c r="D3181">
        <f t="shared" si="117"/>
        <v>-1.3806069673544079</v>
      </c>
    </row>
    <row r="3182" spans="1:4">
      <c r="A3182" s="1">
        <v>22887</v>
      </c>
      <c r="B3182">
        <v>58.66</v>
      </c>
      <c r="C3182">
        <f t="shared" si="118"/>
        <v>-2.2112604184385534E-3</v>
      </c>
      <c r="D3182">
        <f t="shared" si="117"/>
        <v>-0.26641184547864272</v>
      </c>
    </row>
    <row r="3183" spans="1:4">
      <c r="A3183" s="1">
        <v>22888</v>
      </c>
      <c r="B3183">
        <v>58.68</v>
      </c>
      <c r="C3183">
        <f t="shared" si="118"/>
        <v>3.409478349813012E-4</v>
      </c>
      <c r="D3183">
        <f t="shared" si="117"/>
        <v>3.1004785447571086E-3</v>
      </c>
    </row>
    <row r="3184" spans="1:4">
      <c r="A3184" s="1">
        <v>22889</v>
      </c>
      <c r="B3184">
        <v>59.12</v>
      </c>
      <c r="C3184">
        <f t="shared" si="118"/>
        <v>7.498295841854085E-3</v>
      </c>
      <c r="D3184">
        <f t="shared" si="117"/>
        <v>0.75891399516972691</v>
      </c>
    </row>
    <row r="3185" spans="1:4">
      <c r="A3185" s="1">
        <v>22893</v>
      </c>
      <c r="B3185">
        <v>58.56</v>
      </c>
      <c r="C3185">
        <f t="shared" si="118"/>
        <v>-9.4722598105547225E-3</v>
      </c>
      <c r="D3185">
        <f t="shared" si="117"/>
        <v>-1.0331709131524962</v>
      </c>
    </row>
    <row r="3186" spans="1:4">
      <c r="A3186" s="1">
        <v>22894</v>
      </c>
      <c r="B3186">
        <v>58.12</v>
      </c>
      <c r="C3186">
        <f t="shared" si="118"/>
        <v>-7.5136612021858744E-3</v>
      </c>
      <c r="D3186">
        <f t="shared" si="117"/>
        <v>-0.82634356586876068</v>
      </c>
    </row>
    <row r="3187" spans="1:4">
      <c r="A3187" s="1">
        <v>22895</v>
      </c>
      <c r="B3187">
        <v>58.36</v>
      </c>
      <c r="C3187">
        <f t="shared" si="118"/>
        <v>4.1293874741913624E-3</v>
      </c>
      <c r="D3187">
        <f t="shared" si="117"/>
        <v>0.40315841669213748</v>
      </c>
    </row>
    <row r="3188" spans="1:4">
      <c r="A3188" s="1">
        <v>22896</v>
      </c>
      <c r="B3188">
        <v>58.38</v>
      </c>
      <c r="C3188">
        <f t="shared" si="118"/>
        <v>3.4270047978072528E-4</v>
      </c>
      <c r="D3188">
        <f t="shared" si="117"/>
        <v>3.2855572398233779E-3</v>
      </c>
    </row>
    <row r="3189" spans="1:4">
      <c r="A3189" s="1">
        <v>22899</v>
      </c>
      <c r="B3189">
        <v>58.45</v>
      </c>
      <c r="C3189">
        <f t="shared" si="118"/>
        <v>1.199040767386096E-3</v>
      </c>
      <c r="D3189">
        <f t="shared" si="117"/>
        <v>9.3714800526743719E-2</v>
      </c>
    </row>
    <row r="3190" spans="1:4">
      <c r="A3190" s="1">
        <v>22900</v>
      </c>
      <c r="B3190">
        <v>58.59</v>
      </c>
      <c r="C3190">
        <f t="shared" si="118"/>
        <v>2.3952095808383329E-3</v>
      </c>
      <c r="D3190">
        <f t="shared" si="117"/>
        <v>0.22002982062976467</v>
      </c>
    </row>
    <row r="3191" spans="1:4">
      <c r="A3191" s="1">
        <v>22901</v>
      </c>
      <c r="B3191">
        <v>58.84</v>
      </c>
      <c r="C3191">
        <f t="shared" si="118"/>
        <v>4.2669397508107183E-3</v>
      </c>
      <c r="D3191">
        <f t="shared" si="117"/>
        <v>0.41768389034685083</v>
      </c>
    </row>
    <row r="3192" spans="1:4">
      <c r="A3192" s="1">
        <v>22902</v>
      </c>
      <c r="B3192">
        <v>58.7</v>
      </c>
      <c r="C3192">
        <f t="shared" si="118"/>
        <v>-2.3793337865397786E-3</v>
      </c>
      <c r="D3192">
        <f t="shared" si="117"/>
        <v>-0.28416033601921842</v>
      </c>
    </row>
    <row r="3193" spans="1:4">
      <c r="A3193" s="1">
        <v>22903</v>
      </c>
      <c r="B3193">
        <v>58.89</v>
      </c>
      <c r="C3193">
        <f t="shared" si="118"/>
        <v>3.2367972742759405E-3</v>
      </c>
      <c r="D3193">
        <f t="shared" si="117"/>
        <v>0.30890119498721963</v>
      </c>
    </row>
    <row r="3194" spans="1:4">
      <c r="A3194" s="1">
        <v>22906</v>
      </c>
      <c r="B3194">
        <v>59.08</v>
      </c>
      <c r="C3194">
        <f t="shared" si="118"/>
        <v>3.2263542197316646E-3</v>
      </c>
      <c r="D3194">
        <f t="shared" si="117"/>
        <v>0.30779841197711083</v>
      </c>
    </row>
    <row r="3195" spans="1:4">
      <c r="A3195" s="1">
        <v>22907</v>
      </c>
      <c r="B3195">
        <v>59.03</v>
      </c>
      <c r="C3195">
        <f t="shared" si="118"/>
        <v>-8.4631008801620106E-4</v>
      </c>
      <c r="D3195">
        <f t="shared" si="117"/>
        <v>-0.12227355455520272</v>
      </c>
    </row>
    <row r="3196" spans="1:4">
      <c r="A3196" s="1">
        <v>22908</v>
      </c>
      <c r="B3196">
        <v>58.95</v>
      </c>
      <c r="C3196">
        <f t="shared" si="118"/>
        <v>-1.3552430967304471E-3</v>
      </c>
      <c r="D3196">
        <f t="shared" si="117"/>
        <v>-0.17601670728069205</v>
      </c>
    </row>
    <row r="3197" spans="1:4">
      <c r="A3197" s="1">
        <v>22909</v>
      </c>
      <c r="B3197">
        <v>58.54</v>
      </c>
      <c r="C3197">
        <f t="shared" si="118"/>
        <v>-6.9550466497032004E-3</v>
      </c>
      <c r="D3197">
        <f t="shared" si="117"/>
        <v>-0.76735405900890252</v>
      </c>
    </row>
    <row r="3198" spans="1:4">
      <c r="A3198" s="1">
        <v>22910</v>
      </c>
      <c r="B3198">
        <v>57.69</v>
      </c>
      <c r="C3198">
        <f t="shared" si="118"/>
        <v>-1.4519986334130534E-2</v>
      </c>
      <c r="D3198">
        <f t="shared" si="117"/>
        <v>-1.5662091182364899</v>
      </c>
    </row>
    <row r="3199" spans="1:4">
      <c r="A3199" s="1">
        <v>22913</v>
      </c>
      <c r="B3199">
        <v>56.63</v>
      </c>
      <c r="C3199">
        <f t="shared" si="118"/>
        <v>-1.8374068296065093E-2</v>
      </c>
      <c r="D3199">
        <f t="shared" si="117"/>
        <v>-1.9731988633506679</v>
      </c>
    </row>
    <row r="3200" spans="1:4">
      <c r="A3200" s="1">
        <v>22914</v>
      </c>
      <c r="B3200">
        <v>56.96</v>
      </c>
      <c r="C3200">
        <f t="shared" si="118"/>
        <v>5.8273000176584542E-3</v>
      </c>
      <c r="D3200">
        <f t="shared" si="117"/>
        <v>0.58245740413374658</v>
      </c>
    </row>
    <row r="3201" spans="1:4">
      <c r="A3201" s="1">
        <v>22915</v>
      </c>
      <c r="B3201">
        <v>56.15</v>
      </c>
      <c r="C3201">
        <f t="shared" si="118"/>
        <v>-1.4220505617977568E-2</v>
      </c>
      <c r="D3201">
        <f t="shared" si="117"/>
        <v>-1.5345840564091782</v>
      </c>
    </row>
    <row r="3202" spans="1:4">
      <c r="A3202" s="1">
        <v>22916</v>
      </c>
      <c r="B3202">
        <v>55.77</v>
      </c>
      <c r="C3202">
        <f t="shared" si="118"/>
        <v>-6.7675868210150571E-3</v>
      </c>
      <c r="D3202">
        <f t="shared" si="117"/>
        <v>-0.74755836482012639</v>
      </c>
    </row>
    <row r="3203" spans="1:4">
      <c r="A3203" s="1">
        <v>22917</v>
      </c>
      <c r="B3203">
        <v>56.27</v>
      </c>
      <c r="C3203">
        <f t="shared" si="118"/>
        <v>8.965393580778195E-3</v>
      </c>
      <c r="D3203">
        <f t="shared" ref="D3203:D3266" si="119">(C3203-avg)/sd</f>
        <v>0.91383901770936149</v>
      </c>
    </row>
    <row r="3204" spans="1:4">
      <c r="A3204" s="1">
        <v>22920</v>
      </c>
      <c r="B3204">
        <v>55.49</v>
      </c>
      <c r="C3204">
        <f t="shared" ref="C3204:C3267" si="120">(B3204-B3203)/B3203</f>
        <v>-1.3861738048693817E-2</v>
      </c>
      <c r="D3204">
        <f t="shared" si="119"/>
        <v>-1.4966983230438362</v>
      </c>
    </row>
    <row r="3205" spans="1:4">
      <c r="A3205" s="1">
        <v>22921</v>
      </c>
      <c r="B3205">
        <v>56.1</v>
      </c>
      <c r="C3205">
        <f t="shared" si="120"/>
        <v>1.0992971706613794E-2</v>
      </c>
      <c r="D3205">
        <f t="shared" si="119"/>
        <v>1.127950578590309</v>
      </c>
    </row>
    <row r="3206" spans="1:4">
      <c r="A3206" s="1">
        <v>22922</v>
      </c>
      <c r="B3206">
        <v>56.16</v>
      </c>
      <c r="C3206">
        <f t="shared" si="120"/>
        <v>1.069518716577454E-3</v>
      </c>
      <c r="D3206">
        <f t="shared" si="119"/>
        <v>8.0037315988035346E-2</v>
      </c>
    </row>
    <row r="3207" spans="1:4">
      <c r="A3207" s="1">
        <v>22923</v>
      </c>
      <c r="B3207">
        <v>56.7</v>
      </c>
      <c r="C3207">
        <f t="shared" si="120"/>
        <v>9.6153846153847269E-3</v>
      </c>
      <c r="D3207">
        <f t="shared" si="119"/>
        <v>0.98247785002112353</v>
      </c>
    </row>
    <row r="3208" spans="1:4">
      <c r="A3208" s="1">
        <v>22924</v>
      </c>
      <c r="B3208">
        <v>57.07</v>
      </c>
      <c r="C3208">
        <f t="shared" si="120"/>
        <v>6.5255731922398133E-3</v>
      </c>
      <c r="D3208">
        <f t="shared" si="119"/>
        <v>0.65619481401495361</v>
      </c>
    </row>
    <row r="3209" spans="1:4">
      <c r="A3209" s="1">
        <v>22927</v>
      </c>
      <c r="B3209">
        <v>57.07</v>
      </c>
      <c r="C3209">
        <f t="shared" si="120"/>
        <v>0</v>
      </c>
      <c r="D3209">
        <f t="shared" si="119"/>
        <v>-3.29034969354682E-2</v>
      </c>
    </row>
    <row r="3210" spans="1:4">
      <c r="A3210" s="1">
        <v>22928</v>
      </c>
      <c r="B3210">
        <v>57.2</v>
      </c>
      <c r="C3210">
        <f t="shared" si="120"/>
        <v>2.2779043280182682E-3</v>
      </c>
      <c r="D3210">
        <f t="shared" si="119"/>
        <v>0.20764242580595868</v>
      </c>
    </row>
    <row r="3211" spans="1:4">
      <c r="A3211" s="1">
        <v>22929</v>
      </c>
      <c r="B3211">
        <v>57.24</v>
      </c>
      <c r="C3211">
        <f t="shared" si="120"/>
        <v>6.9930069930068434E-4</v>
      </c>
      <c r="D3211">
        <f t="shared" si="119"/>
        <v>4.0942419206826938E-2</v>
      </c>
    </row>
    <row r="3212" spans="1:4">
      <c r="A3212" s="1">
        <v>22930</v>
      </c>
      <c r="B3212">
        <v>57.05</v>
      </c>
      <c r="C3212">
        <f t="shared" si="120"/>
        <v>-3.3193570929420831E-3</v>
      </c>
      <c r="D3212">
        <f t="shared" si="119"/>
        <v>-0.3834264776458548</v>
      </c>
    </row>
    <row r="3213" spans="1:4">
      <c r="A3213" s="1">
        <v>22931</v>
      </c>
      <c r="B3213">
        <v>56.95</v>
      </c>
      <c r="C3213">
        <f t="shared" si="120"/>
        <v>-1.7528483786151503E-3</v>
      </c>
      <c r="D3213">
        <f t="shared" si="119"/>
        <v>-0.21800368989511468</v>
      </c>
    </row>
    <row r="3214" spans="1:4">
      <c r="A3214" s="1">
        <v>22934</v>
      </c>
      <c r="B3214">
        <v>57.27</v>
      </c>
      <c r="C3214">
        <f t="shared" si="120"/>
        <v>5.6189640035118572E-3</v>
      </c>
      <c r="D3214">
        <f t="shared" si="119"/>
        <v>0.56045719185671805</v>
      </c>
    </row>
    <row r="3215" spans="1:4">
      <c r="A3215" s="1">
        <v>22935</v>
      </c>
      <c r="B3215">
        <v>57.08</v>
      </c>
      <c r="C3215">
        <f t="shared" si="120"/>
        <v>-3.3176182992841769E-3</v>
      </c>
      <c r="D3215">
        <f t="shared" si="119"/>
        <v>-0.38324286162662458</v>
      </c>
    </row>
    <row r="3216" spans="1:4">
      <c r="A3216" s="1">
        <v>22936</v>
      </c>
      <c r="B3216">
        <v>56.89</v>
      </c>
      <c r="C3216">
        <f t="shared" si="120"/>
        <v>-3.3286615276804086E-3</v>
      </c>
      <c r="D3216">
        <f t="shared" si="119"/>
        <v>-0.38440902279149092</v>
      </c>
    </row>
    <row r="3217" spans="1:4">
      <c r="A3217" s="1">
        <v>22937</v>
      </c>
      <c r="B3217">
        <v>56.34</v>
      </c>
      <c r="C3217">
        <f t="shared" si="120"/>
        <v>-9.6677799261732662E-3</v>
      </c>
      <c r="D3217">
        <f t="shared" si="119"/>
        <v>-1.0538177709012981</v>
      </c>
    </row>
    <row r="3218" spans="1:4">
      <c r="A3218" s="1">
        <v>22938</v>
      </c>
      <c r="B3218">
        <v>55.59</v>
      </c>
      <c r="C3218">
        <f t="shared" si="120"/>
        <v>-1.3312034078807241E-2</v>
      </c>
      <c r="D3218">
        <f t="shared" si="119"/>
        <v>-1.4386497706772718</v>
      </c>
    </row>
    <row r="3219" spans="1:4">
      <c r="A3219" s="1">
        <v>22941</v>
      </c>
      <c r="B3219">
        <v>54.96</v>
      </c>
      <c r="C3219">
        <f t="shared" si="120"/>
        <v>-1.1332973556395081E-2</v>
      </c>
      <c r="D3219">
        <f t="shared" si="119"/>
        <v>-1.229661652225905</v>
      </c>
    </row>
    <row r="3220" spans="1:4">
      <c r="A3220" s="1">
        <v>22942</v>
      </c>
      <c r="B3220">
        <v>53.49</v>
      </c>
      <c r="C3220">
        <f t="shared" si="120"/>
        <v>-2.6746724890829673E-2</v>
      </c>
      <c r="D3220">
        <f t="shared" si="119"/>
        <v>-2.8573485537535506</v>
      </c>
    </row>
    <row r="3221" spans="1:4">
      <c r="A3221" s="1">
        <v>22943</v>
      </c>
      <c r="B3221">
        <v>55.21</v>
      </c>
      <c r="C3221">
        <f t="shared" si="120"/>
        <v>3.2155543092166734E-2</v>
      </c>
      <c r="D3221">
        <f t="shared" si="119"/>
        <v>3.362710923397171</v>
      </c>
    </row>
    <row r="3222" spans="1:4">
      <c r="A3222" s="1">
        <v>22944</v>
      </c>
      <c r="B3222">
        <v>54.69</v>
      </c>
      <c r="C3222">
        <f t="shared" si="120"/>
        <v>-9.4185835899294173E-3</v>
      </c>
      <c r="D3222">
        <f t="shared" si="119"/>
        <v>-1.027502722499898</v>
      </c>
    </row>
    <row r="3223" spans="1:4">
      <c r="A3223" s="1">
        <v>22945</v>
      </c>
      <c r="B3223">
        <v>54.54</v>
      </c>
      <c r="C3223">
        <f t="shared" si="120"/>
        <v>-2.7427317608337645E-3</v>
      </c>
      <c r="D3223">
        <f t="shared" si="119"/>
        <v>-0.32253503857969007</v>
      </c>
    </row>
    <row r="3224" spans="1:4">
      <c r="A3224" s="1">
        <v>22948</v>
      </c>
      <c r="B3224">
        <v>55.72</v>
      </c>
      <c r="C3224">
        <f t="shared" si="120"/>
        <v>2.1635496883021632E-2</v>
      </c>
      <c r="D3224">
        <f t="shared" si="119"/>
        <v>2.2517976196489005</v>
      </c>
    </row>
    <row r="3225" spans="1:4">
      <c r="A3225" s="1">
        <v>22949</v>
      </c>
      <c r="B3225">
        <v>56.54</v>
      </c>
      <c r="C3225">
        <f t="shared" si="120"/>
        <v>1.4716439339554924E-2</v>
      </c>
      <c r="D3225">
        <f t="shared" si="119"/>
        <v>1.5211474949607482</v>
      </c>
    </row>
    <row r="3226" spans="1:4">
      <c r="A3226" s="1">
        <v>22950</v>
      </c>
      <c r="B3226">
        <v>56.52</v>
      </c>
      <c r="C3226">
        <f t="shared" si="120"/>
        <v>-3.537318712415285E-4</v>
      </c>
      <c r="D3226">
        <f t="shared" si="119"/>
        <v>-7.0257462299268436E-2</v>
      </c>
    </row>
    <row r="3227" spans="1:4">
      <c r="A3227" s="1">
        <v>22951</v>
      </c>
      <c r="B3227">
        <v>57.12</v>
      </c>
      <c r="C3227">
        <f t="shared" si="120"/>
        <v>1.0615711252653827E-2</v>
      </c>
      <c r="D3227">
        <f t="shared" si="119"/>
        <v>1.0881120028891953</v>
      </c>
    </row>
    <row r="3228" spans="1:4">
      <c r="A3228" s="1">
        <v>22952</v>
      </c>
      <c r="B3228">
        <v>57.75</v>
      </c>
      <c r="C3228">
        <f t="shared" si="120"/>
        <v>1.1029411764705928E-2</v>
      </c>
      <c r="D3228">
        <f t="shared" si="119"/>
        <v>1.1317986363382606</v>
      </c>
    </row>
    <row r="3229" spans="1:4">
      <c r="A3229" s="1">
        <v>22955</v>
      </c>
      <c r="B3229">
        <v>58.35</v>
      </c>
      <c r="C3229">
        <f t="shared" si="120"/>
        <v>1.0389610389610414E-2</v>
      </c>
      <c r="D3229">
        <f t="shared" si="119"/>
        <v>1.0642358286072284</v>
      </c>
    </row>
    <row r="3230" spans="1:4">
      <c r="A3230" s="1">
        <v>22957</v>
      </c>
      <c r="B3230">
        <v>58.71</v>
      </c>
      <c r="C3230">
        <f t="shared" si="120"/>
        <v>6.1696658097686275E-3</v>
      </c>
      <c r="D3230">
        <f t="shared" si="119"/>
        <v>0.61861111540479374</v>
      </c>
    </row>
    <row r="3231" spans="1:4">
      <c r="A3231" s="1">
        <v>22958</v>
      </c>
      <c r="B3231">
        <v>58.32</v>
      </c>
      <c r="C3231">
        <f t="shared" si="120"/>
        <v>-6.6428206438426257E-3</v>
      </c>
      <c r="D3231">
        <f t="shared" si="119"/>
        <v>-0.73438309892080189</v>
      </c>
    </row>
    <row r="3232" spans="1:4">
      <c r="A3232" s="1">
        <v>22959</v>
      </c>
      <c r="B3232">
        <v>58.78</v>
      </c>
      <c r="C3232">
        <f t="shared" si="120"/>
        <v>7.887517146776421E-3</v>
      </c>
      <c r="D3232">
        <f t="shared" si="119"/>
        <v>0.80001563266677578</v>
      </c>
    </row>
    <row r="3233" spans="1:4">
      <c r="A3233" s="1">
        <v>22962</v>
      </c>
      <c r="B3233">
        <v>59.59</v>
      </c>
      <c r="C3233">
        <f t="shared" si="120"/>
        <v>1.3780197346036105E-2</v>
      </c>
      <c r="D3233">
        <f t="shared" si="119"/>
        <v>1.4222806586892771</v>
      </c>
    </row>
    <row r="3234" spans="1:4">
      <c r="A3234" s="1">
        <v>22963</v>
      </c>
      <c r="B3234">
        <v>59.46</v>
      </c>
      <c r="C3234">
        <f t="shared" si="120"/>
        <v>-2.1815740896123938E-3</v>
      </c>
      <c r="D3234">
        <f t="shared" si="119"/>
        <v>-0.26327697924547372</v>
      </c>
    </row>
    <row r="3235" spans="1:4">
      <c r="A3235" s="1">
        <v>22964</v>
      </c>
      <c r="B3235">
        <v>60.16</v>
      </c>
      <c r="C3235">
        <f t="shared" si="120"/>
        <v>1.1772620248906756E-2</v>
      </c>
      <c r="D3235">
        <f t="shared" si="119"/>
        <v>1.2102811996410296</v>
      </c>
    </row>
    <row r="3236" spans="1:4">
      <c r="A3236" s="1">
        <v>22965</v>
      </c>
      <c r="B3236">
        <v>59.97</v>
      </c>
      <c r="C3236">
        <f t="shared" si="120"/>
        <v>-3.1582446808510263E-3</v>
      </c>
      <c r="D3236">
        <f t="shared" si="119"/>
        <v>-0.36641306169380894</v>
      </c>
    </row>
    <row r="3237" spans="1:4">
      <c r="A3237" s="1">
        <v>22966</v>
      </c>
      <c r="B3237">
        <v>60.16</v>
      </c>
      <c r="C3237">
        <f t="shared" si="120"/>
        <v>3.1682507920626603E-3</v>
      </c>
      <c r="D3237">
        <f t="shared" si="119"/>
        <v>0.30166270976557863</v>
      </c>
    </row>
    <row r="3238" spans="1:4">
      <c r="A3238" s="1">
        <v>22969</v>
      </c>
      <c r="B3238">
        <v>59.82</v>
      </c>
      <c r="C3238">
        <f t="shared" si="120"/>
        <v>-5.6515957446807898E-3</v>
      </c>
      <c r="D3238">
        <f t="shared" si="119"/>
        <v>-0.62971008650302596</v>
      </c>
    </row>
    <row r="3239" spans="1:4">
      <c r="A3239" s="1">
        <v>22970</v>
      </c>
      <c r="B3239">
        <v>60.45</v>
      </c>
      <c r="C3239">
        <f t="shared" si="120"/>
        <v>1.0531594784353102E-2</v>
      </c>
      <c r="D3239">
        <f t="shared" si="119"/>
        <v>1.0792293324292155</v>
      </c>
    </row>
    <row r="3240" spans="1:4">
      <c r="A3240" s="1">
        <v>22971</v>
      </c>
      <c r="B3240">
        <v>60.81</v>
      </c>
      <c r="C3240">
        <f t="shared" si="120"/>
        <v>5.9553349875930426E-3</v>
      </c>
      <c r="D3240">
        <f t="shared" si="119"/>
        <v>0.59597785343763832</v>
      </c>
    </row>
    <row r="3241" spans="1:4">
      <c r="A3241" s="1">
        <v>22973</v>
      </c>
      <c r="B3241">
        <v>61.54</v>
      </c>
      <c r="C3241">
        <f t="shared" si="120"/>
        <v>1.2004604505837804E-2</v>
      </c>
      <c r="D3241">
        <f t="shared" si="119"/>
        <v>1.2347786583176681</v>
      </c>
    </row>
    <row r="3242" spans="1:4">
      <c r="A3242" s="1">
        <v>22976</v>
      </c>
      <c r="B3242">
        <v>61.36</v>
      </c>
      <c r="C3242">
        <f t="shared" si="120"/>
        <v>-2.9249268768280746E-3</v>
      </c>
      <c r="D3242">
        <f t="shared" si="119"/>
        <v>-0.34177478089756025</v>
      </c>
    </row>
    <row r="3243" spans="1:4">
      <c r="A3243" s="1">
        <v>22977</v>
      </c>
      <c r="B3243">
        <v>61.73</v>
      </c>
      <c r="C3243">
        <f t="shared" si="120"/>
        <v>6.0299869621903103E-3</v>
      </c>
      <c r="D3243">
        <f t="shared" si="119"/>
        <v>0.6038610765796707</v>
      </c>
    </row>
    <row r="3244" spans="1:4">
      <c r="A3244" s="1">
        <v>22978</v>
      </c>
      <c r="B3244">
        <v>62.12</v>
      </c>
      <c r="C3244">
        <f t="shared" si="120"/>
        <v>6.3178357362708663E-3</v>
      </c>
      <c r="D3244">
        <f t="shared" si="119"/>
        <v>0.634257809278025</v>
      </c>
    </row>
    <row r="3245" spans="1:4">
      <c r="A3245" s="1">
        <v>22979</v>
      </c>
      <c r="B3245">
        <v>62.41</v>
      </c>
      <c r="C3245">
        <f t="shared" si="120"/>
        <v>4.6683837733419052E-3</v>
      </c>
      <c r="D3245">
        <f t="shared" si="119"/>
        <v>0.46007624266869079</v>
      </c>
    </row>
    <row r="3246" spans="1:4">
      <c r="A3246" s="1">
        <v>22980</v>
      </c>
      <c r="B3246">
        <v>62.26</v>
      </c>
      <c r="C3246">
        <f t="shared" si="120"/>
        <v>-2.4034609838166736E-3</v>
      </c>
      <c r="D3246">
        <f t="shared" si="119"/>
        <v>-0.28670815985042569</v>
      </c>
    </row>
    <row r="3247" spans="1:4">
      <c r="A3247" s="1">
        <v>22983</v>
      </c>
      <c r="B3247">
        <v>61.94</v>
      </c>
      <c r="C3247">
        <f t="shared" si="120"/>
        <v>-5.1397365884998441E-3</v>
      </c>
      <c r="D3247">
        <f t="shared" si="119"/>
        <v>-0.57565793359969908</v>
      </c>
    </row>
    <row r="3248" spans="1:4">
      <c r="A3248" s="1">
        <v>22984</v>
      </c>
      <c r="B3248">
        <v>62.64</v>
      </c>
      <c r="C3248">
        <f t="shared" si="120"/>
        <v>1.1301259283177314E-2</v>
      </c>
      <c r="D3248">
        <f t="shared" si="119"/>
        <v>1.1605056418833777</v>
      </c>
    </row>
    <row r="3249" spans="1:4">
      <c r="A3249" s="1">
        <v>22985</v>
      </c>
      <c r="B3249">
        <v>62.39</v>
      </c>
      <c r="C3249">
        <f t="shared" si="120"/>
        <v>-3.9910600255427843E-3</v>
      </c>
      <c r="D3249">
        <f t="shared" si="119"/>
        <v>-0.45435807900556846</v>
      </c>
    </row>
    <row r="3250" spans="1:4">
      <c r="A3250" s="1">
        <v>22986</v>
      </c>
      <c r="B3250">
        <v>62.93</v>
      </c>
      <c r="C3250">
        <f t="shared" si="120"/>
        <v>8.6552332104503794E-3</v>
      </c>
      <c r="D3250">
        <f t="shared" si="119"/>
        <v>0.8810861880313765</v>
      </c>
    </row>
    <row r="3251" spans="1:4">
      <c r="A3251" s="1">
        <v>22987</v>
      </c>
      <c r="B3251">
        <v>63.06</v>
      </c>
      <c r="C3251">
        <f t="shared" si="120"/>
        <v>2.0657873828063334E-3</v>
      </c>
      <c r="D3251">
        <f t="shared" si="119"/>
        <v>0.18524294849363129</v>
      </c>
    </row>
    <row r="3252" spans="1:4">
      <c r="A3252" s="1">
        <v>22990</v>
      </c>
      <c r="B3252">
        <v>62.27</v>
      </c>
      <c r="C3252">
        <f t="shared" si="120"/>
        <v>-1.2527751347922599E-2</v>
      </c>
      <c r="D3252">
        <f t="shared" si="119"/>
        <v>-1.355829780886507</v>
      </c>
    </row>
    <row r="3253" spans="1:4">
      <c r="A3253" s="1">
        <v>22991</v>
      </c>
      <c r="B3253">
        <v>62.32</v>
      </c>
      <c r="C3253">
        <f t="shared" si="120"/>
        <v>8.0295487393603913E-4</v>
      </c>
      <c r="D3253">
        <f t="shared" si="119"/>
        <v>5.1888264814554524E-2</v>
      </c>
    </row>
    <row r="3254" spans="1:4">
      <c r="A3254" s="1">
        <v>22992</v>
      </c>
      <c r="B3254">
        <v>62.63</v>
      </c>
      <c r="C3254">
        <f t="shared" si="120"/>
        <v>4.974326059050101E-3</v>
      </c>
      <c r="D3254">
        <f t="shared" si="119"/>
        <v>0.49238364404464052</v>
      </c>
    </row>
    <row r="3255" spans="1:4">
      <c r="A3255" s="1">
        <v>22993</v>
      </c>
      <c r="B3255">
        <v>62.42</v>
      </c>
      <c r="C3255">
        <f t="shared" si="120"/>
        <v>-3.35302570653043E-3</v>
      </c>
      <c r="D3255">
        <f t="shared" si="119"/>
        <v>-0.38698187179626642</v>
      </c>
    </row>
    <row r="3256" spans="1:4">
      <c r="A3256" s="1">
        <v>22994</v>
      </c>
      <c r="B3256">
        <v>62.57</v>
      </c>
      <c r="C3256">
        <f t="shared" si="120"/>
        <v>2.4030759371995928E-3</v>
      </c>
      <c r="D3256">
        <f t="shared" si="119"/>
        <v>0.2208605051876093</v>
      </c>
    </row>
    <row r="3257" spans="1:4">
      <c r="A3257" s="1">
        <v>22997</v>
      </c>
      <c r="B3257">
        <v>62.37</v>
      </c>
      <c r="C3257">
        <f t="shared" si="120"/>
        <v>-3.1964200095893056E-3</v>
      </c>
      <c r="D3257">
        <f t="shared" si="119"/>
        <v>-0.37044436343214654</v>
      </c>
    </row>
    <row r="3258" spans="1:4">
      <c r="A3258" s="1">
        <v>22998</v>
      </c>
      <c r="B3258">
        <v>62.07</v>
      </c>
      <c r="C3258">
        <f t="shared" si="120"/>
        <v>-4.8100048100047643E-3</v>
      </c>
      <c r="D3258">
        <f t="shared" si="119"/>
        <v>-0.54083836987189582</v>
      </c>
    </row>
    <row r="3259" spans="1:4">
      <c r="A3259" s="1">
        <v>22999</v>
      </c>
      <c r="B3259">
        <v>62.58</v>
      </c>
      <c r="C3259">
        <f t="shared" si="120"/>
        <v>8.216529724504559E-3</v>
      </c>
      <c r="D3259">
        <f t="shared" si="119"/>
        <v>0.8347592490380582</v>
      </c>
    </row>
    <row r="3260" spans="1:4">
      <c r="A3260" s="1">
        <v>23000</v>
      </c>
      <c r="B3260">
        <v>62.82</v>
      </c>
      <c r="C3260">
        <f t="shared" si="120"/>
        <v>3.8350910834132629E-3</v>
      </c>
      <c r="D3260">
        <f t="shared" si="119"/>
        <v>0.37208081786217395</v>
      </c>
    </row>
    <row r="3261" spans="1:4">
      <c r="A3261" s="1">
        <v>23001</v>
      </c>
      <c r="B3261">
        <v>62.64</v>
      </c>
      <c r="C3261">
        <f t="shared" si="120"/>
        <v>-2.8653295128939784E-3</v>
      </c>
      <c r="D3261">
        <f t="shared" si="119"/>
        <v>-0.33548131952424798</v>
      </c>
    </row>
    <row r="3262" spans="1:4">
      <c r="A3262" s="1">
        <v>23004</v>
      </c>
      <c r="B3262">
        <v>62.63</v>
      </c>
      <c r="C3262">
        <f t="shared" si="120"/>
        <v>-1.5964240102167961E-4</v>
      </c>
      <c r="D3262">
        <f t="shared" si="119"/>
        <v>-4.976168021826885E-2</v>
      </c>
    </row>
    <row r="3263" spans="1:4">
      <c r="A3263" s="1">
        <v>23006</v>
      </c>
      <c r="B3263">
        <v>63.02</v>
      </c>
      <c r="C3263">
        <f t="shared" si="120"/>
        <v>6.2270477406993546E-3</v>
      </c>
      <c r="D3263">
        <f t="shared" si="119"/>
        <v>0.62467062780601257</v>
      </c>
    </row>
    <row r="3264" spans="1:4">
      <c r="A3264" s="1">
        <v>23007</v>
      </c>
      <c r="B3264">
        <v>62.93</v>
      </c>
      <c r="C3264">
        <f t="shared" si="120"/>
        <v>-1.4281180577594955E-3</v>
      </c>
      <c r="D3264">
        <f t="shared" si="119"/>
        <v>-0.18371227839395671</v>
      </c>
    </row>
    <row r="3265" spans="1:4">
      <c r="A3265" s="1">
        <v>23008</v>
      </c>
      <c r="B3265">
        <v>62.96</v>
      </c>
      <c r="C3265">
        <f t="shared" si="120"/>
        <v>4.7672016526300871E-4</v>
      </c>
      <c r="D3265">
        <f t="shared" si="119"/>
        <v>1.7437990471247986E-2</v>
      </c>
    </row>
    <row r="3266" spans="1:4">
      <c r="A3266" s="1">
        <v>23011</v>
      </c>
      <c r="B3266">
        <v>63.1</v>
      </c>
      <c r="C3266">
        <f t="shared" si="120"/>
        <v>2.2236340533672264E-3</v>
      </c>
      <c r="D3266">
        <f t="shared" si="119"/>
        <v>0.20191150325017132</v>
      </c>
    </row>
    <row r="3267" spans="1:4">
      <c r="A3267" s="1">
        <v>23013</v>
      </c>
      <c r="B3267">
        <v>62.69</v>
      </c>
      <c r="C3267">
        <f t="shared" si="120"/>
        <v>-6.4976228209192343E-3</v>
      </c>
      <c r="D3267">
        <f t="shared" ref="D3267:D3330" si="121">(C3267-avg)/sd</f>
        <v>-0.71905025817522983</v>
      </c>
    </row>
    <row r="3268" spans="1:4">
      <c r="A3268" s="1">
        <v>23014</v>
      </c>
      <c r="B3268">
        <v>63.72</v>
      </c>
      <c r="C3268">
        <f t="shared" ref="C3268:C3331" si="122">(B3268-B3267)/B3267</f>
        <v>1.6430052639974498E-2</v>
      </c>
      <c r="D3268">
        <f t="shared" si="121"/>
        <v>1.7021044769995926</v>
      </c>
    </row>
    <row r="3269" spans="1:4">
      <c r="A3269" s="1">
        <v>23015</v>
      </c>
      <c r="B3269">
        <v>64.13</v>
      </c>
      <c r="C3269">
        <f t="shared" si="122"/>
        <v>6.434400502197059E-3</v>
      </c>
      <c r="D3269">
        <f t="shared" si="121"/>
        <v>0.64656700893754193</v>
      </c>
    </row>
    <row r="3270" spans="1:4">
      <c r="A3270" s="1">
        <v>23018</v>
      </c>
      <c r="B3270">
        <v>64.12</v>
      </c>
      <c r="C3270">
        <f t="shared" si="122"/>
        <v>-1.559332605643366E-4</v>
      </c>
      <c r="D3270">
        <f t="shared" si="121"/>
        <v>-4.9369996246771526E-2</v>
      </c>
    </row>
    <row r="3271" spans="1:4">
      <c r="A3271" s="1">
        <v>23019</v>
      </c>
      <c r="B3271">
        <v>64.739999999999995</v>
      </c>
      <c r="C3271">
        <f t="shared" si="122"/>
        <v>9.6693699313785131E-3</v>
      </c>
      <c r="D3271">
        <f t="shared" si="121"/>
        <v>0.98817868103956685</v>
      </c>
    </row>
    <row r="3272" spans="1:4">
      <c r="A3272" s="1">
        <v>23020</v>
      </c>
      <c r="B3272">
        <v>64.59</v>
      </c>
      <c r="C3272">
        <f t="shared" si="122"/>
        <v>-2.3169601482853179E-3</v>
      </c>
      <c r="D3272">
        <f t="shared" si="121"/>
        <v>-0.27757370102137718</v>
      </c>
    </row>
    <row r="3273" spans="1:4">
      <c r="A3273" s="1">
        <v>23021</v>
      </c>
      <c r="B3273">
        <v>64.709999999999994</v>
      </c>
      <c r="C3273">
        <f t="shared" si="122"/>
        <v>1.8578727357174535E-3</v>
      </c>
      <c r="D3273">
        <f t="shared" si="121"/>
        <v>0.16328723243466797</v>
      </c>
    </row>
    <row r="3274" spans="1:4">
      <c r="A3274" s="1">
        <v>23022</v>
      </c>
      <c r="B3274">
        <v>64.849999999999994</v>
      </c>
      <c r="C3274">
        <f t="shared" si="122"/>
        <v>2.1634986864472352E-3</v>
      </c>
      <c r="D3274">
        <f t="shared" si="121"/>
        <v>0.19556122894442465</v>
      </c>
    </row>
    <row r="3275" spans="1:4">
      <c r="A3275" s="1">
        <v>23025</v>
      </c>
      <c r="B3275">
        <v>65.2</v>
      </c>
      <c r="C3275">
        <f t="shared" si="122"/>
        <v>5.3970701619122366E-3</v>
      </c>
      <c r="D3275">
        <f t="shared" si="121"/>
        <v>0.53702527760917951</v>
      </c>
    </row>
    <row r="3276" spans="1:4">
      <c r="A3276" s="1">
        <v>23026</v>
      </c>
      <c r="B3276">
        <v>65.11</v>
      </c>
      <c r="C3276">
        <f t="shared" si="122"/>
        <v>-1.3803680981595615E-3</v>
      </c>
      <c r="D3276">
        <f t="shared" si="121"/>
        <v>-0.17866989889120358</v>
      </c>
    </row>
    <row r="3277" spans="1:4">
      <c r="A3277" s="1">
        <v>23027</v>
      </c>
      <c r="B3277">
        <v>64.67</v>
      </c>
      <c r="C3277">
        <f t="shared" si="122"/>
        <v>-6.7577945016126205E-3</v>
      </c>
      <c r="D3277">
        <f t="shared" si="121"/>
        <v>-0.74652429921980024</v>
      </c>
    </row>
    <row r="3278" spans="1:4">
      <c r="A3278" s="1">
        <v>23028</v>
      </c>
      <c r="B3278">
        <v>65.13</v>
      </c>
      <c r="C3278">
        <f t="shared" si="122"/>
        <v>7.1130354105457512E-3</v>
      </c>
      <c r="D3278">
        <f t="shared" si="121"/>
        <v>0.71823062457995035</v>
      </c>
    </row>
    <row r="3279" spans="1:4">
      <c r="A3279" s="1">
        <v>23029</v>
      </c>
      <c r="B3279">
        <v>65.180000000000007</v>
      </c>
      <c r="C3279">
        <f t="shared" si="122"/>
        <v>7.6769537847399616E-4</v>
      </c>
      <c r="D3279">
        <f t="shared" si="121"/>
        <v>4.8164874079047633E-2</v>
      </c>
    </row>
    <row r="3280" spans="1:4">
      <c r="A3280" s="1">
        <v>23032</v>
      </c>
      <c r="B3280">
        <v>65.28</v>
      </c>
      <c r="C3280">
        <f t="shared" si="122"/>
        <v>1.5342129487572E-3</v>
      </c>
      <c r="D3280">
        <f t="shared" si="121"/>
        <v>0.12910886894897225</v>
      </c>
    </row>
    <row r="3281" spans="1:4">
      <c r="A3281" s="1">
        <v>23033</v>
      </c>
      <c r="B3281">
        <v>65.44</v>
      </c>
      <c r="C3281">
        <f t="shared" si="122"/>
        <v>2.4509803921568107E-3</v>
      </c>
      <c r="D3281">
        <f t="shared" si="121"/>
        <v>0.22591919934757609</v>
      </c>
    </row>
    <row r="3282" spans="1:4">
      <c r="A3282" s="1">
        <v>23034</v>
      </c>
      <c r="B3282">
        <v>65.62</v>
      </c>
      <c r="C3282">
        <f t="shared" si="122"/>
        <v>2.7506112469438695E-3</v>
      </c>
      <c r="D3282">
        <f t="shared" si="121"/>
        <v>0.25756011576361332</v>
      </c>
    </row>
    <row r="3283" spans="1:4">
      <c r="A3283" s="1">
        <v>23035</v>
      </c>
      <c r="B3283">
        <v>65.75</v>
      </c>
      <c r="C3283">
        <f t="shared" si="122"/>
        <v>1.9811033221578092E-3</v>
      </c>
      <c r="D3283">
        <f t="shared" si="121"/>
        <v>0.17630034047465798</v>
      </c>
    </row>
    <row r="3284" spans="1:4">
      <c r="A3284" s="1">
        <v>23036</v>
      </c>
      <c r="B3284">
        <v>65.92</v>
      </c>
      <c r="C3284">
        <f t="shared" si="122"/>
        <v>2.5855513307985051E-3</v>
      </c>
      <c r="D3284">
        <f t="shared" si="121"/>
        <v>0.24012984472525442</v>
      </c>
    </row>
    <row r="3285" spans="1:4">
      <c r="A3285" s="1">
        <v>23039</v>
      </c>
      <c r="B3285">
        <v>66.239999999999995</v>
      </c>
      <c r="C3285">
        <f t="shared" si="122"/>
        <v>4.8543689320387313E-3</v>
      </c>
      <c r="D3285">
        <f t="shared" si="121"/>
        <v>0.47971621220764854</v>
      </c>
    </row>
    <row r="3286" spans="1:4">
      <c r="A3286" s="1">
        <v>23040</v>
      </c>
      <c r="B3286">
        <v>66.23</v>
      </c>
      <c r="C3286">
        <f t="shared" si="122"/>
        <v>-1.5096618357474193E-4</v>
      </c>
      <c r="D3286">
        <f t="shared" si="121"/>
        <v>-4.8845474605061841E-2</v>
      </c>
    </row>
    <row r="3287" spans="1:4">
      <c r="A3287" s="1">
        <v>23041</v>
      </c>
      <c r="B3287">
        <v>65.849999999999994</v>
      </c>
      <c r="C3287">
        <f t="shared" si="122"/>
        <v>-5.7375811565757153E-3</v>
      </c>
      <c r="D3287">
        <f t="shared" si="121"/>
        <v>-0.63879011677126851</v>
      </c>
    </row>
    <row r="3288" spans="1:4">
      <c r="A3288" s="1">
        <v>23042</v>
      </c>
      <c r="B3288">
        <v>66.2</v>
      </c>
      <c r="C3288">
        <f t="shared" si="122"/>
        <v>5.3151100987093173E-3</v>
      </c>
      <c r="D3288">
        <f t="shared" si="121"/>
        <v>0.52837032279453033</v>
      </c>
    </row>
    <row r="3289" spans="1:4">
      <c r="A3289" s="1">
        <v>23043</v>
      </c>
      <c r="B3289">
        <v>66.31</v>
      </c>
      <c r="C3289">
        <f t="shared" si="122"/>
        <v>1.6616314199395684E-3</v>
      </c>
      <c r="D3289">
        <f t="shared" si="121"/>
        <v>0.1425642161941876</v>
      </c>
    </row>
    <row r="3290" spans="1:4">
      <c r="A3290" s="1">
        <v>23046</v>
      </c>
      <c r="B3290">
        <v>66.17</v>
      </c>
      <c r="C3290">
        <f t="shared" si="122"/>
        <v>-2.1112954305534696E-3</v>
      </c>
      <c r="D3290">
        <f t="shared" si="121"/>
        <v>-0.25585557673772824</v>
      </c>
    </row>
    <row r="3291" spans="1:4">
      <c r="A3291" s="1">
        <v>23047</v>
      </c>
      <c r="B3291">
        <v>66.11</v>
      </c>
      <c r="C3291">
        <f t="shared" si="122"/>
        <v>-9.0675532718758158E-4</v>
      </c>
      <c r="D3291">
        <f t="shared" si="121"/>
        <v>-0.1286565512653654</v>
      </c>
    </row>
    <row r="3292" spans="1:4">
      <c r="A3292" s="1">
        <v>23048</v>
      </c>
      <c r="B3292">
        <v>66.400000000000006</v>
      </c>
      <c r="C3292">
        <f t="shared" si="122"/>
        <v>4.3866283466949974E-3</v>
      </c>
      <c r="D3292">
        <f t="shared" si="121"/>
        <v>0.43032296538810022</v>
      </c>
    </row>
    <row r="3293" spans="1:4">
      <c r="A3293" s="1">
        <v>23049</v>
      </c>
      <c r="B3293">
        <v>66.17</v>
      </c>
      <c r="C3293">
        <f t="shared" si="122"/>
        <v>-3.4638554216868066E-3</v>
      </c>
      <c r="D3293">
        <f t="shared" si="121"/>
        <v>-0.39868545204392919</v>
      </c>
    </row>
    <row r="3294" spans="1:4">
      <c r="A3294" s="1">
        <v>23050</v>
      </c>
      <c r="B3294">
        <v>66.17</v>
      </c>
      <c r="C3294">
        <f t="shared" si="122"/>
        <v>0</v>
      </c>
      <c r="D3294">
        <f t="shared" si="121"/>
        <v>-3.29034969354682E-2</v>
      </c>
    </row>
    <row r="3295" spans="1:4">
      <c r="A3295" s="1">
        <v>23053</v>
      </c>
      <c r="B3295">
        <v>65.760000000000005</v>
      </c>
      <c r="C3295">
        <f t="shared" si="122"/>
        <v>-6.196161402448188E-3</v>
      </c>
      <c r="D3295">
        <f t="shared" si="121"/>
        <v>-0.68721603485640226</v>
      </c>
    </row>
    <row r="3296" spans="1:4">
      <c r="A3296" s="1">
        <v>23054</v>
      </c>
      <c r="B3296">
        <v>65.83</v>
      </c>
      <c r="C3296">
        <f t="shared" si="122"/>
        <v>1.064476885644665E-3</v>
      </c>
      <c r="D3296">
        <f t="shared" si="121"/>
        <v>7.9504900355334432E-2</v>
      </c>
    </row>
    <row r="3297" spans="1:4">
      <c r="A3297" s="1">
        <v>23055</v>
      </c>
      <c r="B3297">
        <v>66.150000000000006</v>
      </c>
      <c r="C3297">
        <f t="shared" si="122"/>
        <v>4.8610056205378614E-3</v>
      </c>
      <c r="D3297">
        <f t="shared" si="121"/>
        <v>0.48041704425723664</v>
      </c>
    </row>
    <row r="3298" spans="1:4">
      <c r="A3298" s="1">
        <v>23056</v>
      </c>
      <c r="B3298">
        <v>66.349999999999994</v>
      </c>
      <c r="C3298">
        <f t="shared" si="122"/>
        <v>3.0234315948599942E-3</v>
      </c>
      <c r="D3298">
        <f t="shared" si="121"/>
        <v>0.28636985176741403</v>
      </c>
    </row>
    <row r="3299" spans="1:4">
      <c r="A3299" s="1">
        <v>23057</v>
      </c>
      <c r="B3299">
        <v>66.41</v>
      </c>
      <c r="C3299">
        <f t="shared" si="122"/>
        <v>9.0429540316506823E-4</v>
      </c>
      <c r="D3299">
        <f t="shared" si="121"/>
        <v>6.2589790253820415E-2</v>
      </c>
    </row>
    <row r="3300" spans="1:4">
      <c r="A3300" s="1">
        <v>23060</v>
      </c>
      <c r="B3300">
        <v>66.52</v>
      </c>
      <c r="C3300">
        <f t="shared" si="122"/>
        <v>1.6563770516488396E-3</v>
      </c>
      <c r="D3300">
        <f t="shared" si="121"/>
        <v>0.14200935668873321</v>
      </c>
    </row>
    <row r="3301" spans="1:4">
      <c r="A3301" s="1">
        <v>23061</v>
      </c>
      <c r="B3301">
        <v>66.2</v>
      </c>
      <c r="C3301">
        <f t="shared" si="122"/>
        <v>-4.8105832832229887E-3</v>
      </c>
      <c r="D3301">
        <f t="shared" si="121"/>
        <v>-0.5408994564471078</v>
      </c>
    </row>
    <row r="3302" spans="1:4">
      <c r="A3302" s="1">
        <v>23062</v>
      </c>
      <c r="B3302">
        <v>65.83</v>
      </c>
      <c r="C3302">
        <f t="shared" si="122"/>
        <v>-5.5891238670695547E-3</v>
      </c>
      <c r="D3302">
        <f t="shared" si="121"/>
        <v>-0.62311307746250255</v>
      </c>
    </row>
    <row r="3303" spans="1:4">
      <c r="A3303" s="1">
        <v>23063</v>
      </c>
      <c r="B3303">
        <v>65.92</v>
      </c>
      <c r="C3303">
        <f t="shared" si="122"/>
        <v>1.3671578307762936E-3</v>
      </c>
      <c r="D3303">
        <f t="shared" si="121"/>
        <v>0.11146790527498217</v>
      </c>
    </row>
    <row r="3304" spans="1:4">
      <c r="A3304" s="1">
        <v>23067</v>
      </c>
      <c r="B3304">
        <v>65.459999999999994</v>
      </c>
      <c r="C3304">
        <f t="shared" si="122"/>
        <v>-6.9781553398059462E-3</v>
      </c>
      <c r="D3304">
        <f t="shared" si="121"/>
        <v>-0.76979432882872711</v>
      </c>
    </row>
    <row r="3305" spans="1:4">
      <c r="A3305" s="1">
        <v>23068</v>
      </c>
      <c r="B3305">
        <v>65.47</v>
      </c>
      <c r="C3305">
        <f t="shared" si="122"/>
        <v>1.5276504735724285E-4</v>
      </c>
      <c r="D3305">
        <f t="shared" si="121"/>
        <v>-1.6771559861905972E-2</v>
      </c>
    </row>
    <row r="3306" spans="1:4">
      <c r="A3306" s="1">
        <v>23069</v>
      </c>
      <c r="B3306">
        <v>65.010000000000005</v>
      </c>
      <c r="C3306">
        <f t="shared" si="122"/>
        <v>-7.0261188330532111E-3</v>
      </c>
      <c r="D3306">
        <f t="shared" si="121"/>
        <v>-0.77485925741205475</v>
      </c>
    </row>
    <row r="3307" spans="1:4">
      <c r="A3307" s="1">
        <v>23070</v>
      </c>
      <c r="B3307">
        <v>64.290000000000006</v>
      </c>
      <c r="C3307">
        <f t="shared" si="122"/>
        <v>-1.107521919704659E-2</v>
      </c>
      <c r="D3307">
        <f t="shared" si="121"/>
        <v>-1.2024428794936681</v>
      </c>
    </row>
    <row r="3308" spans="1:4">
      <c r="A3308" s="1">
        <v>23071</v>
      </c>
      <c r="B3308">
        <v>64.099999999999994</v>
      </c>
      <c r="C3308">
        <f t="shared" si="122"/>
        <v>-2.9553585316536308E-3</v>
      </c>
      <c r="D3308">
        <f t="shared" si="121"/>
        <v>-0.34498835330291688</v>
      </c>
    </row>
    <row r="3309" spans="1:4">
      <c r="A3309" s="1">
        <v>23074</v>
      </c>
      <c r="B3309">
        <v>64.72</v>
      </c>
      <c r="C3309">
        <f t="shared" si="122"/>
        <v>9.6723868954758912E-3</v>
      </c>
      <c r="D3309">
        <f t="shared" si="121"/>
        <v>0.98849727142273403</v>
      </c>
    </row>
    <row r="3310" spans="1:4">
      <c r="A3310" s="1">
        <v>23075</v>
      </c>
      <c r="B3310">
        <v>64.739999999999995</v>
      </c>
      <c r="C3310">
        <f t="shared" si="122"/>
        <v>3.0902348578485815E-4</v>
      </c>
      <c r="D3310">
        <f t="shared" si="121"/>
        <v>-2.7072187877373219E-4</v>
      </c>
    </row>
    <row r="3311" spans="1:4">
      <c r="A3311" s="1">
        <v>23076</v>
      </c>
      <c r="B3311">
        <v>64.849999999999994</v>
      </c>
      <c r="C3311">
        <f t="shared" si="122"/>
        <v>1.6991041087426543E-3</v>
      </c>
      <c r="D3311">
        <f t="shared" si="121"/>
        <v>0.14652131939420765</v>
      </c>
    </row>
    <row r="3312" spans="1:4">
      <c r="A3312" s="1">
        <v>23077</v>
      </c>
      <c r="B3312">
        <v>65.260000000000005</v>
      </c>
      <c r="C3312">
        <f t="shared" si="122"/>
        <v>6.3222821896686326E-3</v>
      </c>
      <c r="D3312">
        <f t="shared" si="121"/>
        <v>0.63472735324540619</v>
      </c>
    </row>
    <row r="3313" spans="1:4">
      <c r="A3313" s="1">
        <v>23078</v>
      </c>
      <c r="B3313">
        <v>65.33</v>
      </c>
      <c r="C3313">
        <f t="shared" si="122"/>
        <v>1.0726325467360278E-3</v>
      </c>
      <c r="D3313">
        <f t="shared" si="121"/>
        <v>8.0366135394338442E-2</v>
      </c>
    </row>
    <row r="3314" spans="1:4">
      <c r="A3314" s="1">
        <v>23081</v>
      </c>
      <c r="B3314">
        <v>65.510000000000005</v>
      </c>
      <c r="C3314">
        <f t="shared" si="122"/>
        <v>2.7552426144192075E-3</v>
      </c>
      <c r="D3314">
        <f t="shared" si="121"/>
        <v>0.25804918659473075</v>
      </c>
    </row>
    <row r="3315" spans="1:4">
      <c r="A3315" s="1">
        <v>23082</v>
      </c>
      <c r="B3315">
        <v>65.67</v>
      </c>
      <c r="C3315">
        <f t="shared" si="122"/>
        <v>2.4423752098915673E-3</v>
      </c>
      <c r="D3315">
        <f t="shared" si="121"/>
        <v>0.22501049502540996</v>
      </c>
    </row>
    <row r="3316" spans="1:4">
      <c r="A3316" s="1">
        <v>23083</v>
      </c>
      <c r="B3316">
        <v>65.91</v>
      </c>
      <c r="C3316">
        <f t="shared" si="122"/>
        <v>3.6546368204658881E-3</v>
      </c>
      <c r="D3316">
        <f t="shared" si="121"/>
        <v>0.35302490903431544</v>
      </c>
    </row>
    <row r="3317" spans="1:4">
      <c r="A3317" s="1">
        <v>23084</v>
      </c>
      <c r="B3317">
        <v>65.599999999999994</v>
      </c>
      <c r="C3317">
        <f t="shared" si="122"/>
        <v>-4.7033834016082885E-3</v>
      </c>
      <c r="D3317">
        <f t="shared" si="121"/>
        <v>-0.52957918538760562</v>
      </c>
    </row>
    <row r="3318" spans="1:4">
      <c r="A3318" s="1">
        <v>23085</v>
      </c>
      <c r="B3318">
        <v>65.930000000000007</v>
      </c>
      <c r="C3318">
        <f t="shared" si="122"/>
        <v>5.0304878048782397E-3</v>
      </c>
      <c r="D3318">
        <f t="shared" si="121"/>
        <v>0.49831430531378701</v>
      </c>
    </row>
    <row r="3319" spans="1:4">
      <c r="A3319" s="1">
        <v>23088</v>
      </c>
      <c r="B3319">
        <v>65.61</v>
      </c>
      <c r="C3319">
        <f t="shared" si="122"/>
        <v>-4.8536326406796206E-3</v>
      </c>
      <c r="D3319">
        <f t="shared" si="121"/>
        <v>-0.54544545396134048</v>
      </c>
    </row>
    <row r="3320" spans="1:4">
      <c r="A3320" s="1">
        <v>23089</v>
      </c>
      <c r="B3320">
        <v>65.47</v>
      </c>
      <c r="C3320">
        <f t="shared" si="122"/>
        <v>-2.1338210638622247E-3</v>
      </c>
      <c r="D3320">
        <f t="shared" si="121"/>
        <v>-0.25823427595829795</v>
      </c>
    </row>
    <row r="3321" spans="1:4">
      <c r="A3321" s="1">
        <v>23090</v>
      </c>
      <c r="B3321">
        <v>65.95</v>
      </c>
      <c r="C3321">
        <f t="shared" si="122"/>
        <v>7.3316022605774247E-3</v>
      </c>
      <c r="D3321">
        <f t="shared" si="121"/>
        <v>0.74131120964881292</v>
      </c>
    </row>
    <row r="3322" spans="1:4">
      <c r="A3322" s="1">
        <v>23091</v>
      </c>
      <c r="B3322">
        <v>65.849999999999994</v>
      </c>
      <c r="C3322">
        <f t="shared" si="122"/>
        <v>-1.5163002274451633E-3</v>
      </c>
      <c r="D3322">
        <f t="shared" si="121"/>
        <v>-0.19302428553818737</v>
      </c>
    </row>
    <row r="3323" spans="1:4">
      <c r="A3323" s="1">
        <v>23092</v>
      </c>
      <c r="B3323">
        <v>66.19</v>
      </c>
      <c r="C3323">
        <f t="shared" si="122"/>
        <v>5.1632498101746912E-3</v>
      </c>
      <c r="D3323">
        <f t="shared" si="121"/>
        <v>0.51233392794509403</v>
      </c>
    </row>
    <row r="3324" spans="1:4">
      <c r="A3324" s="1">
        <v>23095</v>
      </c>
      <c r="B3324">
        <v>66.209999999999994</v>
      </c>
      <c r="C3324">
        <f t="shared" si="122"/>
        <v>3.0216044719740177E-4</v>
      </c>
      <c r="D3324">
        <f t="shared" si="121"/>
        <v>-9.954564207489624E-4</v>
      </c>
    </row>
    <row r="3325" spans="1:4">
      <c r="A3325" s="1">
        <v>23096</v>
      </c>
      <c r="B3325">
        <v>66.400000000000006</v>
      </c>
      <c r="C3325">
        <f t="shared" si="122"/>
        <v>2.8696571514878711E-3</v>
      </c>
      <c r="D3325">
        <f t="shared" si="121"/>
        <v>0.27013132281779084</v>
      </c>
    </row>
    <row r="3326" spans="1:4">
      <c r="A3326" s="1">
        <v>23097</v>
      </c>
      <c r="B3326">
        <v>66.680000000000007</v>
      </c>
      <c r="C3326">
        <f t="shared" si="122"/>
        <v>4.2168674698795346E-3</v>
      </c>
      <c r="D3326">
        <f t="shared" si="121"/>
        <v>0.41239627450091315</v>
      </c>
    </row>
    <row r="3327" spans="1:4">
      <c r="A3327" s="1">
        <v>23098</v>
      </c>
      <c r="B3327">
        <v>66.58</v>
      </c>
      <c r="C3327">
        <f t="shared" si="122"/>
        <v>-1.4997000599881302E-3</v>
      </c>
      <c r="D3327">
        <f t="shared" si="121"/>
        <v>-0.19127131349739576</v>
      </c>
    </row>
    <row r="3328" spans="1:4">
      <c r="A3328" s="1">
        <v>23099</v>
      </c>
      <c r="B3328">
        <v>66.569999999999993</v>
      </c>
      <c r="C3328">
        <f t="shared" si="122"/>
        <v>-1.5019525383005582E-4</v>
      </c>
      <c r="D3328">
        <f t="shared" si="121"/>
        <v>-4.8764064686074735E-2</v>
      </c>
    </row>
    <row r="3329" spans="1:4">
      <c r="A3329" s="1">
        <v>23102</v>
      </c>
      <c r="B3329">
        <v>66.849999999999994</v>
      </c>
      <c r="C3329">
        <f t="shared" si="122"/>
        <v>4.2060988433228353E-3</v>
      </c>
      <c r="D3329">
        <f t="shared" si="121"/>
        <v>0.41125911119695974</v>
      </c>
    </row>
    <row r="3330" spans="1:4">
      <c r="A3330" s="1">
        <v>23103</v>
      </c>
      <c r="B3330">
        <v>66.84</v>
      </c>
      <c r="C3330">
        <f t="shared" si="122"/>
        <v>-1.495886312638879E-4</v>
      </c>
      <c r="D3330">
        <f t="shared" si="121"/>
        <v>-4.8700005549288432E-2</v>
      </c>
    </row>
    <row r="3331" spans="1:4">
      <c r="A3331" s="1">
        <v>23104</v>
      </c>
      <c r="B3331">
        <v>67.36</v>
      </c>
      <c r="C3331">
        <f t="shared" si="122"/>
        <v>7.7797725912626568E-3</v>
      </c>
      <c r="D3331">
        <f t="shared" ref="D3331:D3394" si="123">(C3331-avg)/sd</f>
        <v>0.78863784422867622</v>
      </c>
    </row>
    <row r="3332" spans="1:4">
      <c r="A3332" s="1">
        <v>23105</v>
      </c>
      <c r="B3332">
        <v>67.849999999999994</v>
      </c>
      <c r="C3332">
        <f t="shared" ref="C3332:C3395" si="124">(B3332-B3331)/B3331</f>
        <v>7.2743467933490931E-3</v>
      </c>
      <c r="D3332">
        <f t="shared" si="123"/>
        <v>0.73526505177158008</v>
      </c>
    </row>
    <row r="3333" spans="1:4">
      <c r="A3333" s="1">
        <v>23106</v>
      </c>
      <c r="B3333">
        <v>68.28</v>
      </c>
      <c r="C3333">
        <f t="shared" si="124"/>
        <v>6.337509211496048E-3</v>
      </c>
      <c r="D3333">
        <f t="shared" si="123"/>
        <v>0.63633532157446504</v>
      </c>
    </row>
    <row r="3334" spans="1:4">
      <c r="A3334" s="1">
        <v>23109</v>
      </c>
      <c r="B3334">
        <v>68.52</v>
      </c>
      <c r="C3334">
        <f t="shared" si="124"/>
        <v>3.5149384885763751E-3</v>
      </c>
      <c r="D3334">
        <f t="shared" si="123"/>
        <v>0.3382728126725531</v>
      </c>
    </row>
    <row r="3335" spans="1:4">
      <c r="A3335" s="1">
        <v>23110</v>
      </c>
      <c r="B3335">
        <v>68.45</v>
      </c>
      <c r="C3335">
        <f t="shared" si="124"/>
        <v>-1.0215995329829711E-3</v>
      </c>
      <c r="D3335">
        <f t="shared" si="123"/>
        <v>-0.14078406035991625</v>
      </c>
    </row>
    <row r="3336" spans="1:4">
      <c r="A3336" s="1">
        <v>23111</v>
      </c>
      <c r="B3336">
        <v>68.290000000000006</v>
      </c>
      <c r="C3336">
        <f t="shared" si="124"/>
        <v>-2.337472607742828E-3</v>
      </c>
      <c r="D3336">
        <f t="shared" si="123"/>
        <v>-0.27973980976756646</v>
      </c>
    </row>
    <row r="3337" spans="1:4">
      <c r="A3337" s="1">
        <v>23112</v>
      </c>
      <c r="B3337">
        <v>68.77</v>
      </c>
      <c r="C3337">
        <f t="shared" si="124"/>
        <v>7.0288475618683517E-3</v>
      </c>
      <c r="D3337">
        <f t="shared" si="123"/>
        <v>0.70934041637645717</v>
      </c>
    </row>
    <row r="3338" spans="1:4">
      <c r="A3338" s="1">
        <v>23116</v>
      </c>
      <c r="B3338">
        <v>69.09</v>
      </c>
      <c r="C3338">
        <f t="shared" si="124"/>
        <v>4.6531917987495622E-3</v>
      </c>
      <c r="D3338">
        <f t="shared" si="123"/>
        <v>0.45847197531574246</v>
      </c>
    </row>
    <row r="3339" spans="1:4">
      <c r="A3339" s="1">
        <v>23117</v>
      </c>
      <c r="B3339">
        <v>69.14</v>
      </c>
      <c r="C3339">
        <f t="shared" si="124"/>
        <v>7.2369373281223263E-4</v>
      </c>
      <c r="D3339">
        <f t="shared" si="123"/>
        <v>4.3518315254051483E-2</v>
      </c>
    </row>
    <row r="3340" spans="1:4">
      <c r="A3340" s="1">
        <v>23118</v>
      </c>
      <c r="B3340">
        <v>68.92</v>
      </c>
      <c r="C3340">
        <f t="shared" si="124"/>
        <v>-3.1819496673416094E-3</v>
      </c>
      <c r="D3340">
        <f t="shared" si="123"/>
        <v>-0.36891630020949812</v>
      </c>
    </row>
    <row r="3341" spans="1:4">
      <c r="A3341" s="1">
        <v>23119</v>
      </c>
      <c r="B3341">
        <v>68.89</v>
      </c>
      <c r="C3341">
        <f t="shared" si="124"/>
        <v>-4.3528728961115984E-4</v>
      </c>
      <c r="D3341">
        <f t="shared" si="123"/>
        <v>-7.8869686757067861E-2</v>
      </c>
    </row>
    <row r="3342" spans="1:4">
      <c r="A3342" s="1">
        <v>23120</v>
      </c>
      <c r="B3342">
        <v>69.23</v>
      </c>
      <c r="C3342">
        <f t="shared" si="124"/>
        <v>4.9354042676731519E-3</v>
      </c>
      <c r="D3342">
        <f t="shared" si="123"/>
        <v>0.48827351610539438</v>
      </c>
    </row>
    <row r="3343" spans="1:4">
      <c r="A3343" s="1">
        <v>23123</v>
      </c>
      <c r="B3343">
        <v>69.3</v>
      </c>
      <c r="C3343">
        <f t="shared" si="124"/>
        <v>1.0111223458037436E-3</v>
      </c>
      <c r="D3343">
        <f t="shared" si="123"/>
        <v>7.3870679084222415E-2</v>
      </c>
    </row>
    <row r="3344" spans="1:4">
      <c r="A3344" s="1">
        <v>23124</v>
      </c>
      <c r="B3344">
        <v>69.53</v>
      </c>
      <c r="C3344">
        <f t="shared" si="124"/>
        <v>3.3189033189033766E-3</v>
      </c>
      <c r="D3344">
        <f t="shared" si="123"/>
        <v>0.31757156539067627</v>
      </c>
    </row>
    <row r="3345" spans="1:4">
      <c r="A3345" s="1">
        <v>23125</v>
      </c>
      <c r="B3345">
        <v>69.72</v>
      </c>
      <c r="C3345">
        <f t="shared" si="124"/>
        <v>2.7326333956565183E-3</v>
      </c>
      <c r="D3345">
        <f t="shared" si="123"/>
        <v>0.25566166077863761</v>
      </c>
    </row>
    <row r="3346" spans="1:4">
      <c r="A3346" s="1">
        <v>23126</v>
      </c>
      <c r="B3346">
        <v>69.760000000000005</v>
      </c>
      <c r="C3346">
        <f t="shared" si="124"/>
        <v>5.7372346528982007E-4</v>
      </c>
      <c r="D3346">
        <f t="shared" si="123"/>
        <v>2.768150598105551E-2</v>
      </c>
    </row>
    <row r="3347" spans="1:4">
      <c r="A3347" s="1">
        <v>23127</v>
      </c>
      <c r="B3347">
        <v>69.7</v>
      </c>
      <c r="C3347">
        <f t="shared" si="124"/>
        <v>-8.6009174311929863E-4</v>
      </c>
      <c r="D3347">
        <f t="shared" si="123"/>
        <v>-0.12372889264947763</v>
      </c>
    </row>
    <row r="3348" spans="1:4">
      <c r="A3348" s="1">
        <v>23130</v>
      </c>
      <c r="B3348">
        <v>69.650000000000006</v>
      </c>
      <c r="C3348">
        <f t="shared" si="124"/>
        <v>-7.1736011477757753E-4</v>
      </c>
      <c r="D3348">
        <f t="shared" si="123"/>
        <v>-0.10865648121342968</v>
      </c>
    </row>
    <row r="3349" spans="1:4">
      <c r="A3349" s="1">
        <v>23131</v>
      </c>
      <c r="B3349">
        <v>69.8</v>
      </c>
      <c r="C3349">
        <f t="shared" si="124"/>
        <v>2.1536252692030359E-3</v>
      </c>
      <c r="D3349">
        <f t="shared" si="123"/>
        <v>0.19451859943957478</v>
      </c>
    </row>
    <row r="3350" spans="1:4">
      <c r="A3350" s="1">
        <v>23132</v>
      </c>
      <c r="B3350">
        <v>69.97</v>
      </c>
      <c r="C3350">
        <f t="shared" si="124"/>
        <v>2.4355300859599097E-3</v>
      </c>
      <c r="D3350">
        <f t="shared" si="123"/>
        <v>0.22428765226499758</v>
      </c>
    </row>
    <row r="3351" spans="1:4">
      <c r="A3351" s="1">
        <v>23133</v>
      </c>
      <c r="B3351">
        <v>70.17</v>
      </c>
      <c r="C3351">
        <f t="shared" si="124"/>
        <v>2.8583678719451599E-3</v>
      </c>
      <c r="D3351">
        <f t="shared" si="123"/>
        <v>0.26893917873549311</v>
      </c>
    </row>
    <row r="3352" spans="1:4">
      <c r="A3352" s="1">
        <v>23134</v>
      </c>
      <c r="B3352">
        <v>70.03</v>
      </c>
      <c r="C3352">
        <f t="shared" si="124"/>
        <v>-1.9951546244834054E-3</v>
      </c>
      <c r="D3352">
        <f t="shared" si="123"/>
        <v>-0.24359114709490759</v>
      </c>
    </row>
    <row r="3353" spans="1:4">
      <c r="A3353" s="1">
        <v>23137</v>
      </c>
      <c r="B3353">
        <v>69.53</v>
      </c>
      <c r="C3353">
        <f t="shared" si="124"/>
        <v>-7.1397972297586746E-3</v>
      </c>
      <c r="D3353">
        <f t="shared" si="123"/>
        <v>-0.78686365746298714</v>
      </c>
    </row>
    <row r="3354" spans="1:4">
      <c r="A3354" s="1">
        <v>23138</v>
      </c>
      <c r="B3354">
        <v>69.44</v>
      </c>
      <c r="C3354">
        <f t="shared" si="124"/>
        <v>-1.2944052926794679E-3</v>
      </c>
      <c r="D3354">
        <f t="shared" si="123"/>
        <v>-0.16959225585268303</v>
      </c>
    </row>
    <row r="3355" spans="1:4">
      <c r="A3355" s="1">
        <v>23139</v>
      </c>
      <c r="B3355">
        <v>70.010000000000005</v>
      </c>
      <c r="C3355">
        <f t="shared" si="124"/>
        <v>8.2085253456222265E-3</v>
      </c>
      <c r="D3355">
        <f t="shared" si="123"/>
        <v>0.83391398934890448</v>
      </c>
    </row>
    <row r="3356" spans="1:4">
      <c r="A3356" s="1">
        <v>23140</v>
      </c>
      <c r="B3356">
        <v>70.349999999999994</v>
      </c>
      <c r="C3356">
        <f t="shared" si="124"/>
        <v>4.8564490787028876E-3</v>
      </c>
      <c r="D3356">
        <f t="shared" si="123"/>
        <v>0.4799358749883072</v>
      </c>
    </row>
    <row r="3357" spans="1:4">
      <c r="A3357" s="1">
        <v>23141</v>
      </c>
      <c r="B3357">
        <v>70.52</v>
      </c>
      <c r="C3357">
        <f t="shared" si="124"/>
        <v>2.4164889836531872E-3</v>
      </c>
      <c r="D3357">
        <f t="shared" si="123"/>
        <v>0.22227691833379284</v>
      </c>
    </row>
    <row r="3358" spans="1:4">
      <c r="A3358" s="1">
        <v>23144</v>
      </c>
      <c r="B3358">
        <v>70.48</v>
      </c>
      <c r="C3358">
        <f t="shared" si="124"/>
        <v>-5.6721497447521333E-4</v>
      </c>
      <c r="D3358">
        <f t="shared" si="123"/>
        <v>-9.2801205434312944E-2</v>
      </c>
    </row>
    <row r="3359" spans="1:4">
      <c r="A3359" s="1">
        <v>23145</v>
      </c>
      <c r="B3359">
        <v>70.209999999999994</v>
      </c>
      <c r="C3359">
        <f t="shared" si="124"/>
        <v>-3.8308740068105874E-3</v>
      </c>
      <c r="D3359">
        <f t="shared" si="123"/>
        <v>-0.43744248987732182</v>
      </c>
    </row>
    <row r="3360" spans="1:4">
      <c r="A3360" s="1">
        <v>23146</v>
      </c>
      <c r="B3360">
        <v>70.430000000000007</v>
      </c>
      <c r="C3360">
        <f t="shared" si="124"/>
        <v>3.1334567725397108E-3</v>
      </c>
      <c r="D3360">
        <f t="shared" si="123"/>
        <v>0.29798847313101706</v>
      </c>
    </row>
    <row r="3361" spans="1:4">
      <c r="A3361" s="1">
        <v>23147</v>
      </c>
      <c r="B3361">
        <v>70.25</v>
      </c>
      <c r="C3361">
        <f t="shared" si="124"/>
        <v>-2.5557290927162688E-3</v>
      </c>
      <c r="D3361">
        <f t="shared" si="123"/>
        <v>-0.30278762039177792</v>
      </c>
    </row>
    <row r="3362" spans="1:4">
      <c r="A3362" s="1">
        <v>23148</v>
      </c>
      <c r="B3362">
        <v>70.290000000000006</v>
      </c>
      <c r="C3362">
        <f t="shared" si="124"/>
        <v>5.6939501779368329E-4</v>
      </c>
      <c r="D3362">
        <f t="shared" si="123"/>
        <v>2.7224423396774257E-2</v>
      </c>
    </row>
    <row r="3363" spans="1:4">
      <c r="A3363" s="1">
        <v>23151</v>
      </c>
      <c r="B3363">
        <v>69.959999999999994</v>
      </c>
      <c r="C3363">
        <f t="shared" si="124"/>
        <v>-4.6948356807513516E-3</v>
      </c>
      <c r="D3363">
        <f t="shared" si="123"/>
        <v>-0.52867654897062466</v>
      </c>
    </row>
    <row r="3364" spans="1:4">
      <c r="A3364" s="1">
        <v>23152</v>
      </c>
      <c r="B3364">
        <v>70.14</v>
      </c>
      <c r="C3364">
        <f t="shared" si="124"/>
        <v>2.5728987993139914E-3</v>
      </c>
      <c r="D3364">
        <f t="shared" si="123"/>
        <v>0.23879374170129419</v>
      </c>
    </row>
    <row r="3365" spans="1:4">
      <c r="A3365" s="1">
        <v>23153</v>
      </c>
      <c r="B3365">
        <v>70.14</v>
      </c>
      <c r="C3365">
        <f t="shared" si="124"/>
        <v>0</v>
      </c>
      <c r="D3365">
        <f t="shared" si="123"/>
        <v>-3.29034969354682E-2</v>
      </c>
    </row>
    <row r="3366" spans="1:4">
      <c r="A3366" s="1">
        <v>23154</v>
      </c>
      <c r="B3366">
        <v>70.099999999999994</v>
      </c>
      <c r="C3366">
        <f t="shared" si="124"/>
        <v>-5.702879954377852E-4</v>
      </c>
      <c r="D3366">
        <f t="shared" si="123"/>
        <v>-9.3125715403389958E-2</v>
      </c>
    </row>
    <row r="3367" spans="1:4">
      <c r="A3367" s="1">
        <v>23155</v>
      </c>
      <c r="B3367">
        <v>70.02</v>
      </c>
      <c r="C3367">
        <f t="shared" si="124"/>
        <v>-1.1412268188302182E-3</v>
      </c>
      <c r="D3367">
        <f t="shared" si="123"/>
        <v>-0.15341666108209537</v>
      </c>
    </row>
    <row r="3368" spans="1:4">
      <c r="A3368" s="1">
        <v>23158</v>
      </c>
      <c r="B3368">
        <v>69.87</v>
      </c>
      <c r="C3368">
        <f t="shared" si="124"/>
        <v>-2.1422450728362107E-3</v>
      </c>
      <c r="D3368">
        <f t="shared" si="123"/>
        <v>-0.25912384844249114</v>
      </c>
    </row>
    <row r="3369" spans="1:4">
      <c r="A3369" s="1">
        <v>23159</v>
      </c>
      <c r="B3369">
        <v>70.010000000000005</v>
      </c>
      <c r="C3369">
        <f t="shared" si="124"/>
        <v>2.0037211965078083E-3</v>
      </c>
      <c r="D3369">
        <f t="shared" si="123"/>
        <v>0.17868878031782881</v>
      </c>
    </row>
    <row r="3370" spans="1:4">
      <c r="A3370" s="1">
        <v>23160</v>
      </c>
      <c r="B3370">
        <v>70.33</v>
      </c>
      <c r="C3370">
        <f t="shared" si="124"/>
        <v>4.5707756034851187E-3</v>
      </c>
      <c r="D3370">
        <f t="shared" si="123"/>
        <v>0.44976885311044312</v>
      </c>
    </row>
    <row r="3371" spans="1:4">
      <c r="A3371" s="1">
        <v>23162</v>
      </c>
      <c r="B3371">
        <v>70.8</v>
      </c>
      <c r="C3371">
        <f t="shared" si="124"/>
        <v>6.6827811744632291E-3</v>
      </c>
      <c r="D3371">
        <f t="shared" si="123"/>
        <v>0.67279592350015682</v>
      </c>
    </row>
    <row r="3372" spans="1:4">
      <c r="A3372" s="1">
        <v>23165</v>
      </c>
      <c r="B3372">
        <v>70.69</v>
      </c>
      <c r="C3372">
        <f t="shared" si="124"/>
        <v>-1.5536723163841728E-3</v>
      </c>
      <c r="D3372">
        <f t="shared" si="123"/>
        <v>-0.19697076542675654</v>
      </c>
    </row>
    <row r="3373" spans="1:4">
      <c r="A3373" s="1">
        <v>23166</v>
      </c>
      <c r="B3373">
        <v>70.7</v>
      </c>
      <c r="C3373">
        <f t="shared" si="124"/>
        <v>1.4146272457214764E-4</v>
      </c>
      <c r="D3373">
        <f t="shared" si="123"/>
        <v>-1.7965081306165843E-2</v>
      </c>
    </row>
    <row r="3374" spans="1:4">
      <c r="A3374" s="1">
        <v>23167</v>
      </c>
      <c r="B3374">
        <v>70.53</v>
      </c>
      <c r="C3374">
        <f t="shared" si="124"/>
        <v>-2.4045261669024287E-3</v>
      </c>
      <c r="D3374">
        <f t="shared" si="123"/>
        <v>-0.28682064282220809</v>
      </c>
    </row>
    <row r="3375" spans="1:4">
      <c r="A3375" s="1">
        <v>23168</v>
      </c>
      <c r="B3375">
        <v>70.58</v>
      </c>
      <c r="C3375">
        <f t="shared" si="124"/>
        <v>7.0891819084073666E-4</v>
      </c>
      <c r="D3375">
        <f t="shared" si="123"/>
        <v>4.1958023044312252E-2</v>
      </c>
    </row>
    <row r="3376" spans="1:4">
      <c r="A3376" s="1">
        <v>23169</v>
      </c>
      <c r="B3376">
        <v>70.41</v>
      </c>
      <c r="C3376">
        <f t="shared" si="124"/>
        <v>-2.4086143383394974E-3</v>
      </c>
      <c r="D3376">
        <f t="shared" si="123"/>
        <v>-0.28725235233632557</v>
      </c>
    </row>
    <row r="3377" spans="1:4">
      <c r="A3377" s="1">
        <v>23172</v>
      </c>
      <c r="B3377">
        <v>69.94</v>
      </c>
      <c r="C3377">
        <f t="shared" si="124"/>
        <v>-6.675188183496647E-3</v>
      </c>
      <c r="D3377">
        <f t="shared" si="123"/>
        <v>-0.73780110010600519</v>
      </c>
    </row>
    <row r="3378" spans="1:4">
      <c r="A3378" s="1">
        <v>23173</v>
      </c>
      <c r="B3378">
        <v>70.03</v>
      </c>
      <c r="C3378">
        <f t="shared" si="124"/>
        <v>1.2868172719474322E-3</v>
      </c>
      <c r="D3378">
        <f t="shared" si="123"/>
        <v>0.10298396957173724</v>
      </c>
    </row>
    <row r="3379" spans="1:4">
      <c r="A3379" s="1">
        <v>23174</v>
      </c>
      <c r="B3379">
        <v>70.41</v>
      </c>
      <c r="C3379">
        <f t="shared" si="124"/>
        <v>5.4262458946165281E-3</v>
      </c>
      <c r="D3379">
        <f t="shared" si="123"/>
        <v>0.54010622506543937</v>
      </c>
    </row>
    <row r="3380" spans="1:4">
      <c r="A3380" s="1">
        <v>23175</v>
      </c>
      <c r="B3380">
        <v>70.23</v>
      </c>
      <c r="C3380">
        <f t="shared" si="124"/>
        <v>-2.5564550489986168E-3</v>
      </c>
      <c r="D3380">
        <f t="shared" si="123"/>
        <v>-0.30286428112842934</v>
      </c>
    </row>
    <row r="3381" spans="1:4">
      <c r="A3381" s="1">
        <v>23176</v>
      </c>
      <c r="B3381">
        <v>70.25</v>
      </c>
      <c r="C3381">
        <f t="shared" si="124"/>
        <v>2.8477858465037761E-4</v>
      </c>
      <c r="D3381">
        <f t="shared" si="123"/>
        <v>-2.8309751973325608E-3</v>
      </c>
    </row>
    <row r="3382" spans="1:4">
      <c r="A3382" s="1">
        <v>23179</v>
      </c>
      <c r="B3382">
        <v>69.95</v>
      </c>
      <c r="C3382">
        <f t="shared" si="124"/>
        <v>-4.2704626334519168E-3</v>
      </c>
      <c r="D3382">
        <f t="shared" si="123"/>
        <v>-0.48386289942721189</v>
      </c>
    </row>
    <row r="3383" spans="1:4">
      <c r="A3383" s="1">
        <v>23180</v>
      </c>
      <c r="B3383">
        <v>70.02</v>
      </c>
      <c r="C3383">
        <f t="shared" si="124"/>
        <v>1.0007147962829619E-3</v>
      </c>
      <c r="D3383">
        <f t="shared" si="123"/>
        <v>7.2771645392525827E-2</v>
      </c>
    </row>
    <row r="3384" spans="1:4">
      <c r="A3384" s="1">
        <v>23181</v>
      </c>
      <c r="B3384">
        <v>70.09</v>
      </c>
      <c r="C3384">
        <f t="shared" si="124"/>
        <v>9.997143673237275E-4</v>
      </c>
      <c r="D3384">
        <f t="shared" si="123"/>
        <v>7.2666000434493005E-2</v>
      </c>
    </row>
    <row r="3385" spans="1:4">
      <c r="A3385" s="1">
        <v>23182</v>
      </c>
      <c r="B3385">
        <v>70.010000000000005</v>
      </c>
      <c r="C3385">
        <f t="shared" si="124"/>
        <v>-1.1413896418889754E-3</v>
      </c>
      <c r="D3385">
        <f t="shared" si="123"/>
        <v>-0.15343385514175387</v>
      </c>
    </row>
    <row r="3386" spans="1:4">
      <c r="A3386" s="1">
        <v>23183</v>
      </c>
      <c r="B3386">
        <v>70.25</v>
      </c>
      <c r="C3386">
        <f t="shared" si="124"/>
        <v>3.428081702613839E-3</v>
      </c>
      <c r="D3386">
        <f t="shared" si="123"/>
        <v>0.32910076559896534</v>
      </c>
    </row>
    <row r="3387" spans="1:4">
      <c r="A3387" s="1">
        <v>23186</v>
      </c>
      <c r="B3387">
        <v>70.2</v>
      </c>
      <c r="C3387">
        <f t="shared" si="124"/>
        <v>-7.1174377224195238E-4</v>
      </c>
      <c r="D3387">
        <f t="shared" si="123"/>
        <v>-0.10806339735075524</v>
      </c>
    </row>
    <row r="3388" spans="1:4">
      <c r="A3388" s="1">
        <v>23187</v>
      </c>
      <c r="B3388">
        <v>70.040000000000006</v>
      </c>
      <c r="C3388">
        <f t="shared" si="124"/>
        <v>-2.2792022792022305E-3</v>
      </c>
      <c r="D3388">
        <f t="shared" si="123"/>
        <v>-0.2735864828807264</v>
      </c>
    </row>
    <row r="3389" spans="1:4">
      <c r="A3389" s="1">
        <v>23188</v>
      </c>
      <c r="B3389">
        <v>69.41</v>
      </c>
      <c r="C3389">
        <f t="shared" si="124"/>
        <v>-8.9948600799544497E-3</v>
      </c>
      <c r="D3389">
        <f t="shared" si="123"/>
        <v>-0.98275766387716046</v>
      </c>
    </row>
    <row r="3390" spans="1:4">
      <c r="A3390" s="1">
        <v>23189</v>
      </c>
      <c r="B3390">
        <v>69.069999999999993</v>
      </c>
      <c r="C3390">
        <f t="shared" si="124"/>
        <v>-4.8984296210921111E-3</v>
      </c>
      <c r="D3390">
        <f t="shared" si="123"/>
        <v>-0.55017599986566601</v>
      </c>
    </row>
    <row r="3391" spans="1:4">
      <c r="A3391" s="1">
        <v>23190</v>
      </c>
      <c r="B3391">
        <v>69.37</v>
      </c>
      <c r="C3391">
        <f t="shared" si="124"/>
        <v>4.3434197191256898E-3</v>
      </c>
      <c r="D3391">
        <f t="shared" si="123"/>
        <v>0.42576014900410747</v>
      </c>
    </row>
    <row r="3392" spans="1:4">
      <c r="A3392" s="1">
        <v>23193</v>
      </c>
      <c r="B3392">
        <v>68.86</v>
      </c>
      <c r="C3392">
        <f t="shared" si="124"/>
        <v>-7.3518812166643377E-3</v>
      </c>
      <c r="D3392">
        <f t="shared" si="123"/>
        <v>-0.8092596543893753</v>
      </c>
    </row>
    <row r="3393" spans="1:4">
      <c r="A3393" s="1">
        <v>23194</v>
      </c>
      <c r="B3393">
        <v>69.459999999999994</v>
      </c>
      <c r="C3393">
        <f t="shared" si="124"/>
        <v>8.7133313970373851E-3</v>
      </c>
      <c r="D3393">
        <f t="shared" si="123"/>
        <v>0.88722133678643111</v>
      </c>
    </row>
    <row r="3394" spans="1:4">
      <c r="A3394" s="1">
        <v>23195</v>
      </c>
      <c r="B3394">
        <v>69.94</v>
      </c>
      <c r="C3394">
        <f t="shared" si="124"/>
        <v>6.9104520587389001E-3</v>
      </c>
      <c r="D3394">
        <f t="shared" si="123"/>
        <v>0.69683789149057396</v>
      </c>
    </row>
    <row r="3395" spans="1:4">
      <c r="A3395" s="1">
        <v>23197</v>
      </c>
      <c r="B3395">
        <v>70.22</v>
      </c>
      <c r="C3395">
        <f t="shared" si="124"/>
        <v>4.0034315127252095E-3</v>
      </c>
      <c r="D3395">
        <f t="shared" ref="D3395:D3458" si="125">(C3395-avg)/sd</f>
        <v>0.3898575099758233</v>
      </c>
    </row>
    <row r="3396" spans="1:4">
      <c r="A3396" s="1">
        <v>23200</v>
      </c>
      <c r="B3396">
        <v>69.739999999999995</v>
      </c>
      <c r="C3396">
        <f t="shared" ref="C3396:C3459" si="126">(B3396-B3395)/B3395</f>
        <v>-6.835659356308801E-3</v>
      </c>
      <c r="D3396">
        <f t="shared" si="125"/>
        <v>-0.75474680140816675</v>
      </c>
    </row>
    <row r="3397" spans="1:4">
      <c r="A3397" s="1">
        <v>23201</v>
      </c>
      <c r="B3397">
        <v>70.040000000000006</v>
      </c>
      <c r="C3397">
        <f t="shared" si="126"/>
        <v>4.3016919988530453E-3</v>
      </c>
      <c r="D3397">
        <f t="shared" si="125"/>
        <v>0.42135371592725751</v>
      </c>
    </row>
    <row r="3398" spans="1:4">
      <c r="A3398" s="1">
        <v>23202</v>
      </c>
      <c r="B3398">
        <v>69.89</v>
      </c>
      <c r="C3398">
        <f t="shared" si="126"/>
        <v>-2.1416333523701552E-3</v>
      </c>
      <c r="D3398">
        <f t="shared" si="125"/>
        <v>-0.25905925096920956</v>
      </c>
    </row>
    <row r="3399" spans="1:4">
      <c r="A3399" s="1">
        <v>23203</v>
      </c>
      <c r="B3399">
        <v>69.760000000000005</v>
      </c>
      <c r="C3399">
        <f t="shared" si="126"/>
        <v>-1.8600658177134848E-3</v>
      </c>
      <c r="D3399">
        <f t="shared" si="125"/>
        <v>-0.22932581501892046</v>
      </c>
    </row>
    <row r="3400" spans="1:4">
      <c r="A3400" s="1">
        <v>23204</v>
      </c>
      <c r="B3400">
        <v>69.64</v>
      </c>
      <c r="C3400">
        <f t="shared" si="126"/>
        <v>-1.7201834862385973E-3</v>
      </c>
      <c r="D3400">
        <f t="shared" si="125"/>
        <v>-0.21455428836348706</v>
      </c>
    </row>
    <row r="3401" spans="1:4">
      <c r="A3401" s="1">
        <v>23207</v>
      </c>
      <c r="B3401">
        <v>69.2</v>
      </c>
      <c r="C3401">
        <f t="shared" si="126"/>
        <v>-6.3182079264790022E-3</v>
      </c>
      <c r="D3401">
        <f t="shared" si="125"/>
        <v>-0.70010410630842712</v>
      </c>
    </row>
    <row r="3402" spans="1:4">
      <c r="A3402" s="1">
        <v>23208</v>
      </c>
      <c r="B3402">
        <v>69.14</v>
      </c>
      <c r="C3402">
        <f t="shared" si="126"/>
        <v>-8.6705202312142014E-4</v>
      </c>
      <c r="D3402">
        <f t="shared" si="125"/>
        <v>-0.12446389585178755</v>
      </c>
    </row>
    <row r="3403" spans="1:4">
      <c r="A3403" s="1">
        <v>23209</v>
      </c>
      <c r="B3403">
        <v>68.930000000000007</v>
      </c>
      <c r="C3403">
        <f t="shared" si="126"/>
        <v>-3.0373155915532795E-3</v>
      </c>
      <c r="D3403">
        <f t="shared" si="125"/>
        <v>-0.35364299096976159</v>
      </c>
    </row>
    <row r="3404" spans="1:4">
      <c r="A3404" s="1">
        <v>23210</v>
      </c>
      <c r="B3404">
        <v>68.489999999999995</v>
      </c>
      <c r="C3404">
        <f t="shared" si="126"/>
        <v>-6.3832873930075714E-3</v>
      </c>
      <c r="D3404">
        <f t="shared" si="125"/>
        <v>-0.70697647585225853</v>
      </c>
    </row>
    <row r="3405" spans="1:4">
      <c r="A3405" s="1">
        <v>23211</v>
      </c>
      <c r="B3405">
        <v>68.349999999999994</v>
      </c>
      <c r="C3405">
        <f t="shared" si="126"/>
        <v>-2.0440940283253115E-3</v>
      </c>
      <c r="D3405">
        <f t="shared" si="125"/>
        <v>-0.24875913150530124</v>
      </c>
    </row>
    <row r="3406" spans="1:4">
      <c r="A3406" s="1">
        <v>23214</v>
      </c>
      <c r="B3406">
        <v>67.900000000000006</v>
      </c>
      <c r="C3406">
        <f t="shared" si="126"/>
        <v>-6.5837600585221456E-3</v>
      </c>
      <c r="D3406">
        <f t="shared" si="125"/>
        <v>-0.72814632118662759</v>
      </c>
    </row>
    <row r="3407" spans="1:4">
      <c r="A3407" s="1">
        <v>23215</v>
      </c>
      <c r="B3407">
        <v>67.91</v>
      </c>
      <c r="C3407">
        <f t="shared" si="126"/>
        <v>1.4727540500722981E-4</v>
      </c>
      <c r="D3407">
        <f t="shared" si="125"/>
        <v>-1.7351264228047246E-2</v>
      </c>
    </row>
    <row r="3408" spans="1:4">
      <c r="A3408" s="1">
        <v>23216</v>
      </c>
      <c r="B3408">
        <v>68.28</v>
      </c>
      <c r="C3408">
        <f t="shared" si="126"/>
        <v>5.4483875717862545E-3</v>
      </c>
      <c r="D3408">
        <f t="shared" si="125"/>
        <v>0.54244437864824069</v>
      </c>
    </row>
    <row r="3409" spans="1:4">
      <c r="A3409" s="1">
        <v>23217</v>
      </c>
      <c r="B3409">
        <v>68.260000000000005</v>
      </c>
      <c r="C3409">
        <f t="shared" si="126"/>
        <v>-2.9291154071464588E-4</v>
      </c>
      <c r="D3409">
        <f t="shared" si="125"/>
        <v>-6.3834856069464471E-2</v>
      </c>
    </row>
    <row r="3410" spans="1:4">
      <c r="A3410" s="1">
        <v>23218</v>
      </c>
      <c r="B3410">
        <v>68.540000000000006</v>
      </c>
      <c r="C3410">
        <f t="shared" si="126"/>
        <v>4.1019630823322757E-3</v>
      </c>
      <c r="D3410">
        <f t="shared" si="125"/>
        <v>0.4002624102338217</v>
      </c>
    </row>
    <row r="3411" spans="1:4">
      <c r="A3411" s="1">
        <v>23221</v>
      </c>
      <c r="B3411">
        <v>68.67</v>
      </c>
      <c r="C3411">
        <f t="shared" si="126"/>
        <v>1.8967026553836511E-3</v>
      </c>
      <c r="D3411">
        <f t="shared" si="125"/>
        <v>0.16738765875248743</v>
      </c>
    </row>
    <row r="3412" spans="1:4">
      <c r="A3412" s="1">
        <v>23222</v>
      </c>
      <c r="B3412">
        <v>69.239999999999995</v>
      </c>
      <c r="C3412">
        <f t="shared" si="126"/>
        <v>8.3005679335953573E-3</v>
      </c>
      <c r="D3412">
        <f t="shared" si="125"/>
        <v>0.84363365535207135</v>
      </c>
    </row>
    <row r="3413" spans="1:4">
      <c r="A3413" s="1">
        <v>23223</v>
      </c>
      <c r="B3413">
        <v>69.13</v>
      </c>
      <c r="C3413">
        <f t="shared" si="126"/>
        <v>-1.5886770652801768E-3</v>
      </c>
      <c r="D3413">
        <f t="shared" si="125"/>
        <v>-0.20066725501148228</v>
      </c>
    </row>
    <row r="3414" spans="1:4">
      <c r="A3414" s="1">
        <v>23224</v>
      </c>
      <c r="B3414">
        <v>69.069999999999993</v>
      </c>
      <c r="C3414">
        <f t="shared" si="126"/>
        <v>-8.6792998698108316E-4</v>
      </c>
      <c r="D3414">
        <f t="shared" si="125"/>
        <v>-0.12455660853693354</v>
      </c>
    </row>
    <row r="3415" spans="1:4">
      <c r="A3415" s="1">
        <v>23225</v>
      </c>
      <c r="B3415">
        <v>69.3</v>
      </c>
      <c r="C3415">
        <f t="shared" si="126"/>
        <v>3.3299551179962936E-3</v>
      </c>
      <c r="D3415">
        <f t="shared" si="125"/>
        <v>0.31873863161819926</v>
      </c>
    </row>
    <row r="3416" spans="1:4">
      <c r="A3416" s="1">
        <v>23228</v>
      </c>
      <c r="B3416">
        <v>69.709999999999994</v>
      </c>
      <c r="C3416">
        <f t="shared" si="126"/>
        <v>5.9163059163058673E-3</v>
      </c>
      <c r="D3416">
        <f t="shared" si="125"/>
        <v>0.5918563967763385</v>
      </c>
    </row>
    <row r="3417" spans="1:4">
      <c r="A3417" s="1">
        <v>23229</v>
      </c>
      <c r="B3417">
        <v>70.17</v>
      </c>
      <c r="C3417">
        <f t="shared" si="126"/>
        <v>6.5987663176016063E-3</v>
      </c>
      <c r="D3417">
        <f t="shared" si="125"/>
        <v>0.66392398317360679</v>
      </c>
    </row>
    <row r="3418" spans="1:4">
      <c r="A3418" s="1">
        <v>23230</v>
      </c>
      <c r="B3418">
        <v>69.959999999999994</v>
      </c>
      <c r="C3418">
        <f t="shared" si="126"/>
        <v>-2.9927319367252093E-3</v>
      </c>
      <c r="D3418">
        <f t="shared" si="125"/>
        <v>-0.34893497217463798</v>
      </c>
    </row>
    <row r="3419" spans="1:4">
      <c r="A3419" s="1">
        <v>23231</v>
      </c>
      <c r="B3419">
        <v>70.02</v>
      </c>
      <c r="C3419">
        <f t="shared" si="126"/>
        <v>8.5763293310466384E-4</v>
      </c>
      <c r="D3419">
        <f t="shared" si="125"/>
        <v>5.7662249276785933E-2</v>
      </c>
    </row>
    <row r="3420" spans="1:4">
      <c r="A3420" s="1">
        <v>23232</v>
      </c>
      <c r="B3420">
        <v>70.48</v>
      </c>
      <c r="C3420">
        <f t="shared" si="126"/>
        <v>6.5695515566982004E-3</v>
      </c>
      <c r="D3420">
        <f t="shared" si="125"/>
        <v>0.66083891435278685</v>
      </c>
    </row>
    <row r="3421" spans="1:4">
      <c r="A3421" s="1">
        <v>23235</v>
      </c>
      <c r="B3421">
        <v>70.59</v>
      </c>
      <c r="C3421">
        <f t="shared" si="126"/>
        <v>1.5607264472190612E-3</v>
      </c>
      <c r="D3421">
        <f t="shared" si="125"/>
        <v>0.13190868537416878</v>
      </c>
    </row>
    <row r="3422" spans="1:4">
      <c r="A3422" s="1">
        <v>23236</v>
      </c>
      <c r="B3422">
        <v>70.790000000000006</v>
      </c>
      <c r="C3422">
        <f t="shared" si="126"/>
        <v>2.8332625017708293E-3</v>
      </c>
      <c r="D3422">
        <f t="shared" si="125"/>
        <v>0.26628806017881373</v>
      </c>
    </row>
    <row r="3423" spans="1:4">
      <c r="A3423" s="1">
        <v>23237</v>
      </c>
      <c r="B3423">
        <v>71.069999999999993</v>
      </c>
      <c r="C3423">
        <f t="shared" si="126"/>
        <v>3.9553609266843748E-3</v>
      </c>
      <c r="D3423">
        <f t="shared" si="125"/>
        <v>0.38478127242989729</v>
      </c>
    </row>
    <row r="3424" spans="1:4">
      <c r="A3424" s="1">
        <v>23238</v>
      </c>
      <c r="B3424">
        <v>71.38</v>
      </c>
      <c r="C3424">
        <f t="shared" si="126"/>
        <v>4.3618967215421738E-3</v>
      </c>
      <c r="D3424">
        <f t="shared" si="125"/>
        <v>0.42771131417864994</v>
      </c>
    </row>
    <row r="3425" spans="1:4">
      <c r="A3425" s="1">
        <v>23239</v>
      </c>
      <c r="B3425">
        <v>71.489999999999995</v>
      </c>
      <c r="C3425">
        <f t="shared" si="126"/>
        <v>1.541047912580547E-3</v>
      </c>
      <c r="D3425">
        <f t="shared" si="125"/>
        <v>0.12983063880540061</v>
      </c>
    </row>
    <row r="3426" spans="1:4">
      <c r="A3426" s="1">
        <v>23242</v>
      </c>
      <c r="B3426">
        <v>71.44</v>
      </c>
      <c r="C3426">
        <f t="shared" si="126"/>
        <v>-6.9939851727510367E-4</v>
      </c>
      <c r="D3426">
        <f t="shared" si="125"/>
        <v>-0.10675974262261208</v>
      </c>
    </row>
    <row r="3427" spans="1:4">
      <c r="A3427" s="1">
        <v>23243</v>
      </c>
      <c r="B3427">
        <v>71.38</v>
      </c>
      <c r="C3427">
        <f t="shared" si="126"/>
        <v>-8.3986562150059174E-4</v>
      </c>
      <c r="D3427">
        <f t="shared" si="125"/>
        <v>-0.12159302108173498</v>
      </c>
    </row>
    <row r="3428" spans="1:4">
      <c r="A3428" s="1">
        <v>23244</v>
      </c>
      <c r="B3428">
        <v>71.290000000000006</v>
      </c>
      <c r="C3428">
        <f t="shared" si="126"/>
        <v>-1.2608573830203028E-3</v>
      </c>
      <c r="D3428">
        <f t="shared" si="125"/>
        <v>-0.16604960799616375</v>
      </c>
    </row>
    <row r="3429" spans="1:4">
      <c r="A3429" s="1">
        <v>23245</v>
      </c>
      <c r="B3429">
        <v>71.540000000000006</v>
      </c>
      <c r="C3429">
        <f t="shared" si="126"/>
        <v>3.5068031982045163E-3</v>
      </c>
      <c r="D3429">
        <f t="shared" si="125"/>
        <v>0.3374137287746044</v>
      </c>
    </row>
    <row r="3430" spans="1:4">
      <c r="A3430" s="1">
        <v>23246</v>
      </c>
      <c r="B3430">
        <v>71.760000000000005</v>
      </c>
      <c r="C3430">
        <f t="shared" si="126"/>
        <v>3.0752026838132352E-3</v>
      </c>
      <c r="D3430">
        <f t="shared" si="125"/>
        <v>0.29183686116302809</v>
      </c>
    </row>
    <row r="3431" spans="1:4">
      <c r="A3431" s="1">
        <v>23249</v>
      </c>
      <c r="B3431">
        <v>71.91</v>
      </c>
      <c r="C3431">
        <f t="shared" si="126"/>
        <v>2.0903010033443627E-3</v>
      </c>
      <c r="D3431">
        <f t="shared" si="125"/>
        <v>0.1878315784898627</v>
      </c>
    </row>
    <row r="3432" spans="1:4">
      <c r="A3432" s="1">
        <v>23250</v>
      </c>
      <c r="B3432">
        <v>71.52</v>
      </c>
      <c r="C3432">
        <f t="shared" si="126"/>
        <v>-5.4234459741343425E-3</v>
      </c>
      <c r="D3432">
        <f t="shared" si="125"/>
        <v>-0.60561754828519621</v>
      </c>
    </row>
    <row r="3433" spans="1:4">
      <c r="A3433" s="1">
        <v>23251</v>
      </c>
      <c r="B3433">
        <v>72.040000000000006</v>
      </c>
      <c r="C3433">
        <f t="shared" si="126"/>
        <v>7.2706935123043942E-3</v>
      </c>
      <c r="D3433">
        <f t="shared" si="125"/>
        <v>0.73487926653507041</v>
      </c>
    </row>
    <row r="3434" spans="1:4">
      <c r="A3434" s="1">
        <v>23252</v>
      </c>
      <c r="B3434">
        <v>72.16</v>
      </c>
      <c r="C3434">
        <f t="shared" si="126"/>
        <v>1.6657412548582778E-3</v>
      </c>
      <c r="D3434">
        <f t="shared" si="125"/>
        <v>0.14299821336460256</v>
      </c>
    </row>
    <row r="3435" spans="1:4">
      <c r="A3435" s="1">
        <v>23253</v>
      </c>
      <c r="B3435">
        <v>72.5</v>
      </c>
      <c r="C3435">
        <f t="shared" si="126"/>
        <v>4.7117516629712223E-3</v>
      </c>
      <c r="D3435">
        <f t="shared" si="125"/>
        <v>0.46465587707208478</v>
      </c>
    </row>
    <row r="3436" spans="1:4">
      <c r="A3436" s="1">
        <v>23257</v>
      </c>
      <c r="B3436">
        <v>72.66</v>
      </c>
      <c r="C3436">
        <f t="shared" si="126"/>
        <v>2.2068965517240908E-3</v>
      </c>
      <c r="D3436">
        <f t="shared" si="125"/>
        <v>0.20014402876600942</v>
      </c>
    </row>
    <row r="3437" spans="1:4">
      <c r="A3437" s="1">
        <v>23258</v>
      </c>
      <c r="B3437">
        <v>72.64</v>
      </c>
      <c r="C3437">
        <f t="shared" si="126"/>
        <v>-2.7525461051467137E-4</v>
      </c>
      <c r="D3437">
        <f t="shared" si="125"/>
        <v>-6.1970290242229359E-2</v>
      </c>
    </row>
    <row r="3438" spans="1:4">
      <c r="A3438" s="1">
        <v>23259</v>
      </c>
      <c r="B3438">
        <v>73</v>
      </c>
      <c r="C3438">
        <f t="shared" si="126"/>
        <v>4.9559471365638692E-3</v>
      </c>
      <c r="D3438">
        <f t="shared" si="125"/>
        <v>0.49044283607739375</v>
      </c>
    </row>
    <row r="3439" spans="1:4">
      <c r="A3439" s="1">
        <v>23260</v>
      </c>
      <c r="B3439">
        <v>72.84</v>
      </c>
      <c r="C3439">
        <f t="shared" si="126"/>
        <v>-2.1917808219177617E-3</v>
      </c>
      <c r="D3439">
        <f t="shared" si="125"/>
        <v>-0.26435480670748368</v>
      </c>
    </row>
    <row r="3440" spans="1:4">
      <c r="A3440" s="1">
        <v>23263</v>
      </c>
      <c r="B3440">
        <v>72.58</v>
      </c>
      <c r="C3440">
        <f t="shared" si="126"/>
        <v>-3.56946732564532E-3</v>
      </c>
      <c r="D3440">
        <f t="shared" si="125"/>
        <v>-0.40983803320271778</v>
      </c>
    </row>
    <row r="3441" spans="1:4">
      <c r="A3441" s="1">
        <v>23264</v>
      </c>
      <c r="B3441">
        <v>72.989999999999995</v>
      </c>
      <c r="C3441">
        <f t="shared" si="126"/>
        <v>5.6489391016808568E-3</v>
      </c>
      <c r="D3441">
        <f t="shared" si="125"/>
        <v>0.56362255203433342</v>
      </c>
    </row>
    <row r="3442" spans="1:4">
      <c r="A3442" s="1">
        <v>23265</v>
      </c>
      <c r="B3442">
        <v>73.2</v>
      </c>
      <c r="C3442">
        <f t="shared" si="126"/>
        <v>2.8771064529388678E-3</v>
      </c>
      <c r="D3442">
        <f t="shared" si="125"/>
        <v>0.27091796651887551</v>
      </c>
    </row>
    <row r="3443" spans="1:4">
      <c r="A3443" s="1">
        <v>23266</v>
      </c>
      <c r="B3443">
        <v>73.150000000000006</v>
      </c>
      <c r="C3443">
        <f t="shared" si="126"/>
        <v>-6.8306010928957867E-4</v>
      </c>
      <c r="D3443">
        <f t="shared" si="125"/>
        <v>-0.10503441229303535</v>
      </c>
    </row>
    <row r="3444" spans="1:4">
      <c r="A3444" s="1">
        <v>23267</v>
      </c>
      <c r="B3444">
        <v>73.17</v>
      </c>
      <c r="C3444">
        <f t="shared" si="126"/>
        <v>2.734107997265348E-4</v>
      </c>
      <c r="D3444">
        <f t="shared" si="125"/>
        <v>-4.031409421192518E-3</v>
      </c>
    </row>
    <row r="3445" spans="1:4">
      <c r="A3445" s="1">
        <v>23270</v>
      </c>
      <c r="B3445">
        <v>73.069999999999993</v>
      </c>
      <c r="C3445">
        <f t="shared" si="126"/>
        <v>-1.3666803334701179E-3</v>
      </c>
      <c r="D3445">
        <f t="shared" si="125"/>
        <v>-0.17722447559269563</v>
      </c>
    </row>
    <row r="3446" spans="1:4">
      <c r="A3446" s="1">
        <v>23271</v>
      </c>
      <c r="B3446">
        <v>73.12</v>
      </c>
      <c r="C3446">
        <f t="shared" si="126"/>
        <v>6.8427535240196213E-4</v>
      </c>
      <c r="D3446">
        <f t="shared" si="125"/>
        <v>3.9355747681685441E-2</v>
      </c>
    </row>
    <row r="3447" spans="1:4">
      <c r="A3447" s="1">
        <v>23272</v>
      </c>
      <c r="B3447">
        <v>72.8</v>
      </c>
      <c r="C3447">
        <f t="shared" si="126"/>
        <v>-4.3763676148797503E-3</v>
      </c>
      <c r="D3447">
        <f t="shared" si="125"/>
        <v>-0.49504642946713884</v>
      </c>
    </row>
    <row r="3448" spans="1:4">
      <c r="A3448" s="1">
        <v>23273</v>
      </c>
      <c r="B3448">
        <v>73.22</v>
      </c>
      <c r="C3448">
        <f t="shared" si="126"/>
        <v>5.769230769230793E-3</v>
      </c>
      <c r="D3448">
        <f t="shared" si="125"/>
        <v>0.57632531123848219</v>
      </c>
    </row>
    <row r="3449" spans="1:4">
      <c r="A3449" s="1">
        <v>23274</v>
      </c>
      <c r="B3449">
        <v>73.3</v>
      </c>
      <c r="C3449">
        <f t="shared" si="126"/>
        <v>1.0925976509150272E-3</v>
      </c>
      <c r="D3449">
        <f t="shared" si="125"/>
        <v>8.2474443609172124E-2</v>
      </c>
    </row>
    <row r="3450" spans="1:4">
      <c r="A3450" s="1">
        <v>23277</v>
      </c>
      <c r="B3450">
        <v>72.959999999999994</v>
      </c>
      <c r="C3450">
        <f t="shared" si="126"/>
        <v>-4.6384720327422024E-3</v>
      </c>
      <c r="D3450">
        <f t="shared" si="125"/>
        <v>-0.5227245668997933</v>
      </c>
    </row>
    <row r="3451" spans="1:4">
      <c r="A3451" s="1">
        <v>23278</v>
      </c>
      <c r="B3451">
        <v>73.3</v>
      </c>
      <c r="C3451">
        <f t="shared" si="126"/>
        <v>4.6600877192982931E-3</v>
      </c>
      <c r="D3451">
        <f t="shared" si="125"/>
        <v>0.45920018218165115</v>
      </c>
    </row>
    <row r="3452" spans="1:4">
      <c r="A3452" s="1">
        <v>23279</v>
      </c>
      <c r="B3452">
        <v>72.89</v>
      </c>
      <c r="C3452">
        <f t="shared" si="126"/>
        <v>-5.5934515688949062E-3</v>
      </c>
      <c r="D3452">
        <f t="shared" si="125"/>
        <v>-0.62357008130420233</v>
      </c>
    </row>
    <row r="3453" spans="1:4">
      <c r="A3453" s="1">
        <v>23280</v>
      </c>
      <c r="B3453">
        <v>72.27</v>
      </c>
      <c r="C3453">
        <f t="shared" si="126"/>
        <v>-8.5059678968309026E-3</v>
      </c>
      <c r="D3453">
        <f t="shared" si="125"/>
        <v>-0.9311308155218414</v>
      </c>
    </row>
    <row r="3454" spans="1:4">
      <c r="A3454" s="1">
        <v>23281</v>
      </c>
      <c r="B3454">
        <v>72.13</v>
      </c>
      <c r="C3454">
        <f t="shared" si="126"/>
        <v>-1.9371800193718081E-3</v>
      </c>
      <c r="D3454">
        <f t="shared" si="125"/>
        <v>-0.23746904850164868</v>
      </c>
    </row>
    <row r="3455" spans="1:4">
      <c r="A3455" s="1">
        <v>23284</v>
      </c>
      <c r="B3455">
        <v>71.7</v>
      </c>
      <c r="C3455">
        <f t="shared" si="126"/>
        <v>-5.9614584777484079E-3</v>
      </c>
      <c r="D3455">
        <f t="shared" si="125"/>
        <v>-0.66243148578750588</v>
      </c>
    </row>
    <row r="3456" spans="1:4">
      <c r="A3456" s="1">
        <v>23285</v>
      </c>
      <c r="B3456">
        <v>72.22</v>
      </c>
      <c r="C3456">
        <f t="shared" si="126"/>
        <v>7.2524407252440165E-3</v>
      </c>
      <c r="D3456">
        <f t="shared" si="125"/>
        <v>0.7329517784259183</v>
      </c>
    </row>
    <row r="3457" spans="1:4">
      <c r="A3457" s="1">
        <v>23286</v>
      </c>
      <c r="B3457">
        <v>72.3</v>
      </c>
      <c r="C3457">
        <f t="shared" si="126"/>
        <v>1.1077263915812558E-3</v>
      </c>
      <c r="D3457">
        <f t="shared" si="125"/>
        <v>8.407203348101705E-2</v>
      </c>
    </row>
    <row r="3458" spans="1:4">
      <c r="A3458" s="1">
        <v>23287</v>
      </c>
      <c r="B3458">
        <v>72.83</v>
      </c>
      <c r="C3458">
        <f t="shared" si="126"/>
        <v>7.3305670816044416E-3</v>
      </c>
      <c r="D3458">
        <f t="shared" si="125"/>
        <v>0.74120189510114032</v>
      </c>
    </row>
    <row r="3459" spans="1:4">
      <c r="A3459" s="1">
        <v>23288</v>
      </c>
      <c r="B3459">
        <v>72.849999999999994</v>
      </c>
      <c r="C3459">
        <f t="shared" si="126"/>
        <v>2.7461211039401373E-4</v>
      </c>
      <c r="D3459">
        <f t="shared" ref="D3459:D3522" si="127">(C3459-avg)/sd</f>
        <v>-3.9045514230520799E-3</v>
      </c>
    </row>
    <row r="3460" spans="1:4">
      <c r="A3460" s="1">
        <v>23291</v>
      </c>
      <c r="B3460">
        <v>72.7</v>
      </c>
      <c r="C3460">
        <f t="shared" ref="C3460:C3523" si="128">(B3460-B3459)/B3459</f>
        <v>-2.059025394646417E-3</v>
      </c>
      <c r="D3460">
        <f t="shared" si="127"/>
        <v>-0.25033587871339197</v>
      </c>
    </row>
    <row r="3461" spans="1:4">
      <c r="A3461" s="1">
        <v>23292</v>
      </c>
      <c r="B3461">
        <v>72.599999999999994</v>
      </c>
      <c r="C3461">
        <f t="shared" si="128"/>
        <v>-1.3755158184320293E-3</v>
      </c>
      <c r="D3461">
        <f t="shared" si="127"/>
        <v>-0.17815749980134621</v>
      </c>
    </row>
    <row r="3462" spans="1:4">
      <c r="A3462" s="1">
        <v>23293</v>
      </c>
      <c r="B3462">
        <v>71.87</v>
      </c>
      <c r="C3462">
        <f t="shared" si="128"/>
        <v>-1.0055096418732642E-2</v>
      </c>
      <c r="D3462">
        <f t="shared" si="127"/>
        <v>-1.0947182608602954</v>
      </c>
    </row>
    <row r="3463" spans="1:4">
      <c r="A3463" s="1">
        <v>23294</v>
      </c>
      <c r="B3463">
        <v>72.2</v>
      </c>
      <c r="C3463">
        <f t="shared" si="128"/>
        <v>4.5916237651314638E-3</v>
      </c>
      <c r="D3463">
        <f t="shared" si="127"/>
        <v>0.45197041189366272</v>
      </c>
    </row>
    <row r="3464" spans="1:4">
      <c r="A3464" s="1">
        <v>23295</v>
      </c>
      <c r="B3464">
        <v>72.27</v>
      </c>
      <c r="C3464">
        <f t="shared" si="128"/>
        <v>9.6952908587248166E-4</v>
      </c>
      <c r="D3464">
        <f t="shared" si="127"/>
        <v>6.9478444973717135E-2</v>
      </c>
    </row>
    <row r="3465" spans="1:4">
      <c r="A3465" s="1">
        <v>23298</v>
      </c>
      <c r="B3465">
        <v>72.3</v>
      </c>
      <c r="C3465">
        <f t="shared" si="128"/>
        <v>4.1511000415111581E-4</v>
      </c>
      <c r="D3465">
        <f t="shared" si="127"/>
        <v>1.0931978400143391E-2</v>
      </c>
    </row>
    <row r="3466" spans="1:4">
      <c r="A3466" s="1">
        <v>23299</v>
      </c>
      <c r="B3466">
        <v>72.400000000000006</v>
      </c>
      <c r="C3466">
        <f t="shared" si="128"/>
        <v>1.3831258644537833E-3</v>
      </c>
      <c r="D3466">
        <f t="shared" si="127"/>
        <v>0.11315412420352672</v>
      </c>
    </row>
    <row r="3467" spans="1:4">
      <c r="A3467" s="1">
        <v>23300</v>
      </c>
      <c r="B3467">
        <v>72.97</v>
      </c>
      <c r="C3467">
        <f t="shared" si="128"/>
        <v>7.8729281767954858E-3</v>
      </c>
      <c r="D3467">
        <f t="shared" si="127"/>
        <v>0.7984750423958209</v>
      </c>
    </row>
    <row r="3468" spans="1:4">
      <c r="A3468" s="1">
        <v>23301</v>
      </c>
      <c r="B3468">
        <v>73.260000000000005</v>
      </c>
      <c r="C3468">
        <f t="shared" si="128"/>
        <v>3.974235987392165E-3</v>
      </c>
      <c r="D3468">
        <f t="shared" si="127"/>
        <v>0.38677447242469504</v>
      </c>
    </row>
    <row r="3469" spans="1:4">
      <c r="A3469" s="1">
        <v>23302</v>
      </c>
      <c r="B3469">
        <v>73.319999999999993</v>
      </c>
      <c r="C3469">
        <f t="shared" si="128"/>
        <v>8.1900081900065599E-4</v>
      </c>
      <c r="D3469">
        <f t="shared" si="127"/>
        <v>5.3582711159096338E-2</v>
      </c>
    </row>
    <row r="3470" spans="1:4">
      <c r="A3470" s="1">
        <v>23305</v>
      </c>
      <c r="B3470">
        <v>73.38</v>
      </c>
      <c r="C3470">
        <f t="shared" si="128"/>
        <v>8.1833060556467916E-4</v>
      </c>
      <c r="D3470">
        <f t="shared" si="127"/>
        <v>5.3511936848073788E-2</v>
      </c>
    </row>
    <row r="3471" spans="1:4">
      <c r="A3471" s="1">
        <v>23306</v>
      </c>
      <c r="B3471">
        <v>72.959999999999994</v>
      </c>
      <c r="C3471">
        <f t="shared" si="128"/>
        <v>-5.7236304170073821E-3</v>
      </c>
      <c r="D3471">
        <f t="shared" si="127"/>
        <v>-0.63731692341493928</v>
      </c>
    </row>
    <row r="3472" spans="1:4">
      <c r="A3472" s="1">
        <v>23307</v>
      </c>
      <c r="B3472">
        <v>73</v>
      </c>
      <c r="C3472">
        <f t="shared" si="128"/>
        <v>5.4824561403517345E-4</v>
      </c>
      <c r="D3472">
        <f t="shared" si="127"/>
        <v>2.4991053548907252E-2</v>
      </c>
    </row>
    <row r="3473" spans="1:4">
      <c r="A3473" s="1">
        <v>23308</v>
      </c>
      <c r="B3473">
        <v>73.28</v>
      </c>
      <c r="C3473">
        <f t="shared" si="128"/>
        <v>3.8356164383561799E-3</v>
      </c>
      <c r="D3473">
        <f t="shared" si="127"/>
        <v>0.37213629516556918</v>
      </c>
    </row>
    <row r="3474" spans="1:4">
      <c r="A3474" s="1">
        <v>23309</v>
      </c>
      <c r="B3474">
        <v>74.010000000000005</v>
      </c>
      <c r="C3474">
        <f t="shared" si="128"/>
        <v>9.9617903930131549E-3</v>
      </c>
      <c r="D3474">
        <f t="shared" si="127"/>
        <v>1.0190581823896405</v>
      </c>
    </row>
    <row r="3475" spans="1:4">
      <c r="A3475" s="1">
        <v>23312</v>
      </c>
      <c r="B3475">
        <v>74.48</v>
      </c>
      <c r="C3475">
        <f t="shared" si="128"/>
        <v>6.3504931765977412E-3</v>
      </c>
      <c r="D3475">
        <f t="shared" si="127"/>
        <v>0.63770642387573973</v>
      </c>
    </row>
    <row r="3476" spans="1:4">
      <c r="A3476" s="1">
        <v>23313</v>
      </c>
      <c r="B3476">
        <v>74.459999999999994</v>
      </c>
      <c r="C3476">
        <f t="shared" si="128"/>
        <v>-2.6852846401732318E-4</v>
      </c>
      <c r="D3476">
        <f t="shared" si="127"/>
        <v>-6.1260011458437673E-2</v>
      </c>
    </row>
    <row r="3477" spans="1:4">
      <c r="A3477" s="1">
        <v>23314</v>
      </c>
      <c r="B3477">
        <v>73.8</v>
      </c>
      <c r="C3477">
        <f t="shared" si="128"/>
        <v>-8.8638195004028565E-3</v>
      </c>
      <c r="D3477">
        <f t="shared" si="127"/>
        <v>-0.96891982321936954</v>
      </c>
    </row>
    <row r="3478" spans="1:4">
      <c r="A3478" s="1">
        <v>23315</v>
      </c>
      <c r="B3478">
        <v>74.010000000000005</v>
      </c>
      <c r="C3478">
        <f t="shared" si="128"/>
        <v>2.8455284552846606E-3</v>
      </c>
      <c r="D3478">
        <f t="shared" si="127"/>
        <v>0.26758334070047413</v>
      </c>
    </row>
    <row r="3479" spans="1:4">
      <c r="A3479" s="1">
        <v>23316</v>
      </c>
      <c r="B3479">
        <v>73.83</v>
      </c>
      <c r="C3479">
        <f t="shared" si="128"/>
        <v>-2.4321037697609352E-3</v>
      </c>
      <c r="D3479">
        <f t="shared" si="127"/>
        <v>-0.28973282830998376</v>
      </c>
    </row>
    <row r="3480" spans="1:4">
      <c r="A3480" s="1">
        <v>23319</v>
      </c>
      <c r="B3480">
        <v>73.45</v>
      </c>
      <c r="C3480">
        <f t="shared" si="128"/>
        <v>-5.1469592306649797E-3</v>
      </c>
      <c r="D3480">
        <f t="shared" si="127"/>
        <v>-0.57642064215724198</v>
      </c>
    </row>
    <row r="3481" spans="1:4">
      <c r="A3481" s="1">
        <v>23321</v>
      </c>
      <c r="B3481">
        <v>72.81</v>
      </c>
      <c r="C3481">
        <f t="shared" si="128"/>
        <v>-8.7134104833219948E-3</v>
      </c>
      <c r="D3481">
        <f t="shared" si="127"/>
        <v>-0.95303668214213955</v>
      </c>
    </row>
    <row r="3482" spans="1:4">
      <c r="A3482" s="1">
        <v>23322</v>
      </c>
      <c r="B3482">
        <v>73.06</v>
      </c>
      <c r="C3482">
        <f t="shared" si="128"/>
        <v>3.4335942864991073E-3</v>
      </c>
      <c r="D3482">
        <f t="shared" si="127"/>
        <v>0.32968289258343136</v>
      </c>
    </row>
    <row r="3483" spans="1:4">
      <c r="A3483" s="1">
        <v>23323</v>
      </c>
      <c r="B3483">
        <v>73.36</v>
      </c>
      <c r="C3483">
        <f t="shared" si="128"/>
        <v>4.1062140706268433E-3</v>
      </c>
      <c r="D3483">
        <f t="shared" si="127"/>
        <v>0.40071131315274688</v>
      </c>
    </row>
    <row r="3484" spans="1:4">
      <c r="A3484" s="1">
        <v>23326</v>
      </c>
      <c r="B3484">
        <v>73.52</v>
      </c>
      <c r="C3484">
        <f t="shared" si="128"/>
        <v>2.1810250817883943E-3</v>
      </c>
      <c r="D3484">
        <f t="shared" si="127"/>
        <v>0.1974120103349398</v>
      </c>
    </row>
    <row r="3485" spans="1:4">
      <c r="A3485" s="1">
        <v>23327</v>
      </c>
      <c r="B3485">
        <v>73.23</v>
      </c>
      <c r="C3485">
        <f t="shared" si="128"/>
        <v>-3.9445048966266598E-3</v>
      </c>
      <c r="D3485">
        <f t="shared" si="127"/>
        <v>-0.44944187321688289</v>
      </c>
    </row>
    <row r="3486" spans="1:4">
      <c r="A3486" s="1">
        <v>23328</v>
      </c>
      <c r="B3486">
        <v>73.290000000000006</v>
      </c>
      <c r="C3486">
        <f t="shared" si="128"/>
        <v>8.193363375666021E-4</v>
      </c>
      <c r="D3486">
        <f t="shared" si="127"/>
        <v>5.3618141805611932E-2</v>
      </c>
    </row>
    <row r="3487" spans="1:4">
      <c r="A3487" s="1">
        <v>23329</v>
      </c>
      <c r="B3487">
        <v>72.95</v>
      </c>
      <c r="C3487">
        <f t="shared" si="128"/>
        <v>-4.6391049256379229E-3</v>
      </c>
      <c r="D3487">
        <f t="shared" si="127"/>
        <v>-0.52279140017445058</v>
      </c>
    </row>
    <row r="3488" spans="1:4">
      <c r="A3488" s="1">
        <v>23330</v>
      </c>
      <c r="B3488">
        <v>72.349999999999994</v>
      </c>
      <c r="C3488">
        <f t="shared" si="128"/>
        <v>-8.2248115147362365E-3</v>
      </c>
      <c r="D3488">
        <f t="shared" si="127"/>
        <v>-0.90144079714234238</v>
      </c>
    </row>
    <row r="3489" spans="1:4">
      <c r="A3489" s="1">
        <v>23333</v>
      </c>
      <c r="B3489">
        <v>71.83</v>
      </c>
      <c r="C3489">
        <f t="shared" si="128"/>
        <v>-7.1872840359363654E-3</v>
      </c>
      <c r="D3489">
        <f t="shared" si="127"/>
        <v>-0.79187824805380158</v>
      </c>
    </row>
    <row r="3490" spans="1:4">
      <c r="A3490" s="1">
        <v>23334</v>
      </c>
      <c r="B3490">
        <v>71.900000000000006</v>
      </c>
      <c r="C3490">
        <f t="shared" si="128"/>
        <v>9.7452317973002072E-4</v>
      </c>
      <c r="D3490">
        <f t="shared" si="127"/>
        <v>7.0005819587498283E-2</v>
      </c>
    </row>
    <row r="3491" spans="1:4">
      <c r="A3491" s="1">
        <v>23335</v>
      </c>
      <c r="B3491">
        <v>72.56</v>
      </c>
      <c r="C3491">
        <f t="shared" si="128"/>
        <v>9.1794158553546116E-3</v>
      </c>
      <c r="D3491">
        <f t="shared" si="127"/>
        <v>0.93643969715492514</v>
      </c>
    </row>
    <row r="3492" spans="1:4">
      <c r="A3492" s="1">
        <v>23336</v>
      </c>
      <c r="B3492">
        <v>71.62</v>
      </c>
      <c r="C3492">
        <f t="shared" si="128"/>
        <v>-1.2954796030870972E-2</v>
      </c>
      <c r="D3492">
        <f t="shared" si="127"/>
        <v>-1.4009255542463144</v>
      </c>
    </row>
    <row r="3493" spans="1:4">
      <c r="A3493" s="1">
        <v>23337</v>
      </c>
      <c r="B3493">
        <v>69.61</v>
      </c>
      <c r="C3493">
        <f t="shared" si="128"/>
        <v>-2.8064786372521713E-2</v>
      </c>
      <c r="D3493">
        <f t="shared" si="127"/>
        <v>-2.9965353981893639</v>
      </c>
    </row>
    <row r="3494" spans="1:4">
      <c r="A3494" s="1">
        <v>23341</v>
      </c>
      <c r="B3494">
        <v>72.38</v>
      </c>
      <c r="C3494">
        <f t="shared" si="128"/>
        <v>3.9793133170521418E-2</v>
      </c>
      <c r="D3494">
        <f t="shared" si="127"/>
        <v>4.1692378395284182</v>
      </c>
    </row>
    <row r="3495" spans="1:4">
      <c r="A3495" s="1">
        <v>23342</v>
      </c>
      <c r="B3495">
        <v>72.25</v>
      </c>
      <c r="C3495">
        <f t="shared" si="128"/>
        <v>-1.7960762641613078E-3</v>
      </c>
      <c r="D3495">
        <f t="shared" si="127"/>
        <v>-0.22256853991491668</v>
      </c>
    </row>
    <row r="3496" spans="1:4">
      <c r="A3496" s="1">
        <v>23344</v>
      </c>
      <c r="B3496">
        <v>73.23</v>
      </c>
      <c r="C3496">
        <f t="shared" si="128"/>
        <v>1.3564013840830506E-2</v>
      </c>
      <c r="D3496">
        <f t="shared" si="127"/>
        <v>1.3994517540239098</v>
      </c>
    </row>
    <row r="3497" spans="1:4">
      <c r="A3497" s="1">
        <v>23347</v>
      </c>
      <c r="B3497">
        <v>73.66</v>
      </c>
      <c r="C3497">
        <f t="shared" si="128"/>
        <v>5.8719104192269918E-3</v>
      </c>
      <c r="D3497">
        <f t="shared" si="127"/>
        <v>0.58716824737557194</v>
      </c>
    </row>
    <row r="3498" spans="1:4">
      <c r="A3498" s="1">
        <v>23348</v>
      </c>
      <c r="B3498">
        <v>73.62</v>
      </c>
      <c r="C3498">
        <f t="shared" si="128"/>
        <v>-5.4303556882965036E-4</v>
      </c>
      <c r="D3498">
        <f t="shared" si="127"/>
        <v>-9.0247868417120819E-2</v>
      </c>
    </row>
    <row r="3499" spans="1:4">
      <c r="A3499" s="1">
        <v>23349</v>
      </c>
      <c r="B3499">
        <v>73.8</v>
      </c>
      <c r="C3499">
        <f t="shared" si="128"/>
        <v>2.4449877750610241E-3</v>
      </c>
      <c r="D3499">
        <f t="shared" si="127"/>
        <v>0.22528638101925053</v>
      </c>
    </row>
    <row r="3500" spans="1:4">
      <c r="A3500" s="1">
        <v>23350</v>
      </c>
      <c r="B3500">
        <v>74.28</v>
      </c>
      <c r="C3500">
        <f t="shared" si="128"/>
        <v>6.5040650406504603E-3</v>
      </c>
      <c r="D3500">
        <f t="shared" si="127"/>
        <v>0.65392356051809386</v>
      </c>
    </row>
    <row r="3501" spans="1:4">
      <c r="A3501" s="1">
        <v>23351</v>
      </c>
      <c r="B3501">
        <v>74</v>
      </c>
      <c r="C3501">
        <f t="shared" si="128"/>
        <v>-3.7695207323640433E-3</v>
      </c>
      <c r="D3501">
        <f t="shared" si="127"/>
        <v>-0.43096360495075797</v>
      </c>
    </row>
    <row r="3502" spans="1:4">
      <c r="A3502" s="1">
        <v>23354</v>
      </c>
      <c r="B3502">
        <v>73.959999999999994</v>
      </c>
      <c r="C3502">
        <f t="shared" si="128"/>
        <v>-5.4054054054062501E-4</v>
      </c>
      <c r="D3502">
        <f t="shared" si="127"/>
        <v>-8.9984394277901059E-2</v>
      </c>
    </row>
    <row r="3503" spans="1:4">
      <c r="A3503" s="1">
        <v>23355</v>
      </c>
      <c r="B3503">
        <v>73.989999999999995</v>
      </c>
      <c r="C3503">
        <f t="shared" si="128"/>
        <v>4.0562466197946375E-4</v>
      </c>
      <c r="D3503">
        <f t="shared" si="127"/>
        <v>9.9303294910413949E-3</v>
      </c>
    </row>
    <row r="3504" spans="1:4">
      <c r="A3504" s="1">
        <v>23356</v>
      </c>
      <c r="B3504">
        <v>73.900000000000006</v>
      </c>
      <c r="C3504">
        <f t="shared" si="128"/>
        <v>-1.2163805919717422E-3</v>
      </c>
      <c r="D3504">
        <f t="shared" si="127"/>
        <v>-0.16135287397983158</v>
      </c>
    </row>
    <row r="3505" spans="1:4">
      <c r="A3505" s="1">
        <v>23357</v>
      </c>
      <c r="B3505">
        <v>73.91</v>
      </c>
      <c r="C3505">
        <f t="shared" si="128"/>
        <v>1.3531799729351698E-4</v>
      </c>
      <c r="D3505">
        <f t="shared" si="127"/>
        <v>-1.8613962418094956E-2</v>
      </c>
    </row>
    <row r="3506" spans="1:4">
      <c r="A3506" s="1">
        <v>23358</v>
      </c>
      <c r="B3506">
        <v>74.06</v>
      </c>
      <c r="C3506">
        <f t="shared" si="128"/>
        <v>2.0294953321608128E-3</v>
      </c>
      <c r="D3506">
        <f t="shared" si="127"/>
        <v>0.18141052028173171</v>
      </c>
    </row>
    <row r="3507" spans="1:4">
      <c r="A3507" s="1">
        <v>23361</v>
      </c>
      <c r="B3507">
        <v>74.3</v>
      </c>
      <c r="C3507">
        <f t="shared" si="128"/>
        <v>3.240615716986158E-3</v>
      </c>
      <c r="D3507">
        <f t="shared" si="127"/>
        <v>0.30930442123946689</v>
      </c>
    </row>
    <row r="3508" spans="1:4">
      <c r="A3508" s="1">
        <v>23362</v>
      </c>
      <c r="B3508">
        <v>74.739999999999995</v>
      </c>
      <c r="C3508">
        <f t="shared" si="128"/>
        <v>5.9219380888290412E-3</v>
      </c>
      <c r="D3508">
        <f t="shared" si="127"/>
        <v>0.59245115228031719</v>
      </c>
    </row>
    <row r="3509" spans="1:4">
      <c r="A3509" s="1">
        <v>23363</v>
      </c>
      <c r="B3509">
        <v>74.63</v>
      </c>
      <c r="C3509">
        <f t="shared" si="128"/>
        <v>-1.4717687985014642E-3</v>
      </c>
      <c r="D3509">
        <f t="shared" si="127"/>
        <v>-0.18832178177870093</v>
      </c>
    </row>
    <row r="3510" spans="1:4">
      <c r="A3510" s="1">
        <v>23364</v>
      </c>
      <c r="B3510">
        <v>74.400000000000006</v>
      </c>
      <c r="C3510">
        <f t="shared" si="128"/>
        <v>-3.0818705614362829E-3</v>
      </c>
      <c r="D3510">
        <f t="shared" si="127"/>
        <v>-0.35834798064443663</v>
      </c>
    </row>
    <row r="3511" spans="1:4">
      <c r="A3511" s="1">
        <v>23365</v>
      </c>
      <c r="B3511">
        <v>74.28</v>
      </c>
      <c r="C3511">
        <f t="shared" si="128"/>
        <v>-1.6129032258065125E-3</v>
      </c>
      <c r="D3511">
        <f t="shared" si="127"/>
        <v>-0.20322552932819124</v>
      </c>
    </row>
    <row r="3512" spans="1:4">
      <c r="A3512" s="1">
        <v>23368</v>
      </c>
      <c r="B3512">
        <v>73.81</v>
      </c>
      <c r="C3512">
        <f t="shared" si="128"/>
        <v>-6.3274098007538885E-3</v>
      </c>
      <c r="D3512">
        <f t="shared" si="127"/>
        <v>-0.70107582110398603</v>
      </c>
    </row>
    <row r="3513" spans="1:4">
      <c r="A3513" s="1">
        <v>23369</v>
      </c>
      <c r="B3513">
        <v>73.97</v>
      </c>
      <c r="C3513">
        <f t="shared" si="128"/>
        <v>2.1677279501422109E-3</v>
      </c>
      <c r="D3513">
        <f t="shared" si="127"/>
        <v>0.1960078377530175</v>
      </c>
    </row>
    <row r="3514" spans="1:4">
      <c r="A3514" s="1">
        <v>23371</v>
      </c>
      <c r="B3514">
        <v>74.319999999999993</v>
      </c>
      <c r="C3514">
        <f t="shared" si="128"/>
        <v>4.7316479653912984E-3</v>
      </c>
      <c r="D3514">
        <f t="shared" si="127"/>
        <v>0.46675691984456297</v>
      </c>
    </row>
    <row r="3515" spans="1:4">
      <c r="A3515" s="1">
        <v>23372</v>
      </c>
      <c r="B3515">
        <v>74.44</v>
      </c>
      <c r="C3515">
        <f t="shared" si="128"/>
        <v>1.6146393972013531E-3</v>
      </c>
      <c r="D3515">
        <f t="shared" si="127"/>
        <v>0.13760187456639669</v>
      </c>
    </row>
    <row r="3516" spans="1:4">
      <c r="A3516" s="1">
        <v>23375</v>
      </c>
      <c r="B3516">
        <v>74.56</v>
      </c>
      <c r="C3516">
        <f t="shared" si="128"/>
        <v>1.6120365394949564E-3</v>
      </c>
      <c r="D3516">
        <f t="shared" si="127"/>
        <v>0.13732701367735553</v>
      </c>
    </row>
    <row r="3517" spans="1:4">
      <c r="A3517" s="1">
        <v>23376</v>
      </c>
      <c r="B3517">
        <v>75.02</v>
      </c>
      <c r="C3517">
        <f t="shared" si="128"/>
        <v>6.1695278969956238E-3</v>
      </c>
      <c r="D3517">
        <f t="shared" si="127"/>
        <v>0.61859655186284346</v>
      </c>
    </row>
    <row r="3518" spans="1:4">
      <c r="A3518" s="1">
        <v>23378</v>
      </c>
      <c r="B3518">
        <v>75.430000000000007</v>
      </c>
      <c r="C3518">
        <f t="shared" si="128"/>
        <v>5.465209277526137E-3</v>
      </c>
      <c r="D3518">
        <f t="shared" si="127"/>
        <v>0.54422074505639673</v>
      </c>
    </row>
    <row r="3519" spans="1:4">
      <c r="A3519" s="1">
        <v>23379</v>
      </c>
      <c r="B3519">
        <v>75.5</v>
      </c>
      <c r="C3519">
        <f t="shared" si="128"/>
        <v>9.2801272703159452E-4</v>
      </c>
      <c r="D3519">
        <f t="shared" si="127"/>
        <v>6.509433159221549E-2</v>
      </c>
    </row>
    <row r="3520" spans="1:4">
      <c r="A3520" s="1">
        <v>23382</v>
      </c>
      <c r="B3520">
        <v>75.67</v>
      </c>
      <c r="C3520">
        <f t="shared" si="128"/>
        <v>2.2516556291390954E-3</v>
      </c>
      <c r="D3520">
        <f t="shared" si="127"/>
        <v>0.20487057212668427</v>
      </c>
    </row>
    <row r="3521" spans="1:4">
      <c r="A3521" s="1">
        <v>23383</v>
      </c>
      <c r="B3521">
        <v>75.69</v>
      </c>
      <c r="C3521">
        <f t="shared" si="128"/>
        <v>2.643055372009518E-4</v>
      </c>
      <c r="D3521">
        <f t="shared" si="127"/>
        <v>-4.9929220488649714E-3</v>
      </c>
    </row>
    <row r="3522" spans="1:4">
      <c r="A3522" s="1">
        <v>23384</v>
      </c>
      <c r="B3522">
        <v>76</v>
      </c>
      <c r="C3522">
        <f t="shared" si="128"/>
        <v>4.0956533227639357E-3</v>
      </c>
      <c r="D3522">
        <f t="shared" si="127"/>
        <v>0.39959610176819643</v>
      </c>
    </row>
    <row r="3523" spans="1:4">
      <c r="A3523" s="1">
        <v>23385</v>
      </c>
      <c r="B3523">
        <v>76.28</v>
      </c>
      <c r="C3523">
        <f t="shared" si="128"/>
        <v>3.6842105263158046E-3</v>
      </c>
      <c r="D3523">
        <f t="shared" ref="D3523:D3586" si="129">(C3523-avg)/sd</f>
        <v>0.35614788231947558</v>
      </c>
    </row>
    <row r="3524" spans="1:4">
      <c r="A3524" s="1">
        <v>23386</v>
      </c>
      <c r="B3524">
        <v>76.239999999999995</v>
      </c>
      <c r="C3524">
        <f t="shared" ref="C3524:C3587" si="130">(B3524-B3523)/B3523</f>
        <v>-5.2438384897753347E-4</v>
      </c>
      <c r="D3524">
        <f t="shared" si="129"/>
        <v>-8.8278253140764901E-2</v>
      </c>
    </row>
    <row r="3525" spans="1:4">
      <c r="A3525" s="1">
        <v>23389</v>
      </c>
      <c r="B3525">
        <v>76.22</v>
      </c>
      <c r="C3525">
        <f t="shared" si="130"/>
        <v>-2.6232948583415557E-4</v>
      </c>
      <c r="D3525">
        <f t="shared" si="129"/>
        <v>-6.0605401469430241E-2</v>
      </c>
    </row>
    <row r="3526" spans="1:4">
      <c r="A3526" s="1">
        <v>23390</v>
      </c>
      <c r="B3526">
        <v>76.36</v>
      </c>
      <c r="C3526">
        <f t="shared" si="130"/>
        <v>1.8367882445552424E-3</v>
      </c>
      <c r="D3526">
        <f t="shared" si="129"/>
        <v>0.16106071733490523</v>
      </c>
    </row>
    <row r="3527" spans="1:4">
      <c r="A3527" s="1">
        <v>23391</v>
      </c>
      <c r="B3527">
        <v>76.64</v>
      </c>
      <c r="C3527">
        <f t="shared" si="130"/>
        <v>3.6668412781561176E-3</v>
      </c>
      <c r="D3527">
        <f t="shared" si="129"/>
        <v>0.35431369561790693</v>
      </c>
    </row>
    <row r="3528" spans="1:4">
      <c r="A3528" s="1">
        <v>23392</v>
      </c>
      <c r="B3528">
        <v>76.55</v>
      </c>
      <c r="C3528">
        <f t="shared" si="130"/>
        <v>-1.1743215031315684E-3</v>
      </c>
      <c r="D3528">
        <f t="shared" si="129"/>
        <v>-0.15691144849488817</v>
      </c>
    </row>
    <row r="3529" spans="1:4">
      <c r="A3529" s="1">
        <v>23393</v>
      </c>
      <c r="B3529">
        <v>76.56</v>
      </c>
      <c r="C3529">
        <f t="shared" si="130"/>
        <v>1.3063357282828368E-4</v>
      </c>
      <c r="D3529">
        <f t="shared" si="129"/>
        <v>-1.9108636049310349E-2</v>
      </c>
    </row>
    <row r="3530" spans="1:4">
      <c r="A3530" s="1">
        <v>23396</v>
      </c>
      <c r="B3530">
        <v>76.41</v>
      </c>
      <c r="C3530">
        <f t="shared" si="130"/>
        <v>-1.9592476489028953E-3</v>
      </c>
      <c r="D3530">
        <f t="shared" si="129"/>
        <v>-0.23979938267897974</v>
      </c>
    </row>
    <row r="3531" spans="1:4">
      <c r="A3531" s="1">
        <v>23397</v>
      </c>
      <c r="B3531">
        <v>76.62</v>
      </c>
      <c r="C3531">
        <f t="shared" si="130"/>
        <v>2.7483313702396017E-3</v>
      </c>
      <c r="D3531">
        <f t="shared" si="129"/>
        <v>0.2573193615586104</v>
      </c>
    </row>
    <row r="3532" spans="1:4">
      <c r="A3532" s="1">
        <v>23398</v>
      </c>
      <c r="B3532">
        <v>77.03</v>
      </c>
      <c r="C3532">
        <f t="shared" si="130"/>
        <v>5.3510832680761754E-3</v>
      </c>
      <c r="D3532">
        <f t="shared" si="129"/>
        <v>0.53216907725179619</v>
      </c>
    </row>
    <row r="3533" spans="1:4">
      <c r="A3533" s="1">
        <v>23399</v>
      </c>
      <c r="B3533">
        <v>77.09</v>
      </c>
      <c r="C3533">
        <f t="shared" si="130"/>
        <v>7.7891730494615444E-4</v>
      </c>
      <c r="D3533">
        <f t="shared" si="129"/>
        <v>4.9349905699989399E-2</v>
      </c>
    </row>
    <row r="3534" spans="1:4">
      <c r="A3534" s="1">
        <v>23400</v>
      </c>
      <c r="B3534">
        <v>77.11</v>
      </c>
      <c r="C3534">
        <f t="shared" si="130"/>
        <v>2.5943702166293967E-4</v>
      </c>
      <c r="D3534">
        <f t="shared" si="129"/>
        <v>-5.5070356347902139E-3</v>
      </c>
    </row>
    <row r="3535" spans="1:4">
      <c r="A3535" s="1">
        <v>23403</v>
      </c>
      <c r="B3535">
        <v>77.08</v>
      </c>
      <c r="C3535">
        <f t="shared" si="130"/>
        <v>-3.8905459732850649E-4</v>
      </c>
      <c r="D3535">
        <f t="shared" si="129"/>
        <v>-7.3987530167275342E-2</v>
      </c>
    </row>
    <row r="3536" spans="1:4">
      <c r="A3536" s="1">
        <v>23404</v>
      </c>
      <c r="B3536">
        <v>77.099999999999994</v>
      </c>
      <c r="C3536">
        <f t="shared" si="130"/>
        <v>2.5947067981312949E-4</v>
      </c>
      <c r="D3536">
        <f t="shared" si="129"/>
        <v>-5.50348134557113E-3</v>
      </c>
    </row>
    <row r="3537" spans="1:4">
      <c r="A3537" s="1">
        <v>23405</v>
      </c>
      <c r="B3537">
        <v>76.63</v>
      </c>
      <c r="C3537">
        <f t="shared" si="130"/>
        <v>-6.0959792477302058E-3</v>
      </c>
      <c r="D3537">
        <f t="shared" si="129"/>
        <v>-0.67663683337175229</v>
      </c>
    </row>
    <row r="3538" spans="1:4">
      <c r="A3538" s="1">
        <v>23406</v>
      </c>
      <c r="B3538">
        <v>76.7</v>
      </c>
      <c r="C3538">
        <f t="shared" si="130"/>
        <v>9.1348036017235281E-4</v>
      </c>
      <c r="D3538">
        <f t="shared" si="129"/>
        <v>6.3559718591671074E-2</v>
      </c>
    </row>
    <row r="3539" spans="1:4">
      <c r="A3539" s="1">
        <v>23407</v>
      </c>
      <c r="B3539">
        <v>77.040000000000006</v>
      </c>
      <c r="C3539">
        <f t="shared" si="130"/>
        <v>4.432855280312952E-3</v>
      </c>
      <c r="D3539">
        <f t="shared" si="129"/>
        <v>0.43520451386485803</v>
      </c>
    </row>
    <row r="3540" spans="1:4">
      <c r="A3540" s="1">
        <v>23410</v>
      </c>
      <c r="B3540">
        <v>76.97</v>
      </c>
      <c r="C3540">
        <f t="shared" si="130"/>
        <v>-9.0861889927320075E-4</v>
      </c>
      <c r="D3540">
        <f t="shared" si="129"/>
        <v>-0.12885334384414784</v>
      </c>
    </row>
    <row r="3541" spans="1:4">
      <c r="A3541" s="1">
        <v>23411</v>
      </c>
      <c r="B3541">
        <v>76.88</v>
      </c>
      <c r="C3541">
        <f t="shared" si="130"/>
        <v>-1.1692867350916385E-3</v>
      </c>
      <c r="D3541">
        <f t="shared" si="129"/>
        <v>-0.15637977870127237</v>
      </c>
    </row>
    <row r="3542" spans="1:4">
      <c r="A3542" s="1">
        <v>23412</v>
      </c>
      <c r="B3542">
        <v>76.75</v>
      </c>
      <c r="C3542">
        <f t="shared" si="130"/>
        <v>-1.6909469302808984E-3</v>
      </c>
      <c r="D3542">
        <f t="shared" si="129"/>
        <v>-0.2114669179923423</v>
      </c>
    </row>
    <row r="3543" spans="1:4">
      <c r="A3543" s="1">
        <v>23413</v>
      </c>
      <c r="B3543">
        <v>76.930000000000007</v>
      </c>
      <c r="C3543">
        <f t="shared" si="130"/>
        <v>2.345276872964258E-3</v>
      </c>
      <c r="D3543">
        <f t="shared" si="129"/>
        <v>0.21475694365121448</v>
      </c>
    </row>
    <row r="3544" spans="1:4">
      <c r="A3544" s="1">
        <v>23414</v>
      </c>
      <c r="B3544">
        <v>77.180000000000007</v>
      </c>
      <c r="C3544">
        <f t="shared" si="130"/>
        <v>3.2497075263226306E-3</v>
      </c>
      <c r="D3544">
        <f t="shared" si="129"/>
        <v>0.31026451321494225</v>
      </c>
    </row>
    <row r="3545" spans="1:4">
      <c r="A3545" s="1">
        <v>23417</v>
      </c>
      <c r="B3545">
        <v>77.05</v>
      </c>
      <c r="C3545">
        <f t="shared" si="130"/>
        <v>-1.6843741902048412E-3</v>
      </c>
      <c r="D3545">
        <f t="shared" si="129"/>
        <v>-0.21077283887449358</v>
      </c>
    </row>
    <row r="3546" spans="1:4">
      <c r="A3546" s="1">
        <v>23418</v>
      </c>
      <c r="B3546">
        <v>77.33</v>
      </c>
      <c r="C3546">
        <f t="shared" si="130"/>
        <v>3.6340038935756152E-3</v>
      </c>
      <c r="D3546">
        <f t="shared" si="129"/>
        <v>0.35084607896817527</v>
      </c>
    </row>
    <row r="3547" spans="1:4">
      <c r="A3547" s="1">
        <v>23419</v>
      </c>
      <c r="B3547">
        <v>77.569999999999993</v>
      </c>
      <c r="C3547">
        <f t="shared" si="130"/>
        <v>3.1035820509504059E-3</v>
      </c>
      <c r="D3547">
        <f t="shared" si="129"/>
        <v>0.29483371268609776</v>
      </c>
    </row>
    <row r="3548" spans="1:4">
      <c r="A3548" s="1">
        <v>23420</v>
      </c>
      <c r="B3548">
        <v>77.52</v>
      </c>
      <c r="C3548">
        <f t="shared" si="130"/>
        <v>-6.4457908985428856E-4</v>
      </c>
      <c r="D3548">
        <f t="shared" si="129"/>
        <v>-0.10097082972100277</v>
      </c>
    </row>
    <row r="3549" spans="1:4">
      <c r="A3549" s="1">
        <v>23421</v>
      </c>
      <c r="B3549">
        <v>77.48</v>
      </c>
      <c r="C3549">
        <f t="shared" si="130"/>
        <v>-5.1599587203292113E-4</v>
      </c>
      <c r="D3549">
        <f t="shared" si="129"/>
        <v>-8.7392485626625729E-2</v>
      </c>
    </row>
    <row r="3550" spans="1:4">
      <c r="A3550" s="1">
        <v>23424</v>
      </c>
      <c r="B3550">
        <v>77.459999999999994</v>
      </c>
      <c r="C3550">
        <f t="shared" si="130"/>
        <v>-2.5813113061448411E-4</v>
      </c>
      <c r="D3550">
        <f t="shared" si="129"/>
        <v>-6.0162056585323212E-2</v>
      </c>
    </row>
    <row r="3551" spans="1:4">
      <c r="A3551" s="1">
        <v>23425</v>
      </c>
      <c r="B3551">
        <v>77.47</v>
      </c>
      <c r="C3551">
        <f t="shared" si="130"/>
        <v>1.290988897496142E-4</v>
      </c>
      <c r="D3551">
        <f t="shared" si="129"/>
        <v>-1.9270698060753721E-2</v>
      </c>
    </row>
    <row r="3552" spans="1:4">
      <c r="A3552" s="1">
        <v>23426</v>
      </c>
      <c r="B3552">
        <v>77.55</v>
      </c>
      <c r="C3552">
        <f t="shared" si="130"/>
        <v>1.0326578030205021E-3</v>
      </c>
      <c r="D3552">
        <f t="shared" si="129"/>
        <v>7.6144816046054525E-2</v>
      </c>
    </row>
    <row r="3553" spans="1:4">
      <c r="A3553" s="1">
        <v>23427</v>
      </c>
      <c r="B3553">
        <v>77.62</v>
      </c>
      <c r="C3553">
        <f t="shared" si="130"/>
        <v>9.0264345583504057E-4</v>
      </c>
      <c r="D3553">
        <f t="shared" si="129"/>
        <v>6.241534517729367E-2</v>
      </c>
    </row>
    <row r="3554" spans="1:4">
      <c r="A3554" s="1">
        <v>23431</v>
      </c>
      <c r="B3554">
        <v>77.680000000000007</v>
      </c>
      <c r="C3554">
        <f t="shared" si="130"/>
        <v>7.7299665034787773E-4</v>
      </c>
      <c r="D3554">
        <f t="shared" si="129"/>
        <v>4.872468658693966E-2</v>
      </c>
    </row>
    <row r="3555" spans="1:4">
      <c r="A3555" s="1">
        <v>23432</v>
      </c>
      <c r="B3555">
        <v>77.680000000000007</v>
      </c>
      <c r="C3555">
        <f t="shared" si="130"/>
        <v>0</v>
      </c>
      <c r="D3555">
        <f t="shared" si="129"/>
        <v>-3.29034969354682E-2</v>
      </c>
    </row>
    <row r="3556" spans="1:4">
      <c r="A3556" s="1">
        <v>23433</v>
      </c>
      <c r="B3556">
        <v>77.87</v>
      </c>
      <c r="C3556">
        <f t="shared" si="130"/>
        <v>2.4459320288362217E-3</v>
      </c>
      <c r="D3556">
        <f t="shared" si="129"/>
        <v>0.22538609389694395</v>
      </c>
    </row>
    <row r="3557" spans="1:4">
      <c r="A3557" s="1">
        <v>23434</v>
      </c>
      <c r="B3557">
        <v>77.62</v>
      </c>
      <c r="C3557">
        <f t="shared" si="130"/>
        <v>-3.2104790034673172E-3</v>
      </c>
      <c r="D3557">
        <f t="shared" si="129"/>
        <v>-0.37192898840678035</v>
      </c>
    </row>
    <row r="3558" spans="1:4">
      <c r="A3558" s="1">
        <v>23435</v>
      </c>
      <c r="B3558">
        <v>77.8</v>
      </c>
      <c r="C3558">
        <f t="shared" si="130"/>
        <v>2.3189899510434502E-3</v>
      </c>
      <c r="D3558">
        <f t="shared" si="129"/>
        <v>0.21198105363173605</v>
      </c>
    </row>
    <row r="3559" spans="1:4">
      <c r="A3559" s="1">
        <v>23438</v>
      </c>
      <c r="B3559">
        <v>77.97</v>
      </c>
      <c r="C3559">
        <f t="shared" si="130"/>
        <v>2.185089974293081E-3</v>
      </c>
      <c r="D3559">
        <f t="shared" si="129"/>
        <v>0.19784126160171062</v>
      </c>
    </row>
    <row r="3560" spans="1:4">
      <c r="A3560" s="1">
        <v>23439</v>
      </c>
      <c r="B3560">
        <v>78.22</v>
      </c>
      <c r="C3560">
        <f t="shared" si="130"/>
        <v>3.2063614210593818E-3</v>
      </c>
      <c r="D3560">
        <f t="shared" si="129"/>
        <v>0.30568717923320021</v>
      </c>
    </row>
    <row r="3561" spans="1:4">
      <c r="A3561" s="1">
        <v>23440</v>
      </c>
      <c r="B3561">
        <v>78.069999999999993</v>
      </c>
      <c r="C3561">
        <f t="shared" si="130"/>
        <v>-1.9176681155715378E-3</v>
      </c>
      <c r="D3561">
        <f t="shared" si="129"/>
        <v>-0.23540859809275849</v>
      </c>
    </row>
    <row r="3562" spans="1:4">
      <c r="A3562" s="1">
        <v>23441</v>
      </c>
      <c r="B3562">
        <v>78.06</v>
      </c>
      <c r="C3562">
        <f t="shared" si="130"/>
        <v>-1.2809017548342394E-4</v>
      </c>
      <c r="D3562">
        <f t="shared" si="129"/>
        <v>-4.642977592655162E-2</v>
      </c>
    </row>
    <row r="3563" spans="1:4">
      <c r="A3563" s="1">
        <v>23442</v>
      </c>
      <c r="B3563">
        <v>78.31</v>
      </c>
      <c r="C3563">
        <f t="shared" si="130"/>
        <v>3.2026646169613119E-3</v>
      </c>
      <c r="D3563">
        <f t="shared" si="129"/>
        <v>0.30529679797704884</v>
      </c>
    </row>
    <row r="3564" spans="1:4">
      <c r="A3564" s="1">
        <v>23445</v>
      </c>
      <c r="B3564">
        <v>78.33</v>
      </c>
      <c r="C3564">
        <f t="shared" si="130"/>
        <v>2.5539522410925834E-4</v>
      </c>
      <c r="D3564">
        <f t="shared" si="129"/>
        <v>-5.933848082585221E-3</v>
      </c>
    </row>
    <row r="3565" spans="1:4">
      <c r="A3565" s="1">
        <v>23446</v>
      </c>
      <c r="B3565">
        <v>78.59</v>
      </c>
      <c r="C3565">
        <f t="shared" si="130"/>
        <v>3.3192901825610252E-3</v>
      </c>
      <c r="D3565">
        <f t="shared" si="129"/>
        <v>0.31761241806142265</v>
      </c>
    </row>
    <row r="3566" spans="1:4">
      <c r="A3566" s="1">
        <v>23447</v>
      </c>
      <c r="B3566">
        <v>78.95</v>
      </c>
      <c r="C3566">
        <f t="shared" si="130"/>
        <v>4.5807354625270313E-3</v>
      </c>
      <c r="D3566">
        <f t="shared" si="129"/>
        <v>0.4508206108397485</v>
      </c>
    </row>
    <row r="3567" spans="1:4">
      <c r="A3567" s="1">
        <v>23448</v>
      </c>
      <c r="B3567">
        <v>79.08</v>
      </c>
      <c r="C3567">
        <f t="shared" si="130"/>
        <v>1.6466117796072887E-3</v>
      </c>
      <c r="D3567">
        <f t="shared" si="129"/>
        <v>0.14097814728052269</v>
      </c>
    </row>
    <row r="3568" spans="1:4">
      <c r="A3568" s="1">
        <v>23449</v>
      </c>
      <c r="B3568">
        <v>79.14</v>
      </c>
      <c r="C3568">
        <f t="shared" si="130"/>
        <v>7.587253414264324E-4</v>
      </c>
      <c r="D3568">
        <f t="shared" si="129"/>
        <v>4.7217641215888638E-2</v>
      </c>
    </row>
    <row r="3569" spans="1:4">
      <c r="A3569" s="1">
        <v>23452</v>
      </c>
      <c r="B3569">
        <v>79.14</v>
      </c>
      <c r="C3569">
        <f t="shared" si="130"/>
        <v>0</v>
      </c>
      <c r="D3569">
        <f t="shared" si="129"/>
        <v>-3.29034969354682E-2</v>
      </c>
    </row>
    <row r="3570" spans="1:4">
      <c r="A3570" s="1">
        <v>23453</v>
      </c>
      <c r="B3570">
        <v>79.319999999999993</v>
      </c>
      <c r="C3570">
        <f t="shared" si="130"/>
        <v>2.2744503411674579E-3</v>
      </c>
      <c r="D3570">
        <f t="shared" si="129"/>
        <v>0.20727768596858029</v>
      </c>
    </row>
    <row r="3571" spans="1:4">
      <c r="A3571" s="1">
        <v>23454</v>
      </c>
      <c r="B3571">
        <v>79.38</v>
      </c>
      <c r="C3571">
        <f t="shared" si="130"/>
        <v>7.5642965204238881E-4</v>
      </c>
      <c r="D3571">
        <f t="shared" si="129"/>
        <v>4.6975217197276369E-2</v>
      </c>
    </row>
    <row r="3572" spans="1:4">
      <c r="A3572" s="1">
        <v>23455</v>
      </c>
      <c r="B3572">
        <v>79.3</v>
      </c>
      <c r="C3572">
        <f t="shared" si="130"/>
        <v>-1.0078105316200341E-3</v>
      </c>
      <c r="D3572">
        <f t="shared" si="129"/>
        <v>-0.1393279465030994</v>
      </c>
    </row>
    <row r="3573" spans="1:4">
      <c r="A3573" s="1">
        <v>23456</v>
      </c>
      <c r="B3573">
        <v>78.92</v>
      </c>
      <c r="C3573">
        <f t="shared" si="130"/>
        <v>-4.7919293820932593E-3</v>
      </c>
      <c r="D3573">
        <f t="shared" si="129"/>
        <v>-0.53892961082857738</v>
      </c>
    </row>
    <row r="3574" spans="1:4">
      <c r="A3574" s="1">
        <v>23459</v>
      </c>
      <c r="B3574">
        <v>78.930000000000007</v>
      </c>
      <c r="C3574">
        <f t="shared" si="130"/>
        <v>1.2671059300564007E-4</v>
      </c>
      <c r="D3574">
        <f t="shared" si="129"/>
        <v>-1.9522901385095881E-2</v>
      </c>
    </row>
    <row r="3575" spans="1:4">
      <c r="A3575" s="1">
        <v>23460</v>
      </c>
      <c r="B3575">
        <v>78.790000000000006</v>
      </c>
      <c r="C3575">
        <f t="shared" si="130"/>
        <v>-1.7737235525148937E-3</v>
      </c>
      <c r="D3575">
        <f t="shared" si="129"/>
        <v>-0.22020810116311118</v>
      </c>
    </row>
    <row r="3576" spans="1:4">
      <c r="A3576" s="1">
        <v>23461</v>
      </c>
      <c r="B3576">
        <v>78.98</v>
      </c>
      <c r="C3576">
        <f t="shared" si="130"/>
        <v>2.4114735372508913E-3</v>
      </c>
      <c r="D3576">
        <f t="shared" si="129"/>
        <v>0.22174728889854345</v>
      </c>
    </row>
    <row r="3577" spans="1:4">
      <c r="A3577" s="1">
        <v>23462</v>
      </c>
      <c r="B3577">
        <v>79.19</v>
      </c>
      <c r="C3577">
        <f t="shared" si="130"/>
        <v>2.6589009875917159E-3</v>
      </c>
      <c r="D3577">
        <f t="shared" si="129"/>
        <v>0.24787554354985775</v>
      </c>
    </row>
    <row r="3578" spans="1:4">
      <c r="A3578" s="1">
        <v>23466</v>
      </c>
      <c r="B3578">
        <v>79.14</v>
      </c>
      <c r="C3578">
        <f t="shared" si="130"/>
        <v>-6.3139285263287233E-4</v>
      </c>
      <c r="D3578">
        <f t="shared" si="129"/>
        <v>-9.9578367552641017E-2</v>
      </c>
    </row>
    <row r="3579" spans="1:4">
      <c r="A3579" s="1">
        <v>23467</v>
      </c>
      <c r="B3579">
        <v>78.98</v>
      </c>
      <c r="C3579">
        <f t="shared" si="130"/>
        <v>-2.0217336365933357E-3</v>
      </c>
      <c r="D3579">
        <f t="shared" si="129"/>
        <v>-0.24639788173907104</v>
      </c>
    </row>
    <row r="3580" spans="1:4">
      <c r="A3580" s="1">
        <v>23468</v>
      </c>
      <c r="B3580">
        <v>79.239999999999995</v>
      </c>
      <c r="C3580">
        <f t="shared" si="130"/>
        <v>3.2919726513040122E-3</v>
      </c>
      <c r="D3580">
        <f t="shared" si="129"/>
        <v>0.31472769604636214</v>
      </c>
    </row>
    <row r="3581" spans="1:4">
      <c r="A3581" s="1">
        <v>23469</v>
      </c>
      <c r="B3581">
        <v>79.7</v>
      </c>
      <c r="C3581">
        <f t="shared" si="130"/>
        <v>5.8051489146896517E-3</v>
      </c>
      <c r="D3581">
        <f t="shared" si="129"/>
        <v>0.58011825518976678</v>
      </c>
    </row>
    <row r="3582" spans="1:4">
      <c r="A3582" s="1">
        <v>23470</v>
      </c>
      <c r="B3582">
        <v>79.94</v>
      </c>
      <c r="C3582">
        <f t="shared" si="130"/>
        <v>3.0112923462985554E-3</v>
      </c>
      <c r="D3582">
        <f t="shared" si="129"/>
        <v>0.28508795124565717</v>
      </c>
    </row>
    <row r="3583" spans="1:4">
      <c r="A3583" s="1">
        <v>23473</v>
      </c>
      <c r="B3583">
        <v>80.02</v>
      </c>
      <c r="C3583">
        <f t="shared" si="130"/>
        <v>1.0007505629221704E-3</v>
      </c>
      <c r="D3583">
        <f t="shared" si="129"/>
        <v>7.2775422337468573E-2</v>
      </c>
    </row>
    <row r="3584" spans="1:4">
      <c r="A3584" s="1">
        <v>23474</v>
      </c>
      <c r="B3584">
        <v>79.739999999999995</v>
      </c>
      <c r="C3584">
        <f t="shared" si="130"/>
        <v>-3.4991252186953405E-3</v>
      </c>
      <c r="D3584">
        <f t="shared" si="129"/>
        <v>-0.40240993061924385</v>
      </c>
    </row>
    <row r="3585" spans="1:4">
      <c r="A3585" s="1">
        <v>23475</v>
      </c>
      <c r="B3585">
        <v>79.75</v>
      </c>
      <c r="C3585">
        <f t="shared" si="130"/>
        <v>1.2540757461757107E-4</v>
      </c>
      <c r="D3585">
        <f t="shared" si="129"/>
        <v>-1.9660499683958499E-2</v>
      </c>
    </row>
    <row r="3586" spans="1:4">
      <c r="A3586" s="1">
        <v>23476</v>
      </c>
      <c r="B3586">
        <v>79.7</v>
      </c>
      <c r="C3586">
        <f t="shared" si="130"/>
        <v>-6.2695924764886719E-4</v>
      </c>
      <c r="D3586">
        <f t="shared" si="129"/>
        <v>-9.911018037338562E-2</v>
      </c>
    </row>
    <row r="3587" spans="1:4">
      <c r="A3587" s="1">
        <v>23477</v>
      </c>
      <c r="B3587">
        <v>79.849999999999994</v>
      </c>
      <c r="C3587">
        <f t="shared" si="130"/>
        <v>1.8820577164365302E-3</v>
      </c>
      <c r="D3587">
        <f t="shared" ref="D3587:D3650" si="131">(C3587-avg)/sd</f>
        <v>0.1658411581777281</v>
      </c>
    </row>
    <row r="3588" spans="1:4">
      <c r="A3588" s="1">
        <v>23480</v>
      </c>
      <c r="B3588">
        <v>79.77</v>
      </c>
      <c r="C3588">
        <f t="shared" ref="C3588:C3651" si="132">(B3588-B3587)/B3587</f>
        <v>-1.0018785222291585E-3</v>
      </c>
      <c r="D3588">
        <f t="shared" si="131"/>
        <v>-0.13870152832781091</v>
      </c>
    </row>
    <row r="3589" spans="1:4">
      <c r="A3589" s="1">
        <v>23481</v>
      </c>
      <c r="B3589">
        <v>79.989999999999995</v>
      </c>
      <c r="C3589">
        <f t="shared" si="132"/>
        <v>2.7579290460072567E-3</v>
      </c>
      <c r="D3589">
        <f t="shared" si="131"/>
        <v>0.25833287285726625</v>
      </c>
    </row>
    <row r="3590" spans="1:4">
      <c r="A3590" s="1">
        <v>23482</v>
      </c>
      <c r="B3590">
        <v>80.09</v>
      </c>
      <c r="C3590">
        <f t="shared" si="132"/>
        <v>1.2501562695337984E-3</v>
      </c>
      <c r="D3590">
        <f t="shared" si="131"/>
        <v>9.9112580178537704E-2</v>
      </c>
    </row>
    <row r="3591" spans="1:4">
      <c r="A3591" s="1">
        <v>23483</v>
      </c>
      <c r="B3591">
        <v>80.2</v>
      </c>
      <c r="C3591">
        <f t="shared" si="132"/>
        <v>1.3734548632788042E-3</v>
      </c>
      <c r="D3591">
        <f t="shared" si="131"/>
        <v>0.11213286976678194</v>
      </c>
    </row>
    <row r="3592" spans="1:4">
      <c r="A3592" s="1">
        <v>23484</v>
      </c>
      <c r="B3592">
        <v>80.55</v>
      </c>
      <c r="C3592">
        <f t="shared" si="132"/>
        <v>4.3640897755610258E-3</v>
      </c>
      <c r="D3592">
        <f t="shared" si="131"/>
        <v>0.42794289993758539</v>
      </c>
    </row>
    <row r="3593" spans="1:4">
      <c r="A3593" s="1">
        <v>23487</v>
      </c>
      <c r="B3593">
        <v>80.5</v>
      </c>
      <c r="C3593">
        <f t="shared" si="132"/>
        <v>-6.2073246430784806E-4</v>
      </c>
      <c r="D3593">
        <f t="shared" si="131"/>
        <v>-9.8452634169160516E-2</v>
      </c>
    </row>
    <row r="3594" spans="1:4">
      <c r="A3594" s="1">
        <v>23488</v>
      </c>
      <c r="B3594">
        <v>80.540000000000006</v>
      </c>
      <c r="C3594">
        <f t="shared" si="132"/>
        <v>4.9689440993796585E-4</v>
      </c>
      <c r="D3594">
        <f t="shared" si="131"/>
        <v>1.9568383851364501E-2</v>
      </c>
    </row>
    <row r="3595" spans="1:4">
      <c r="A3595" s="1">
        <v>23489</v>
      </c>
      <c r="B3595">
        <v>80.489999999999995</v>
      </c>
      <c r="C3595">
        <f t="shared" si="132"/>
        <v>-6.2080953563460844E-4</v>
      </c>
      <c r="D3595">
        <f t="shared" si="131"/>
        <v>-9.8460772875068575E-2</v>
      </c>
    </row>
    <row r="3596" spans="1:4">
      <c r="A3596" s="1">
        <v>23490</v>
      </c>
      <c r="B3596">
        <v>80.38</v>
      </c>
      <c r="C3596">
        <f t="shared" si="132"/>
        <v>-1.3666293949558882E-3</v>
      </c>
      <c r="D3596">
        <f t="shared" si="131"/>
        <v>-0.17721909650290779</v>
      </c>
    </row>
    <row r="3597" spans="1:4">
      <c r="A3597" s="1">
        <v>23491</v>
      </c>
      <c r="B3597">
        <v>79.75</v>
      </c>
      <c r="C3597">
        <f t="shared" si="132"/>
        <v>-7.8377705896988739E-3</v>
      </c>
      <c r="D3597">
        <f t="shared" si="131"/>
        <v>-0.86056940701999962</v>
      </c>
    </row>
    <row r="3598" spans="1:4">
      <c r="A3598" s="1">
        <v>23494</v>
      </c>
      <c r="B3598">
        <v>79.349999999999994</v>
      </c>
      <c r="C3598">
        <f t="shared" si="132"/>
        <v>-5.015673981191294E-3</v>
      </c>
      <c r="D3598">
        <f t="shared" si="131"/>
        <v>-0.5625569644388454</v>
      </c>
    </row>
    <row r="3599" spans="1:4">
      <c r="A3599" s="1">
        <v>23495</v>
      </c>
      <c r="B3599">
        <v>79.900000000000006</v>
      </c>
      <c r="C3599">
        <f t="shared" si="132"/>
        <v>6.9313169502206859E-3</v>
      </c>
      <c r="D3599">
        <f t="shared" si="131"/>
        <v>0.69904121693872934</v>
      </c>
    </row>
    <row r="3600" spans="1:4">
      <c r="A3600" s="1">
        <v>23496</v>
      </c>
      <c r="B3600">
        <v>79.7</v>
      </c>
      <c r="C3600">
        <f t="shared" si="132"/>
        <v>-2.5031289111389588E-3</v>
      </c>
      <c r="D3600">
        <f t="shared" si="131"/>
        <v>-0.29723305909688447</v>
      </c>
    </row>
    <row r="3601" spans="1:4">
      <c r="A3601" s="1">
        <v>23497</v>
      </c>
      <c r="B3601">
        <v>79.459999999999994</v>
      </c>
      <c r="C3601">
        <f t="shared" si="132"/>
        <v>-3.0112923462987337E-3</v>
      </c>
      <c r="D3601">
        <f t="shared" si="131"/>
        <v>-0.3508949451166124</v>
      </c>
    </row>
    <row r="3602" spans="1:4">
      <c r="A3602" s="1">
        <v>23498</v>
      </c>
      <c r="B3602">
        <v>80.17</v>
      </c>
      <c r="C3602">
        <f t="shared" si="132"/>
        <v>8.9353133652153027E-3</v>
      </c>
      <c r="D3602">
        <f t="shared" si="131"/>
        <v>0.91066255717068212</v>
      </c>
    </row>
    <row r="3603" spans="1:4">
      <c r="A3603" s="1">
        <v>23501</v>
      </c>
      <c r="B3603">
        <v>80.47</v>
      </c>
      <c r="C3603">
        <f t="shared" si="132"/>
        <v>3.7420481476861315E-3</v>
      </c>
      <c r="D3603">
        <f t="shared" si="131"/>
        <v>0.36225551547621937</v>
      </c>
    </row>
    <row r="3604" spans="1:4">
      <c r="A3604" s="1">
        <v>23502</v>
      </c>
      <c r="B3604">
        <v>80.88</v>
      </c>
      <c r="C3604">
        <f t="shared" si="132"/>
        <v>5.0950664844040833E-3</v>
      </c>
      <c r="D3604">
        <f t="shared" si="131"/>
        <v>0.50513379192035635</v>
      </c>
    </row>
    <row r="3605" spans="1:4">
      <c r="A3605" s="1">
        <v>23503</v>
      </c>
      <c r="B3605">
        <v>81.06</v>
      </c>
      <c r="C3605">
        <f t="shared" si="132"/>
        <v>2.2255192878339125E-3</v>
      </c>
      <c r="D3605">
        <f t="shared" si="131"/>
        <v>0.20211058336903104</v>
      </c>
    </row>
    <row r="3606" spans="1:4">
      <c r="A3606" s="1">
        <v>23504</v>
      </c>
      <c r="B3606">
        <v>81.150000000000006</v>
      </c>
      <c r="C3606">
        <f t="shared" si="132"/>
        <v>1.1102886750555564E-3</v>
      </c>
      <c r="D3606">
        <f t="shared" si="131"/>
        <v>8.4342609744940733E-2</v>
      </c>
    </row>
    <row r="3607" spans="1:4">
      <c r="A3607" s="1">
        <v>23505</v>
      </c>
      <c r="B3607">
        <v>81</v>
      </c>
      <c r="C3607">
        <f t="shared" si="132"/>
        <v>-1.8484288354899037E-3</v>
      </c>
      <c r="D3607">
        <f t="shared" si="131"/>
        <v>-0.22809695365171279</v>
      </c>
    </row>
    <row r="3608" spans="1:4">
      <c r="A3608" s="1">
        <v>23508</v>
      </c>
      <c r="B3608">
        <v>80.900000000000006</v>
      </c>
      <c r="C3608">
        <f t="shared" si="132"/>
        <v>-1.2345679012344976E-3</v>
      </c>
      <c r="D3608">
        <f t="shared" si="131"/>
        <v>-0.16327344765581175</v>
      </c>
    </row>
    <row r="3609" spans="1:4">
      <c r="A3609" s="1">
        <v>23509</v>
      </c>
      <c r="B3609">
        <v>81.16</v>
      </c>
      <c r="C3609">
        <f t="shared" si="132"/>
        <v>3.2138442521630517E-3</v>
      </c>
      <c r="D3609">
        <f t="shared" si="131"/>
        <v>0.30647736365420991</v>
      </c>
    </row>
    <row r="3610" spans="1:4">
      <c r="A3610" s="1">
        <v>23510</v>
      </c>
      <c r="B3610">
        <v>80.97</v>
      </c>
      <c r="C3610">
        <f t="shared" si="132"/>
        <v>-2.3410547067520666E-3</v>
      </c>
      <c r="D3610">
        <f t="shared" si="131"/>
        <v>-0.28011807820532747</v>
      </c>
    </row>
    <row r="3611" spans="1:4">
      <c r="A3611" s="1">
        <v>23511</v>
      </c>
      <c r="B3611">
        <v>80.86</v>
      </c>
      <c r="C3611">
        <f t="shared" si="132"/>
        <v>-1.3585278498209144E-3</v>
      </c>
      <c r="D3611">
        <f t="shared" si="131"/>
        <v>-0.17636357609050357</v>
      </c>
    </row>
    <row r="3612" spans="1:4">
      <c r="A3612" s="1">
        <v>23512</v>
      </c>
      <c r="B3612">
        <v>81.099999999999994</v>
      </c>
      <c r="C3612">
        <f t="shared" si="132"/>
        <v>2.9680930002472777E-3</v>
      </c>
      <c r="D3612">
        <f t="shared" si="131"/>
        <v>0.28052611498681346</v>
      </c>
    </row>
    <row r="3613" spans="1:4">
      <c r="A3613" s="1">
        <v>23515</v>
      </c>
      <c r="B3613">
        <v>80.72</v>
      </c>
      <c r="C3613">
        <f t="shared" si="132"/>
        <v>-4.6855733662144938E-3</v>
      </c>
      <c r="D3613">
        <f t="shared" si="131"/>
        <v>-0.52769845170394614</v>
      </c>
    </row>
    <row r="3614" spans="1:4">
      <c r="A3614" s="1">
        <v>23516</v>
      </c>
      <c r="B3614">
        <v>80.3</v>
      </c>
      <c r="C3614">
        <f t="shared" si="132"/>
        <v>-5.2031714568880295E-3</v>
      </c>
      <c r="D3614">
        <f t="shared" si="131"/>
        <v>-0.58235663413893202</v>
      </c>
    </row>
    <row r="3615" spans="1:4">
      <c r="A3615" s="1">
        <v>23517</v>
      </c>
      <c r="B3615">
        <v>80.66</v>
      </c>
      <c r="C3615">
        <f t="shared" si="132"/>
        <v>4.4831880448318734E-3</v>
      </c>
      <c r="D3615">
        <f t="shared" si="131"/>
        <v>0.4405196366891182</v>
      </c>
    </row>
    <row r="3616" spans="1:4">
      <c r="A3616" s="1">
        <v>23518</v>
      </c>
      <c r="B3616">
        <v>80.94</v>
      </c>
      <c r="C3616">
        <f t="shared" si="132"/>
        <v>3.4713612695264212E-3</v>
      </c>
      <c r="D3616">
        <f t="shared" si="131"/>
        <v>0.33367107315349442</v>
      </c>
    </row>
    <row r="3617" spans="1:4">
      <c r="A3617" s="1">
        <v>23519</v>
      </c>
      <c r="B3617">
        <v>80.73</v>
      </c>
      <c r="C3617">
        <f t="shared" si="132"/>
        <v>-2.5945144551518871E-3</v>
      </c>
      <c r="D3617">
        <f t="shared" si="131"/>
        <v>-0.30688334148119395</v>
      </c>
    </row>
    <row r="3618" spans="1:4">
      <c r="A3618" s="1">
        <v>23522</v>
      </c>
      <c r="B3618">
        <v>80.56</v>
      </c>
      <c r="C3618">
        <f t="shared" si="132"/>
        <v>-2.1057847144803875E-3</v>
      </c>
      <c r="D3618">
        <f t="shared" si="131"/>
        <v>-0.25527364699359417</v>
      </c>
    </row>
    <row r="3619" spans="1:4">
      <c r="A3619" s="1">
        <v>23523</v>
      </c>
      <c r="B3619">
        <v>80.39</v>
      </c>
      <c r="C3619">
        <f t="shared" si="132"/>
        <v>-2.1102284011916793E-3</v>
      </c>
      <c r="D3619">
        <f t="shared" si="131"/>
        <v>-0.25574289879982409</v>
      </c>
    </row>
    <row r="3620" spans="1:4">
      <c r="A3620" s="1">
        <v>23524</v>
      </c>
      <c r="B3620">
        <v>80.260000000000005</v>
      </c>
      <c r="C3620">
        <f t="shared" si="132"/>
        <v>-1.6171165567856133E-3</v>
      </c>
      <c r="D3620">
        <f t="shared" si="131"/>
        <v>-0.20367045564740349</v>
      </c>
    </row>
    <row r="3621" spans="1:4">
      <c r="A3621" s="1">
        <v>23525</v>
      </c>
      <c r="B3621">
        <v>80.37</v>
      </c>
      <c r="C3621">
        <f t="shared" si="132"/>
        <v>1.3705457263892278E-3</v>
      </c>
      <c r="D3621">
        <f t="shared" si="131"/>
        <v>0.11182566590010634</v>
      </c>
    </row>
    <row r="3622" spans="1:4">
      <c r="A3622" s="1">
        <v>23529</v>
      </c>
      <c r="B3622">
        <v>80.11</v>
      </c>
      <c r="C3622">
        <f t="shared" si="132"/>
        <v>-3.2350379494837018E-3</v>
      </c>
      <c r="D3622">
        <f t="shared" si="131"/>
        <v>-0.37452240475811915</v>
      </c>
    </row>
    <row r="3623" spans="1:4">
      <c r="A3623" s="1">
        <v>23530</v>
      </c>
      <c r="B3623">
        <v>79.7</v>
      </c>
      <c r="C3623">
        <f t="shared" si="132"/>
        <v>-5.1179628011483787E-3</v>
      </c>
      <c r="D3623">
        <f t="shared" si="131"/>
        <v>-0.57335862905665425</v>
      </c>
    </row>
    <row r="3624" spans="1:4">
      <c r="A3624" s="1">
        <v>23531</v>
      </c>
      <c r="B3624">
        <v>79.489999999999995</v>
      </c>
      <c r="C3624">
        <f t="shared" si="132"/>
        <v>-2.6348808030113922E-3</v>
      </c>
      <c r="D3624">
        <f t="shared" si="131"/>
        <v>-0.31114601409396936</v>
      </c>
    </row>
    <row r="3625" spans="1:4">
      <c r="A3625" s="1">
        <v>23532</v>
      </c>
      <c r="B3625">
        <v>78.67</v>
      </c>
      <c r="C3625">
        <f t="shared" si="132"/>
        <v>-1.0315762989055142E-2</v>
      </c>
      <c r="D3625">
        <f t="shared" si="131"/>
        <v>-1.1222445620814792</v>
      </c>
    </row>
    <row r="3626" spans="1:4">
      <c r="A3626" s="1">
        <v>23533</v>
      </c>
      <c r="B3626">
        <v>79.02</v>
      </c>
      <c r="C3626">
        <f t="shared" si="132"/>
        <v>4.4489640269479384E-3</v>
      </c>
      <c r="D3626">
        <f t="shared" si="131"/>
        <v>0.43690559203388357</v>
      </c>
    </row>
    <row r="3627" spans="1:4">
      <c r="A3627" s="1">
        <v>23536</v>
      </c>
      <c r="B3627">
        <v>78.64</v>
      </c>
      <c r="C3627">
        <f t="shared" si="132"/>
        <v>-4.8089091369273029E-3</v>
      </c>
      <c r="D3627">
        <f t="shared" si="131"/>
        <v>-0.54072266716735329</v>
      </c>
    </row>
    <row r="3628" spans="1:4">
      <c r="A3628" s="1">
        <v>23537</v>
      </c>
      <c r="B3628">
        <v>79.14</v>
      </c>
      <c r="C3628">
        <f t="shared" si="132"/>
        <v>6.3580874872838254E-3</v>
      </c>
      <c r="D3628">
        <f t="shared" si="131"/>
        <v>0.6385083805027586</v>
      </c>
    </row>
    <row r="3629" spans="1:4">
      <c r="A3629" s="1">
        <v>23538</v>
      </c>
      <c r="B3629">
        <v>79.44</v>
      </c>
      <c r="C3629">
        <f t="shared" si="132"/>
        <v>3.7907505686125493E-3</v>
      </c>
      <c r="D3629">
        <f t="shared" si="131"/>
        <v>0.36739847457129188</v>
      </c>
    </row>
    <row r="3630" spans="1:4">
      <c r="A3630" s="1">
        <v>23539</v>
      </c>
      <c r="B3630">
        <v>79.73</v>
      </c>
      <c r="C3630">
        <f t="shared" si="132"/>
        <v>3.6505538771400585E-3</v>
      </c>
      <c r="D3630">
        <f t="shared" si="131"/>
        <v>0.35259375160696771</v>
      </c>
    </row>
    <row r="3631" spans="1:4">
      <c r="A3631" s="1">
        <v>23540</v>
      </c>
      <c r="B3631">
        <v>79.599999999999994</v>
      </c>
      <c r="C3631">
        <f t="shared" si="132"/>
        <v>-1.6305029474477568E-3</v>
      </c>
      <c r="D3631">
        <f t="shared" si="131"/>
        <v>-0.20508405395107057</v>
      </c>
    </row>
    <row r="3632" spans="1:4">
      <c r="A3632" s="1">
        <v>23543</v>
      </c>
      <c r="B3632">
        <v>79.97</v>
      </c>
      <c r="C3632">
        <f t="shared" si="132"/>
        <v>4.6482412060302085E-3</v>
      </c>
      <c r="D3632">
        <f t="shared" si="131"/>
        <v>0.45794919440736692</v>
      </c>
    </row>
    <row r="3633" spans="1:4">
      <c r="A3633" s="1">
        <v>23544</v>
      </c>
      <c r="B3633">
        <v>80.400000000000006</v>
      </c>
      <c r="C3633">
        <f t="shared" si="132"/>
        <v>5.3770163811430139E-3</v>
      </c>
      <c r="D3633">
        <f t="shared" si="131"/>
        <v>0.53490760517656089</v>
      </c>
    </row>
    <row r="3634" spans="1:4">
      <c r="A3634" s="1">
        <v>23545</v>
      </c>
      <c r="B3634">
        <v>80.81</v>
      </c>
      <c r="C3634">
        <f t="shared" si="132"/>
        <v>5.0995024875621466E-3</v>
      </c>
      <c r="D3634">
        <f t="shared" si="131"/>
        <v>0.50560223234597712</v>
      </c>
    </row>
    <row r="3635" spans="1:4">
      <c r="A3635" s="1">
        <v>23546</v>
      </c>
      <c r="B3635">
        <v>80.790000000000006</v>
      </c>
      <c r="C3635">
        <f t="shared" si="132"/>
        <v>-2.4749412201455293E-4</v>
      </c>
      <c r="D3635">
        <f t="shared" si="131"/>
        <v>-5.9038792092865375E-2</v>
      </c>
    </row>
    <row r="3636" spans="1:4">
      <c r="A3636" s="1">
        <v>23547</v>
      </c>
      <c r="B3636">
        <v>80.89</v>
      </c>
      <c r="C3636">
        <f t="shared" si="132"/>
        <v>1.2377769525930722E-3</v>
      </c>
      <c r="D3636">
        <f t="shared" si="131"/>
        <v>9.7805328517531306E-2</v>
      </c>
    </row>
    <row r="3637" spans="1:4">
      <c r="A3637" s="1">
        <v>23550</v>
      </c>
      <c r="B3637">
        <v>81.11</v>
      </c>
      <c r="C3637">
        <f t="shared" si="132"/>
        <v>2.7197428606749769E-3</v>
      </c>
      <c r="D3637">
        <f t="shared" si="131"/>
        <v>0.2543004246662926</v>
      </c>
    </row>
    <row r="3638" spans="1:4">
      <c r="A3638" s="1">
        <v>23551</v>
      </c>
      <c r="B3638">
        <v>80.77</v>
      </c>
      <c r="C3638">
        <f t="shared" si="132"/>
        <v>-4.1918382443595541E-3</v>
      </c>
      <c r="D3638">
        <f t="shared" si="131"/>
        <v>-0.47556019066478677</v>
      </c>
    </row>
    <row r="3639" spans="1:4">
      <c r="A3639" s="1">
        <v>23552</v>
      </c>
      <c r="B3639">
        <v>81.06</v>
      </c>
      <c r="C3639">
        <f t="shared" si="132"/>
        <v>3.5904419957905939E-3</v>
      </c>
      <c r="D3639">
        <f t="shared" si="131"/>
        <v>0.34624595736948549</v>
      </c>
    </row>
    <row r="3640" spans="1:4">
      <c r="A3640" s="1">
        <v>23553</v>
      </c>
      <c r="B3640">
        <v>81.209999999999994</v>
      </c>
      <c r="C3640">
        <f t="shared" si="132"/>
        <v>1.8504811250924188E-3</v>
      </c>
      <c r="D3640">
        <f t="shared" si="131"/>
        <v>0.16250668086519485</v>
      </c>
    </row>
    <row r="3641" spans="1:4">
      <c r="A3641" s="1">
        <v>23554</v>
      </c>
      <c r="B3641">
        <v>81.459999999999994</v>
      </c>
      <c r="C3641">
        <f t="shared" si="132"/>
        <v>3.0784386159339984E-3</v>
      </c>
      <c r="D3641">
        <f t="shared" si="131"/>
        <v>0.29217857449503393</v>
      </c>
    </row>
    <row r="3642" spans="1:4">
      <c r="A3642" s="1">
        <v>23557</v>
      </c>
      <c r="B3642">
        <v>81.64</v>
      </c>
      <c r="C3642">
        <f t="shared" si="132"/>
        <v>2.2096734593666442E-3</v>
      </c>
      <c r="D3642">
        <f t="shared" si="131"/>
        <v>0.20043726926914632</v>
      </c>
    </row>
    <row r="3643" spans="1:4">
      <c r="A3643" s="1">
        <v>23558</v>
      </c>
      <c r="B3643">
        <v>81.69</v>
      </c>
      <c r="C3643">
        <f t="shared" si="132"/>
        <v>6.1244487996076871E-4</v>
      </c>
      <c r="D3643">
        <f t="shared" si="131"/>
        <v>3.1770474208259326E-2</v>
      </c>
    </row>
    <row r="3644" spans="1:4">
      <c r="A3644" s="1">
        <v>23559</v>
      </c>
      <c r="B3644">
        <v>82.27</v>
      </c>
      <c r="C3644">
        <f t="shared" si="132"/>
        <v>7.1000122414003955E-3</v>
      </c>
      <c r="D3644">
        <f t="shared" si="131"/>
        <v>0.71685538234499102</v>
      </c>
    </row>
    <row r="3645" spans="1:4">
      <c r="A3645" s="1">
        <v>23560</v>
      </c>
      <c r="B3645">
        <v>82.6</v>
      </c>
      <c r="C3645">
        <f t="shared" si="132"/>
        <v>4.011182691138912E-3</v>
      </c>
      <c r="D3645">
        <f t="shared" si="131"/>
        <v>0.39067603178155674</v>
      </c>
    </row>
    <row r="3646" spans="1:4">
      <c r="A3646" s="1">
        <v>23564</v>
      </c>
      <c r="B3646">
        <v>82.98</v>
      </c>
      <c r="C3646">
        <f t="shared" si="132"/>
        <v>4.6004842615013277E-3</v>
      </c>
      <c r="D3646">
        <f t="shared" si="131"/>
        <v>0.45290607729849131</v>
      </c>
    </row>
    <row r="3647" spans="1:4">
      <c r="A3647" s="1">
        <v>23565</v>
      </c>
      <c r="B3647">
        <v>83.12</v>
      </c>
      <c r="C3647">
        <f t="shared" si="132"/>
        <v>1.6871535309713251E-3</v>
      </c>
      <c r="D3647">
        <f t="shared" si="131"/>
        <v>0.14525934244375405</v>
      </c>
    </row>
    <row r="3648" spans="1:4">
      <c r="A3648" s="1">
        <v>23566</v>
      </c>
      <c r="B3648">
        <v>83.12</v>
      </c>
      <c r="C3648">
        <f t="shared" si="132"/>
        <v>0</v>
      </c>
      <c r="D3648">
        <f t="shared" si="131"/>
        <v>-3.29034969354682E-2</v>
      </c>
    </row>
    <row r="3649" spans="1:4">
      <c r="A3649" s="1">
        <v>23567</v>
      </c>
      <c r="B3649">
        <v>83.22</v>
      </c>
      <c r="C3649">
        <f t="shared" si="132"/>
        <v>1.2030798845042627E-3</v>
      </c>
      <c r="D3649">
        <f t="shared" si="131"/>
        <v>9.4141329921459516E-2</v>
      </c>
    </row>
    <row r="3650" spans="1:4">
      <c r="A3650" s="1">
        <v>23568</v>
      </c>
      <c r="B3650">
        <v>83.36</v>
      </c>
      <c r="C3650">
        <f t="shared" si="132"/>
        <v>1.6822879115597281E-3</v>
      </c>
      <c r="D3650">
        <f t="shared" si="131"/>
        <v>0.1447455346877938</v>
      </c>
    </row>
    <row r="3651" spans="1:4">
      <c r="A3651" s="1">
        <v>23571</v>
      </c>
      <c r="B3651">
        <v>83.31</v>
      </c>
      <c r="C3651">
        <f t="shared" si="132"/>
        <v>-5.998080614203114E-4</v>
      </c>
      <c r="D3651">
        <f t="shared" ref="D3651:D3714" si="133">(C3651-avg)/sd</f>
        <v>-9.6243024336786748E-2</v>
      </c>
    </row>
    <row r="3652" spans="1:4">
      <c r="A3652" s="1">
        <v>23572</v>
      </c>
      <c r="B3652">
        <v>83.06</v>
      </c>
      <c r="C3652">
        <f t="shared" ref="C3652:C3715" si="134">(B3652-B3651)/B3651</f>
        <v>-3.0008402352658743E-3</v>
      </c>
      <c r="D3652">
        <f t="shared" si="133"/>
        <v>-0.3497912057443876</v>
      </c>
    </row>
    <row r="3653" spans="1:4">
      <c r="A3653" s="1">
        <v>23573</v>
      </c>
      <c r="B3653">
        <v>83.34</v>
      </c>
      <c r="C3653">
        <f t="shared" si="134"/>
        <v>3.3710570671803652E-3</v>
      </c>
      <c r="D3653">
        <f t="shared" si="133"/>
        <v>0.32307898348080588</v>
      </c>
    </row>
    <row r="3654" spans="1:4">
      <c r="A3654" s="1">
        <v>23574</v>
      </c>
      <c r="B3654">
        <v>83.64</v>
      </c>
      <c r="C3654">
        <f t="shared" si="134"/>
        <v>3.5997120230381228E-3</v>
      </c>
      <c r="D3654">
        <f t="shared" si="133"/>
        <v>0.3472248690957892</v>
      </c>
    </row>
    <row r="3655" spans="1:4">
      <c r="A3655" s="1">
        <v>23575</v>
      </c>
      <c r="B3655">
        <v>84.01</v>
      </c>
      <c r="C3655">
        <f t="shared" si="134"/>
        <v>4.4237207077953674E-3</v>
      </c>
      <c r="D3655">
        <f t="shared" si="133"/>
        <v>0.43423990611199315</v>
      </c>
    </row>
    <row r="3656" spans="1:4">
      <c r="A3656" s="1">
        <v>23578</v>
      </c>
      <c r="B3656">
        <v>83.74</v>
      </c>
      <c r="C3656">
        <f t="shared" si="134"/>
        <v>-3.2139031067731248E-3</v>
      </c>
      <c r="D3656">
        <f t="shared" si="133"/>
        <v>-0.37229057255196435</v>
      </c>
    </row>
    <row r="3657" spans="1:4">
      <c r="A3657" s="1">
        <v>23579</v>
      </c>
      <c r="B3657">
        <v>83.54</v>
      </c>
      <c r="C3657">
        <f t="shared" si="134"/>
        <v>-2.3883448770001033E-3</v>
      </c>
      <c r="D3657">
        <f t="shared" si="133"/>
        <v>-0.28511190410881027</v>
      </c>
    </row>
    <row r="3658" spans="1:4">
      <c r="A3658" s="1">
        <v>23580</v>
      </c>
      <c r="B3658">
        <v>83.52</v>
      </c>
      <c r="C3658">
        <f t="shared" si="134"/>
        <v>-2.394062724444605E-4</v>
      </c>
      <c r="D3658">
        <f t="shared" si="133"/>
        <v>-5.8184717927457268E-2</v>
      </c>
    </row>
    <row r="3659" spans="1:4">
      <c r="A3659" s="1">
        <v>23581</v>
      </c>
      <c r="B3659">
        <v>83.48</v>
      </c>
      <c r="C3659">
        <f t="shared" si="134"/>
        <v>-4.7892720306503883E-4</v>
      </c>
      <c r="D3659">
        <f t="shared" si="133"/>
        <v>-8.347804678387015E-2</v>
      </c>
    </row>
    <row r="3660" spans="1:4">
      <c r="A3660" s="1">
        <v>23582</v>
      </c>
      <c r="B3660">
        <v>83.46</v>
      </c>
      <c r="C3660">
        <f t="shared" si="134"/>
        <v>-2.395783421179951E-4</v>
      </c>
      <c r="D3660">
        <f t="shared" si="133"/>
        <v>-5.8202888426493189E-2</v>
      </c>
    </row>
    <row r="3661" spans="1:4">
      <c r="A3661" s="1">
        <v>23585</v>
      </c>
      <c r="B3661">
        <v>83.08</v>
      </c>
      <c r="C3661">
        <f t="shared" si="134"/>
        <v>-4.5530793194344058E-3</v>
      </c>
      <c r="D3661">
        <f t="shared" si="133"/>
        <v>-0.51370712540088359</v>
      </c>
    </row>
    <row r="3662" spans="1:4">
      <c r="A3662" s="1">
        <v>23586</v>
      </c>
      <c r="B3662">
        <v>82.85</v>
      </c>
      <c r="C3662">
        <f t="shared" si="134"/>
        <v>-2.768415984593211E-3</v>
      </c>
      <c r="D3662">
        <f t="shared" si="133"/>
        <v>-0.32524728387819579</v>
      </c>
    </row>
    <row r="3663" spans="1:4">
      <c r="A3663" s="1">
        <v>23587</v>
      </c>
      <c r="B3663">
        <v>82.92</v>
      </c>
      <c r="C3663">
        <f t="shared" si="134"/>
        <v>8.4490042245030043E-4</v>
      </c>
      <c r="D3663">
        <f t="shared" si="133"/>
        <v>5.6317700479675825E-2</v>
      </c>
    </row>
    <row r="3664" spans="1:4">
      <c r="A3664" s="1">
        <v>23588</v>
      </c>
      <c r="B3664">
        <v>83.09</v>
      </c>
      <c r="C3664">
        <f t="shared" si="134"/>
        <v>2.0501688374336916E-3</v>
      </c>
      <c r="D3664">
        <f t="shared" si="133"/>
        <v>0.18359363541128185</v>
      </c>
    </row>
    <row r="3665" spans="1:4">
      <c r="A3665" s="1">
        <v>23589</v>
      </c>
      <c r="B3665">
        <v>83.18</v>
      </c>
      <c r="C3665">
        <f t="shared" si="134"/>
        <v>1.0831628354796413E-3</v>
      </c>
      <c r="D3665">
        <f t="shared" si="133"/>
        <v>8.147813030624497E-2</v>
      </c>
    </row>
    <row r="3666" spans="1:4">
      <c r="A3666" s="1">
        <v>23592</v>
      </c>
      <c r="B3666">
        <v>83</v>
      </c>
      <c r="C3666">
        <f t="shared" si="134"/>
        <v>-2.1639817263766148E-3</v>
      </c>
      <c r="D3666">
        <f t="shared" si="133"/>
        <v>-0.26141923166771025</v>
      </c>
    </row>
    <row r="3667" spans="1:4">
      <c r="A3667" s="1">
        <v>23593</v>
      </c>
      <c r="B3667">
        <v>81.96</v>
      </c>
      <c r="C3667">
        <f t="shared" si="134"/>
        <v>-1.2530120481927786E-2</v>
      </c>
      <c r="D3667">
        <f t="shared" si="133"/>
        <v>-1.356079960632147</v>
      </c>
    </row>
    <row r="3668" spans="1:4">
      <c r="A3668" s="1">
        <v>23594</v>
      </c>
      <c r="B3668">
        <v>82.09</v>
      </c>
      <c r="C3668">
        <f t="shared" si="134"/>
        <v>1.5861395802831829E-3</v>
      </c>
      <c r="D3668">
        <f t="shared" si="133"/>
        <v>0.13459230358739638</v>
      </c>
    </row>
    <row r="3669" spans="1:4">
      <c r="A3669" s="1">
        <v>23595</v>
      </c>
      <c r="B3669">
        <v>81.34</v>
      </c>
      <c r="C3669">
        <f t="shared" si="134"/>
        <v>-9.1363138019247159E-3</v>
      </c>
      <c r="D3669">
        <f t="shared" si="133"/>
        <v>-0.9976951288347643</v>
      </c>
    </row>
    <row r="3670" spans="1:4">
      <c r="A3670" s="1">
        <v>23596</v>
      </c>
      <c r="B3670">
        <v>81.86</v>
      </c>
      <c r="C3670">
        <f t="shared" si="134"/>
        <v>6.3929186132283744E-3</v>
      </c>
      <c r="D3670">
        <f t="shared" si="133"/>
        <v>0.64218653556282801</v>
      </c>
    </row>
    <row r="3671" spans="1:4">
      <c r="A3671" s="1">
        <v>23599</v>
      </c>
      <c r="B3671">
        <v>81.78</v>
      </c>
      <c r="C3671">
        <f t="shared" si="134"/>
        <v>-9.7727827999020641E-4</v>
      </c>
      <c r="D3671">
        <f t="shared" si="133"/>
        <v>-0.1361037511094062</v>
      </c>
    </row>
    <row r="3672" spans="1:4">
      <c r="A3672" s="1">
        <v>23600</v>
      </c>
      <c r="B3672">
        <v>81.760000000000005</v>
      </c>
      <c r="C3672">
        <f t="shared" si="134"/>
        <v>-2.4455857177789215E-4</v>
      </c>
      <c r="D3672">
        <f t="shared" si="133"/>
        <v>-5.8728798985716001E-2</v>
      </c>
    </row>
    <row r="3673" spans="1:4">
      <c r="A3673" s="1">
        <v>23601</v>
      </c>
      <c r="B3673">
        <v>82.17</v>
      </c>
      <c r="C3673">
        <f t="shared" si="134"/>
        <v>5.0146771037181577E-3</v>
      </c>
      <c r="D3673">
        <f t="shared" si="133"/>
        <v>0.49664470064560079</v>
      </c>
    </row>
    <row r="3674" spans="1:4">
      <c r="A3674" s="1">
        <v>23602</v>
      </c>
      <c r="B3674">
        <v>82.41</v>
      </c>
      <c r="C3674">
        <f t="shared" si="134"/>
        <v>2.9207740051112921E-3</v>
      </c>
      <c r="D3674">
        <f t="shared" si="133"/>
        <v>0.2755292451849613</v>
      </c>
    </row>
    <row r="3675" spans="1:4">
      <c r="A3675" s="1">
        <v>23603</v>
      </c>
      <c r="B3675">
        <v>82.35</v>
      </c>
      <c r="C3675">
        <f t="shared" si="134"/>
        <v>-7.2806698216238655E-4</v>
      </c>
      <c r="D3675">
        <f t="shared" si="133"/>
        <v>-0.10978712276982446</v>
      </c>
    </row>
    <row r="3676" spans="1:4">
      <c r="A3676" s="1">
        <v>23606</v>
      </c>
      <c r="B3676">
        <v>82.36</v>
      </c>
      <c r="C3676">
        <f t="shared" si="134"/>
        <v>1.2143290831821635E-4</v>
      </c>
      <c r="D3676">
        <f t="shared" si="133"/>
        <v>-2.0080223094115637E-2</v>
      </c>
    </row>
    <row r="3677" spans="1:4">
      <c r="A3677" s="1">
        <v>23607</v>
      </c>
      <c r="B3677">
        <v>82.4</v>
      </c>
      <c r="C3677">
        <f t="shared" si="134"/>
        <v>4.8567265662950769E-4</v>
      </c>
      <c r="D3677">
        <f t="shared" si="133"/>
        <v>1.8383370516450604E-2</v>
      </c>
    </row>
    <row r="3678" spans="1:4">
      <c r="A3678" s="1">
        <v>23608</v>
      </c>
      <c r="B3678">
        <v>82.32</v>
      </c>
      <c r="C3678">
        <f t="shared" si="134"/>
        <v>-9.7087378640791874E-4</v>
      </c>
      <c r="D3678">
        <f t="shared" si="133"/>
        <v>-0.13542743876410976</v>
      </c>
    </row>
    <row r="3679" spans="1:4">
      <c r="A3679" s="1">
        <v>23609</v>
      </c>
      <c r="B3679">
        <v>81.94</v>
      </c>
      <c r="C3679">
        <f t="shared" si="134"/>
        <v>-4.6161321671525203E-3</v>
      </c>
      <c r="D3679">
        <f t="shared" si="133"/>
        <v>-0.52036548468721211</v>
      </c>
    </row>
    <row r="3680" spans="1:4">
      <c r="A3680" s="1">
        <v>23610</v>
      </c>
      <c r="B3680">
        <v>82.07</v>
      </c>
      <c r="C3680">
        <f t="shared" si="134"/>
        <v>1.5865267268732664E-3</v>
      </c>
      <c r="D3680">
        <f t="shared" si="133"/>
        <v>0.13463318613571168</v>
      </c>
    </row>
    <row r="3681" spans="1:4">
      <c r="A3681" s="1">
        <v>23613</v>
      </c>
      <c r="B3681">
        <v>81.91</v>
      </c>
      <c r="C3681">
        <f t="shared" si="134"/>
        <v>-1.9495552577067942E-3</v>
      </c>
      <c r="D3681">
        <f t="shared" si="133"/>
        <v>-0.23877586946327531</v>
      </c>
    </row>
    <row r="3682" spans="1:4">
      <c r="A3682" s="1">
        <v>23614</v>
      </c>
      <c r="B3682">
        <v>81.44</v>
      </c>
      <c r="C3682">
        <f t="shared" si="134"/>
        <v>-5.7380051275790368E-3</v>
      </c>
      <c r="D3682">
        <f t="shared" si="133"/>
        <v>-0.63883488796510457</v>
      </c>
    </row>
    <row r="3683" spans="1:4">
      <c r="A3683" s="1">
        <v>23615</v>
      </c>
      <c r="B3683">
        <v>81.319999999999993</v>
      </c>
      <c r="C3683">
        <f t="shared" si="134"/>
        <v>-1.4734774066798202E-3</v>
      </c>
      <c r="D3683">
        <f t="shared" si="133"/>
        <v>-0.18850221022155117</v>
      </c>
    </row>
    <row r="3684" spans="1:4">
      <c r="A3684" s="1">
        <v>23616</v>
      </c>
      <c r="B3684">
        <v>81.7</v>
      </c>
      <c r="C3684">
        <f t="shared" si="134"/>
        <v>4.6728971962618016E-3</v>
      </c>
      <c r="D3684">
        <f t="shared" si="133"/>
        <v>0.46055285859484485</v>
      </c>
    </row>
    <row r="3685" spans="1:4">
      <c r="A3685" s="1">
        <v>23617</v>
      </c>
      <c r="B3685">
        <v>81.99</v>
      </c>
      <c r="C3685">
        <f t="shared" si="134"/>
        <v>3.5495716034270749E-3</v>
      </c>
      <c r="D3685">
        <f t="shared" si="133"/>
        <v>0.34193005782841929</v>
      </c>
    </row>
    <row r="3686" spans="1:4">
      <c r="A3686" s="1">
        <v>23620</v>
      </c>
      <c r="B3686">
        <v>81.83</v>
      </c>
      <c r="C3686">
        <f t="shared" si="134"/>
        <v>-1.9514574948163996E-3</v>
      </c>
      <c r="D3686">
        <f t="shared" si="133"/>
        <v>-0.23897674505544786</v>
      </c>
    </row>
    <row r="3687" spans="1:4">
      <c r="A3687" s="1">
        <v>23621</v>
      </c>
      <c r="B3687">
        <v>82.18</v>
      </c>
      <c r="C3687">
        <f t="shared" si="134"/>
        <v>4.2771599657828244E-3</v>
      </c>
      <c r="D3687">
        <f t="shared" si="133"/>
        <v>0.41876314157388539</v>
      </c>
    </row>
    <row r="3688" spans="1:4">
      <c r="A3688" s="1">
        <v>23622</v>
      </c>
      <c r="B3688">
        <v>82.31</v>
      </c>
      <c r="C3688">
        <f t="shared" si="134"/>
        <v>1.581893404721288E-3</v>
      </c>
      <c r="D3688">
        <f t="shared" si="133"/>
        <v>0.13414390889140548</v>
      </c>
    </row>
    <row r="3689" spans="1:4">
      <c r="A3689" s="1">
        <v>23623</v>
      </c>
      <c r="B3689">
        <v>82.56</v>
      </c>
      <c r="C3689">
        <f t="shared" si="134"/>
        <v>3.0372980196816911E-3</v>
      </c>
      <c r="D3689">
        <f t="shared" si="133"/>
        <v>0.2878341415151584</v>
      </c>
    </row>
    <row r="3690" spans="1:4">
      <c r="A3690" s="1">
        <v>23624</v>
      </c>
      <c r="B3690">
        <v>82.76</v>
      </c>
      <c r="C3690">
        <f t="shared" si="134"/>
        <v>2.422480620155073E-3</v>
      </c>
      <c r="D3690">
        <f t="shared" si="133"/>
        <v>0.22290963311173578</v>
      </c>
    </row>
    <row r="3691" spans="1:4">
      <c r="A3691" s="1">
        <v>23628</v>
      </c>
      <c r="B3691">
        <v>82.87</v>
      </c>
      <c r="C3691">
        <f t="shared" si="134"/>
        <v>1.3291445142580888E-3</v>
      </c>
      <c r="D3691">
        <f t="shared" si="133"/>
        <v>0.10745371197201385</v>
      </c>
    </row>
    <row r="3692" spans="1:4">
      <c r="A3692" s="1">
        <v>23629</v>
      </c>
      <c r="B3692">
        <v>83.05</v>
      </c>
      <c r="C3692">
        <f t="shared" si="134"/>
        <v>2.1720767467116276E-3</v>
      </c>
      <c r="D3692">
        <f t="shared" si="133"/>
        <v>0.19646706919252013</v>
      </c>
    </row>
    <row r="3693" spans="1:4">
      <c r="A3693" s="1">
        <v>23630</v>
      </c>
      <c r="B3693">
        <v>83.1</v>
      </c>
      <c r="C3693">
        <f t="shared" si="134"/>
        <v>6.0204695966281955E-4</v>
      </c>
      <c r="D3693">
        <f t="shared" si="133"/>
        <v>3.0672457359220733E-2</v>
      </c>
    </row>
    <row r="3694" spans="1:4">
      <c r="A3694" s="1">
        <v>23631</v>
      </c>
      <c r="B3694">
        <v>83.45</v>
      </c>
      <c r="C3694">
        <f t="shared" si="134"/>
        <v>4.2117930204573833E-3</v>
      </c>
      <c r="D3694">
        <f t="shared" si="133"/>
        <v>0.41186041436682314</v>
      </c>
    </row>
    <row r="3695" spans="1:4">
      <c r="A3695" s="1">
        <v>23634</v>
      </c>
      <c r="B3695">
        <v>83.22</v>
      </c>
      <c r="C3695">
        <f t="shared" si="134"/>
        <v>-2.7561414020371958E-3</v>
      </c>
      <c r="D3695">
        <f t="shared" si="133"/>
        <v>-0.32395109213261392</v>
      </c>
    </row>
    <row r="3696" spans="1:4">
      <c r="A3696" s="1">
        <v>23635</v>
      </c>
      <c r="B3696">
        <v>83</v>
      </c>
      <c r="C3696">
        <f t="shared" si="134"/>
        <v>-2.643595289593834E-3</v>
      </c>
      <c r="D3696">
        <f t="shared" si="133"/>
        <v>-0.31206626091487732</v>
      </c>
    </row>
    <row r="3697" spans="1:4">
      <c r="A3697" s="1">
        <v>23636</v>
      </c>
      <c r="B3697">
        <v>83.24</v>
      </c>
      <c r="C3697">
        <f t="shared" si="134"/>
        <v>2.8915662650601795E-3</v>
      </c>
      <c r="D3697">
        <f t="shared" si="133"/>
        <v>0.27244491776375707</v>
      </c>
    </row>
    <row r="3698" spans="1:4">
      <c r="A3698" s="1">
        <v>23637</v>
      </c>
      <c r="B3698">
        <v>83.79</v>
      </c>
      <c r="C3698">
        <f t="shared" si="134"/>
        <v>6.6074002883230584E-3</v>
      </c>
      <c r="D3698">
        <f t="shared" si="133"/>
        <v>0.66483572754696296</v>
      </c>
    </row>
    <row r="3699" spans="1:4">
      <c r="A3699" s="1">
        <v>23638</v>
      </c>
      <c r="B3699">
        <v>83.48</v>
      </c>
      <c r="C3699">
        <f t="shared" si="134"/>
        <v>-3.6997255042368095E-3</v>
      </c>
      <c r="D3699">
        <f t="shared" si="133"/>
        <v>-0.42359325258507291</v>
      </c>
    </row>
    <row r="3700" spans="1:4">
      <c r="A3700" s="1">
        <v>23641</v>
      </c>
      <c r="B3700">
        <v>83.86</v>
      </c>
      <c r="C3700">
        <f t="shared" si="134"/>
        <v>4.5519885002395233E-3</v>
      </c>
      <c r="D3700">
        <f t="shared" si="133"/>
        <v>0.44778494139375496</v>
      </c>
    </row>
    <row r="3701" spans="1:4">
      <c r="A3701" s="1">
        <v>23642</v>
      </c>
      <c r="B3701">
        <v>83.89</v>
      </c>
      <c r="C3701">
        <f t="shared" si="134"/>
        <v>3.5773908895780037E-4</v>
      </c>
      <c r="D3701">
        <f t="shared" si="133"/>
        <v>4.8736292570508754E-3</v>
      </c>
    </row>
    <row r="3702" spans="1:4">
      <c r="A3702" s="1">
        <v>23643</v>
      </c>
      <c r="B3702">
        <v>83.91</v>
      </c>
      <c r="C3702">
        <f t="shared" si="134"/>
        <v>2.3840743831202789E-4</v>
      </c>
      <c r="D3702">
        <f t="shared" si="133"/>
        <v>-7.7277524883437986E-3</v>
      </c>
    </row>
    <row r="3703" spans="1:4">
      <c r="A3703" s="1">
        <v>23644</v>
      </c>
      <c r="B3703">
        <v>84</v>
      </c>
      <c r="C3703">
        <f t="shared" si="134"/>
        <v>1.0725777618877776E-3</v>
      </c>
      <c r="D3703">
        <f t="shared" si="133"/>
        <v>8.0360350132985495E-2</v>
      </c>
    </row>
    <row r="3704" spans="1:4">
      <c r="A3704" s="1">
        <v>23645</v>
      </c>
      <c r="B3704">
        <v>84.21</v>
      </c>
      <c r="C3704">
        <f t="shared" si="134"/>
        <v>2.4999999999999255E-3</v>
      </c>
      <c r="D3704">
        <f t="shared" si="133"/>
        <v>0.2310956532732347</v>
      </c>
    </row>
    <row r="3705" spans="1:4">
      <c r="A3705" s="1">
        <v>23648</v>
      </c>
      <c r="B3705">
        <v>84.28</v>
      </c>
      <c r="C3705">
        <f t="shared" si="134"/>
        <v>8.3125519534505874E-4</v>
      </c>
      <c r="D3705">
        <f t="shared" si="133"/>
        <v>5.4876769135600349E-2</v>
      </c>
    </row>
    <row r="3706" spans="1:4">
      <c r="A3706" s="1">
        <v>23649</v>
      </c>
      <c r="B3706">
        <v>84.24</v>
      </c>
      <c r="C3706">
        <f t="shared" si="134"/>
        <v>-4.7460844803044912E-4</v>
      </c>
      <c r="D3706">
        <f t="shared" si="133"/>
        <v>-8.3021987720233656E-2</v>
      </c>
    </row>
    <row r="3707" spans="1:4">
      <c r="A3707" s="1">
        <v>23650</v>
      </c>
      <c r="B3707">
        <v>84.18</v>
      </c>
      <c r="C3707">
        <f t="shared" si="134"/>
        <v>-7.1225071225057058E-4</v>
      </c>
      <c r="D3707">
        <f t="shared" si="133"/>
        <v>-0.10811693004334803</v>
      </c>
    </row>
    <row r="3708" spans="1:4">
      <c r="A3708" s="1">
        <v>23651</v>
      </c>
      <c r="B3708">
        <v>84.08</v>
      </c>
      <c r="C3708">
        <f t="shared" si="134"/>
        <v>-1.1879306248516099E-3</v>
      </c>
      <c r="D3708">
        <f t="shared" si="133"/>
        <v>-0.15834856712255932</v>
      </c>
    </row>
    <row r="3709" spans="1:4">
      <c r="A3709" s="1">
        <v>23652</v>
      </c>
      <c r="B3709">
        <v>84.36</v>
      </c>
      <c r="C3709">
        <f t="shared" si="134"/>
        <v>3.3301617507136196E-3</v>
      </c>
      <c r="D3709">
        <f t="shared" si="133"/>
        <v>0.31876045196291103</v>
      </c>
    </row>
    <row r="3710" spans="1:4">
      <c r="A3710" s="1">
        <v>23655</v>
      </c>
      <c r="B3710">
        <v>84.74</v>
      </c>
      <c r="C3710">
        <f t="shared" si="134"/>
        <v>4.5045045045044507E-3</v>
      </c>
      <c r="D3710">
        <f t="shared" si="133"/>
        <v>0.44277064758472567</v>
      </c>
    </row>
    <row r="3711" spans="1:4">
      <c r="A3711" s="1">
        <v>23656</v>
      </c>
      <c r="B3711">
        <v>84.79</v>
      </c>
      <c r="C3711">
        <f t="shared" si="134"/>
        <v>5.9004012272847973E-4</v>
      </c>
      <c r="D3711">
        <f t="shared" si="133"/>
        <v>2.9404539460276626E-2</v>
      </c>
    </row>
    <row r="3712" spans="1:4">
      <c r="A3712" s="1">
        <v>23657</v>
      </c>
      <c r="B3712">
        <v>84.8</v>
      </c>
      <c r="C3712">
        <f t="shared" si="134"/>
        <v>1.1793843613622956E-4</v>
      </c>
      <c r="D3712">
        <f t="shared" si="133"/>
        <v>-2.0449238168704635E-2</v>
      </c>
    </row>
    <row r="3713" spans="1:4">
      <c r="A3713" s="1">
        <v>23658</v>
      </c>
      <c r="B3713">
        <v>85.04</v>
      </c>
      <c r="C3713">
        <f t="shared" si="134"/>
        <v>2.8301886792453904E-3</v>
      </c>
      <c r="D3713">
        <f t="shared" si="133"/>
        <v>0.26596346556497041</v>
      </c>
    </row>
    <row r="3714" spans="1:4">
      <c r="A3714" s="1">
        <v>23659</v>
      </c>
      <c r="B3714">
        <v>85.22</v>
      </c>
      <c r="C3714">
        <f t="shared" si="134"/>
        <v>2.116650987770374E-3</v>
      </c>
      <c r="D3714">
        <f t="shared" si="133"/>
        <v>0.19061412788845461</v>
      </c>
    </row>
    <row r="3715" spans="1:4">
      <c r="A3715" s="1">
        <v>23662</v>
      </c>
      <c r="B3715">
        <v>85.24</v>
      </c>
      <c r="C3715">
        <f t="shared" si="134"/>
        <v>2.3468669326444521E-4</v>
      </c>
      <c r="D3715">
        <f t="shared" ref="D3715:D3778" si="135">(C3715-avg)/sd</f>
        <v>-8.1206619006258373E-3</v>
      </c>
    </row>
    <row r="3716" spans="1:4">
      <c r="A3716" s="1">
        <v>23663</v>
      </c>
      <c r="B3716">
        <v>84.96</v>
      </c>
      <c r="C3716">
        <f t="shared" ref="C3716:C3779" si="136">(B3716-B3715)/B3715</f>
        <v>-3.2848427968090233E-3</v>
      </c>
      <c r="D3716">
        <f t="shared" si="135"/>
        <v>-0.37978177970618299</v>
      </c>
    </row>
    <row r="3717" spans="1:4">
      <c r="A3717" s="1">
        <v>23664</v>
      </c>
      <c r="B3717">
        <v>84.79</v>
      </c>
      <c r="C3717">
        <f t="shared" si="136"/>
        <v>-2.0009416195855404E-3</v>
      </c>
      <c r="D3717">
        <f t="shared" si="135"/>
        <v>-0.24420225181059782</v>
      </c>
    </row>
    <row r="3718" spans="1:4">
      <c r="A3718" s="1">
        <v>23665</v>
      </c>
      <c r="B3718">
        <v>84.25</v>
      </c>
      <c r="C3718">
        <f t="shared" si="136"/>
        <v>-6.3686755513622621E-3</v>
      </c>
      <c r="D3718">
        <f t="shared" si="135"/>
        <v>-0.70543347034132009</v>
      </c>
    </row>
    <row r="3719" spans="1:4">
      <c r="A3719" s="1">
        <v>23666</v>
      </c>
      <c r="B3719">
        <v>84.83</v>
      </c>
      <c r="C3719">
        <f t="shared" si="136"/>
        <v>6.8842729970326208E-3</v>
      </c>
      <c r="D3719">
        <f t="shared" si="135"/>
        <v>0.69407339147308633</v>
      </c>
    </row>
    <row r="3720" spans="1:4">
      <c r="A3720" s="1">
        <v>23669</v>
      </c>
      <c r="B3720">
        <v>84.93</v>
      </c>
      <c r="C3720">
        <f t="shared" si="136"/>
        <v>1.1788282447248442E-3</v>
      </c>
      <c r="D3720">
        <f t="shared" si="135"/>
        <v>9.1580365004285805E-2</v>
      </c>
    </row>
    <row r="3721" spans="1:4">
      <c r="A3721" s="1">
        <v>23670</v>
      </c>
      <c r="B3721">
        <v>85.18</v>
      </c>
      <c r="C3721">
        <f t="shared" si="136"/>
        <v>2.9436006122689272E-3</v>
      </c>
      <c r="D3721">
        <f t="shared" si="135"/>
        <v>0.27793972714166681</v>
      </c>
    </row>
    <row r="3722" spans="1:4">
      <c r="A3722" s="1">
        <v>23671</v>
      </c>
      <c r="B3722">
        <v>85.1</v>
      </c>
      <c r="C3722">
        <f t="shared" si="136"/>
        <v>-9.3918760272379076E-4</v>
      </c>
      <c r="D3722">
        <f t="shared" si="135"/>
        <v>-0.132081388537723</v>
      </c>
    </row>
    <row r="3723" spans="1:4">
      <c r="A3723" s="1">
        <v>23672</v>
      </c>
      <c r="B3723">
        <v>84.94</v>
      </c>
      <c r="C3723">
        <f t="shared" si="136"/>
        <v>-1.8801410105757533E-3</v>
      </c>
      <c r="D3723">
        <f t="shared" si="135"/>
        <v>-0.23144574856128644</v>
      </c>
    </row>
    <row r="3724" spans="1:4">
      <c r="A3724" s="1">
        <v>23673</v>
      </c>
      <c r="B3724">
        <v>85.14</v>
      </c>
      <c r="C3724">
        <f t="shared" si="136"/>
        <v>2.3546032493525176E-3</v>
      </c>
      <c r="D3724">
        <f t="shared" si="135"/>
        <v>0.21574180582762531</v>
      </c>
    </row>
    <row r="3725" spans="1:4">
      <c r="A3725" s="1">
        <v>23676</v>
      </c>
      <c r="B3725">
        <v>85</v>
      </c>
      <c r="C3725">
        <f t="shared" si="136"/>
        <v>-1.6443504815597905E-3</v>
      </c>
      <c r="D3725">
        <f t="shared" si="135"/>
        <v>-0.2065463488462958</v>
      </c>
    </row>
    <row r="3726" spans="1:4">
      <c r="A3726" s="1">
        <v>23677</v>
      </c>
      <c r="B3726">
        <v>85</v>
      </c>
      <c r="C3726">
        <f t="shared" si="136"/>
        <v>0</v>
      </c>
      <c r="D3726">
        <f t="shared" si="135"/>
        <v>-3.29034969354682E-2</v>
      </c>
    </row>
    <row r="3727" spans="1:4">
      <c r="A3727" s="1">
        <v>23678</v>
      </c>
      <c r="B3727">
        <v>84.69</v>
      </c>
      <c r="C3727">
        <f t="shared" si="136"/>
        <v>-3.6470588235294386E-3</v>
      </c>
      <c r="D3727">
        <f t="shared" si="135"/>
        <v>-0.41803166900464905</v>
      </c>
    </row>
    <row r="3728" spans="1:4">
      <c r="A3728" s="1">
        <v>23679</v>
      </c>
      <c r="B3728">
        <v>84.73</v>
      </c>
      <c r="C3728">
        <f t="shared" si="136"/>
        <v>4.7231078049363861E-4</v>
      </c>
      <c r="D3728">
        <f t="shared" si="135"/>
        <v>1.6972360938425211E-2</v>
      </c>
    </row>
    <row r="3729" spans="1:4">
      <c r="A3729" s="1">
        <v>23680</v>
      </c>
      <c r="B3729">
        <v>84.86</v>
      </c>
      <c r="C3729">
        <f t="shared" si="136"/>
        <v>1.5342853770800831E-3</v>
      </c>
      <c r="D3729">
        <f t="shared" si="135"/>
        <v>0.12911651735524912</v>
      </c>
    </row>
    <row r="3730" spans="1:4">
      <c r="A3730" s="1">
        <v>23683</v>
      </c>
      <c r="B3730">
        <v>85.18</v>
      </c>
      <c r="C3730">
        <f t="shared" si="136"/>
        <v>3.7709168041480958E-3</v>
      </c>
      <c r="D3730">
        <f t="shared" si="135"/>
        <v>0.36530403578566967</v>
      </c>
    </row>
    <row r="3731" spans="1:4">
      <c r="A3731" s="1">
        <v>23685</v>
      </c>
      <c r="B3731">
        <v>85.14</v>
      </c>
      <c r="C3731">
        <f t="shared" si="136"/>
        <v>-4.6959380136189538E-4</v>
      </c>
      <c r="D3731">
        <f t="shared" si="135"/>
        <v>-8.2492442736595589E-2</v>
      </c>
    </row>
    <row r="3732" spans="1:4">
      <c r="A3732" s="1">
        <v>23686</v>
      </c>
      <c r="B3732">
        <v>85.16</v>
      </c>
      <c r="C3732">
        <f t="shared" si="136"/>
        <v>2.3490721165135095E-4</v>
      </c>
      <c r="D3732">
        <f t="shared" si="135"/>
        <v>-8.0973752339264325E-3</v>
      </c>
    </row>
    <row r="3733" spans="1:4">
      <c r="A3733" s="1">
        <v>23687</v>
      </c>
      <c r="B3733">
        <v>85.23</v>
      </c>
      <c r="C3733">
        <f t="shared" si="136"/>
        <v>8.2198215124480267E-4</v>
      </c>
      <c r="D3733">
        <f t="shared" si="135"/>
        <v>5.3897538830674156E-2</v>
      </c>
    </row>
    <row r="3734" spans="1:4">
      <c r="A3734" s="1">
        <v>23690</v>
      </c>
      <c r="B3734">
        <v>85.19</v>
      </c>
      <c r="C3734">
        <f t="shared" si="136"/>
        <v>-4.6931831514732196E-4</v>
      </c>
      <c r="D3734">
        <f t="shared" si="135"/>
        <v>-8.2463351485978956E-2</v>
      </c>
    </row>
    <row r="3735" spans="1:4">
      <c r="A3735" s="1">
        <v>23691</v>
      </c>
      <c r="B3735">
        <v>84.84</v>
      </c>
      <c r="C3735">
        <f t="shared" si="136"/>
        <v>-4.1084634346753648E-3</v>
      </c>
      <c r="D3735">
        <f t="shared" si="135"/>
        <v>-0.4667558391026112</v>
      </c>
    </row>
    <row r="3736" spans="1:4">
      <c r="A3736" s="1">
        <v>23692</v>
      </c>
      <c r="B3736">
        <v>85.08</v>
      </c>
      <c r="C3736">
        <f t="shared" si="136"/>
        <v>2.8288543140027682E-3</v>
      </c>
      <c r="D3736">
        <f t="shared" si="135"/>
        <v>0.26582255704892233</v>
      </c>
    </row>
    <row r="3737" spans="1:4">
      <c r="A3737" s="1">
        <v>23693</v>
      </c>
      <c r="B3737">
        <v>85.19</v>
      </c>
      <c r="C3737">
        <f t="shared" si="136"/>
        <v>1.2929007992477602E-3</v>
      </c>
      <c r="D3737">
        <f t="shared" si="135"/>
        <v>0.10362638798676048</v>
      </c>
    </row>
    <row r="3738" spans="1:4">
      <c r="A3738" s="1">
        <v>23694</v>
      </c>
      <c r="B3738">
        <v>85.21</v>
      </c>
      <c r="C3738">
        <f t="shared" si="136"/>
        <v>2.3476933912426365E-4</v>
      </c>
      <c r="D3738">
        <f t="shared" si="135"/>
        <v>-8.1119345259217032E-3</v>
      </c>
    </row>
    <row r="3739" spans="1:4">
      <c r="A3739" s="1">
        <v>23697</v>
      </c>
      <c r="B3739">
        <v>85.65</v>
      </c>
      <c r="C3739">
        <f t="shared" si="136"/>
        <v>5.1637131792044589E-3</v>
      </c>
      <c r="D3739">
        <f t="shared" si="135"/>
        <v>0.5123828595571307</v>
      </c>
    </row>
    <row r="3740" spans="1:4">
      <c r="A3740" s="1">
        <v>23698</v>
      </c>
      <c r="B3740">
        <v>86.03</v>
      </c>
      <c r="C3740">
        <f t="shared" si="136"/>
        <v>4.436660828954996E-3</v>
      </c>
      <c r="D3740">
        <f t="shared" si="135"/>
        <v>0.43560637850788908</v>
      </c>
    </row>
    <row r="3741" spans="1:4">
      <c r="A3741" s="1">
        <v>23699</v>
      </c>
      <c r="B3741">
        <v>86.22</v>
      </c>
      <c r="C3741">
        <f t="shared" si="136"/>
        <v>2.2085319074741103E-3</v>
      </c>
      <c r="D3741">
        <f t="shared" si="135"/>
        <v>0.20031672177732707</v>
      </c>
    </row>
    <row r="3742" spans="1:4">
      <c r="A3742" s="1">
        <v>23700</v>
      </c>
      <c r="B3742">
        <v>86.18</v>
      </c>
      <c r="C3742">
        <f t="shared" si="136"/>
        <v>-4.6392948271853449E-4</v>
      </c>
      <c r="D3742">
        <f t="shared" si="135"/>
        <v>-8.1894292613252137E-2</v>
      </c>
    </row>
    <row r="3743" spans="1:4">
      <c r="A3743" s="1">
        <v>23701</v>
      </c>
      <c r="B3743">
        <v>86.28</v>
      </c>
      <c r="C3743">
        <f t="shared" si="136"/>
        <v>1.1603620329542156E-3</v>
      </c>
      <c r="D3743">
        <f t="shared" si="135"/>
        <v>8.9630339318277796E-2</v>
      </c>
    </row>
    <row r="3744" spans="1:4">
      <c r="A3744" s="1">
        <v>23704</v>
      </c>
      <c r="B3744">
        <v>86</v>
      </c>
      <c r="C3744">
        <f t="shared" si="136"/>
        <v>-3.2452480296708522E-3</v>
      </c>
      <c r="D3744">
        <f t="shared" si="135"/>
        <v>-0.37560058575530736</v>
      </c>
    </row>
    <row r="3745" spans="1:4">
      <c r="A3745" s="1">
        <v>23705</v>
      </c>
      <c r="B3745">
        <v>85.73</v>
      </c>
      <c r="C3745">
        <f t="shared" si="136"/>
        <v>-3.139534883720884E-3</v>
      </c>
      <c r="D3745">
        <f t="shared" si="135"/>
        <v>-0.36443731347663499</v>
      </c>
    </row>
    <row r="3746" spans="1:4">
      <c r="A3746" s="1">
        <v>23706</v>
      </c>
      <c r="B3746">
        <v>85.44</v>
      </c>
      <c r="C3746">
        <f t="shared" si="136"/>
        <v>-3.3827131692523767E-3</v>
      </c>
      <c r="D3746">
        <f t="shared" si="135"/>
        <v>-0.39011685776844507</v>
      </c>
    </row>
    <row r="3747" spans="1:4">
      <c r="A3747" s="1">
        <v>23708</v>
      </c>
      <c r="B3747">
        <v>85.16</v>
      </c>
      <c r="C3747">
        <f t="shared" si="136"/>
        <v>-3.2771535580524477E-3</v>
      </c>
      <c r="D3747">
        <f t="shared" si="135"/>
        <v>-0.37896979870718783</v>
      </c>
    </row>
    <row r="3748" spans="1:4">
      <c r="A3748" s="1">
        <v>23711</v>
      </c>
      <c r="B3748">
        <v>84.42</v>
      </c>
      <c r="C3748">
        <f t="shared" si="136"/>
        <v>-8.6895255988726511E-3</v>
      </c>
      <c r="D3748">
        <f t="shared" si="135"/>
        <v>-0.95051444646315553</v>
      </c>
    </row>
    <row r="3749" spans="1:4">
      <c r="A3749" s="1">
        <v>23712</v>
      </c>
      <c r="B3749">
        <v>83.55</v>
      </c>
      <c r="C3749">
        <f t="shared" si="136"/>
        <v>-1.0305614783226778E-2</v>
      </c>
      <c r="D3749">
        <f t="shared" si="135"/>
        <v>-1.1211729149955467</v>
      </c>
    </row>
    <row r="3750" spans="1:4">
      <c r="A3750" s="1">
        <v>23713</v>
      </c>
      <c r="B3750">
        <v>83.79</v>
      </c>
      <c r="C3750">
        <f t="shared" si="136"/>
        <v>2.8725314183124968E-3</v>
      </c>
      <c r="D3750">
        <f t="shared" si="135"/>
        <v>0.27043484441746052</v>
      </c>
    </row>
    <row r="3751" spans="1:4">
      <c r="A3751" s="1">
        <v>23714</v>
      </c>
      <c r="B3751">
        <v>84.18</v>
      </c>
      <c r="C3751">
        <f t="shared" si="136"/>
        <v>4.6544933762978939E-3</v>
      </c>
      <c r="D3751">
        <f t="shared" si="135"/>
        <v>0.45860942146241856</v>
      </c>
    </row>
    <row r="3752" spans="1:4">
      <c r="A3752" s="1">
        <v>23715</v>
      </c>
      <c r="B3752">
        <v>84.35</v>
      </c>
      <c r="C3752">
        <f t="shared" si="136"/>
        <v>2.019482062247416E-3</v>
      </c>
      <c r="D3752">
        <f t="shared" si="135"/>
        <v>0.18035312238255283</v>
      </c>
    </row>
    <row r="3753" spans="1:4">
      <c r="A3753" s="1">
        <v>23718</v>
      </c>
      <c r="B3753">
        <v>84.33</v>
      </c>
      <c r="C3753">
        <f t="shared" si="136"/>
        <v>-2.371072910491526E-4</v>
      </c>
      <c r="D3753">
        <f t="shared" si="135"/>
        <v>-5.7941946273574491E-2</v>
      </c>
    </row>
    <row r="3754" spans="1:4">
      <c r="A3754" s="1">
        <v>23719</v>
      </c>
      <c r="B3754">
        <v>84</v>
      </c>
      <c r="C3754">
        <f t="shared" si="136"/>
        <v>-3.9131981501244906E-3</v>
      </c>
      <c r="D3754">
        <f t="shared" si="135"/>
        <v>-0.44613589142793403</v>
      </c>
    </row>
    <row r="3755" spans="1:4">
      <c r="A3755" s="1">
        <v>23720</v>
      </c>
      <c r="B3755">
        <v>83.46</v>
      </c>
      <c r="C3755">
        <f t="shared" si="136"/>
        <v>-6.4285714285715031E-3</v>
      </c>
      <c r="D3755">
        <f t="shared" si="135"/>
        <v>-0.71175845461501808</v>
      </c>
    </row>
    <row r="3756" spans="1:4">
      <c r="A3756" s="1">
        <v>23721</v>
      </c>
      <c r="B3756">
        <v>83.45</v>
      </c>
      <c r="C3756">
        <f t="shared" si="136"/>
        <v>-1.1981787682711365E-4</v>
      </c>
      <c r="D3756">
        <f t="shared" si="135"/>
        <v>-4.5556224000336189E-2</v>
      </c>
    </row>
    <row r="3757" spans="1:4">
      <c r="A3757" s="1">
        <v>23722</v>
      </c>
      <c r="B3757">
        <v>83.66</v>
      </c>
      <c r="C3757">
        <f t="shared" si="136"/>
        <v>2.5164769322947125E-3</v>
      </c>
      <c r="D3757">
        <f t="shared" si="135"/>
        <v>0.2328356117227828</v>
      </c>
    </row>
    <row r="3758" spans="1:4">
      <c r="A3758" s="1">
        <v>23725</v>
      </c>
      <c r="B3758">
        <v>83.45</v>
      </c>
      <c r="C3758">
        <f t="shared" si="136"/>
        <v>-2.5101601721251943E-3</v>
      </c>
      <c r="D3758">
        <f t="shared" si="135"/>
        <v>-0.29797555786698915</v>
      </c>
    </row>
    <row r="3759" spans="1:4">
      <c r="A3759" s="1">
        <v>23726</v>
      </c>
      <c r="B3759">
        <v>83.22</v>
      </c>
      <c r="C3759">
        <f t="shared" si="136"/>
        <v>-2.7561414020371958E-3</v>
      </c>
      <c r="D3759">
        <f t="shared" si="135"/>
        <v>-0.32395109213261392</v>
      </c>
    </row>
    <row r="3760" spans="1:4">
      <c r="A3760" s="1">
        <v>23727</v>
      </c>
      <c r="B3760">
        <v>83.55</v>
      </c>
      <c r="C3760">
        <f t="shared" si="136"/>
        <v>3.9653929343907513E-3</v>
      </c>
      <c r="D3760">
        <f t="shared" si="135"/>
        <v>0.38584064903364551</v>
      </c>
    </row>
    <row r="3761" spans="1:4">
      <c r="A3761" s="1">
        <v>23728</v>
      </c>
      <c r="B3761">
        <v>83.9</v>
      </c>
      <c r="C3761">
        <f t="shared" si="136"/>
        <v>4.1891083183723341E-3</v>
      </c>
      <c r="D3761">
        <f t="shared" si="135"/>
        <v>0.40946491753754682</v>
      </c>
    </row>
    <row r="3762" spans="1:4">
      <c r="A3762" s="1">
        <v>23729</v>
      </c>
      <c r="B3762">
        <v>84.29</v>
      </c>
      <c r="C3762">
        <f t="shared" si="136"/>
        <v>4.6483909415971462E-3</v>
      </c>
      <c r="D3762">
        <f t="shared" si="135"/>
        <v>0.45796500643233795</v>
      </c>
    </row>
    <row r="3763" spans="1:4">
      <c r="A3763" s="1">
        <v>23732</v>
      </c>
      <c r="B3763">
        <v>84.38</v>
      </c>
      <c r="C3763">
        <f t="shared" si="136"/>
        <v>1.0677423181870826E-3</v>
      </c>
      <c r="D3763">
        <f t="shared" si="135"/>
        <v>7.9849728921839266E-2</v>
      </c>
    </row>
    <row r="3764" spans="1:4">
      <c r="A3764" s="1">
        <v>23733</v>
      </c>
      <c r="B3764">
        <v>84.33</v>
      </c>
      <c r="C3764">
        <f t="shared" si="136"/>
        <v>-5.9255747807533969E-4</v>
      </c>
      <c r="D3764">
        <f t="shared" si="135"/>
        <v>-9.5477365200150779E-2</v>
      </c>
    </row>
    <row r="3765" spans="1:4">
      <c r="A3765" s="1">
        <v>23734</v>
      </c>
      <c r="B3765">
        <v>84.15</v>
      </c>
      <c r="C3765">
        <f t="shared" si="136"/>
        <v>-2.1344717182496457E-3</v>
      </c>
      <c r="D3765">
        <f t="shared" si="135"/>
        <v>-0.25830298484044145</v>
      </c>
    </row>
    <row r="3766" spans="1:4">
      <c r="A3766" s="1">
        <v>23735</v>
      </c>
      <c r="B3766">
        <v>84.15</v>
      </c>
      <c r="C3766">
        <f t="shared" si="136"/>
        <v>0</v>
      </c>
      <c r="D3766">
        <f t="shared" si="135"/>
        <v>-3.29034969354682E-2</v>
      </c>
    </row>
    <row r="3767" spans="1:4">
      <c r="A3767" s="1">
        <v>23739</v>
      </c>
      <c r="B3767">
        <v>84.07</v>
      </c>
      <c r="C3767">
        <f t="shared" si="136"/>
        <v>-9.506833036246286E-4</v>
      </c>
      <c r="D3767">
        <f t="shared" si="135"/>
        <v>-0.13329533064527288</v>
      </c>
    </row>
    <row r="3768" spans="1:4">
      <c r="A3768" s="1">
        <v>23740</v>
      </c>
      <c r="B3768">
        <v>83.81</v>
      </c>
      <c r="C3768">
        <f t="shared" si="136"/>
        <v>-3.0926608778397875E-3</v>
      </c>
      <c r="D3768">
        <f t="shared" si="135"/>
        <v>-0.35948743438883995</v>
      </c>
    </row>
    <row r="3769" spans="1:4">
      <c r="A3769" s="1">
        <v>23741</v>
      </c>
      <c r="B3769">
        <v>84.3</v>
      </c>
      <c r="C3769">
        <f t="shared" si="136"/>
        <v>5.8465576900130637E-3</v>
      </c>
      <c r="D3769">
        <f t="shared" si="135"/>
        <v>0.58449100778839247</v>
      </c>
    </row>
    <row r="3770" spans="1:4">
      <c r="A3770" s="1">
        <v>23742</v>
      </c>
      <c r="B3770">
        <v>84.75</v>
      </c>
      <c r="C3770">
        <f t="shared" si="136"/>
        <v>5.3380782918149806E-3</v>
      </c>
      <c r="D3770">
        <f t="shared" si="135"/>
        <v>0.53079575617922026</v>
      </c>
    </row>
    <row r="3771" spans="1:4">
      <c r="A3771" s="1">
        <v>23746</v>
      </c>
      <c r="B3771">
        <v>84.23</v>
      </c>
      <c r="C3771">
        <f t="shared" si="136"/>
        <v>-6.1356932153391859E-3</v>
      </c>
      <c r="D3771">
        <f t="shared" si="135"/>
        <v>-0.68083061485182716</v>
      </c>
    </row>
    <row r="3772" spans="1:4">
      <c r="A3772" s="1">
        <v>23747</v>
      </c>
      <c r="B3772">
        <v>84.63</v>
      </c>
      <c r="C3772">
        <f t="shared" si="136"/>
        <v>4.7489018164548437E-3</v>
      </c>
      <c r="D3772">
        <f t="shared" si="135"/>
        <v>0.46857892065200446</v>
      </c>
    </row>
    <row r="3773" spans="1:4">
      <c r="A3773" s="1">
        <v>23748</v>
      </c>
      <c r="B3773">
        <v>84.89</v>
      </c>
      <c r="C3773">
        <f t="shared" si="136"/>
        <v>3.0721966205837781E-3</v>
      </c>
      <c r="D3773">
        <f t="shared" si="135"/>
        <v>0.291519421907808</v>
      </c>
    </row>
    <row r="3774" spans="1:4">
      <c r="A3774" s="1">
        <v>23749</v>
      </c>
      <c r="B3774">
        <v>85.26</v>
      </c>
      <c r="C3774">
        <f t="shared" si="136"/>
        <v>4.358581693956939E-3</v>
      </c>
      <c r="D3774">
        <f t="shared" si="135"/>
        <v>0.42736124839248174</v>
      </c>
    </row>
    <row r="3775" spans="1:4">
      <c r="A3775" s="1">
        <v>23750</v>
      </c>
      <c r="B3775">
        <v>85.37</v>
      </c>
      <c r="C3775">
        <f t="shared" si="136"/>
        <v>1.2901712409101504E-3</v>
      </c>
      <c r="D3775">
        <f t="shared" si="135"/>
        <v>0.10333814755413084</v>
      </c>
    </row>
    <row r="3776" spans="1:4">
      <c r="A3776" s="1">
        <v>23753</v>
      </c>
      <c r="B3776">
        <v>85.4</v>
      </c>
      <c r="C3776">
        <f t="shared" si="136"/>
        <v>3.5141150286987393E-4</v>
      </c>
      <c r="D3776">
        <f t="shared" si="135"/>
        <v>4.2054383170168595E-3</v>
      </c>
    </row>
    <row r="3777" spans="1:4">
      <c r="A3777" s="1">
        <v>23754</v>
      </c>
      <c r="B3777">
        <v>85.61</v>
      </c>
      <c r="C3777">
        <f t="shared" si="136"/>
        <v>2.4590163934425494E-3</v>
      </c>
      <c r="D3777">
        <f t="shared" si="135"/>
        <v>0.22676779835178054</v>
      </c>
    </row>
    <row r="3778" spans="1:4">
      <c r="A3778" s="1">
        <v>23755</v>
      </c>
      <c r="B3778">
        <v>85.84</v>
      </c>
      <c r="C3778">
        <f t="shared" si="136"/>
        <v>2.6866020324728883E-3</v>
      </c>
      <c r="D3778">
        <f t="shared" si="135"/>
        <v>0.25080076447326688</v>
      </c>
    </row>
    <row r="3779" spans="1:4">
      <c r="A3779" s="1">
        <v>23756</v>
      </c>
      <c r="B3779">
        <v>85.84</v>
      </c>
      <c r="C3779">
        <f t="shared" si="136"/>
        <v>0</v>
      </c>
      <c r="D3779">
        <f t="shared" ref="D3779:D3842" si="137">(C3779-avg)/sd</f>
        <v>-3.29034969354682E-2</v>
      </c>
    </row>
    <row r="3780" spans="1:4">
      <c r="A3780" s="1">
        <v>23757</v>
      </c>
      <c r="B3780">
        <v>86.21</v>
      </c>
      <c r="C3780">
        <f t="shared" ref="C3780:C3843" si="138">(B3780-B3779)/B3779</f>
        <v>4.3103448275860941E-3</v>
      </c>
      <c r="D3780">
        <f t="shared" si="137"/>
        <v>0.42226745170022806</v>
      </c>
    </row>
    <row r="3781" spans="1:4">
      <c r="A3781" s="1">
        <v>23760</v>
      </c>
      <c r="B3781">
        <v>86.49</v>
      </c>
      <c r="C3781">
        <f t="shared" si="138"/>
        <v>3.2478830762092698E-3</v>
      </c>
      <c r="D3781">
        <f t="shared" si="137"/>
        <v>0.31007185190313208</v>
      </c>
    </row>
    <row r="3782" spans="1:4">
      <c r="A3782" s="1">
        <v>23761</v>
      </c>
      <c r="B3782">
        <v>86.63</v>
      </c>
      <c r="C3782">
        <f t="shared" si="138"/>
        <v>1.6186842409527179E-3</v>
      </c>
      <c r="D3782">
        <f t="shared" si="137"/>
        <v>0.13802900869163162</v>
      </c>
    </row>
    <row r="3783" spans="1:4">
      <c r="A3783" s="1">
        <v>23762</v>
      </c>
      <c r="B3783">
        <v>86.6</v>
      </c>
      <c r="C3783">
        <f t="shared" si="138"/>
        <v>-3.4630035784371626E-4</v>
      </c>
      <c r="D3783">
        <f t="shared" si="137"/>
        <v>-6.9472697010553613E-2</v>
      </c>
    </row>
    <row r="3784" spans="1:4">
      <c r="A3784" s="1">
        <v>23763</v>
      </c>
      <c r="B3784">
        <v>86.52</v>
      </c>
      <c r="C3784">
        <f t="shared" si="138"/>
        <v>-9.2378752886834064E-4</v>
      </c>
      <c r="D3784">
        <f t="shared" si="137"/>
        <v>-0.13045514597332691</v>
      </c>
    </row>
    <row r="3785" spans="1:4">
      <c r="A3785" s="1">
        <v>23764</v>
      </c>
      <c r="B3785">
        <v>86.74</v>
      </c>
      <c r="C3785">
        <f t="shared" si="138"/>
        <v>2.5427646786869958E-3</v>
      </c>
      <c r="D3785">
        <f t="shared" si="137"/>
        <v>0.23561158880616875</v>
      </c>
    </row>
    <row r="3786" spans="1:4">
      <c r="A3786" s="1">
        <v>23767</v>
      </c>
      <c r="B3786">
        <v>86.86</v>
      </c>
      <c r="C3786">
        <f t="shared" si="138"/>
        <v>1.3834447774960174E-3</v>
      </c>
      <c r="D3786">
        <f t="shared" si="137"/>
        <v>0.11318780131238282</v>
      </c>
    </row>
    <row r="3787" spans="1:4">
      <c r="A3787" s="1">
        <v>23768</v>
      </c>
      <c r="B3787">
        <v>86.94</v>
      </c>
      <c r="C3787">
        <f t="shared" si="138"/>
        <v>9.2102233479159903E-4</v>
      </c>
      <c r="D3787">
        <f t="shared" si="137"/>
        <v>6.4356148547821748E-2</v>
      </c>
    </row>
    <row r="3788" spans="1:4">
      <c r="A3788" s="1">
        <v>23769</v>
      </c>
      <c r="B3788">
        <v>87.23</v>
      </c>
      <c r="C3788">
        <f t="shared" si="138"/>
        <v>3.3356337704164513E-3</v>
      </c>
      <c r="D3788">
        <f t="shared" si="137"/>
        <v>0.31933829538350017</v>
      </c>
    </row>
    <row r="3789" spans="1:4">
      <c r="A3789" s="1">
        <v>23770</v>
      </c>
      <c r="B3789">
        <v>87.48</v>
      </c>
      <c r="C3789">
        <f t="shared" si="138"/>
        <v>2.8659864725438496E-3</v>
      </c>
      <c r="D3789">
        <f t="shared" si="137"/>
        <v>0.26974370036902656</v>
      </c>
    </row>
    <row r="3790" spans="1:4">
      <c r="A3790" s="1">
        <v>23771</v>
      </c>
      <c r="B3790">
        <v>87.56</v>
      </c>
      <c r="C3790">
        <f t="shared" si="138"/>
        <v>9.1449474165521594E-4</v>
      </c>
      <c r="D3790">
        <f t="shared" si="137"/>
        <v>6.3666836931456403E-2</v>
      </c>
    </row>
    <row r="3791" spans="1:4">
      <c r="A3791" s="1">
        <v>23774</v>
      </c>
      <c r="B3791">
        <v>87.58</v>
      </c>
      <c r="C3791">
        <f t="shared" si="138"/>
        <v>2.2841480127907743E-4</v>
      </c>
      <c r="D3791">
        <f t="shared" si="137"/>
        <v>-8.7829715623610055E-3</v>
      </c>
    </row>
    <row r="3792" spans="1:4">
      <c r="A3792" s="1">
        <v>23775</v>
      </c>
      <c r="B3792">
        <v>87.55</v>
      </c>
      <c r="C3792">
        <f t="shared" si="138"/>
        <v>-3.4254395980818839E-4</v>
      </c>
      <c r="D3792">
        <f t="shared" si="137"/>
        <v>-6.9076022654863609E-2</v>
      </c>
    </row>
    <row r="3793" spans="1:4">
      <c r="A3793" s="1">
        <v>23776</v>
      </c>
      <c r="B3793">
        <v>87.63</v>
      </c>
      <c r="C3793">
        <f t="shared" si="138"/>
        <v>9.1376356367787895E-4</v>
      </c>
      <c r="D3793">
        <f t="shared" si="137"/>
        <v>6.3589624785589077E-2</v>
      </c>
    </row>
    <row r="3794" spans="1:4">
      <c r="A3794" s="1">
        <v>23777</v>
      </c>
      <c r="B3794">
        <v>87.57</v>
      </c>
      <c r="C3794">
        <f t="shared" si="138"/>
        <v>-6.8469702156798216E-4</v>
      </c>
      <c r="D3794">
        <f t="shared" si="137"/>
        <v>-0.10520726967322123</v>
      </c>
    </row>
    <row r="3795" spans="1:4">
      <c r="A3795" s="1">
        <v>23778</v>
      </c>
      <c r="B3795">
        <v>87.29</v>
      </c>
      <c r="C3795">
        <f t="shared" si="138"/>
        <v>-3.1974420463627604E-3</v>
      </c>
      <c r="D3795">
        <f t="shared" si="137"/>
        <v>-0.37055229016801616</v>
      </c>
    </row>
    <row r="3796" spans="1:4">
      <c r="A3796" s="1">
        <v>23781</v>
      </c>
      <c r="B3796">
        <v>86.95</v>
      </c>
      <c r="C3796">
        <f t="shared" si="138"/>
        <v>-3.8950624355596677E-3</v>
      </c>
      <c r="D3796">
        <f t="shared" si="137"/>
        <v>-0.44422076613451766</v>
      </c>
    </row>
    <row r="3797" spans="1:4">
      <c r="A3797" s="1">
        <v>23782</v>
      </c>
      <c r="B3797">
        <v>87.24</v>
      </c>
      <c r="C3797">
        <f t="shared" si="138"/>
        <v>3.3352501437606905E-3</v>
      </c>
      <c r="D3797">
        <f t="shared" si="137"/>
        <v>0.31929778453905289</v>
      </c>
    </row>
    <row r="3798" spans="1:4">
      <c r="A3798" s="1">
        <v>23783</v>
      </c>
      <c r="B3798">
        <v>86.46</v>
      </c>
      <c r="C3798">
        <f t="shared" si="138"/>
        <v>-8.9408528198074416E-3</v>
      </c>
      <c r="D3798">
        <f t="shared" si="137"/>
        <v>-0.97705451556359613</v>
      </c>
    </row>
    <row r="3799" spans="1:4">
      <c r="A3799" s="1">
        <v>23784</v>
      </c>
      <c r="B3799">
        <v>85.54</v>
      </c>
      <c r="C3799">
        <f t="shared" si="138"/>
        <v>-1.0640758732361642E-2</v>
      </c>
      <c r="D3799">
        <f t="shared" si="137"/>
        <v>-1.1565640021032249</v>
      </c>
    </row>
    <row r="3800" spans="1:4">
      <c r="A3800" s="1">
        <v>23785</v>
      </c>
      <c r="B3800">
        <v>86.17</v>
      </c>
      <c r="C3800">
        <f t="shared" si="138"/>
        <v>7.3649754500817793E-3</v>
      </c>
      <c r="D3800">
        <f t="shared" si="137"/>
        <v>0.74483540711637453</v>
      </c>
    </row>
    <row r="3801" spans="1:4">
      <c r="A3801" s="1">
        <v>23788</v>
      </c>
      <c r="B3801">
        <v>86.07</v>
      </c>
      <c r="C3801">
        <f t="shared" si="138"/>
        <v>-1.1604966925845251E-3</v>
      </c>
      <c r="D3801">
        <f t="shared" si="137"/>
        <v>-0.15545155320040183</v>
      </c>
    </row>
    <row r="3802" spans="1:4">
      <c r="A3802" s="1">
        <v>23789</v>
      </c>
      <c r="B3802">
        <v>85.67</v>
      </c>
      <c r="C3802">
        <f t="shared" si="138"/>
        <v>-4.6473800395026316E-3</v>
      </c>
      <c r="D3802">
        <f t="shared" si="137"/>
        <v>-0.52366524938571601</v>
      </c>
    </row>
    <row r="3803" spans="1:4">
      <c r="A3803" s="1">
        <v>23790</v>
      </c>
      <c r="B3803">
        <v>85.77</v>
      </c>
      <c r="C3803">
        <f t="shared" si="138"/>
        <v>1.1672697560405547E-3</v>
      </c>
      <c r="D3803">
        <f t="shared" si="137"/>
        <v>9.0359792528146035E-2</v>
      </c>
    </row>
    <row r="3804" spans="1:4">
      <c r="A3804" s="1">
        <v>23791</v>
      </c>
      <c r="B3804">
        <v>86.05</v>
      </c>
      <c r="C3804">
        <f t="shared" si="138"/>
        <v>3.2645447126034878E-3</v>
      </c>
      <c r="D3804">
        <f t="shared" si="137"/>
        <v>0.3118313150427961</v>
      </c>
    </row>
    <row r="3805" spans="1:4">
      <c r="A3805" s="1">
        <v>23792</v>
      </c>
      <c r="B3805">
        <v>86.21</v>
      </c>
      <c r="C3805">
        <f t="shared" si="138"/>
        <v>1.8593840790237838E-3</v>
      </c>
      <c r="D3805">
        <f t="shared" si="137"/>
        <v>0.16344682977408589</v>
      </c>
    </row>
    <row r="3806" spans="1:4">
      <c r="A3806" s="1">
        <v>23796</v>
      </c>
      <c r="B3806">
        <v>86.64</v>
      </c>
      <c r="C3806">
        <f t="shared" si="138"/>
        <v>4.9878204384642948E-3</v>
      </c>
      <c r="D3806">
        <f t="shared" si="137"/>
        <v>0.49380864592381696</v>
      </c>
    </row>
    <row r="3807" spans="1:4">
      <c r="A3807" s="1">
        <v>23797</v>
      </c>
      <c r="B3807">
        <v>87.17</v>
      </c>
      <c r="C3807">
        <f t="shared" si="138"/>
        <v>6.1172668513388862E-3</v>
      </c>
      <c r="D3807">
        <f t="shared" si="137"/>
        <v>0.61307780320588445</v>
      </c>
    </row>
    <row r="3808" spans="1:4">
      <c r="A3808" s="1">
        <v>23798</v>
      </c>
      <c r="B3808">
        <v>87.2</v>
      </c>
      <c r="C3808">
        <f t="shared" si="138"/>
        <v>3.4415509923139997E-4</v>
      </c>
      <c r="D3808">
        <f t="shared" si="137"/>
        <v>3.43916455936545E-3</v>
      </c>
    </row>
    <row r="3809" spans="1:4">
      <c r="A3809" s="1">
        <v>23799</v>
      </c>
      <c r="B3809">
        <v>87.43</v>
      </c>
      <c r="C3809">
        <f t="shared" si="138"/>
        <v>2.6376146788991283E-3</v>
      </c>
      <c r="D3809">
        <f t="shared" si="137"/>
        <v>0.24562771658748836</v>
      </c>
    </row>
    <row r="3810" spans="1:4">
      <c r="A3810" s="1">
        <v>23802</v>
      </c>
      <c r="B3810">
        <v>87.25</v>
      </c>
      <c r="C3810">
        <f t="shared" si="138"/>
        <v>-2.0587898890541785E-3</v>
      </c>
      <c r="D3810">
        <f t="shared" si="137"/>
        <v>-0.25031100940290379</v>
      </c>
    </row>
    <row r="3811" spans="1:4">
      <c r="A3811" s="1">
        <v>23803</v>
      </c>
      <c r="B3811">
        <v>87.4</v>
      </c>
      <c r="C3811">
        <f t="shared" si="138"/>
        <v>1.7191977077364547E-3</v>
      </c>
      <c r="D3811">
        <f t="shared" si="137"/>
        <v>0.14864319661780684</v>
      </c>
    </row>
    <row r="3812" spans="1:4">
      <c r="A3812" s="1">
        <v>23804</v>
      </c>
      <c r="B3812">
        <v>87.26</v>
      </c>
      <c r="C3812">
        <f t="shared" si="138"/>
        <v>-1.6018306636155671E-3</v>
      </c>
      <c r="D3812">
        <f t="shared" si="137"/>
        <v>-0.20205627052457417</v>
      </c>
    </row>
    <row r="3813" spans="1:4">
      <c r="A3813" s="1">
        <v>23805</v>
      </c>
      <c r="B3813">
        <v>86.98</v>
      </c>
      <c r="C3813">
        <f t="shared" si="138"/>
        <v>-3.2088012835205263E-3</v>
      </c>
      <c r="D3813">
        <f t="shared" si="137"/>
        <v>-0.37175182175068394</v>
      </c>
    </row>
    <row r="3814" spans="1:4">
      <c r="A3814" s="1">
        <v>23806</v>
      </c>
      <c r="B3814">
        <v>86.8</v>
      </c>
      <c r="C3814">
        <f t="shared" si="138"/>
        <v>-2.0694412508623456E-3</v>
      </c>
      <c r="D3814">
        <f t="shared" si="137"/>
        <v>-0.25143578958927248</v>
      </c>
    </row>
    <row r="3815" spans="1:4">
      <c r="A3815" s="1">
        <v>23809</v>
      </c>
      <c r="B3815">
        <v>86.83</v>
      </c>
      <c r="C3815">
        <f t="shared" si="138"/>
        <v>3.4562211981568132E-4</v>
      </c>
      <c r="D3815">
        <f t="shared" si="137"/>
        <v>3.5940814344010354E-3</v>
      </c>
    </row>
    <row r="3816" spans="1:4">
      <c r="A3816" s="1">
        <v>23810</v>
      </c>
      <c r="B3816">
        <v>86.69</v>
      </c>
      <c r="C3816">
        <f t="shared" si="138"/>
        <v>-1.6123459633767196E-3</v>
      </c>
      <c r="D3816">
        <f t="shared" si="137"/>
        <v>-0.20316668260502782</v>
      </c>
    </row>
    <row r="3817" spans="1:4">
      <c r="A3817" s="1">
        <v>23811</v>
      </c>
      <c r="B3817">
        <v>86.54</v>
      </c>
      <c r="C3817">
        <f t="shared" si="138"/>
        <v>-1.7303033798591703E-3</v>
      </c>
      <c r="D3817">
        <f t="shared" si="137"/>
        <v>-0.21562294568990062</v>
      </c>
    </row>
    <row r="3818" spans="1:4">
      <c r="A3818" s="1">
        <v>23812</v>
      </c>
      <c r="B3818">
        <v>86.9</v>
      </c>
      <c r="C3818">
        <f t="shared" si="138"/>
        <v>4.1599260457591799E-3</v>
      </c>
      <c r="D3818">
        <f t="shared" si="137"/>
        <v>0.40638327946913416</v>
      </c>
    </row>
    <row r="3819" spans="1:4">
      <c r="A3819" s="1">
        <v>23813</v>
      </c>
      <c r="B3819">
        <v>87.21</v>
      </c>
      <c r="C3819">
        <f t="shared" si="138"/>
        <v>3.5673187571920372E-3</v>
      </c>
      <c r="D3819">
        <f t="shared" si="137"/>
        <v>0.34380415123344865</v>
      </c>
    </row>
    <row r="3820" spans="1:4">
      <c r="A3820" s="1">
        <v>23816</v>
      </c>
      <c r="B3820">
        <v>87.24</v>
      </c>
      <c r="C3820">
        <f t="shared" si="138"/>
        <v>3.4399724802202888E-4</v>
      </c>
      <c r="D3820">
        <f t="shared" si="137"/>
        <v>3.4224955253120961E-3</v>
      </c>
    </row>
    <row r="3821" spans="1:4">
      <c r="A3821" s="1">
        <v>23817</v>
      </c>
      <c r="B3821">
        <v>87.13</v>
      </c>
      <c r="C3821">
        <f t="shared" si="138"/>
        <v>-1.2608895002292461E-3</v>
      </c>
      <c r="D3821">
        <f t="shared" si="137"/>
        <v>-0.16605299956251099</v>
      </c>
    </row>
    <row r="3822" spans="1:4">
      <c r="A3822" s="1">
        <v>23818</v>
      </c>
      <c r="B3822">
        <v>87.02</v>
      </c>
      <c r="C3822">
        <f t="shared" si="138"/>
        <v>-1.2624813497073273E-3</v>
      </c>
      <c r="D3822">
        <f t="shared" si="137"/>
        <v>-0.16622109832630044</v>
      </c>
    </row>
    <row r="3823" spans="1:4">
      <c r="A3823" s="1">
        <v>23819</v>
      </c>
      <c r="B3823">
        <v>86.81</v>
      </c>
      <c r="C3823">
        <f t="shared" si="138"/>
        <v>-2.4132383360146374E-3</v>
      </c>
      <c r="D3823">
        <f t="shared" si="137"/>
        <v>-0.28774064491904716</v>
      </c>
    </row>
    <row r="3824" spans="1:4">
      <c r="A3824" s="1">
        <v>23820</v>
      </c>
      <c r="B3824">
        <v>86.84</v>
      </c>
      <c r="C3824">
        <f t="shared" si="138"/>
        <v>3.4558230618593635E-4</v>
      </c>
      <c r="D3824">
        <f t="shared" si="137"/>
        <v>3.5898771286332763E-3</v>
      </c>
    </row>
    <row r="3825" spans="1:4">
      <c r="A3825" s="1">
        <v>23823</v>
      </c>
      <c r="B3825">
        <v>86.83</v>
      </c>
      <c r="C3825">
        <f t="shared" si="138"/>
        <v>-1.1515430677113214E-4</v>
      </c>
      <c r="D3825">
        <f t="shared" si="137"/>
        <v>-4.5063752587649025E-2</v>
      </c>
    </row>
    <row r="3826" spans="1:4">
      <c r="A3826" s="1">
        <v>23824</v>
      </c>
      <c r="B3826">
        <v>86.93</v>
      </c>
      <c r="C3826">
        <f t="shared" si="138"/>
        <v>1.1516756881263218E-3</v>
      </c>
      <c r="D3826">
        <f t="shared" si="137"/>
        <v>8.8713064257084265E-2</v>
      </c>
    </row>
    <row r="3827" spans="1:4">
      <c r="A3827" s="1">
        <v>23825</v>
      </c>
      <c r="B3827">
        <v>87.09</v>
      </c>
      <c r="C3827">
        <f t="shared" si="138"/>
        <v>1.8405613712181822E-3</v>
      </c>
      <c r="D3827">
        <f t="shared" si="137"/>
        <v>0.16145915822796361</v>
      </c>
    </row>
    <row r="3828" spans="1:4">
      <c r="A3828" s="1">
        <v>23826</v>
      </c>
      <c r="B3828">
        <v>86.84</v>
      </c>
      <c r="C3828">
        <f t="shared" si="138"/>
        <v>-2.8705936387644964E-3</v>
      </c>
      <c r="D3828">
        <f t="shared" si="137"/>
        <v>-0.33603720942681137</v>
      </c>
    </row>
    <row r="3829" spans="1:4">
      <c r="A3829" s="1">
        <v>23827</v>
      </c>
      <c r="B3829">
        <v>86.2</v>
      </c>
      <c r="C3829">
        <f t="shared" si="138"/>
        <v>-7.3698756333486935E-3</v>
      </c>
      <c r="D3829">
        <f t="shared" si="137"/>
        <v>-0.81115985867464391</v>
      </c>
    </row>
    <row r="3830" spans="1:4">
      <c r="A3830" s="1">
        <v>23830</v>
      </c>
      <c r="B3830">
        <v>86.03</v>
      </c>
      <c r="C3830">
        <f t="shared" si="138"/>
        <v>-1.9721577726218294E-3</v>
      </c>
      <c r="D3830">
        <f t="shared" si="137"/>
        <v>-0.24116268735533491</v>
      </c>
    </row>
    <row r="3831" spans="1:4">
      <c r="A3831" s="1">
        <v>23831</v>
      </c>
      <c r="B3831">
        <v>86.2</v>
      </c>
      <c r="C3831">
        <f t="shared" si="138"/>
        <v>1.9760548645821425E-3</v>
      </c>
      <c r="D3831">
        <f t="shared" si="137"/>
        <v>0.17576722507072168</v>
      </c>
    </row>
    <row r="3832" spans="1:4">
      <c r="A3832" s="1">
        <v>23832</v>
      </c>
      <c r="B3832">
        <v>86.16</v>
      </c>
      <c r="C3832">
        <f t="shared" si="138"/>
        <v>-4.6403712296991012E-4</v>
      </c>
      <c r="D3832">
        <f t="shared" si="137"/>
        <v>-8.1905659387208715E-2</v>
      </c>
    </row>
    <row r="3833" spans="1:4">
      <c r="A3833" s="1">
        <v>23833</v>
      </c>
      <c r="B3833">
        <v>86.32</v>
      </c>
      <c r="C3833">
        <f t="shared" si="138"/>
        <v>1.8570102135561351E-3</v>
      </c>
      <c r="D3833">
        <f t="shared" si="137"/>
        <v>0.16319615038761828</v>
      </c>
    </row>
    <row r="3834" spans="1:4">
      <c r="A3834" s="1">
        <v>23834</v>
      </c>
      <c r="B3834">
        <v>86.53</v>
      </c>
      <c r="C3834">
        <f t="shared" si="138"/>
        <v>2.4328081556998144E-3</v>
      </c>
      <c r="D3834">
        <f t="shared" si="137"/>
        <v>0.22400021735476058</v>
      </c>
    </row>
    <row r="3835" spans="1:4">
      <c r="A3835" s="1">
        <v>23837</v>
      </c>
      <c r="B3835">
        <v>86.53</v>
      </c>
      <c r="C3835">
        <f t="shared" si="138"/>
        <v>0</v>
      </c>
      <c r="D3835">
        <f t="shared" si="137"/>
        <v>-3.29034969354682E-2</v>
      </c>
    </row>
    <row r="3836" spans="1:4">
      <c r="A3836" s="1">
        <v>23838</v>
      </c>
      <c r="B3836">
        <v>86.5</v>
      </c>
      <c r="C3836">
        <f t="shared" si="138"/>
        <v>-3.4670056627760469E-4</v>
      </c>
      <c r="D3836">
        <f t="shared" si="137"/>
        <v>-6.9514958885134787E-2</v>
      </c>
    </row>
    <row r="3837" spans="1:4">
      <c r="A3837" s="1">
        <v>23839</v>
      </c>
      <c r="B3837">
        <v>86.55</v>
      </c>
      <c r="C3837">
        <f t="shared" si="138"/>
        <v>5.7803468208089204E-4</v>
      </c>
      <c r="D3837">
        <f t="shared" si="137"/>
        <v>2.8136769008738918E-2</v>
      </c>
    </row>
    <row r="3838" spans="1:4">
      <c r="A3838" s="1">
        <v>23840</v>
      </c>
      <c r="B3838">
        <v>87.04</v>
      </c>
      <c r="C3838">
        <f t="shared" si="138"/>
        <v>5.661467359907673E-3</v>
      </c>
      <c r="D3838">
        <f t="shared" si="137"/>
        <v>0.56494553184452334</v>
      </c>
    </row>
    <row r="3839" spans="1:4">
      <c r="A3839" s="1">
        <v>23841</v>
      </c>
      <c r="B3839">
        <v>87.56</v>
      </c>
      <c r="C3839">
        <f t="shared" si="138"/>
        <v>5.9742647058823066E-3</v>
      </c>
      <c r="D3839">
        <f t="shared" si="137"/>
        <v>0.59797682525446072</v>
      </c>
    </row>
    <row r="3840" spans="1:4">
      <c r="A3840" s="1">
        <v>23844</v>
      </c>
      <c r="B3840">
        <v>87.94</v>
      </c>
      <c r="C3840">
        <f t="shared" si="138"/>
        <v>4.3398812243032828E-3</v>
      </c>
      <c r="D3840">
        <f t="shared" si="137"/>
        <v>0.42538648515365413</v>
      </c>
    </row>
    <row r="3841" spans="1:4">
      <c r="A3841" s="1">
        <v>23845</v>
      </c>
      <c r="B3841">
        <v>88.04</v>
      </c>
      <c r="C3841">
        <f t="shared" si="138"/>
        <v>1.1371389583808111E-3</v>
      </c>
      <c r="D3841">
        <f t="shared" si="137"/>
        <v>8.7177990537232866E-2</v>
      </c>
    </row>
    <row r="3842" spans="1:4">
      <c r="A3842" s="1">
        <v>23846</v>
      </c>
      <c r="B3842">
        <v>88.24</v>
      </c>
      <c r="C3842">
        <f t="shared" si="138"/>
        <v>2.2716946842343097E-3</v>
      </c>
      <c r="D3842">
        <f t="shared" si="137"/>
        <v>0.20698668953313312</v>
      </c>
    </row>
    <row r="3843" spans="1:4">
      <c r="A3843" s="1">
        <v>23847</v>
      </c>
      <c r="B3843">
        <v>88.15</v>
      </c>
      <c r="C3843">
        <f t="shared" si="138"/>
        <v>-1.0199456029010563E-3</v>
      </c>
      <c r="D3843">
        <f t="shared" ref="D3843:D3906" si="139">(C3843-avg)/sd</f>
        <v>-0.1406094059054642</v>
      </c>
    </row>
    <row r="3844" spans="1:4">
      <c r="A3844" s="1">
        <v>23851</v>
      </c>
      <c r="B3844">
        <v>88.51</v>
      </c>
      <c r="C3844">
        <f t="shared" ref="C3844:C3907" si="140">(B3844-B3843)/B3843</f>
        <v>4.0839478162223415E-3</v>
      </c>
      <c r="D3844">
        <f t="shared" si="139"/>
        <v>0.39836000425629914</v>
      </c>
    </row>
    <row r="3845" spans="1:4">
      <c r="A3845" s="1">
        <v>23852</v>
      </c>
      <c r="B3845">
        <v>88.46</v>
      </c>
      <c r="C3845">
        <f t="shared" si="140"/>
        <v>-5.6490792000916696E-4</v>
      </c>
      <c r="D3845">
        <f t="shared" si="139"/>
        <v>-9.2557581266904373E-2</v>
      </c>
    </row>
    <row r="3846" spans="1:4">
      <c r="A3846" s="1">
        <v>23853</v>
      </c>
      <c r="B3846">
        <v>88.3</v>
      </c>
      <c r="C3846">
        <f t="shared" si="140"/>
        <v>-1.8087271082974973E-3</v>
      </c>
      <c r="D3846">
        <f t="shared" si="139"/>
        <v>-0.22390446475546741</v>
      </c>
    </row>
    <row r="3847" spans="1:4">
      <c r="A3847" s="1">
        <v>23854</v>
      </c>
      <c r="B3847">
        <v>88.78</v>
      </c>
      <c r="C3847">
        <f t="shared" si="140"/>
        <v>5.4360135900340207E-3</v>
      </c>
      <c r="D3847">
        <f t="shared" si="139"/>
        <v>0.54113769038132553</v>
      </c>
    </row>
    <row r="3848" spans="1:4">
      <c r="A3848" s="1">
        <v>23855</v>
      </c>
      <c r="B3848">
        <v>88.88</v>
      </c>
      <c r="C3848">
        <f t="shared" si="140"/>
        <v>1.1263798152736462E-3</v>
      </c>
      <c r="D3848">
        <f t="shared" si="139"/>
        <v>8.6041828682326682E-2</v>
      </c>
    </row>
    <row r="3849" spans="1:4">
      <c r="A3849" s="1">
        <v>23858</v>
      </c>
      <c r="B3849">
        <v>88.89</v>
      </c>
      <c r="C3849">
        <f t="shared" si="140"/>
        <v>1.1251125112517008E-4</v>
      </c>
      <c r="D3849">
        <f t="shared" si="139"/>
        <v>-2.1022347061082698E-2</v>
      </c>
    </row>
    <row r="3850" spans="1:4">
      <c r="A3850" s="1">
        <v>23859</v>
      </c>
      <c r="B3850">
        <v>89.04</v>
      </c>
      <c r="C3850">
        <f t="shared" si="140"/>
        <v>1.6874789065137324E-3</v>
      </c>
      <c r="D3850">
        <f t="shared" si="139"/>
        <v>0.14529370199043173</v>
      </c>
    </row>
    <row r="3851" spans="1:4">
      <c r="A3851" s="1">
        <v>23860</v>
      </c>
      <c r="B3851">
        <v>89</v>
      </c>
      <c r="C3851">
        <f t="shared" si="140"/>
        <v>-4.4923629829297224E-4</v>
      </c>
      <c r="D3851">
        <f t="shared" si="139"/>
        <v>-8.0342697332368831E-2</v>
      </c>
    </row>
    <row r="3852" spans="1:4">
      <c r="A3852" s="1">
        <v>23861</v>
      </c>
      <c r="B3852">
        <v>88.93</v>
      </c>
      <c r="C3852">
        <f t="shared" si="140"/>
        <v>-7.8651685393250762E-4</v>
      </c>
      <c r="D3852">
        <f t="shared" si="139"/>
        <v>-0.11595940936067249</v>
      </c>
    </row>
    <row r="3853" spans="1:4">
      <c r="A3853" s="1">
        <v>23862</v>
      </c>
      <c r="B3853">
        <v>89.11</v>
      </c>
      <c r="C3853">
        <f t="shared" si="140"/>
        <v>2.0240638704598292E-3</v>
      </c>
      <c r="D3853">
        <f t="shared" si="139"/>
        <v>0.1808369597723514</v>
      </c>
    </row>
    <row r="3854" spans="1:4">
      <c r="A3854" s="1">
        <v>23865</v>
      </c>
      <c r="B3854">
        <v>89.23</v>
      </c>
      <c r="C3854">
        <f t="shared" si="140"/>
        <v>1.3466502076086248E-3</v>
      </c>
      <c r="D3854">
        <f t="shared" si="139"/>
        <v>0.10930230723935615</v>
      </c>
    </row>
    <row r="3855" spans="1:4">
      <c r="A3855" s="1">
        <v>23866</v>
      </c>
      <c r="B3855">
        <v>89.51</v>
      </c>
      <c r="C3855">
        <f t="shared" si="140"/>
        <v>3.1379580858455804E-3</v>
      </c>
      <c r="D3855">
        <f t="shared" si="139"/>
        <v>0.29846381028604618</v>
      </c>
    </row>
    <row r="3856" spans="1:4">
      <c r="A3856" s="1">
        <v>23867</v>
      </c>
      <c r="B3856">
        <v>89.71</v>
      </c>
      <c r="C3856">
        <f t="shared" si="140"/>
        <v>2.2343872193049783E-3</v>
      </c>
      <c r="D3856">
        <f t="shared" si="139"/>
        <v>0.2030470339180192</v>
      </c>
    </row>
    <row r="3857" spans="1:4">
      <c r="A3857" s="1">
        <v>23868</v>
      </c>
      <c r="B3857">
        <v>89.92</v>
      </c>
      <c r="C3857">
        <f t="shared" si="140"/>
        <v>2.3408761565043806E-3</v>
      </c>
      <c r="D3857">
        <f t="shared" si="139"/>
        <v>0.21429222948892762</v>
      </c>
    </row>
    <row r="3858" spans="1:4">
      <c r="A3858" s="1">
        <v>23869</v>
      </c>
      <c r="B3858">
        <v>89.85</v>
      </c>
      <c r="C3858">
        <f t="shared" si="140"/>
        <v>-7.7846975088976189E-4</v>
      </c>
      <c r="D3858">
        <f t="shared" si="139"/>
        <v>-0.11510963801470177</v>
      </c>
    </row>
    <row r="3859" spans="1:4">
      <c r="A3859" s="1">
        <v>23872</v>
      </c>
      <c r="B3859">
        <v>89.66</v>
      </c>
      <c r="C3859">
        <f t="shared" si="140"/>
        <v>-2.1146355036171147E-3</v>
      </c>
      <c r="D3859">
        <f t="shared" si="139"/>
        <v>-0.25620828731790318</v>
      </c>
    </row>
    <row r="3860" spans="1:4">
      <c r="A3860" s="1">
        <v>23873</v>
      </c>
      <c r="B3860">
        <v>89.55</v>
      </c>
      <c r="C3860">
        <f t="shared" si="140"/>
        <v>-1.2268570153914726E-3</v>
      </c>
      <c r="D3860">
        <f t="shared" si="139"/>
        <v>-0.16245918073184579</v>
      </c>
    </row>
    <row r="3861" spans="1:4">
      <c r="A3861" s="1">
        <v>23874</v>
      </c>
      <c r="B3861">
        <v>89.94</v>
      </c>
      <c r="C3861">
        <f t="shared" si="140"/>
        <v>4.3551088777219497E-3</v>
      </c>
      <c r="D3861">
        <f t="shared" si="139"/>
        <v>0.42699452017853445</v>
      </c>
    </row>
    <row r="3862" spans="1:4">
      <c r="A3862" s="1">
        <v>23875</v>
      </c>
      <c r="B3862">
        <v>90.27</v>
      </c>
      <c r="C3862">
        <f t="shared" si="140"/>
        <v>3.6691127418278665E-3</v>
      </c>
      <c r="D3862">
        <f t="shared" si="139"/>
        <v>0.35455356140953564</v>
      </c>
    </row>
    <row r="3863" spans="1:4">
      <c r="A3863" s="1">
        <v>23876</v>
      </c>
      <c r="B3863">
        <v>90.1</v>
      </c>
      <c r="C3863">
        <f t="shared" si="140"/>
        <v>-1.8832391713747836E-3</v>
      </c>
      <c r="D3863">
        <f t="shared" si="139"/>
        <v>-0.23177291328854802</v>
      </c>
    </row>
    <row r="3864" spans="1:4">
      <c r="A3864" s="1">
        <v>23879</v>
      </c>
      <c r="B3864">
        <v>89.54</v>
      </c>
      <c r="C3864">
        <f t="shared" si="140"/>
        <v>-6.2153163152051955E-3</v>
      </c>
      <c r="D3864">
        <f t="shared" si="139"/>
        <v>-0.68923878713247111</v>
      </c>
    </row>
    <row r="3865" spans="1:4">
      <c r="A3865" s="1">
        <v>23880</v>
      </c>
      <c r="B3865">
        <v>89.46</v>
      </c>
      <c r="C3865">
        <f t="shared" si="140"/>
        <v>-8.9345543891012399E-4</v>
      </c>
      <c r="D3865">
        <f t="shared" si="139"/>
        <v>-0.12725208758411757</v>
      </c>
    </row>
    <row r="3866" spans="1:4">
      <c r="A3866" s="1">
        <v>23881</v>
      </c>
      <c r="B3866">
        <v>89.67</v>
      </c>
      <c r="C3866">
        <f t="shared" si="140"/>
        <v>2.3474178403756758E-3</v>
      </c>
      <c r="D3866">
        <f t="shared" si="139"/>
        <v>0.21498302908211001</v>
      </c>
    </row>
    <row r="3867" spans="1:4">
      <c r="A3867" s="1">
        <v>23882</v>
      </c>
      <c r="B3867">
        <v>89.18</v>
      </c>
      <c r="C3867">
        <f t="shared" si="140"/>
        <v>-5.4644808743168826E-3</v>
      </c>
      <c r="D3867">
        <f t="shared" si="139"/>
        <v>-0.60995081979603216</v>
      </c>
    </row>
    <row r="3868" spans="1:4">
      <c r="A3868" s="1">
        <v>23883</v>
      </c>
      <c r="B3868">
        <v>88.75</v>
      </c>
      <c r="C3868">
        <f t="shared" si="140"/>
        <v>-4.8217089033416325E-3</v>
      </c>
      <c r="D3868">
        <f t="shared" si="139"/>
        <v>-0.54207431814985452</v>
      </c>
    </row>
    <row r="3869" spans="1:4">
      <c r="A3869" s="1">
        <v>23886</v>
      </c>
      <c r="B3869">
        <v>88.09</v>
      </c>
      <c r="C3869">
        <f t="shared" si="140"/>
        <v>-7.4366197183098207E-3</v>
      </c>
      <c r="D3869">
        <f t="shared" si="139"/>
        <v>-0.81820801135912213</v>
      </c>
    </row>
    <row r="3870" spans="1:4">
      <c r="A3870" s="1">
        <v>23887</v>
      </c>
      <c r="B3870">
        <v>88.6</v>
      </c>
      <c r="C3870">
        <f t="shared" si="140"/>
        <v>5.7895334317174581E-3</v>
      </c>
      <c r="D3870">
        <f t="shared" si="139"/>
        <v>0.57846926549586375</v>
      </c>
    </row>
    <row r="3871" spans="1:4">
      <c r="A3871" s="1">
        <v>23888</v>
      </c>
      <c r="B3871">
        <v>88.3</v>
      </c>
      <c r="C3871">
        <f t="shared" si="140"/>
        <v>-3.3860045146726545E-3</v>
      </c>
      <c r="D3871">
        <f t="shared" si="139"/>
        <v>-0.39046442272604376</v>
      </c>
    </row>
    <row r="3872" spans="1:4">
      <c r="A3872" s="1">
        <v>23889</v>
      </c>
      <c r="B3872">
        <v>87.84</v>
      </c>
      <c r="C3872">
        <f t="shared" si="140"/>
        <v>-5.2095130237824888E-3</v>
      </c>
      <c r="D3872">
        <f t="shared" si="139"/>
        <v>-0.58302630144738354</v>
      </c>
    </row>
    <row r="3873" spans="1:4">
      <c r="A3873" s="1">
        <v>23890</v>
      </c>
      <c r="B3873">
        <v>88.42</v>
      </c>
      <c r="C3873">
        <f t="shared" si="140"/>
        <v>6.6029143897996159E-3</v>
      </c>
      <c r="D3873">
        <f t="shared" si="139"/>
        <v>0.66436201818771845</v>
      </c>
    </row>
    <row r="3874" spans="1:4">
      <c r="A3874" s="1">
        <v>23894</v>
      </c>
      <c r="B3874">
        <v>88.72</v>
      </c>
      <c r="C3874">
        <f t="shared" si="140"/>
        <v>3.3928975344944259E-3</v>
      </c>
      <c r="D3874">
        <f t="shared" si="139"/>
        <v>0.32538532940523518</v>
      </c>
    </row>
    <row r="3875" spans="1:4">
      <c r="A3875" s="1">
        <v>23895</v>
      </c>
      <c r="B3875">
        <v>87.09</v>
      </c>
      <c r="C3875">
        <f t="shared" si="140"/>
        <v>-1.8372407574391292E-2</v>
      </c>
      <c r="D3875">
        <f t="shared" si="139"/>
        <v>-1.9730234917064211</v>
      </c>
    </row>
    <row r="3876" spans="1:4">
      <c r="A3876" s="1">
        <v>23896</v>
      </c>
      <c r="B3876">
        <v>86.9</v>
      </c>
      <c r="C3876">
        <f t="shared" si="140"/>
        <v>-2.181651165460991E-3</v>
      </c>
      <c r="D3876">
        <f t="shared" si="139"/>
        <v>-0.26328511842888624</v>
      </c>
    </row>
    <row r="3877" spans="1:4">
      <c r="A3877" s="1">
        <v>23897</v>
      </c>
      <c r="B3877">
        <v>87.11</v>
      </c>
      <c r="C3877">
        <f t="shared" si="140"/>
        <v>2.4165707710010788E-3</v>
      </c>
      <c r="D3877">
        <f t="shared" si="139"/>
        <v>0.22228555504992933</v>
      </c>
    </row>
    <row r="3878" spans="1:4">
      <c r="A3878" s="1">
        <v>23900</v>
      </c>
      <c r="B3878">
        <v>86.88</v>
      </c>
      <c r="C3878">
        <f t="shared" si="140"/>
        <v>-2.6403398002526001E-3</v>
      </c>
      <c r="D3878">
        <f t="shared" si="139"/>
        <v>-0.31172248234703759</v>
      </c>
    </row>
    <row r="3879" spans="1:4">
      <c r="A3879" s="1">
        <v>23901</v>
      </c>
      <c r="B3879">
        <v>85.93</v>
      </c>
      <c r="C3879">
        <f t="shared" si="140"/>
        <v>-1.0934622467771509E-2</v>
      </c>
      <c r="D3879">
        <f t="shared" si="139"/>
        <v>-1.1875959126733697</v>
      </c>
    </row>
    <row r="3880" spans="1:4">
      <c r="A3880" s="1">
        <v>23902</v>
      </c>
      <c r="B3880">
        <v>85.04</v>
      </c>
      <c r="C3880">
        <f t="shared" si="140"/>
        <v>-1.0357267543349244E-2</v>
      </c>
      <c r="D3880">
        <f t="shared" si="139"/>
        <v>-1.126627428906853</v>
      </c>
    </row>
    <row r="3881" spans="1:4">
      <c r="A3881" s="1">
        <v>23903</v>
      </c>
      <c r="B3881">
        <v>84.73</v>
      </c>
      <c r="C3881">
        <f t="shared" si="140"/>
        <v>-3.6453433678269313E-3</v>
      </c>
      <c r="D3881">
        <f t="shared" si="139"/>
        <v>-0.41785051746557605</v>
      </c>
    </row>
    <row r="3882" spans="1:4">
      <c r="A3882" s="1">
        <v>23904</v>
      </c>
      <c r="B3882">
        <v>85.12</v>
      </c>
      <c r="C3882">
        <f t="shared" si="140"/>
        <v>4.6028561312404176E-3</v>
      </c>
      <c r="D3882">
        <f t="shared" si="139"/>
        <v>0.45315654593670152</v>
      </c>
    </row>
    <row r="3883" spans="1:4">
      <c r="A3883" s="1">
        <v>23907</v>
      </c>
      <c r="B3883">
        <v>84.01</v>
      </c>
      <c r="C3883">
        <f t="shared" si="140"/>
        <v>-1.304041353383458E-2</v>
      </c>
      <c r="D3883">
        <f t="shared" si="139"/>
        <v>-1.4099667334564681</v>
      </c>
    </row>
    <row r="3884" spans="1:4">
      <c r="A3884" s="1">
        <v>23908</v>
      </c>
      <c r="B3884">
        <v>84.49</v>
      </c>
      <c r="C3884">
        <f t="shared" si="140"/>
        <v>5.7136055231518839E-3</v>
      </c>
      <c r="D3884">
        <f t="shared" si="139"/>
        <v>0.57045130416048917</v>
      </c>
    </row>
    <row r="3885" spans="1:4">
      <c r="A3885" s="1">
        <v>23909</v>
      </c>
      <c r="B3885">
        <v>85.2</v>
      </c>
      <c r="C3885">
        <f t="shared" si="140"/>
        <v>8.4033613445379102E-3</v>
      </c>
      <c r="D3885">
        <f t="shared" si="139"/>
        <v>0.85448860460642684</v>
      </c>
    </row>
    <row r="3886" spans="1:4">
      <c r="A3886" s="1">
        <v>23910</v>
      </c>
      <c r="B3886">
        <v>85.74</v>
      </c>
      <c r="C3886">
        <f t="shared" si="140"/>
        <v>6.3380281690139911E-3</v>
      </c>
      <c r="D3886">
        <f t="shared" si="139"/>
        <v>0.63639012331195766</v>
      </c>
    </row>
    <row r="3887" spans="1:4">
      <c r="A3887" s="1">
        <v>23911</v>
      </c>
      <c r="B3887">
        <v>85.34</v>
      </c>
      <c r="C3887">
        <f t="shared" si="140"/>
        <v>-4.6652670865406053E-3</v>
      </c>
      <c r="D3887">
        <f t="shared" si="139"/>
        <v>-0.52555411547282327</v>
      </c>
    </row>
    <row r="3888" spans="1:4">
      <c r="A3888" s="1">
        <v>23914</v>
      </c>
      <c r="B3888">
        <v>85.05</v>
      </c>
      <c r="C3888">
        <f t="shared" si="140"/>
        <v>-3.3981720178111814E-3</v>
      </c>
      <c r="D3888">
        <f t="shared" si="139"/>
        <v>-0.39174930692153692</v>
      </c>
    </row>
    <row r="3889" spans="1:4">
      <c r="A3889" s="1">
        <v>23915</v>
      </c>
      <c r="B3889">
        <v>85.21</v>
      </c>
      <c r="C3889">
        <f t="shared" si="140"/>
        <v>1.8812463256907301E-3</v>
      </c>
      <c r="D3889">
        <f t="shared" si="139"/>
        <v>0.16575547559077672</v>
      </c>
    </row>
    <row r="3890" spans="1:4">
      <c r="A3890" s="1">
        <v>23916</v>
      </c>
      <c r="B3890">
        <v>84.67</v>
      </c>
      <c r="C3890">
        <f t="shared" si="140"/>
        <v>-6.3372843562961162E-3</v>
      </c>
      <c r="D3890">
        <f t="shared" si="139"/>
        <v>-0.70211857081272078</v>
      </c>
    </row>
    <row r="3891" spans="1:4">
      <c r="A3891" s="1">
        <v>23917</v>
      </c>
      <c r="B3891">
        <v>83.56</v>
      </c>
      <c r="C3891">
        <f t="shared" si="140"/>
        <v>-1.3109720089760239E-2</v>
      </c>
      <c r="D3891">
        <f t="shared" si="139"/>
        <v>-1.4172854822037748</v>
      </c>
    </row>
    <row r="3892" spans="1:4">
      <c r="A3892" s="1">
        <v>23918</v>
      </c>
      <c r="B3892">
        <v>83.06</v>
      </c>
      <c r="C3892">
        <f t="shared" si="140"/>
        <v>-5.983724269985639E-3</v>
      </c>
      <c r="D3892">
        <f t="shared" si="139"/>
        <v>-0.66478274587924702</v>
      </c>
    </row>
    <row r="3893" spans="1:4">
      <c r="A3893" s="1">
        <v>23921</v>
      </c>
      <c r="B3893">
        <v>81.599999999999994</v>
      </c>
      <c r="C3893">
        <f t="shared" si="140"/>
        <v>-1.75776547074405E-2</v>
      </c>
      <c r="D3893">
        <f t="shared" si="139"/>
        <v>-1.889097859106043</v>
      </c>
    </row>
    <row r="3894" spans="1:4">
      <c r="A3894" s="1">
        <v>23922</v>
      </c>
      <c r="B3894">
        <v>82.41</v>
      </c>
      <c r="C3894">
        <f t="shared" si="140"/>
        <v>9.926470588235323E-3</v>
      </c>
      <c r="D3894">
        <f t="shared" si="139"/>
        <v>1.0153284230108865</v>
      </c>
    </row>
    <row r="3895" spans="1:4">
      <c r="A3895" s="1">
        <v>23923</v>
      </c>
      <c r="B3895">
        <v>84.12</v>
      </c>
      <c r="C3895">
        <f t="shared" si="140"/>
        <v>2.0749908991627326E-2</v>
      </c>
      <c r="D3895">
        <f t="shared" si="139"/>
        <v>2.1582798393436118</v>
      </c>
    </row>
    <row r="3896" spans="1:4">
      <c r="A3896" s="1">
        <v>23924</v>
      </c>
      <c r="B3896">
        <v>84.48</v>
      </c>
      <c r="C3896">
        <f t="shared" si="140"/>
        <v>4.2796005706134026E-3</v>
      </c>
      <c r="D3896">
        <f t="shared" si="139"/>
        <v>0.41902086861439258</v>
      </c>
    </row>
    <row r="3897" spans="1:4">
      <c r="A3897" s="1">
        <v>23925</v>
      </c>
      <c r="B3897">
        <v>85.16</v>
      </c>
      <c r="C3897">
        <f t="shared" si="140"/>
        <v>8.0492424242423356E-3</v>
      </c>
      <c r="D3897">
        <f t="shared" si="139"/>
        <v>0.81709376699408354</v>
      </c>
    </row>
    <row r="3898" spans="1:4">
      <c r="A3898" s="1">
        <v>23929</v>
      </c>
      <c r="B3898">
        <v>84.99</v>
      </c>
      <c r="C3898">
        <f t="shared" si="140"/>
        <v>-1.9962423673086159E-3</v>
      </c>
      <c r="D3898">
        <f t="shared" si="139"/>
        <v>-0.24370601236750805</v>
      </c>
    </row>
    <row r="3899" spans="1:4">
      <c r="A3899" s="1">
        <v>23930</v>
      </c>
      <c r="B3899">
        <v>84.67</v>
      </c>
      <c r="C3899">
        <f t="shared" si="140"/>
        <v>-3.7651488410400421E-3</v>
      </c>
      <c r="D3899">
        <f t="shared" si="139"/>
        <v>-0.43050193471302151</v>
      </c>
    </row>
    <row r="3900" spans="1:4">
      <c r="A3900" s="1">
        <v>23931</v>
      </c>
      <c r="B3900">
        <v>85.39</v>
      </c>
      <c r="C3900">
        <f t="shared" si="140"/>
        <v>8.5036022203850113E-3</v>
      </c>
      <c r="D3900">
        <f t="shared" si="139"/>
        <v>0.86507400702235149</v>
      </c>
    </row>
    <row r="3901" spans="1:4">
      <c r="A3901" s="1">
        <v>23932</v>
      </c>
      <c r="B3901">
        <v>85.71</v>
      </c>
      <c r="C3901">
        <f t="shared" si="140"/>
        <v>3.7475114181987723E-3</v>
      </c>
      <c r="D3901">
        <f t="shared" si="139"/>
        <v>0.36283243498529838</v>
      </c>
    </row>
    <row r="3902" spans="1:4">
      <c r="A3902" s="1">
        <v>23935</v>
      </c>
      <c r="B3902">
        <v>85.69</v>
      </c>
      <c r="C3902">
        <f t="shared" si="140"/>
        <v>-2.3334500058331609E-4</v>
      </c>
      <c r="D3902">
        <f t="shared" si="139"/>
        <v>-5.7544649679246829E-2</v>
      </c>
    </row>
    <row r="3903" spans="1:4">
      <c r="A3903" s="1">
        <v>23936</v>
      </c>
      <c r="B3903">
        <v>85.59</v>
      </c>
      <c r="C3903">
        <f t="shared" si="140"/>
        <v>-1.1669973159061072E-3</v>
      </c>
      <c r="D3903">
        <f t="shared" si="139"/>
        <v>-0.15613801681349165</v>
      </c>
    </row>
    <row r="3904" spans="1:4">
      <c r="A3904" s="1">
        <v>23937</v>
      </c>
      <c r="B3904">
        <v>85.87</v>
      </c>
      <c r="C3904">
        <f t="shared" si="140"/>
        <v>3.2714102114733161E-3</v>
      </c>
      <c r="D3904">
        <f t="shared" si="139"/>
        <v>0.31255630938975348</v>
      </c>
    </row>
    <row r="3905" spans="1:4">
      <c r="A3905" s="1">
        <v>23938</v>
      </c>
      <c r="B3905">
        <v>85.72</v>
      </c>
      <c r="C3905">
        <f t="shared" si="140"/>
        <v>-1.7468265983464036E-3</v>
      </c>
      <c r="D3905">
        <f t="shared" si="139"/>
        <v>-0.21736779194563757</v>
      </c>
    </row>
    <row r="3906" spans="1:4">
      <c r="A3906" s="1">
        <v>23939</v>
      </c>
      <c r="B3906">
        <v>85.69</v>
      </c>
      <c r="C3906">
        <f t="shared" si="140"/>
        <v>-3.4997666822213181E-4</v>
      </c>
      <c r="D3906">
        <f t="shared" si="139"/>
        <v>-6.9860914136875674E-2</v>
      </c>
    </row>
    <row r="3907" spans="1:4">
      <c r="A3907" s="1">
        <v>23942</v>
      </c>
      <c r="B3907">
        <v>85.63</v>
      </c>
      <c r="C3907">
        <f t="shared" si="140"/>
        <v>-7.0019838954373057E-4</v>
      </c>
      <c r="D3907">
        <f t="shared" ref="D3907:D3970" si="141">(C3907-avg)/sd</f>
        <v>-0.10684420886228928</v>
      </c>
    </row>
    <row r="3908" spans="1:4">
      <c r="A3908" s="1">
        <v>23943</v>
      </c>
      <c r="B3908">
        <v>84.55</v>
      </c>
      <c r="C3908">
        <f t="shared" ref="C3908:C3971" si="142">(B3908-B3907)/B3907</f>
        <v>-1.2612402195492214E-2</v>
      </c>
      <c r="D3908">
        <f t="shared" si="141"/>
        <v>-1.3647688816156371</v>
      </c>
    </row>
    <row r="3909" spans="1:4">
      <c r="A3909" s="1">
        <v>23944</v>
      </c>
      <c r="B3909">
        <v>84.07</v>
      </c>
      <c r="C3909">
        <f t="shared" si="142"/>
        <v>-5.6771141336487757E-3</v>
      </c>
      <c r="D3909">
        <f t="shared" si="141"/>
        <v>-0.63240481970392348</v>
      </c>
    </row>
    <row r="3910" spans="1:4">
      <c r="A3910" s="1">
        <v>23945</v>
      </c>
      <c r="B3910">
        <v>83.85</v>
      </c>
      <c r="C3910">
        <f t="shared" si="142"/>
        <v>-2.6168668966337441E-3</v>
      </c>
      <c r="D3910">
        <f t="shared" si="141"/>
        <v>-0.30924375170371404</v>
      </c>
    </row>
    <row r="3911" spans="1:4">
      <c r="A3911" s="1">
        <v>23946</v>
      </c>
      <c r="B3911">
        <v>84.07</v>
      </c>
      <c r="C3911">
        <f t="shared" si="142"/>
        <v>2.6237328562909823E-3</v>
      </c>
      <c r="D3911">
        <f t="shared" si="141"/>
        <v>0.2441618008387289</v>
      </c>
    </row>
    <row r="3912" spans="1:4">
      <c r="A3912" s="1">
        <v>23949</v>
      </c>
      <c r="B3912">
        <v>84.05</v>
      </c>
      <c r="C3912">
        <f t="shared" si="142"/>
        <v>-2.3789699060302157E-4</v>
      </c>
      <c r="D3912">
        <f t="shared" si="141"/>
        <v>-5.8025338278031136E-2</v>
      </c>
    </row>
    <row r="3913" spans="1:4">
      <c r="A3913" s="1">
        <v>23950</v>
      </c>
      <c r="B3913">
        <v>83.87</v>
      </c>
      <c r="C3913">
        <f t="shared" si="142"/>
        <v>-2.1415823914335825E-3</v>
      </c>
      <c r="D3913">
        <f t="shared" si="141"/>
        <v>-0.25905386951162995</v>
      </c>
    </row>
    <row r="3914" spans="1:4">
      <c r="A3914" s="1">
        <v>23951</v>
      </c>
      <c r="B3914">
        <v>84.03</v>
      </c>
      <c r="C3914">
        <f t="shared" si="142"/>
        <v>1.9077143197805721E-3</v>
      </c>
      <c r="D3914">
        <f t="shared" si="141"/>
        <v>0.1685504867697557</v>
      </c>
    </row>
    <row r="3915" spans="1:4">
      <c r="A3915" s="1">
        <v>23952</v>
      </c>
      <c r="B3915">
        <v>84.68</v>
      </c>
      <c r="C3915">
        <f t="shared" si="142"/>
        <v>7.7353326193026978E-3</v>
      </c>
      <c r="D3915">
        <f t="shared" si="141"/>
        <v>0.78394499829558495</v>
      </c>
    </row>
    <row r="3916" spans="1:4">
      <c r="A3916" s="1">
        <v>23953</v>
      </c>
      <c r="B3916">
        <v>85.25</v>
      </c>
      <c r="C3916">
        <f t="shared" si="142"/>
        <v>6.7312234293811189E-3</v>
      </c>
      <c r="D3916">
        <f t="shared" si="141"/>
        <v>0.6779114091531635</v>
      </c>
    </row>
    <row r="3917" spans="1:4">
      <c r="A3917" s="1">
        <v>23956</v>
      </c>
      <c r="B3917">
        <v>85.42</v>
      </c>
      <c r="C3917">
        <f t="shared" si="142"/>
        <v>1.9941348973607238E-3</v>
      </c>
      <c r="D3917">
        <f t="shared" si="141"/>
        <v>0.17767647038643811</v>
      </c>
    </row>
    <row r="3918" spans="1:4">
      <c r="A3918" s="1">
        <v>23957</v>
      </c>
      <c r="B3918">
        <v>85.46</v>
      </c>
      <c r="C3918">
        <f t="shared" si="142"/>
        <v>4.6827440880346571E-4</v>
      </c>
      <c r="D3918">
        <f t="shared" si="141"/>
        <v>1.6546121459972352E-2</v>
      </c>
    </row>
    <row r="3919" spans="1:4">
      <c r="A3919" s="1">
        <v>23958</v>
      </c>
      <c r="B3919">
        <v>85.79</v>
      </c>
      <c r="C3919">
        <f t="shared" si="142"/>
        <v>3.861455651767055E-3</v>
      </c>
      <c r="D3919">
        <f t="shared" si="141"/>
        <v>0.37486490731858219</v>
      </c>
    </row>
    <row r="3920" spans="1:4">
      <c r="A3920" s="1">
        <v>23959</v>
      </c>
      <c r="B3920">
        <v>85.79</v>
      </c>
      <c r="C3920">
        <f t="shared" si="142"/>
        <v>0</v>
      </c>
      <c r="D3920">
        <f t="shared" si="141"/>
        <v>-3.29034969354682E-2</v>
      </c>
    </row>
    <row r="3921" spans="1:4">
      <c r="A3921" s="1">
        <v>23960</v>
      </c>
      <c r="B3921">
        <v>86.07</v>
      </c>
      <c r="C3921">
        <f t="shared" si="142"/>
        <v>3.2637836577688183E-3</v>
      </c>
      <c r="D3921">
        <f t="shared" si="141"/>
        <v>0.31175094791095009</v>
      </c>
    </row>
    <row r="3922" spans="1:4">
      <c r="A3922" s="1">
        <v>23963</v>
      </c>
      <c r="B3922">
        <v>85.86</v>
      </c>
      <c r="C3922">
        <f t="shared" si="142"/>
        <v>-2.4398745207388612E-3</v>
      </c>
      <c r="D3922">
        <f t="shared" si="141"/>
        <v>-0.29055341697184611</v>
      </c>
    </row>
    <row r="3923" spans="1:4">
      <c r="A3923" s="1">
        <v>23964</v>
      </c>
      <c r="B3923">
        <v>85.87</v>
      </c>
      <c r="C3923">
        <f t="shared" si="142"/>
        <v>1.16468669927849E-4</v>
      </c>
      <c r="D3923">
        <f t="shared" si="141"/>
        <v>-2.0604444980711813E-2</v>
      </c>
    </row>
    <row r="3924" spans="1:4">
      <c r="A3924" s="1">
        <v>23965</v>
      </c>
      <c r="B3924">
        <v>86.13</v>
      </c>
      <c r="C3924">
        <f t="shared" si="142"/>
        <v>3.0278327704668789E-3</v>
      </c>
      <c r="D3924">
        <f t="shared" si="141"/>
        <v>0.28683461441546876</v>
      </c>
    </row>
    <row r="3925" spans="1:4">
      <c r="A3925" s="1">
        <v>23966</v>
      </c>
      <c r="B3925">
        <v>86.38</v>
      </c>
      <c r="C3925">
        <f t="shared" si="142"/>
        <v>2.9025891094856615E-3</v>
      </c>
      <c r="D3925">
        <f t="shared" si="141"/>
        <v>0.27360892638824108</v>
      </c>
    </row>
    <row r="3926" spans="1:4">
      <c r="A3926" s="1">
        <v>23967</v>
      </c>
      <c r="B3926">
        <v>86.77</v>
      </c>
      <c r="C3926">
        <f t="shared" si="142"/>
        <v>4.5149340125029006E-3</v>
      </c>
      <c r="D3926">
        <f t="shared" si="141"/>
        <v>0.44387200008419997</v>
      </c>
    </row>
    <row r="3927" spans="1:4">
      <c r="A3927" s="1">
        <v>23970</v>
      </c>
      <c r="B3927">
        <v>86.87</v>
      </c>
      <c r="C3927">
        <f t="shared" si="142"/>
        <v>1.1524720525528239E-3</v>
      </c>
      <c r="D3927">
        <f t="shared" si="141"/>
        <v>8.8797160069825479E-2</v>
      </c>
    </row>
    <row r="3928" spans="1:4">
      <c r="A3928" s="1">
        <v>23971</v>
      </c>
      <c r="B3928">
        <v>87.04</v>
      </c>
      <c r="C3928">
        <f t="shared" si="142"/>
        <v>1.9569471624266339E-3</v>
      </c>
      <c r="D3928">
        <f t="shared" si="141"/>
        <v>0.17374945821812349</v>
      </c>
    </row>
    <row r="3929" spans="1:4">
      <c r="A3929" s="1">
        <v>23972</v>
      </c>
      <c r="B3929">
        <v>86.99</v>
      </c>
      <c r="C3929">
        <f t="shared" si="142"/>
        <v>-5.7444852941189526E-4</v>
      </c>
      <c r="D3929">
        <f t="shared" si="141"/>
        <v>-9.3565066376821784E-2</v>
      </c>
    </row>
    <row r="3930" spans="1:4">
      <c r="A3930" s="1">
        <v>23973</v>
      </c>
      <c r="B3930">
        <v>86.79</v>
      </c>
      <c r="C3930">
        <f t="shared" si="142"/>
        <v>-2.2991148407861669E-3</v>
      </c>
      <c r="D3930">
        <f t="shared" si="141"/>
        <v>-0.27568924261538158</v>
      </c>
    </row>
    <row r="3931" spans="1:4">
      <c r="A3931" s="1">
        <v>23974</v>
      </c>
      <c r="B3931">
        <v>86.69</v>
      </c>
      <c r="C3931">
        <f t="shared" si="142"/>
        <v>-1.1522064754004898E-3</v>
      </c>
      <c r="D3931">
        <f t="shared" si="141"/>
        <v>-0.15457610908374944</v>
      </c>
    </row>
    <row r="3932" spans="1:4">
      <c r="A3932" s="1">
        <v>23977</v>
      </c>
      <c r="B3932">
        <v>86.56</v>
      </c>
      <c r="C3932">
        <f t="shared" si="142"/>
        <v>-1.499596262544647E-3</v>
      </c>
      <c r="D3932">
        <f t="shared" si="141"/>
        <v>-0.19126035252264639</v>
      </c>
    </row>
    <row r="3933" spans="1:4">
      <c r="A3933" s="1">
        <v>23978</v>
      </c>
      <c r="B3933">
        <v>86.71</v>
      </c>
      <c r="C3933">
        <f t="shared" si="142"/>
        <v>1.7329020332716204E-3</v>
      </c>
      <c r="D3933">
        <f t="shared" si="141"/>
        <v>0.15009036873599374</v>
      </c>
    </row>
    <row r="3934" spans="1:4">
      <c r="A3934" s="1">
        <v>23979</v>
      </c>
      <c r="B3934">
        <v>86.81</v>
      </c>
      <c r="C3934">
        <f t="shared" si="142"/>
        <v>1.1532695190867089E-3</v>
      </c>
      <c r="D3934">
        <f t="shared" si="141"/>
        <v>8.8881372264731681E-2</v>
      </c>
    </row>
    <row r="3935" spans="1:4">
      <c r="A3935" s="1">
        <v>23980</v>
      </c>
      <c r="B3935">
        <v>87.14</v>
      </c>
      <c r="C3935">
        <f t="shared" si="142"/>
        <v>3.8014053680451364E-3</v>
      </c>
      <c r="D3935">
        <f t="shared" si="141"/>
        <v>0.36852361776963077</v>
      </c>
    </row>
    <row r="3936" spans="1:4">
      <c r="A3936" s="1">
        <v>23981</v>
      </c>
      <c r="B3936">
        <v>87.2</v>
      </c>
      <c r="C3936">
        <f t="shared" si="142"/>
        <v>6.8854716548086151E-4</v>
      </c>
      <c r="D3936">
        <f t="shared" si="141"/>
        <v>3.9806849690757394E-2</v>
      </c>
    </row>
    <row r="3937" spans="1:4">
      <c r="A3937" s="1">
        <v>23984</v>
      </c>
      <c r="B3937">
        <v>87.21</v>
      </c>
      <c r="C3937">
        <f t="shared" si="142"/>
        <v>1.146788990824645E-4</v>
      </c>
      <c r="D3937">
        <f t="shared" si="141"/>
        <v>-2.0793444173611744E-2</v>
      </c>
    </row>
    <row r="3938" spans="1:4">
      <c r="A3938" s="1">
        <v>23985</v>
      </c>
      <c r="B3938">
        <v>87.17</v>
      </c>
      <c r="C3938">
        <f t="shared" si="142"/>
        <v>-4.5866299736259657E-4</v>
      </c>
      <c r="D3938">
        <f t="shared" si="141"/>
        <v>-8.1338153549830455E-2</v>
      </c>
    </row>
    <row r="3939" spans="1:4">
      <c r="A3939" s="1">
        <v>23986</v>
      </c>
      <c r="B3939">
        <v>87.17</v>
      </c>
      <c r="C3939">
        <f t="shared" si="142"/>
        <v>0</v>
      </c>
      <c r="D3939">
        <f t="shared" si="141"/>
        <v>-3.29034969354682E-2</v>
      </c>
    </row>
    <row r="3940" spans="1:4">
      <c r="A3940" s="1">
        <v>23987</v>
      </c>
      <c r="B3940">
        <v>87.65</v>
      </c>
      <c r="C3940">
        <f t="shared" si="142"/>
        <v>5.5064815877022364E-3</v>
      </c>
      <c r="D3940">
        <f t="shared" si="141"/>
        <v>0.54857908698185287</v>
      </c>
    </row>
    <row r="3941" spans="1:4">
      <c r="A3941" s="1">
        <v>23988</v>
      </c>
      <c r="B3941">
        <v>88.06</v>
      </c>
      <c r="C3941">
        <f t="shared" si="142"/>
        <v>4.6776953793496471E-3</v>
      </c>
      <c r="D3941">
        <f t="shared" si="141"/>
        <v>0.46105954509793967</v>
      </c>
    </row>
    <row r="3942" spans="1:4">
      <c r="A3942" s="1">
        <v>23992</v>
      </c>
      <c r="B3942">
        <v>88.36</v>
      </c>
      <c r="C3942">
        <f t="shared" si="142"/>
        <v>3.4067681126504334E-3</v>
      </c>
      <c r="D3942">
        <f t="shared" si="141"/>
        <v>0.32685005774367093</v>
      </c>
    </row>
    <row r="3943" spans="1:4">
      <c r="A3943" s="1">
        <v>23993</v>
      </c>
      <c r="B3943">
        <v>88.66</v>
      </c>
      <c r="C3943">
        <f t="shared" si="142"/>
        <v>3.3952014486192525E-3</v>
      </c>
      <c r="D3943">
        <f t="shared" si="141"/>
        <v>0.32562862195367837</v>
      </c>
    </row>
    <row r="3944" spans="1:4">
      <c r="A3944" s="1">
        <v>23994</v>
      </c>
      <c r="B3944">
        <v>88.89</v>
      </c>
      <c r="C3944">
        <f t="shared" si="142"/>
        <v>2.5941800135348973E-3</v>
      </c>
      <c r="D3944">
        <f t="shared" si="141"/>
        <v>0.2410410306891857</v>
      </c>
    </row>
    <row r="3945" spans="1:4">
      <c r="A3945" s="1">
        <v>23995</v>
      </c>
      <c r="B3945">
        <v>89.12</v>
      </c>
      <c r="C3945">
        <f t="shared" si="142"/>
        <v>2.5874676566543364E-3</v>
      </c>
      <c r="D3945">
        <f t="shared" si="141"/>
        <v>0.24033220808423941</v>
      </c>
    </row>
    <row r="3946" spans="1:4">
      <c r="A3946" s="1">
        <v>23998</v>
      </c>
      <c r="B3946">
        <v>89.38</v>
      </c>
      <c r="C3946">
        <f t="shared" si="142"/>
        <v>2.9174147217234168E-3</v>
      </c>
      <c r="D3946">
        <f t="shared" si="141"/>
        <v>0.27517450600107757</v>
      </c>
    </row>
    <row r="3947" spans="1:4">
      <c r="A3947" s="1">
        <v>23999</v>
      </c>
      <c r="B3947">
        <v>89.03</v>
      </c>
      <c r="C3947">
        <f t="shared" si="142"/>
        <v>-3.9158648467217984E-3</v>
      </c>
      <c r="D3947">
        <f t="shared" si="141"/>
        <v>-0.4464174936821555</v>
      </c>
    </row>
    <row r="3948" spans="1:4">
      <c r="A3948" s="1">
        <v>24000</v>
      </c>
      <c r="B3948">
        <v>89.52</v>
      </c>
      <c r="C3948">
        <f t="shared" si="142"/>
        <v>5.5037627765921028E-3</v>
      </c>
      <c r="D3948">
        <f t="shared" si="141"/>
        <v>0.54829198145279157</v>
      </c>
    </row>
    <row r="3949" spans="1:4">
      <c r="A3949" s="1">
        <v>24001</v>
      </c>
      <c r="B3949">
        <v>90.02</v>
      </c>
      <c r="C3949">
        <f t="shared" si="142"/>
        <v>5.5853440571939231E-3</v>
      </c>
      <c r="D3949">
        <f t="shared" si="141"/>
        <v>0.55690693695351923</v>
      </c>
    </row>
    <row r="3950" spans="1:4">
      <c r="A3950" s="1">
        <v>24002</v>
      </c>
      <c r="B3950">
        <v>90.05</v>
      </c>
      <c r="C3950">
        <f t="shared" si="142"/>
        <v>3.3325927571652007E-4</v>
      </c>
      <c r="D3950">
        <f t="shared" si="141"/>
        <v>2.2885692998644972E-3</v>
      </c>
    </row>
    <row r="3951" spans="1:4">
      <c r="A3951" s="1">
        <v>24005</v>
      </c>
      <c r="B3951">
        <v>90.08</v>
      </c>
      <c r="C3951">
        <f t="shared" si="142"/>
        <v>3.3314825097169505E-4</v>
      </c>
      <c r="D3951">
        <f t="shared" si="141"/>
        <v>2.2768451245501198E-3</v>
      </c>
    </row>
    <row r="3952" spans="1:4">
      <c r="A3952" s="1">
        <v>24006</v>
      </c>
      <c r="B3952">
        <v>89.81</v>
      </c>
      <c r="C3952">
        <f t="shared" si="142"/>
        <v>-2.9973357015985348E-3</v>
      </c>
      <c r="D3952">
        <f t="shared" si="141"/>
        <v>-0.34942112818036541</v>
      </c>
    </row>
    <row r="3953" spans="1:4">
      <c r="A3953" s="1">
        <v>24007</v>
      </c>
      <c r="B3953">
        <v>90.22</v>
      </c>
      <c r="C3953">
        <f t="shared" si="142"/>
        <v>4.5651931856140358E-3</v>
      </c>
      <c r="D3953">
        <f t="shared" si="141"/>
        <v>0.4491793516808128</v>
      </c>
    </row>
    <row r="3954" spans="1:4">
      <c r="A3954" s="1">
        <v>24008</v>
      </c>
      <c r="B3954">
        <v>89.86</v>
      </c>
      <c r="C3954">
        <f t="shared" si="142"/>
        <v>-3.9902460651740131E-3</v>
      </c>
      <c r="D3954">
        <f t="shared" si="141"/>
        <v>-0.4542721250673048</v>
      </c>
    </row>
    <row r="3955" spans="1:4">
      <c r="A3955" s="1">
        <v>24009</v>
      </c>
      <c r="B3955">
        <v>90.02</v>
      </c>
      <c r="C3955">
        <f t="shared" si="142"/>
        <v>1.7805475183618584E-3</v>
      </c>
      <c r="D3955">
        <f t="shared" si="141"/>
        <v>0.15512171576603559</v>
      </c>
    </row>
    <row r="3956" spans="1:4">
      <c r="A3956" s="1">
        <v>24012</v>
      </c>
      <c r="B3956">
        <v>90.65</v>
      </c>
      <c r="C3956">
        <f t="shared" si="142"/>
        <v>6.9984447900467636E-3</v>
      </c>
      <c r="D3956">
        <f t="shared" si="141"/>
        <v>0.70612989400650172</v>
      </c>
    </row>
    <row r="3957" spans="1:4">
      <c r="A3957" s="1">
        <v>24013</v>
      </c>
      <c r="B3957">
        <v>90.43</v>
      </c>
      <c r="C3957">
        <f t="shared" si="142"/>
        <v>-2.4269167126309858E-3</v>
      </c>
      <c r="D3957">
        <f t="shared" si="141"/>
        <v>-0.28918507684022748</v>
      </c>
    </row>
    <row r="3958" spans="1:4">
      <c r="A3958" s="1">
        <v>24014</v>
      </c>
      <c r="B3958">
        <v>90.02</v>
      </c>
      <c r="C3958">
        <f t="shared" si="142"/>
        <v>-4.533893619374221E-3</v>
      </c>
      <c r="D3958">
        <f t="shared" si="141"/>
        <v>-0.5116811219960643</v>
      </c>
    </row>
    <row r="3959" spans="1:4">
      <c r="A3959" s="1">
        <v>24015</v>
      </c>
      <c r="B3959">
        <v>89.96</v>
      </c>
      <c r="C3959">
        <f t="shared" si="142"/>
        <v>-6.6651855143304013E-4</v>
      </c>
      <c r="D3959">
        <f t="shared" si="141"/>
        <v>-0.10328762940613358</v>
      </c>
    </row>
    <row r="3960" spans="1:4">
      <c r="A3960" s="1">
        <v>24016</v>
      </c>
      <c r="B3960">
        <v>89.9</v>
      </c>
      <c r="C3960">
        <f t="shared" si="142"/>
        <v>-6.6696309470862681E-4</v>
      </c>
      <c r="D3960">
        <f t="shared" si="141"/>
        <v>-0.10333457302492793</v>
      </c>
    </row>
    <row r="3961" spans="1:4">
      <c r="A3961" s="1">
        <v>24019</v>
      </c>
      <c r="B3961">
        <v>90.08</v>
      </c>
      <c r="C3961">
        <f t="shared" si="142"/>
        <v>2.0022246941044783E-3</v>
      </c>
      <c r="D3961">
        <f t="shared" si="141"/>
        <v>0.17853075017272305</v>
      </c>
    </row>
    <row r="3962" spans="1:4">
      <c r="A3962" s="1">
        <v>24020</v>
      </c>
      <c r="B3962">
        <v>90.63</v>
      </c>
      <c r="C3962">
        <f t="shared" si="142"/>
        <v>6.1056838365896662E-3</v>
      </c>
      <c r="D3962">
        <f t="shared" si="141"/>
        <v>0.6118546407856249</v>
      </c>
    </row>
    <row r="3963" spans="1:4">
      <c r="A3963" s="1">
        <v>24021</v>
      </c>
      <c r="B3963">
        <v>90.54</v>
      </c>
      <c r="C3963">
        <f t="shared" si="142"/>
        <v>-9.9304865938419076E-4</v>
      </c>
      <c r="D3963">
        <f t="shared" si="141"/>
        <v>-0.13776909781279853</v>
      </c>
    </row>
    <row r="3964" spans="1:4">
      <c r="A3964" s="1">
        <v>24022</v>
      </c>
      <c r="B3964">
        <v>90.47</v>
      </c>
      <c r="C3964">
        <f t="shared" si="142"/>
        <v>-7.7313894411318079E-4</v>
      </c>
      <c r="D3964">
        <f t="shared" si="141"/>
        <v>-0.11454670663112407</v>
      </c>
    </row>
    <row r="3965" spans="1:4">
      <c r="A3965" s="1">
        <v>24023</v>
      </c>
      <c r="B3965">
        <v>90.85</v>
      </c>
      <c r="C3965">
        <f t="shared" si="142"/>
        <v>4.2002873880843975E-3</v>
      </c>
      <c r="D3965">
        <f t="shared" si="141"/>
        <v>0.41064542349919031</v>
      </c>
    </row>
    <row r="3966" spans="1:4">
      <c r="A3966" s="1">
        <v>24026</v>
      </c>
      <c r="B3966">
        <v>91.37</v>
      </c>
      <c r="C3966">
        <f t="shared" si="142"/>
        <v>5.7237204182719898E-3</v>
      </c>
      <c r="D3966">
        <f t="shared" si="141"/>
        <v>0.57151943364695246</v>
      </c>
    </row>
    <row r="3967" spans="1:4">
      <c r="A3967" s="1">
        <v>24027</v>
      </c>
      <c r="B3967">
        <v>91.35</v>
      </c>
      <c r="C3967">
        <f t="shared" si="142"/>
        <v>-2.1889022655149646E-4</v>
      </c>
      <c r="D3967">
        <f t="shared" si="141"/>
        <v>-5.6018230454903097E-2</v>
      </c>
    </row>
    <row r="3968" spans="1:4">
      <c r="A3968" s="1">
        <v>24028</v>
      </c>
      <c r="B3968">
        <v>91.34</v>
      </c>
      <c r="C3968">
        <f t="shared" si="142"/>
        <v>-1.0946907498621681E-4</v>
      </c>
      <c r="D3968">
        <f t="shared" si="141"/>
        <v>-4.4463394043666143E-2</v>
      </c>
    </row>
    <row r="3969" spans="1:4">
      <c r="A3969" s="1">
        <v>24029</v>
      </c>
      <c r="B3969">
        <v>91.19</v>
      </c>
      <c r="C3969">
        <f t="shared" si="142"/>
        <v>-1.6422158966499418E-3</v>
      </c>
      <c r="D3969">
        <f t="shared" si="141"/>
        <v>-0.20632093740539648</v>
      </c>
    </row>
    <row r="3970" spans="1:4">
      <c r="A3970" s="1">
        <v>24030</v>
      </c>
      <c r="B3970">
        <v>91.38</v>
      </c>
      <c r="C3970">
        <f t="shared" si="142"/>
        <v>2.0835617940563409E-3</v>
      </c>
      <c r="D3970">
        <f t="shared" si="141"/>
        <v>0.18711992027981614</v>
      </c>
    </row>
    <row r="3971" spans="1:4">
      <c r="A3971" s="1">
        <v>24033</v>
      </c>
      <c r="B3971">
        <v>91.68</v>
      </c>
      <c r="C3971">
        <f t="shared" si="142"/>
        <v>3.2829940906107615E-3</v>
      </c>
      <c r="D3971">
        <f t="shared" ref="D3971:D4034" si="143">(C3971-avg)/sd</f>
        <v>0.31377956308911592</v>
      </c>
    </row>
    <row r="3972" spans="1:4">
      <c r="A3972" s="1">
        <v>24034</v>
      </c>
      <c r="B3972">
        <v>91.8</v>
      </c>
      <c r="C3972">
        <f t="shared" ref="C3972:C4035" si="144">(B3972-B3971)/B3971</f>
        <v>1.3089005235601039E-3</v>
      </c>
      <c r="D3972">
        <f t="shared" si="143"/>
        <v>0.10531595343557343</v>
      </c>
    </row>
    <row r="3973" spans="1:4">
      <c r="A3973" s="1">
        <v>24035</v>
      </c>
      <c r="B3973">
        <v>91.78</v>
      </c>
      <c r="C3973">
        <f t="shared" si="144"/>
        <v>-2.1786492374723334E-4</v>
      </c>
      <c r="D3973">
        <f t="shared" si="143"/>
        <v>-5.590995882729026E-2</v>
      </c>
    </row>
    <row r="3974" spans="1:4">
      <c r="A3974" s="1">
        <v>24036</v>
      </c>
      <c r="B3974">
        <v>91.94</v>
      </c>
      <c r="C3974">
        <f t="shared" si="144"/>
        <v>1.7432991937240856E-3</v>
      </c>
      <c r="D3974">
        <f t="shared" si="143"/>
        <v>0.15118830534560751</v>
      </c>
    </row>
    <row r="3975" spans="1:4">
      <c r="A3975" s="1">
        <v>24037</v>
      </c>
      <c r="B3975">
        <v>91.98</v>
      </c>
      <c r="C3975">
        <f t="shared" si="144"/>
        <v>4.3506634761807979E-4</v>
      </c>
      <c r="D3975">
        <f t="shared" si="143"/>
        <v>1.303936148676405E-2</v>
      </c>
    </row>
    <row r="3976" spans="1:4">
      <c r="A3976" s="1">
        <v>24040</v>
      </c>
      <c r="B3976">
        <v>91.67</v>
      </c>
      <c r="C3976">
        <f t="shared" si="144"/>
        <v>-3.3702978908458606E-3</v>
      </c>
      <c r="D3976">
        <f t="shared" si="143"/>
        <v>-0.38880580858887515</v>
      </c>
    </row>
    <row r="3977" spans="1:4">
      <c r="A3977" s="1">
        <v>24041</v>
      </c>
      <c r="B3977">
        <v>92.2</v>
      </c>
      <c r="C3977">
        <f t="shared" si="144"/>
        <v>5.7816079415294111E-3</v>
      </c>
      <c r="D3977">
        <f t="shared" si="143"/>
        <v>0.57763233642601097</v>
      </c>
    </row>
    <row r="3978" spans="1:4">
      <c r="A3978" s="1">
        <v>24042</v>
      </c>
      <c r="B3978">
        <v>92.51</v>
      </c>
      <c r="C3978">
        <f t="shared" si="144"/>
        <v>3.3622559652928662E-3</v>
      </c>
      <c r="D3978">
        <f t="shared" si="143"/>
        <v>0.32214959011312588</v>
      </c>
    </row>
    <row r="3979" spans="1:4">
      <c r="A3979" s="1">
        <v>24043</v>
      </c>
      <c r="B3979">
        <v>92.21</v>
      </c>
      <c r="C3979">
        <f t="shared" si="144"/>
        <v>-3.2428926602530682E-3</v>
      </c>
      <c r="D3979">
        <f t="shared" si="143"/>
        <v>-0.37535185954541833</v>
      </c>
    </row>
    <row r="3980" spans="1:4">
      <c r="A3980" s="1">
        <v>24044</v>
      </c>
      <c r="B3980">
        <v>92.42</v>
      </c>
      <c r="C3980">
        <f t="shared" si="144"/>
        <v>2.2774102591910637E-3</v>
      </c>
      <c r="D3980">
        <f t="shared" si="143"/>
        <v>0.20759025230574801</v>
      </c>
    </row>
    <row r="3981" spans="1:4">
      <c r="A3981" s="1">
        <v>24047</v>
      </c>
      <c r="B3981">
        <v>92.23</v>
      </c>
      <c r="C3981">
        <f t="shared" si="144"/>
        <v>-2.0558320709802825E-3</v>
      </c>
      <c r="D3981">
        <f t="shared" si="143"/>
        <v>-0.24999866481971161</v>
      </c>
    </row>
    <row r="3982" spans="1:4">
      <c r="A3982" s="1">
        <v>24049</v>
      </c>
      <c r="B3982">
        <v>92.31</v>
      </c>
      <c r="C3982">
        <f t="shared" si="144"/>
        <v>8.6739672557734245E-4</v>
      </c>
      <c r="D3982">
        <f t="shared" si="143"/>
        <v>5.8693302443026486E-2</v>
      </c>
    </row>
    <row r="3983" spans="1:4">
      <c r="A3983" s="1">
        <v>24050</v>
      </c>
      <c r="B3983">
        <v>92.46</v>
      </c>
      <c r="C3983">
        <f t="shared" si="144"/>
        <v>1.6249593760155072E-3</v>
      </c>
      <c r="D3983">
        <f t="shared" si="143"/>
        <v>0.13869166082124013</v>
      </c>
    </row>
    <row r="3984" spans="1:4">
      <c r="A3984" s="1">
        <v>24051</v>
      </c>
      <c r="B3984">
        <v>92.37</v>
      </c>
      <c r="C3984">
        <f t="shared" si="144"/>
        <v>-9.7339390006477621E-4</v>
      </c>
      <c r="D3984">
        <f t="shared" si="143"/>
        <v>-0.13569356190964565</v>
      </c>
    </row>
    <row r="3985" spans="1:4">
      <c r="A3985" s="1">
        <v>24054</v>
      </c>
      <c r="B3985">
        <v>92.23</v>
      </c>
      <c r="C3985">
        <f t="shared" si="144"/>
        <v>-1.5156436072317912E-3</v>
      </c>
      <c r="D3985">
        <f t="shared" si="143"/>
        <v>-0.19295494666685134</v>
      </c>
    </row>
    <row r="3986" spans="1:4">
      <c r="A3986" s="1">
        <v>24055</v>
      </c>
      <c r="B3986">
        <v>91.93</v>
      </c>
      <c r="C3986">
        <f t="shared" si="144"/>
        <v>-3.2527377209150728E-3</v>
      </c>
      <c r="D3986">
        <f t="shared" si="143"/>
        <v>-0.37639149460482729</v>
      </c>
    </row>
    <row r="3987" spans="1:4">
      <c r="A3987" s="1">
        <v>24056</v>
      </c>
      <c r="B3987">
        <v>91.83</v>
      </c>
      <c r="C3987">
        <f t="shared" si="144"/>
        <v>-1.0877841836180629E-3</v>
      </c>
      <c r="D3987">
        <f t="shared" si="143"/>
        <v>-0.1477731369697261</v>
      </c>
    </row>
    <row r="3988" spans="1:4">
      <c r="A3988" s="1">
        <v>24057</v>
      </c>
      <c r="B3988">
        <v>92.11</v>
      </c>
      <c r="C3988">
        <f t="shared" si="144"/>
        <v>3.0491124904715359E-3</v>
      </c>
      <c r="D3988">
        <f t="shared" si="143"/>
        <v>0.28908174561463229</v>
      </c>
    </row>
    <row r="3989" spans="1:4">
      <c r="A3989" s="1">
        <v>24058</v>
      </c>
      <c r="B3989">
        <v>92.55</v>
      </c>
      <c r="C3989">
        <f t="shared" si="144"/>
        <v>4.7768971881445854E-3</v>
      </c>
      <c r="D3989">
        <f t="shared" si="143"/>
        <v>0.47153522238635198</v>
      </c>
    </row>
    <row r="3990" spans="1:4">
      <c r="A3990" s="1">
        <v>24061</v>
      </c>
      <c r="B3990">
        <v>92.63</v>
      </c>
      <c r="C3990">
        <f t="shared" si="144"/>
        <v>8.6439762290651861E-4</v>
      </c>
      <c r="D3990">
        <f t="shared" si="143"/>
        <v>5.8376598220432008E-2</v>
      </c>
    </row>
    <row r="3991" spans="1:4">
      <c r="A3991" s="1">
        <v>24062</v>
      </c>
      <c r="B3991">
        <v>92.41</v>
      </c>
      <c r="C3991">
        <f t="shared" si="144"/>
        <v>-2.3750404836445954E-3</v>
      </c>
      <c r="D3991">
        <f t="shared" si="143"/>
        <v>-0.28370696469285162</v>
      </c>
    </row>
    <row r="3992" spans="1:4">
      <c r="A3992" s="1">
        <v>24063</v>
      </c>
      <c r="B3992">
        <v>92.6</v>
      </c>
      <c r="C3992">
        <f t="shared" si="144"/>
        <v>2.056054539551972E-3</v>
      </c>
      <c r="D3992">
        <f t="shared" si="143"/>
        <v>0.18421516355432488</v>
      </c>
    </row>
    <row r="3993" spans="1:4">
      <c r="A3993" s="1">
        <v>24064</v>
      </c>
      <c r="B3993">
        <v>92.22</v>
      </c>
      <c r="C3993">
        <f t="shared" si="144"/>
        <v>-4.1036717062634502E-3</v>
      </c>
      <c r="D3993">
        <f t="shared" si="143"/>
        <v>-0.46624983421110061</v>
      </c>
    </row>
    <row r="3994" spans="1:4">
      <c r="A3994" s="1">
        <v>24065</v>
      </c>
      <c r="B3994">
        <v>92.24</v>
      </c>
      <c r="C3994">
        <f t="shared" si="144"/>
        <v>2.1687269572756476E-4</v>
      </c>
      <c r="D3994">
        <f t="shared" si="143"/>
        <v>-1.000181398524844E-2</v>
      </c>
    </row>
    <row r="3995" spans="1:4">
      <c r="A3995" s="1">
        <v>24068</v>
      </c>
      <c r="B3995">
        <v>91.64</v>
      </c>
      <c r="C3995">
        <f t="shared" si="144"/>
        <v>-6.5047701647874493E-3</v>
      </c>
      <c r="D3995">
        <f t="shared" si="143"/>
        <v>-0.71980501525821305</v>
      </c>
    </row>
    <row r="3996" spans="1:4">
      <c r="A3996" s="1">
        <v>24069</v>
      </c>
      <c r="B3996">
        <v>91.78</v>
      </c>
      <c r="C3996">
        <f t="shared" si="144"/>
        <v>1.5277171540811934E-3</v>
      </c>
      <c r="D3996">
        <f t="shared" si="143"/>
        <v>0.12842291523921384</v>
      </c>
    </row>
    <row r="3997" spans="1:4">
      <c r="A3997" s="1">
        <v>24070</v>
      </c>
      <c r="B3997">
        <v>91.94</v>
      </c>
      <c r="C3997">
        <f t="shared" si="144"/>
        <v>1.7432991937240856E-3</v>
      </c>
      <c r="D3997">
        <f t="shared" si="143"/>
        <v>0.15118830534560751</v>
      </c>
    </row>
    <row r="3998" spans="1:4">
      <c r="A3998" s="1">
        <v>24072</v>
      </c>
      <c r="B3998">
        <v>92.03</v>
      </c>
      <c r="C3998">
        <f t="shared" si="144"/>
        <v>9.788992821405636E-4</v>
      </c>
      <c r="D3998">
        <f t="shared" si="143"/>
        <v>7.0467934514542127E-2</v>
      </c>
    </row>
    <row r="3999" spans="1:4">
      <c r="A3999" s="1">
        <v>24075</v>
      </c>
      <c r="B3999">
        <v>91.8</v>
      </c>
      <c r="C3999">
        <f t="shared" si="144"/>
        <v>-2.499185048353841E-3</v>
      </c>
      <c r="D3999">
        <f t="shared" si="143"/>
        <v>-0.29681658852736009</v>
      </c>
    </row>
    <row r="4000" spans="1:4">
      <c r="A4000" s="1">
        <v>24076</v>
      </c>
      <c r="B4000">
        <v>91.61</v>
      </c>
      <c r="C4000">
        <f t="shared" si="144"/>
        <v>-2.0697167755991037E-3</v>
      </c>
      <c r="D4000">
        <f t="shared" si="143"/>
        <v>-0.25146488490781871</v>
      </c>
    </row>
    <row r="4001" spans="1:4">
      <c r="A4001" s="1">
        <v>24077</v>
      </c>
      <c r="B4001">
        <v>91.5</v>
      </c>
      <c r="C4001">
        <f t="shared" si="144"/>
        <v>-1.2007422770439846E-3</v>
      </c>
      <c r="D4001">
        <f t="shared" si="143"/>
        <v>-0.15970147323918191</v>
      </c>
    </row>
    <row r="4002" spans="1:4">
      <c r="A4002" s="1">
        <v>24078</v>
      </c>
      <c r="B4002">
        <v>91.21</v>
      </c>
      <c r="C4002">
        <f t="shared" si="144"/>
        <v>-3.1693989071038937E-3</v>
      </c>
      <c r="D4002">
        <f t="shared" si="143"/>
        <v>-0.36759094419460603</v>
      </c>
    </row>
    <row r="4003" spans="1:4">
      <c r="A4003" s="1">
        <v>24079</v>
      </c>
      <c r="B4003">
        <v>91.27</v>
      </c>
      <c r="C4003">
        <f t="shared" si="144"/>
        <v>6.5782260717029144E-4</v>
      </c>
      <c r="D4003">
        <f t="shared" si="143"/>
        <v>3.6562346776946003E-2</v>
      </c>
    </row>
    <row r="4004" spans="1:4">
      <c r="A4004" s="1">
        <v>24082</v>
      </c>
      <c r="B4004">
        <v>90.59</v>
      </c>
      <c r="C4004">
        <f t="shared" si="144"/>
        <v>-7.4504218253532662E-3</v>
      </c>
      <c r="D4004">
        <f t="shared" si="143"/>
        <v>-0.81966550917134584</v>
      </c>
    </row>
    <row r="4005" spans="1:4">
      <c r="A4005" s="1">
        <v>24083</v>
      </c>
      <c r="B4005">
        <v>91.39</v>
      </c>
      <c r="C4005">
        <f t="shared" si="144"/>
        <v>8.8309967987636288E-3</v>
      </c>
      <c r="D4005">
        <f t="shared" si="143"/>
        <v>0.89964676321230908</v>
      </c>
    </row>
    <row r="4006" spans="1:4">
      <c r="A4006" s="1">
        <v>24084</v>
      </c>
      <c r="B4006">
        <v>91.28</v>
      </c>
      <c r="C4006">
        <f t="shared" si="144"/>
        <v>-1.2036327825801448E-3</v>
      </c>
      <c r="D4006">
        <f t="shared" si="143"/>
        <v>-0.16000670964126987</v>
      </c>
    </row>
    <row r="4007" spans="1:4">
      <c r="A4007" s="1">
        <v>24085</v>
      </c>
      <c r="B4007">
        <v>91.56</v>
      </c>
      <c r="C4007">
        <f t="shared" si="144"/>
        <v>3.0674846625766993E-3</v>
      </c>
      <c r="D4007">
        <f t="shared" si="143"/>
        <v>0.29102184074393284</v>
      </c>
    </row>
    <row r="4008" spans="1:4">
      <c r="A4008" s="1">
        <v>24086</v>
      </c>
      <c r="B4008">
        <v>91.8</v>
      </c>
      <c r="C4008">
        <f t="shared" si="144"/>
        <v>2.6212319790300882E-3</v>
      </c>
      <c r="D4008">
        <f t="shared" si="143"/>
        <v>0.243897709050068</v>
      </c>
    </row>
    <row r="4009" spans="1:4">
      <c r="A4009" s="1">
        <v>24089</v>
      </c>
      <c r="B4009">
        <v>91.83</v>
      </c>
      <c r="C4009">
        <f t="shared" si="144"/>
        <v>3.2679738562092742E-4</v>
      </c>
      <c r="D4009">
        <f t="shared" si="143"/>
        <v>1.6061959022730804E-3</v>
      </c>
    </row>
    <row r="4010" spans="1:4">
      <c r="A4010" s="1">
        <v>24090</v>
      </c>
      <c r="B4010">
        <v>91.88</v>
      </c>
      <c r="C4010">
        <f t="shared" si="144"/>
        <v>5.4448437329845543E-4</v>
      </c>
      <c r="D4010">
        <f t="shared" si="143"/>
        <v>2.4593867805617675E-2</v>
      </c>
    </row>
    <row r="4011" spans="1:4">
      <c r="A4011" s="1">
        <v>24091</v>
      </c>
      <c r="B4011">
        <v>92.02</v>
      </c>
      <c r="C4011">
        <f t="shared" si="144"/>
        <v>1.5237265999129362E-3</v>
      </c>
      <c r="D4011">
        <f t="shared" si="143"/>
        <v>0.12800151407550114</v>
      </c>
    </row>
    <row r="4012" spans="1:4">
      <c r="A4012" s="1">
        <v>24092</v>
      </c>
      <c r="B4012">
        <v>92.12</v>
      </c>
      <c r="C4012">
        <f t="shared" si="144"/>
        <v>1.0867202782004839E-3</v>
      </c>
      <c r="D4012">
        <f t="shared" si="143"/>
        <v>8.1853795048332414E-2</v>
      </c>
    </row>
    <row r="4013" spans="1:4">
      <c r="A4013" s="1">
        <v>24093</v>
      </c>
      <c r="B4013">
        <v>92.08</v>
      </c>
      <c r="C4013">
        <f t="shared" si="144"/>
        <v>-4.3421623968743214E-4</v>
      </c>
      <c r="D4013">
        <f t="shared" si="143"/>
        <v>-7.8756584249189784E-2</v>
      </c>
    </row>
    <row r="4014" spans="1:4">
      <c r="A4014" s="1">
        <v>24096</v>
      </c>
      <c r="B4014">
        <v>91.65</v>
      </c>
      <c r="C4014">
        <f t="shared" si="144"/>
        <v>-4.6698523023457061E-3</v>
      </c>
      <c r="D4014">
        <f t="shared" si="143"/>
        <v>-0.52603831270325141</v>
      </c>
    </row>
    <row r="4015" spans="1:4">
      <c r="A4015" s="1">
        <v>24097</v>
      </c>
      <c r="B4015">
        <v>92.01</v>
      </c>
      <c r="C4015">
        <f t="shared" si="144"/>
        <v>3.9279869067103046E-3</v>
      </c>
      <c r="D4015">
        <f t="shared" si="143"/>
        <v>0.38189058522551694</v>
      </c>
    </row>
    <row r="4016" spans="1:4">
      <c r="A4016" s="1">
        <v>24098</v>
      </c>
      <c r="B4016">
        <v>92.29</v>
      </c>
      <c r="C4016">
        <f t="shared" si="144"/>
        <v>3.043147483969146E-3</v>
      </c>
      <c r="D4016">
        <f t="shared" si="143"/>
        <v>0.28845184295558413</v>
      </c>
    </row>
    <row r="4017" spans="1:4">
      <c r="A4017" s="1">
        <v>24099</v>
      </c>
      <c r="B4017">
        <v>92.19</v>
      </c>
      <c r="C4017">
        <f t="shared" si="144"/>
        <v>-1.0835410120273975E-3</v>
      </c>
      <c r="D4017">
        <f t="shared" si="143"/>
        <v>-0.14732505949207594</v>
      </c>
    </row>
    <row r="4018" spans="1:4">
      <c r="A4018" s="1">
        <v>24103</v>
      </c>
      <c r="B4018">
        <v>91.52</v>
      </c>
      <c r="C4018">
        <f t="shared" si="144"/>
        <v>-7.2675995227248266E-3</v>
      </c>
      <c r="D4018">
        <f t="shared" si="143"/>
        <v>-0.80035953615810274</v>
      </c>
    </row>
    <row r="4019" spans="1:4">
      <c r="A4019" s="1">
        <v>24104</v>
      </c>
      <c r="B4019">
        <v>91.53</v>
      </c>
      <c r="C4019">
        <f t="shared" si="144"/>
        <v>1.0926573426579017E-4</v>
      </c>
      <c r="D4019">
        <f t="shared" si="143"/>
        <v>-2.1365072538228433E-2</v>
      </c>
    </row>
    <row r="4020" spans="1:4">
      <c r="A4020" s="1">
        <v>24105</v>
      </c>
      <c r="B4020">
        <v>91.81</v>
      </c>
      <c r="C4020">
        <f t="shared" si="144"/>
        <v>3.0591063039440746E-3</v>
      </c>
      <c r="D4020">
        <f t="shared" si="143"/>
        <v>0.29013708892027013</v>
      </c>
    </row>
    <row r="4021" spans="1:4">
      <c r="A4021" s="1">
        <v>24106</v>
      </c>
      <c r="B4021">
        <v>92.2</v>
      </c>
      <c r="C4021">
        <f t="shared" si="144"/>
        <v>4.247903278509972E-3</v>
      </c>
      <c r="D4021">
        <f t="shared" si="143"/>
        <v>0.41567364534270335</v>
      </c>
    </row>
    <row r="4022" spans="1:4">
      <c r="A4022" s="1">
        <v>24107</v>
      </c>
      <c r="B4022">
        <v>92.43</v>
      </c>
      <c r="C4022">
        <f t="shared" si="144"/>
        <v>2.4945770065076351E-3</v>
      </c>
      <c r="D4022">
        <f t="shared" si="143"/>
        <v>0.23052298700381391</v>
      </c>
    </row>
    <row r="4023" spans="1:4">
      <c r="A4023" s="1">
        <v>24110</v>
      </c>
      <c r="B4023">
        <v>92.18</v>
      </c>
      <c r="C4023">
        <f t="shared" si="144"/>
        <v>-2.704749540192578E-3</v>
      </c>
      <c r="D4023">
        <f t="shared" si="143"/>
        <v>-0.31852412899076488</v>
      </c>
    </row>
    <row r="4024" spans="1:4">
      <c r="A4024" s="1">
        <v>24111</v>
      </c>
      <c r="B4024">
        <v>92.26</v>
      </c>
      <c r="C4024">
        <f t="shared" si="144"/>
        <v>8.6786721631588516E-4</v>
      </c>
      <c r="D4024">
        <f t="shared" si="143"/>
        <v>5.8742986105089025E-2</v>
      </c>
    </row>
    <row r="4025" spans="1:4">
      <c r="A4025" s="1">
        <v>24112</v>
      </c>
      <c r="B4025">
        <v>92.85</v>
      </c>
      <c r="C4025">
        <f t="shared" si="144"/>
        <v>6.3949707348795702E-3</v>
      </c>
      <c r="D4025">
        <f t="shared" si="143"/>
        <v>0.64240323891164419</v>
      </c>
    </row>
    <row r="4026" spans="1:4">
      <c r="A4026" s="1">
        <v>24113</v>
      </c>
      <c r="B4026">
        <v>93.06</v>
      </c>
      <c r="C4026">
        <f t="shared" si="144"/>
        <v>2.2617124394185028E-3</v>
      </c>
      <c r="D4026">
        <f t="shared" si="143"/>
        <v>0.20593256787371381</v>
      </c>
    </row>
    <row r="4027" spans="1:4">
      <c r="A4027" s="1">
        <v>24114</v>
      </c>
      <c r="B4027">
        <v>93.14</v>
      </c>
      <c r="C4027">
        <f t="shared" si="144"/>
        <v>8.5966043412850088E-4</v>
      </c>
      <c r="D4027">
        <f t="shared" si="143"/>
        <v>5.7876352695722055E-2</v>
      </c>
    </row>
    <row r="4028" spans="1:4">
      <c r="A4028" s="1">
        <v>24117</v>
      </c>
      <c r="B4028">
        <v>93.33</v>
      </c>
      <c r="C4028">
        <f t="shared" si="144"/>
        <v>2.0399398754562779E-3</v>
      </c>
      <c r="D4028">
        <f t="shared" si="143"/>
        <v>0.18251346050346007</v>
      </c>
    </row>
    <row r="4029" spans="1:4">
      <c r="A4029" s="1">
        <v>24118</v>
      </c>
      <c r="B4029">
        <v>93.41</v>
      </c>
      <c r="C4029">
        <f t="shared" si="144"/>
        <v>8.5717347048107036E-4</v>
      </c>
      <c r="D4029">
        <f t="shared" si="143"/>
        <v>5.7613730179913399E-2</v>
      </c>
    </row>
    <row r="4030" spans="1:4">
      <c r="A4030" s="1">
        <v>24119</v>
      </c>
      <c r="B4030">
        <v>93.19</v>
      </c>
      <c r="C4030">
        <f t="shared" si="144"/>
        <v>-2.3552082218177804E-3</v>
      </c>
      <c r="D4030">
        <f t="shared" si="143"/>
        <v>-0.28161268458525329</v>
      </c>
    </row>
    <row r="4031" spans="1:4">
      <c r="A4031" s="1">
        <v>24120</v>
      </c>
      <c r="B4031">
        <v>93.36</v>
      </c>
      <c r="C4031">
        <f t="shared" si="144"/>
        <v>1.8242300676038386E-3</v>
      </c>
      <c r="D4031">
        <f t="shared" si="143"/>
        <v>0.15973457811756875</v>
      </c>
    </row>
    <row r="4032" spans="1:4">
      <c r="A4032" s="1">
        <v>24121</v>
      </c>
      <c r="B4032">
        <v>93.5</v>
      </c>
      <c r="C4032">
        <f t="shared" si="144"/>
        <v>1.4995715509854388E-3</v>
      </c>
      <c r="D4032">
        <f t="shared" si="143"/>
        <v>0.1254507491194575</v>
      </c>
    </row>
    <row r="4033" spans="1:4">
      <c r="A4033" s="1">
        <v>24124</v>
      </c>
      <c r="B4033">
        <v>93.77</v>
      </c>
      <c r="C4033">
        <f t="shared" si="144"/>
        <v>2.8877005347593158E-3</v>
      </c>
      <c r="D4033">
        <f t="shared" si="143"/>
        <v>0.27203669795801144</v>
      </c>
    </row>
    <row r="4034" spans="1:4">
      <c r="A4034" s="1">
        <v>24125</v>
      </c>
      <c r="B4034">
        <v>93.95</v>
      </c>
      <c r="C4034">
        <f t="shared" si="144"/>
        <v>1.9195904873627687E-3</v>
      </c>
      <c r="D4034">
        <f t="shared" si="143"/>
        <v>0.16980460602953015</v>
      </c>
    </row>
    <row r="4035" spans="1:4">
      <c r="A4035" s="1">
        <v>24126</v>
      </c>
      <c r="B4035">
        <v>93.69</v>
      </c>
      <c r="C4035">
        <f t="shared" si="144"/>
        <v>-2.7674294837680162E-3</v>
      </c>
      <c r="D4035">
        <f t="shared" ref="D4035:D4098" si="145">(C4035-avg)/sd</f>
        <v>-0.32514310972638316</v>
      </c>
    </row>
    <row r="4036" spans="1:4">
      <c r="A4036" s="1">
        <v>24127</v>
      </c>
      <c r="B4036">
        <v>93.36</v>
      </c>
      <c r="C4036">
        <f t="shared" ref="C4036:C4099" si="146">(B4036-B4035)/B4035</f>
        <v>-3.5222542427153199E-3</v>
      </c>
      <c r="D4036">
        <f t="shared" si="145"/>
        <v>-0.40485234769381639</v>
      </c>
    </row>
    <row r="4037" spans="1:4">
      <c r="A4037" s="1">
        <v>24128</v>
      </c>
      <c r="B4037">
        <v>93.47</v>
      </c>
      <c r="C4037">
        <f t="shared" si="146"/>
        <v>1.1782347900599769E-3</v>
      </c>
      <c r="D4037">
        <f t="shared" si="145"/>
        <v>9.1517696393400863E-2</v>
      </c>
    </row>
    <row r="4038" spans="1:4">
      <c r="A4038" s="1">
        <v>24131</v>
      </c>
      <c r="B4038">
        <v>93.71</v>
      </c>
      <c r="C4038">
        <f t="shared" si="146"/>
        <v>2.5676687707285213E-3</v>
      </c>
      <c r="D4038">
        <f t="shared" si="145"/>
        <v>0.23824145246044165</v>
      </c>
    </row>
    <row r="4039" spans="1:4">
      <c r="A4039" s="1">
        <v>24132</v>
      </c>
      <c r="B4039">
        <v>93.85</v>
      </c>
      <c r="C4039">
        <f t="shared" si="146"/>
        <v>1.4939707608579722E-3</v>
      </c>
      <c r="D4039">
        <f t="shared" si="145"/>
        <v>0.12485930758579809</v>
      </c>
    </row>
    <row r="4040" spans="1:4">
      <c r="A4040" s="1">
        <v>24133</v>
      </c>
      <c r="B4040">
        <v>93.7</v>
      </c>
      <c r="C4040">
        <f t="shared" si="146"/>
        <v>-1.5982951518379487E-3</v>
      </c>
      <c r="D4040">
        <f t="shared" si="145"/>
        <v>-0.20168292168263652</v>
      </c>
    </row>
    <row r="4041" spans="1:4">
      <c r="A4041" s="1">
        <v>24134</v>
      </c>
      <c r="B4041">
        <v>93.67</v>
      </c>
      <c r="C4041">
        <f t="shared" si="146"/>
        <v>-3.201707577374721E-4</v>
      </c>
      <c r="D4041">
        <f t="shared" si="145"/>
        <v>-6.6713420121216865E-2</v>
      </c>
    </row>
    <row r="4042" spans="1:4">
      <c r="A4042" s="1">
        <v>24135</v>
      </c>
      <c r="B4042">
        <v>93.31</v>
      </c>
      <c r="C4042">
        <f t="shared" si="146"/>
        <v>-3.8432795985907913E-3</v>
      </c>
      <c r="D4042">
        <f t="shared" si="145"/>
        <v>-0.43875251615244582</v>
      </c>
    </row>
    <row r="4043" spans="1:4">
      <c r="A4043" s="1">
        <v>24138</v>
      </c>
      <c r="B4043">
        <v>92.88</v>
      </c>
      <c r="C4043">
        <f t="shared" si="146"/>
        <v>-4.6082949308756489E-3</v>
      </c>
      <c r="D4043">
        <f t="shared" si="145"/>
        <v>-0.51953787520038053</v>
      </c>
    </row>
    <row r="4044" spans="1:4">
      <c r="A4044" s="1">
        <v>24139</v>
      </c>
      <c r="B4044">
        <v>92.16</v>
      </c>
      <c r="C4044">
        <f t="shared" si="146"/>
        <v>-7.7519379844961118E-3</v>
      </c>
      <c r="D4044">
        <f t="shared" si="145"/>
        <v>-0.85150551308650801</v>
      </c>
    </row>
    <row r="4045" spans="1:4">
      <c r="A4045" s="1">
        <v>24140</v>
      </c>
      <c r="B4045">
        <v>92.53</v>
      </c>
      <c r="C4045">
        <f t="shared" si="146"/>
        <v>4.0147569444444944E-3</v>
      </c>
      <c r="D4045">
        <f t="shared" si="145"/>
        <v>0.3910534717156785</v>
      </c>
    </row>
    <row r="4046" spans="1:4">
      <c r="A4046" s="1">
        <v>24141</v>
      </c>
      <c r="B4046">
        <v>92.65</v>
      </c>
      <c r="C4046">
        <f t="shared" si="146"/>
        <v>1.2968766886415708E-3</v>
      </c>
      <c r="D4046">
        <f t="shared" si="145"/>
        <v>0.10404624055527641</v>
      </c>
    </row>
    <row r="4047" spans="1:4">
      <c r="A4047" s="1">
        <v>24142</v>
      </c>
      <c r="B4047">
        <v>93.26</v>
      </c>
      <c r="C4047">
        <f t="shared" si="146"/>
        <v>6.5839179708580614E-3</v>
      </c>
      <c r="D4047">
        <f t="shared" si="145"/>
        <v>0.66235600280468676</v>
      </c>
    </row>
    <row r="4048" spans="1:4">
      <c r="A4048" s="1">
        <v>24145</v>
      </c>
      <c r="B4048">
        <v>93.59</v>
      </c>
      <c r="C4048">
        <f t="shared" si="146"/>
        <v>3.5384945314175238E-3</v>
      </c>
      <c r="D4048">
        <f t="shared" si="145"/>
        <v>0.34076032278949042</v>
      </c>
    </row>
    <row r="4049" spans="1:4">
      <c r="A4049" s="1">
        <v>24146</v>
      </c>
      <c r="B4049">
        <v>93.55</v>
      </c>
      <c r="C4049">
        <f t="shared" si="146"/>
        <v>-4.2739608932584948E-4</v>
      </c>
      <c r="D4049">
        <f t="shared" si="145"/>
        <v>-7.8036378689288394E-2</v>
      </c>
    </row>
    <row r="4050" spans="1:4">
      <c r="A4050" s="1">
        <v>24147</v>
      </c>
      <c r="B4050">
        <v>94.06</v>
      </c>
      <c r="C4050">
        <f t="shared" si="146"/>
        <v>5.4516301443079118E-3</v>
      </c>
      <c r="D4050">
        <f t="shared" si="145"/>
        <v>0.54278679320432377</v>
      </c>
    </row>
    <row r="4051" spans="1:4">
      <c r="A4051" s="1">
        <v>24148</v>
      </c>
      <c r="B4051">
        <v>93.83</v>
      </c>
      <c r="C4051">
        <f t="shared" si="146"/>
        <v>-2.4452477142250049E-3</v>
      </c>
      <c r="D4051">
        <f t="shared" si="145"/>
        <v>-0.29112082437754566</v>
      </c>
    </row>
    <row r="4052" spans="1:4">
      <c r="A4052" s="1">
        <v>24149</v>
      </c>
      <c r="B4052">
        <v>93.81</v>
      </c>
      <c r="C4052">
        <f t="shared" si="146"/>
        <v>-2.1315144410099138E-4</v>
      </c>
      <c r="D4052">
        <f t="shared" si="145"/>
        <v>-5.5412216978836693E-2</v>
      </c>
    </row>
    <row r="4053" spans="1:4">
      <c r="A4053" s="1">
        <v>24152</v>
      </c>
      <c r="B4053">
        <v>93.53</v>
      </c>
      <c r="C4053">
        <f t="shared" si="146"/>
        <v>-2.9847564225562429E-3</v>
      </c>
      <c r="D4053">
        <f t="shared" si="145"/>
        <v>-0.34809276058940408</v>
      </c>
    </row>
    <row r="4054" spans="1:4">
      <c r="A4054" s="1">
        <v>24153</v>
      </c>
      <c r="B4054">
        <v>93.17</v>
      </c>
      <c r="C4054">
        <f t="shared" si="146"/>
        <v>-3.8490323960226605E-3</v>
      </c>
      <c r="D4054">
        <f t="shared" si="145"/>
        <v>-0.43936000960578031</v>
      </c>
    </row>
    <row r="4055" spans="1:4">
      <c r="A4055" s="1">
        <v>24154</v>
      </c>
      <c r="B4055">
        <v>93.16</v>
      </c>
      <c r="C4055">
        <f t="shared" si="146"/>
        <v>-1.0733068584313744E-4</v>
      </c>
      <c r="D4055">
        <f t="shared" si="145"/>
        <v>-4.4237580877030752E-2</v>
      </c>
    </row>
    <row r="4056" spans="1:4">
      <c r="A4056" s="1">
        <v>24155</v>
      </c>
      <c r="B4056">
        <v>92.66</v>
      </c>
      <c r="C4056">
        <f t="shared" si="146"/>
        <v>-5.3671103477887505E-3</v>
      </c>
      <c r="D4056">
        <f t="shared" si="145"/>
        <v>-0.59966852529251158</v>
      </c>
    </row>
    <row r="4057" spans="1:4">
      <c r="A4057" s="1">
        <v>24156</v>
      </c>
      <c r="B4057">
        <v>92.41</v>
      </c>
      <c r="C4057">
        <f t="shared" si="146"/>
        <v>-2.6980358299158215E-3</v>
      </c>
      <c r="D4057">
        <f t="shared" si="145"/>
        <v>-0.31781516346764044</v>
      </c>
    </row>
    <row r="4058" spans="1:4">
      <c r="A4058" s="1">
        <v>24159</v>
      </c>
      <c r="B4058">
        <v>91.87</v>
      </c>
      <c r="C4058">
        <f t="shared" si="146"/>
        <v>-5.8435234282003257E-3</v>
      </c>
      <c r="D4058">
        <f t="shared" si="145"/>
        <v>-0.64997758464329958</v>
      </c>
    </row>
    <row r="4059" spans="1:4">
      <c r="A4059" s="1">
        <v>24161</v>
      </c>
      <c r="B4059">
        <v>91.48</v>
      </c>
      <c r="C4059">
        <f t="shared" si="146"/>
        <v>-4.2451289866115224E-3</v>
      </c>
      <c r="D4059">
        <f t="shared" si="145"/>
        <v>-0.48118767493219122</v>
      </c>
    </row>
    <row r="4060" spans="1:4">
      <c r="A4060" s="1">
        <v>24162</v>
      </c>
      <c r="B4060">
        <v>90.89</v>
      </c>
      <c r="C4060">
        <f t="shared" si="146"/>
        <v>-6.4494971578487473E-3</v>
      </c>
      <c r="D4060">
        <f t="shared" si="145"/>
        <v>-0.71396820451369414</v>
      </c>
    </row>
    <row r="4061" spans="1:4">
      <c r="A4061" s="1">
        <v>24163</v>
      </c>
      <c r="B4061">
        <v>91.14</v>
      </c>
      <c r="C4061">
        <f t="shared" si="146"/>
        <v>2.750577621300473E-3</v>
      </c>
      <c r="D4061">
        <f t="shared" si="145"/>
        <v>0.2575565649071006</v>
      </c>
    </row>
    <row r="4062" spans="1:4">
      <c r="A4062" s="1">
        <v>24166</v>
      </c>
      <c r="B4062">
        <v>91.22</v>
      </c>
      <c r="C4062">
        <f t="shared" si="146"/>
        <v>8.7777046302390052E-4</v>
      </c>
      <c r="D4062">
        <f t="shared" si="145"/>
        <v>5.9788765591178322E-2</v>
      </c>
    </row>
    <row r="4063" spans="1:4">
      <c r="A4063" s="1">
        <v>24167</v>
      </c>
      <c r="B4063">
        <v>90.06</v>
      </c>
      <c r="C4063">
        <f t="shared" si="146"/>
        <v>-1.2716509537382115E-2</v>
      </c>
      <c r="D4063">
        <f t="shared" si="145"/>
        <v>-1.3757625815314058</v>
      </c>
    </row>
    <row r="4064" spans="1:4">
      <c r="A4064" s="1">
        <v>24168</v>
      </c>
      <c r="B4064">
        <v>89.15</v>
      </c>
      <c r="C4064">
        <f t="shared" si="146"/>
        <v>-1.0104374861203604E-2</v>
      </c>
      <c r="D4064">
        <f t="shared" si="145"/>
        <v>-1.0999220476346727</v>
      </c>
    </row>
    <row r="4065" spans="1:4">
      <c r="A4065" s="1">
        <v>24169</v>
      </c>
      <c r="B4065">
        <v>89.47</v>
      </c>
      <c r="C4065">
        <f t="shared" si="146"/>
        <v>3.5894559730790033E-3</v>
      </c>
      <c r="D4065">
        <f t="shared" si="145"/>
        <v>0.34614183370630697</v>
      </c>
    </row>
    <row r="4066" spans="1:4">
      <c r="A4066" s="1">
        <v>24170</v>
      </c>
      <c r="B4066">
        <v>89.24</v>
      </c>
      <c r="C4066">
        <f t="shared" si="146"/>
        <v>-2.5706940874036435E-3</v>
      </c>
      <c r="D4066">
        <f t="shared" si="145"/>
        <v>-0.30436791874391583</v>
      </c>
    </row>
    <row r="4067" spans="1:4">
      <c r="A4067" s="1">
        <v>24173</v>
      </c>
      <c r="B4067">
        <v>88.04</v>
      </c>
      <c r="C4067">
        <f t="shared" si="146"/>
        <v>-1.3446884805020043E-2</v>
      </c>
      <c r="D4067">
        <f t="shared" si="145"/>
        <v>-1.4528899615273547</v>
      </c>
    </row>
    <row r="4068" spans="1:4">
      <c r="A4068" s="1">
        <v>24174</v>
      </c>
      <c r="B4068">
        <v>88.18</v>
      </c>
      <c r="C4068">
        <f t="shared" si="146"/>
        <v>1.5901862789641135E-3</v>
      </c>
      <c r="D4068">
        <f t="shared" si="145"/>
        <v>0.13501963359256294</v>
      </c>
    </row>
    <row r="4069" spans="1:4">
      <c r="A4069" s="1">
        <v>24175</v>
      </c>
      <c r="B4069">
        <v>88.96</v>
      </c>
      <c r="C4069">
        <f t="shared" si="146"/>
        <v>8.8455432070762858E-3</v>
      </c>
      <c r="D4069">
        <f t="shared" si="145"/>
        <v>0.90118285898556127</v>
      </c>
    </row>
    <row r="4070" spans="1:4">
      <c r="A4070" s="1">
        <v>24176</v>
      </c>
      <c r="B4070">
        <v>88.96</v>
      </c>
      <c r="C4070">
        <f t="shared" si="146"/>
        <v>0</v>
      </c>
      <c r="D4070">
        <f t="shared" si="145"/>
        <v>-3.29034969354682E-2</v>
      </c>
    </row>
    <row r="4071" spans="1:4">
      <c r="A4071" s="1">
        <v>24177</v>
      </c>
      <c r="B4071">
        <v>88.85</v>
      </c>
      <c r="C4071">
        <f t="shared" si="146"/>
        <v>-1.2365107913669001E-3</v>
      </c>
      <c r="D4071">
        <f t="shared" si="145"/>
        <v>-0.16347861619337303</v>
      </c>
    </row>
    <row r="4072" spans="1:4">
      <c r="A4072" s="1">
        <v>24180</v>
      </c>
      <c r="B4072">
        <v>87.85</v>
      </c>
      <c r="C4072">
        <f t="shared" si="146"/>
        <v>-1.1254924029262803E-2</v>
      </c>
      <c r="D4072">
        <f t="shared" si="145"/>
        <v>-1.2214196486910598</v>
      </c>
    </row>
    <row r="4073" spans="1:4">
      <c r="A4073" s="1">
        <v>24181</v>
      </c>
      <c r="B4073">
        <v>87.35</v>
      </c>
      <c r="C4073">
        <f t="shared" si="146"/>
        <v>-5.691519635742744E-3</v>
      </c>
      <c r="D4073">
        <f t="shared" si="145"/>
        <v>-0.63392603582837836</v>
      </c>
    </row>
    <row r="4074" spans="1:4">
      <c r="A4074" s="1">
        <v>24182</v>
      </c>
      <c r="B4074">
        <v>87.86</v>
      </c>
      <c r="C4074">
        <f t="shared" si="146"/>
        <v>5.8385804235833449E-3</v>
      </c>
      <c r="D4074">
        <f t="shared" si="145"/>
        <v>0.58364861116501876</v>
      </c>
    </row>
    <row r="4075" spans="1:4">
      <c r="A4075" s="1">
        <v>24183</v>
      </c>
      <c r="B4075">
        <v>88.17</v>
      </c>
      <c r="C4075">
        <f t="shared" si="146"/>
        <v>3.5283405417710252E-3</v>
      </c>
      <c r="D4075">
        <f t="shared" si="145"/>
        <v>0.33968806493432896</v>
      </c>
    </row>
    <row r="4076" spans="1:4">
      <c r="A4076" s="1">
        <v>24184</v>
      </c>
      <c r="B4076">
        <v>88.53</v>
      </c>
      <c r="C4076">
        <f t="shared" si="146"/>
        <v>4.0830214358625319E-3</v>
      </c>
      <c r="D4076">
        <f t="shared" si="145"/>
        <v>0.39826217880519521</v>
      </c>
    </row>
    <row r="4077" spans="1:4">
      <c r="A4077" s="1">
        <v>24187</v>
      </c>
      <c r="B4077">
        <v>89.2</v>
      </c>
      <c r="C4077">
        <f t="shared" si="146"/>
        <v>7.5680560262058249E-3</v>
      </c>
      <c r="D4077">
        <f t="shared" si="145"/>
        <v>0.76628064692463183</v>
      </c>
    </row>
    <row r="4078" spans="1:4">
      <c r="A4078" s="1">
        <v>24188</v>
      </c>
      <c r="B4078">
        <v>89.46</v>
      </c>
      <c r="C4078">
        <f t="shared" si="146"/>
        <v>2.914798206277925E-3</v>
      </c>
      <c r="D4078">
        <f t="shared" si="145"/>
        <v>0.27489820285943045</v>
      </c>
    </row>
    <row r="4079" spans="1:4">
      <c r="A4079" s="1">
        <v>24189</v>
      </c>
      <c r="B4079">
        <v>89.13</v>
      </c>
      <c r="C4079">
        <f t="shared" si="146"/>
        <v>-3.6887994634473321E-3</v>
      </c>
      <c r="D4079">
        <f t="shared" si="145"/>
        <v>-0.42243946639164581</v>
      </c>
    </row>
    <row r="4080" spans="1:4">
      <c r="A4080" s="1">
        <v>24190</v>
      </c>
      <c r="B4080">
        <v>89.29</v>
      </c>
      <c r="C4080">
        <f t="shared" si="146"/>
        <v>1.7951307079547942E-3</v>
      </c>
      <c r="D4080">
        <f t="shared" si="145"/>
        <v>0.15666169562998261</v>
      </c>
    </row>
    <row r="4081" spans="1:4">
      <c r="A4081" s="1">
        <v>24191</v>
      </c>
      <c r="B4081">
        <v>89.54</v>
      </c>
      <c r="C4081">
        <f t="shared" si="146"/>
        <v>2.7998656064508903E-3</v>
      </c>
      <c r="D4081">
        <f t="shared" si="145"/>
        <v>0.26276135938518447</v>
      </c>
    </row>
    <row r="4082" spans="1:4">
      <c r="A4082" s="1">
        <v>24194</v>
      </c>
      <c r="B4082">
        <v>89.62</v>
      </c>
      <c r="C4082">
        <f t="shared" si="146"/>
        <v>8.9345543890996526E-4</v>
      </c>
      <c r="D4082">
        <f t="shared" si="145"/>
        <v>6.1445093713164416E-2</v>
      </c>
    </row>
    <row r="4083" spans="1:4">
      <c r="A4083" s="1">
        <v>24195</v>
      </c>
      <c r="B4083">
        <v>89.27</v>
      </c>
      <c r="C4083">
        <f t="shared" si="146"/>
        <v>-3.9053782637805011E-3</v>
      </c>
      <c r="D4083">
        <f t="shared" si="145"/>
        <v>-0.44531011408811727</v>
      </c>
    </row>
    <row r="4084" spans="1:4">
      <c r="A4084" s="1">
        <v>24196</v>
      </c>
      <c r="B4084">
        <v>88.78</v>
      </c>
      <c r="C4084">
        <f t="shared" si="146"/>
        <v>-5.4889660580261556E-3</v>
      </c>
      <c r="D4084">
        <f t="shared" si="145"/>
        <v>-0.61253644687281306</v>
      </c>
    </row>
    <row r="4085" spans="1:4">
      <c r="A4085" s="1">
        <v>24197</v>
      </c>
      <c r="B4085">
        <v>89.23</v>
      </c>
      <c r="C4085">
        <f t="shared" si="146"/>
        <v>5.0687091687317285E-3</v>
      </c>
      <c r="D4085">
        <f t="shared" si="145"/>
        <v>0.50235046834464259</v>
      </c>
    </row>
    <row r="4086" spans="1:4">
      <c r="A4086" s="1">
        <v>24198</v>
      </c>
      <c r="B4086">
        <v>89.94</v>
      </c>
      <c r="C4086">
        <f t="shared" si="146"/>
        <v>7.9569651462511898E-3</v>
      </c>
      <c r="D4086">
        <f t="shared" si="145"/>
        <v>0.80734931780478936</v>
      </c>
    </row>
    <row r="4087" spans="1:4">
      <c r="A4087" s="1">
        <v>24201</v>
      </c>
      <c r="B4087">
        <v>90.76</v>
      </c>
      <c r="C4087">
        <f t="shared" si="146"/>
        <v>9.1171892372693738E-3</v>
      </c>
      <c r="D4087">
        <f t="shared" si="145"/>
        <v>0.92986858743697931</v>
      </c>
    </row>
    <row r="4088" spans="1:4">
      <c r="A4088" s="1">
        <v>24202</v>
      </c>
      <c r="B4088">
        <v>91.31</v>
      </c>
      <c r="C4088">
        <f t="shared" si="146"/>
        <v>6.0599382988100166E-3</v>
      </c>
      <c r="D4088">
        <f t="shared" si="145"/>
        <v>0.60702392754575762</v>
      </c>
    </row>
    <row r="4089" spans="1:4">
      <c r="A4089" s="1">
        <v>24203</v>
      </c>
      <c r="B4089">
        <v>91.56</v>
      </c>
      <c r="C4089">
        <f t="shared" si="146"/>
        <v>2.7379257474537291E-3</v>
      </c>
      <c r="D4089">
        <f t="shared" si="145"/>
        <v>0.25622053132946532</v>
      </c>
    </row>
    <row r="4090" spans="1:4">
      <c r="A4090" s="1">
        <v>24204</v>
      </c>
      <c r="B4090">
        <v>91.76</v>
      </c>
      <c r="C4090">
        <f t="shared" si="146"/>
        <v>2.1843599825251509E-3</v>
      </c>
      <c r="D4090">
        <f t="shared" si="145"/>
        <v>0.19776417471915347</v>
      </c>
    </row>
    <row r="4091" spans="1:4">
      <c r="A4091" s="1">
        <v>24208</v>
      </c>
      <c r="B4091">
        <v>91.79</v>
      </c>
      <c r="C4091">
        <f t="shared" si="146"/>
        <v>3.269398430688877E-4</v>
      </c>
      <c r="D4091">
        <f t="shared" si="145"/>
        <v>1.6212393603540461E-3</v>
      </c>
    </row>
    <row r="4092" spans="1:4">
      <c r="A4092" s="1">
        <v>24209</v>
      </c>
      <c r="B4092">
        <v>91.45</v>
      </c>
      <c r="C4092">
        <f t="shared" si="146"/>
        <v>-3.7041072012202136E-3</v>
      </c>
      <c r="D4092">
        <f t="shared" si="145"/>
        <v>-0.42405595829710913</v>
      </c>
    </row>
    <row r="4093" spans="1:4">
      <c r="A4093" s="1">
        <v>24210</v>
      </c>
      <c r="B4093">
        <v>91.54</v>
      </c>
      <c r="C4093">
        <f t="shared" si="146"/>
        <v>9.8414434117007543E-4</v>
      </c>
      <c r="D4093">
        <f t="shared" si="145"/>
        <v>7.1021810965176388E-2</v>
      </c>
    </row>
    <row r="4094" spans="1:4">
      <c r="A4094" s="1">
        <v>24211</v>
      </c>
      <c r="B4094">
        <v>91.87</v>
      </c>
      <c r="C4094">
        <f t="shared" si="146"/>
        <v>3.6049814288835291E-3</v>
      </c>
      <c r="D4094">
        <f t="shared" si="145"/>
        <v>0.34778131656190603</v>
      </c>
    </row>
    <row r="4095" spans="1:4">
      <c r="A4095" s="1">
        <v>24212</v>
      </c>
      <c r="B4095">
        <v>91.99</v>
      </c>
      <c r="C4095">
        <f t="shared" si="146"/>
        <v>1.3061935343418997E-3</v>
      </c>
      <c r="D4095">
        <f t="shared" si="145"/>
        <v>0.10503009629428141</v>
      </c>
    </row>
    <row r="4096" spans="1:4">
      <c r="A4096" s="1">
        <v>24215</v>
      </c>
      <c r="B4096">
        <v>91.58</v>
      </c>
      <c r="C4096">
        <f t="shared" si="146"/>
        <v>-4.4570061963256505E-3</v>
      </c>
      <c r="D4096">
        <f t="shared" si="145"/>
        <v>-0.50356183625744022</v>
      </c>
    </row>
    <row r="4097" spans="1:4">
      <c r="A4097" s="1">
        <v>24216</v>
      </c>
      <c r="B4097">
        <v>91.57</v>
      </c>
      <c r="C4097">
        <f t="shared" si="146"/>
        <v>-1.0919414719376629E-4</v>
      </c>
      <c r="D4097">
        <f t="shared" si="145"/>
        <v>-4.443436176223587E-2</v>
      </c>
    </row>
    <row r="4098" spans="1:4">
      <c r="A4098" s="1">
        <v>24217</v>
      </c>
      <c r="B4098">
        <v>92.08</v>
      </c>
      <c r="C4098">
        <f t="shared" si="146"/>
        <v>5.5695096647374156E-3</v>
      </c>
      <c r="D4098">
        <f t="shared" si="145"/>
        <v>0.55523483049248346</v>
      </c>
    </row>
    <row r="4099" spans="1:4">
      <c r="A4099" s="1">
        <v>24218</v>
      </c>
      <c r="B4099">
        <v>92.42</v>
      </c>
      <c r="C4099">
        <f t="shared" si="146"/>
        <v>3.692441355343217E-3</v>
      </c>
      <c r="D4099">
        <f t="shared" ref="D4099:D4162" si="147">(C4099-avg)/sd</f>
        <v>0.35701705506697562</v>
      </c>
    </row>
    <row r="4100" spans="1:4">
      <c r="A4100" s="1">
        <v>24219</v>
      </c>
      <c r="B4100">
        <v>92.27</v>
      </c>
      <c r="C4100">
        <f t="shared" ref="C4100:C4163" si="148">(B4100-B4099)/B4099</f>
        <v>-1.623025319195041E-3</v>
      </c>
      <c r="D4100">
        <f t="shared" si="147"/>
        <v>-0.20429441894935313</v>
      </c>
    </row>
    <row r="4101" spans="1:4">
      <c r="A4101" s="1">
        <v>24222</v>
      </c>
      <c r="B4101">
        <v>92.08</v>
      </c>
      <c r="C4101">
        <f t="shared" si="148"/>
        <v>-2.0591741627831121E-3</v>
      </c>
      <c r="D4101">
        <f t="shared" si="147"/>
        <v>-0.25035158857805823</v>
      </c>
    </row>
    <row r="4102" spans="1:4">
      <c r="A4102" s="1">
        <v>24223</v>
      </c>
      <c r="B4102">
        <v>91.99</v>
      </c>
      <c r="C4102">
        <f t="shared" si="148"/>
        <v>-9.7741094700264358E-4</v>
      </c>
      <c r="D4102">
        <f t="shared" si="147"/>
        <v>-0.13611776070082385</v>
      </c>
    </row>
    <row r="4103" spans="1:4">
      <c r="A4103" s="1">
        <v>24224</v>
      </c>
      <c r="B4103">
        <v>91.76</v>
      </c>
      <c r="C4103">
        <f t="shared" si="148"/>
        <v>-2.5002717686703965E-3</v>
      </c>
      <c r="D4103">
        <f t="shared" si="147"/>
        <v>-0.2969313458233942</v>
      </c>
    </row>
    <row r="4104" spans="1:4">
      <c r="A4104" s="1">
        <v>24225</v>
      </c>
      <c r="B4104">
        <v>91.13</v>
      </c>
      <c r="C4104">
        <f t="shared" si="148"/>
        <v>-6.8657367044464871E-3</v>
      </c>
      <c r="D4104">
        <f t="shared" si="147"/>
        <v>-0.75792295914771901</v>
      </c>
    </row>
    <row r="4105" spans="1:4">
      <c r="A4105" s="1">
        <v>24226</v>
      </c>
      <c r="B4105">
        <v>91.06</v>
      </c>
      <c r="C4105">
        <f t="shared" si="148"/>
        <v>-7.6813343575104999E-4</v>
      </c>
      <c r="D4105">
        <f t="shared" si="147"/>
        <v>-0.11401812664953802</v>
      </c>
    </row>
    <row r="4106" spans="1:4">
      <c r="A4106" s="1">
        <v>24229</v>
      </c>
      <c r="B4106">
        <v>90.9</v>
      </c>
      <c r="C4106">
        <f t="shared" si="148"/>
        <v>-1.7570832418185437E-3</v>
      </c>
      <c r="D4106">
        <f t="shared" si="147"/>
        <v>-0.2184508900098931</v>
      </c>
    </row>
    <row r="4107" spans="1:4">
      <c r="A4107" s="1">
        <v>24230</v>
      </c>
      <c r="B4107">
        <v>89.85</v>
      </c>
      <c r="C4107">
        <f t="shared" si="148"/>
        <v>-1.1551155115511675E-2</v>
      </c>
      <c r="D4107">
        <f t="shared" si="147"/>
        <v>-1.252701550705102</v>
      </c>
    </row>
    <row r="4108" spans="1:4">
      <c r="A4108" s="1">
        <v>24231</v>
      </c>
      <c r="B4108">
        <v>89.39</v>
      </c>
      <c r="C4108">
        <f t="shared" si="148"/>
        <v>-5.1196438508624795E-3</v>
      </c>
      <c r="D4108">
        <f t="shared" si="147"/>
        <v>-0.57353614733504665</v>
      </c>
    </row>
    <row r="4109" spans="1:4">
      <c r="A4109" s="1">
        <v>24232</v>
      </c>
      <c r="B4109">
        <v>87.93</v>
      </c>
      <c r="C4109">
        <f t="shared" si="148"/>
        <v>-1.6332923145765676E-2</v>
      </c>
      <c r="D4109">
        <f t="shared" si="147"/>
        <v>-1.7576546292979969</v>
      </c>
    </row>
    <row r="4110" spans="1:4">
      <c r="A4110" s="1">
        <v>24233</v>
      </c>
      <c r="B4110">
        <v>87.84</v>
      </c>
      <c r="C4110">
        <f t="shared" si="148"/>
        <v>-1.0235414534289025E-3</v>
      </c>
      <c r="D4110">
        <f t="shared" si="147"/>
        <v>-0.14098912649891579</v>
      </c>
    </row>
    <row r="4111" spans="1:4">
      <c r="A4111" s="1">
        <v>24236</v>
      </c>
      <c r="B4111">
        <v>86.32</v>
      </c>
      <c r="C4111">
        <f t="shared" si="148"/>
        <v>-1.7304189435337094E-2</v>
      </c>
      <c r="D4111">
        <f t="shared" si="147"/>
        <v>-1.8602200193272858</v>
      </c>
    </row>
    <row r="4112" spans="1:4">
      <c r="A4112" s="1">
        <v>24237</v>
      </c>
      <c r="B4112">
        <v>87.08</v>
      </c>
      <c r="C4112">
        <f t="shared" si="148"/>
        <v>8.8044485634847687E-3</v>
      </c>
      <c r="D4112">
        <f t="shared" si="147"/>
        <v>0.89684327859104518</v>
      </c>
    </row>
    <row r="4113" spans="1:4">
      <c r="A4113" s="1">
        <v>24238</v>
      </c>
      <c r="B4113">
        <v>87.23</v>
      </c>
      <c r="C4113">
        <f t="shared" si="148"/>
        <v>1.7225539733578973E-3</v>
      </c>
      <c r="D4113">
        <f t="shared" si="147"/>
        <v>0.14899761712658105</v>
      </c>
    </row>
    <row r="4114" spans="1:4">
      <c r="A4114" s="1">
        <v>24239</v>
      </c>
      <c r="B4114">
        <v>86.23</v>
      </c>
      <c r="C4114">
        <f t="shared" si="148"/>
        <v>-1.1463945890175398E-2</v>
      </c>
      <c r="D4114">
        <f t="shared" si="147"/>
        <v>-1.2434922861534472</v>
      </c>
    </row>
    <row r="4115" spans="1:4">
      <c r="A4115" s="1">
        <v>24240</v>
      </c>
      <c r="B4115">
        <v>85.47</v>
      </c>
      <c r="C4115">
        <f t="shared" si="148"/>
        <v>-8.8136379450307906E-3</v>
      </c>
      <c r="D4115">
        <f t="shared" si="147"/>
        <v>-0.96362066802961877</v>
      </c>
    </row>
    <row r="4116" spans="1:4">
      <c r="A4116" s="1">
        <v>24243</v>
      </c>
      <c r="B4116">
        <v>84.41</v>
      </c>
      <c r="C4116">
        <f t="shared" si="148"/>
        <v>-1.2402012402012429E-2</v>
      </c>
      <c r="D4116">
        <f t="shared" si="147"/>
        <v>-1.3425517909391373</v>
      </c>
    </row>
    <row r="4117" spans="1:4">
      <c r="A4117" s="1">
        <v>24244</v>
      </c>
      <c r="B4117">
        <v>83.63</v>
      </c>
      <c r="C4117">
        <f t="shared" si="148"/>
        <v>-9.2406113019784519E-3</v>
      </c>
      <c r="D4117">
        <f t="shared" si="147"/>
        <v>-1.008708909387996</v>
      </c>
    </row>
    <row r="4118" spans="1:4">
      <c r="A4118" s="1">
        <v>24245</v>
      </c>
      <c r="B4118">
        <v>85.12</v>
      </c>
      <c r="C4118">
        <f t="shared" si="148"/>
        <v>1.7816573000119684E-2</v>
      </c>
      <c r="D4118">
        <f t="shared" si="147"/>
        <v>1.8485205557297546</v>
      </c>
    </row>
    <row r="4119" spans="1:4">
      <c r="A4119" s="1">
        <v>24246</v>
      </c>
      <c r="B4119">
        <v>85.02</v>
      </c>
      <c r="C4119">
        <f t="shared" si="148"/>
        <v>-1.1748120300752881E-3</v>
      </c>
      <c r="D4119">
        <f t="shared" si="147"/>
        <v>-0.15696324797340674</v>
      </c>
    </row>
    <row r="4120" spans="1:4">
      <c r="A4120" s="1">
        <v>24247</v>
      </c>
      <c r="B4120">
        <v>85.43</v>
      </c>
      <c r="C4120">
        <f t="shared" si="148"/>
        <v>4.8223947306517386E-3</v>
      </c>
      <c r="D4120">
        <f t="shared" si="147"/>
        <v>0.47633974740974122</v>
      </c>
    </row>
    <row r="4121" spans="1:4">
      <c r="A4121" s="1">
        <v>24250</v>
      </c>
      <c r="B4121">
        <v>86.2</v>
      </c>
      <c r="C4121">
        <f t="shared" si="148"/>
        <v>9.0132272035584222E-3</v>
      </c>
      <c r="D4121">
        <f t="shared" si="147"/>
        <v>0.91889023201551501</v>
      </c>
    </row>
    <row r="4122" spans="1:4">
      <c r="A4122" s="1">
        <v>24251</v>
      </c>
      <c r="B4122">
        <v>86.77</v>
      </c>
      <c r="C4122">
        <f t="shared" si="148"/>
        <v>6.6125290023201066E-3</v>
      </c>
      <c r="D4122">
        <f t="shared" si="147"/>
        <v>0.66537731800171662</v>
      </c>
    </row>
    <row r="4123" spans="1:4">
      <c r="A4123" s="1">
        <v>24252</v>
      </c>
      <c r="B4123">
        <v>87.07</v>
      </c>
      <c r="C4123">
        <f t="shared" si="148"/>
        <v>3.4574161576581444E-3</v>
      </c>
      <c r="D4123">
        <f t="shared" si="147"/>
        <v>0.33219847408037823</v>
      </c>
    </row>
    <row r="4124" spans="1:4">
      <c r="A4124" s="1">
        <v>24253</v>
      </c>
      <c r="B4124">
        <v>87.07</v>
      </c>
      <c r="C4124">
        <f t="shared" si="148"/>
        <v>0</v>
      </c>
      <c r="D4124">
        <f t="shared" si="147"/>
        <v>-3.29034969354682E-2</v>
      </c>
    </row>
    <row r="4125" spans="1:4">
      <c r="A4125" s="1">
        <v>24254</v>
      </c>
      <c r="B4125">
        <v>87.33</v>
      </c>
      <c r="C4125">
        <f t="shared" si="148"/>
        <v>2.9861031354083511E-3</v>
      </c>
      <c r="D4125">
        <f t="shared" si="147"/>
        <v>0.28242797913788042</v>
      </c>
    </row>
    <row r="4126" spans="1:4">
      <c r="A4126" s="1">
        <v>24258</v>
      </c>
      <c r="B4126">
        <v>86.13</v>
      </c>
      <c r="C4126">
        <f t="shared" si="148"/>
        <v>-1.374098248024737E-2</v>
      </c>
      <c r="D4126">
        <f t="shared" si="147"/>
        <v>-1.4839465760627035</v>
      </c>
    </row>
    <row r="4127" spans="1:4">
      <c r="A4127" s="1">
        <v>24259</v>
      </c>
      <c r="B4127">
        <v>86.1</v>
      </c>
      <c r="C4127">
        <f t="shared" si="148"/>
        <v>-3.4831069313829259E-4</v>
      </c>
      <c r="D4127">
        <f t="shared" si="147"/>
        <v>-6.968498773431471E-2</v>
      </c>
    </row>
    <row r="4128" spans="1:4">
      <c r="A4128" s="1">
        <v>24260</v>
      </c>
      <c r="B4128">
        <v>85.96</v>
      </c>
      <c r="C4128">
        <f t="shared" si="148"/>
        <v>-1.6260162601626083E-3</v>
      </c>
      <c r="D4128">
        <f t="shared" si="147"/>
        <v>-0.20461026129885801</v>
      </c>
    </row>
    <row r="4129" spans="1:4">
      <c r="A4129" s="1">
        <v>24261</v>
      </c>
      <c r="B4129">
        <v>86.06</v>
      </c>
      <c r="C4129">
        <f t="shared" si="148"/>
        <v>1.1633317822243897E-3</v>
      </c>
      <c r="D4129">
        <f t="shared" si="147"/>
        <v>8.9943943831741355E-2</v>
      </c>
    </row>
    <row r="4130" spans="1:4">
      <c r="A4130" s="1">
        <v>24264</v>
      </c>
      <c r="B4130">
        <v>85.42</v>
      </c>
      <c r="C4130">
        <f t="shared" si="148"/>
        <v>-7.4366720892400711E-3</v>
      </c>
      <c r="D4130">
        <f t="shared" si="147"/>
        <v>-0.8182135417115548</v>
      </c>
    </row>
    <row r="4131" spans="1:4">
      <c r="A4131" s="1">
        <v>24265</v>
      </c>
      <c r="B4131">
        <v>84.83</v>
      </c>
      <c r="C4131">
        <f t="shared" si="148"/>
        <v>-6.9070475298525337E-3</v>
      </c>
      <c r="D4131">
        <f t="shared" si="147"/>
        <v>-0.76228536826836568</v>
      </c>
    </row>
    <row r="4132" spans="1:4">
      <c r="A4132" s="1">
        <v>24266</v>
      </c>
      <c r="B4132">
        <v>84.93</v>
      </c>
      <c r="C4132">
        <f t="shared" si="148"/>
        <v>1.1788282447248442E-3</v>
      </c>
      <c r="D4132">
        <f t="shared" si="147"/>
        <v>9.1580365004285805E-2</v>
      </c>
    </row>
    <row r="4133" spans="1:4">
      <c r="A4133" s="1">
        <v>24267</v>
      </c>
      <c r="B4133">
        <v>85.5</v>
      </c>
      <c r="C4133">
        <f t="shared" si="148"/>
        <v>6.7114093959730736E-3</v>
      </c>
      <c r="D4133">
        <f t="shared" si="147"/>
        <v>0.6758190539603911</v>
      </c>
    </row>
    <row r="4134" spans="1:4">
      <c r="A4134" s="1">
        <v>24268</v>
      </c>
      <c r="B4134">
        <v>86.44</v>
      </c>
      <c r="C4134">
        <f t="shared" si="148"/>
        <v>1.09941520467836E-2</v>
      </c>
      <c r="D4134">
        <f t="shared" si="147"/>
        <v>1.1280752221110233</v>
      </c>
    </row>
    <row r="4135" spans="1:4">
      <c r="A4135" s="1">
        <v>24271</v>
      </c>
      <c r="B4135">
        <v>86.83</v>
      </c>
      <c r="C4135">
        <f t="shared" si="148"/>
        <v>4.5118000925497524E-3</v>
      </c>
      <c r="D4135">
        <f t="shared" si="147"/>
        <v>0.44354105920241865</v>
      </c>
    </row>
    <row r="4136" spans="1:4">
      <c r="A4136" s="1">
        <v>24272</v>
      </c>
      <c r="B4136">
        <v>87.07</v>
      </c>
      <c r="C4136">
        <f t="shared" si="148"/>
        <v>2.7640216515028779E-3</v>
      </c>
      <c r="D4136">
        <f t="shared" si="147"/>
        <v>0.25897624992662666</v>
      </c>
    </row>
    <row r="4137" spans="1:4">
      <c r="A4137" s="1">
        <v>24273</v>
      </c>
      <c r="B4137">
        <v>86.73</v>
      </c>
      <c r="C4137">
        <f t="shared" si="148"/>
        <v>-3.9049041001491813E-3</v>
      </c>
      <c r="D4137">
        <f t="shared" si="147"/>
        <v>-0.44526004256982593</v>
      </c>
    </row>
    <row r="4138" spans="1:4">
      <c r="A4138" s="1">
        <v>24274</v>
      </c>
      <c r="B4138">
        <v>86.47</v>
      </c>
      <c r="C4138">
        <f t="shared" si="148"/>
        <v>-2.9978092932088679E-3</v>
      </c>
      <c r="D4138">
        <f t="shared" si="147"/>
        <v>-0.34947113929343498</v>
      </c>
    </row>
    <row r="4139" spans="1:4">
      <c r="A4139" s="1">
        <v>24275</v>
      </c>
      <c r="B4139">
        <v>86.51</v>
      </c>
      <c r="C4139">
        <f t="shared" si="148"/>
        <v>4.6258818087205106E-4</v>
      </c>
      <c r="D4139">
        <f t="shared" si="147"/>
        <v>1.5945657723257751E-2</v>
      </c>
    </row>
    <row r="4140" spans="1:4">
      <c r="A4140" s="1">
        <v>24278</v>
      </c>
      <c r="B4140">
        <v>86.48</v>
      </c>
      <c r="C4140">
        <f t="shared" si="148"/>
        <v>-3.4678071899203717E-4</v>
      </c>
      <c r="D4140">
        <f t="shared" si="147"/>
        <v>-6.9523422984533609E-2</v>
      </c>
    </row>
    <row r="4141" spans="1:4">
      <c r="A4141" s="1">
        <v>24279</v>
      </c>
      <c r="B4141">
        <v>86.71</v>
      </c>
      <c r="C4141">
        <f t="shared" si="148"/>
        <v>2.6595744680849879E-3</v>
      </c>
      <c r="D4141">
        <f t="shared" si="147"/>
        <v>0.24794666286102013</v>
      </c>
    </row>
    <row r="4142" spans="1:4">
      <c r="A4142" s="1">
        <v>24280</v>
      </c>
      <c r="B4142">
        <v>86.85</v>
      </c>
      <c r="C4142">
        <f t="shared" si="148"/>
        <v>1.6145773267212614E-3</v>
      </c>
      <c r="D4142">
        <f t="shared" si="147"/>
        <v>0.13759531994479779</v>
      </c>
    </row>
    <row r="4143" spans="1:4">
      <c r="A4143" s="1">
        <v>24281</v>
      </c>
      <c r="B4143">
        <v>86.5</v>
      </c>
      <c r="C4143">
        <f t="shared" si="148"/>
        <v>-4.0299366724236537E-3</v>
      </c>
      <c r="D4143">
        <f t="shared" si="147"/>
        <v>-0.45846343970137393</v>
      </c>
    </row>
    <row r="4144" spans="1:4">
      <c r="A4144" s="1">
        <v>24282</v>
      </c>
      <c r="B4144">
        <v>86.58</v>
      </c>
      <c r="C4144">
        <f t="shared" si="148"/>
        <v>9.2485549132946001E-4</v>
      </c>
      <c r="D4144">
        <f t="shared" si="147"/>
        <v>6.4760928575266649E-2</v>
      </c>
    </row>
    <row r="4145" spans="1:4">
      <c r="A4145" s="1">
        <v>24285</v>
      </c>
      <c r="B4145">
        <v>86.08</v>
      </c>
      <c r="C4145">
        <f t="shared" si="148"/>
        <v>-5.7750057750057754E-3</v>
      </c>
      <c r="D4145">
        <f t="shared" si="147"/>
        <v>-0.64274214375623695</v>
      </c>
    </row>
    <row r="4146" spans="1:4">
      <c r="A4146" s="1">
        <v>24286</v>
      </c>
      <c r="B4146">
        <v>85.67</v>
      </c>
      <c r="C4146">
        <f t="shared" si="148"/>
        <v>-4.7630111524163176E-3</v>
      </c>
      <c r="D4146">
        <f t="shared" si="147"/>
        <v>-0.53587585560447626</v>
      </c>
    </row>
    <row r="4147" spans="1:4">
      <c r="A4147" s="1">
        <v>24287</v>
      </c>
      <c r="B4147">
        <v>84.86</v>
      </c>
      <c r="C4147">
        <f t="shared" si="148"/>
        <v>-9.4548850239290563E-3</v>
      </c>
      <c r="D4147">
        <f t="shared" si="147"/>
        <v>-1.0313361415908029</v>
      </c>
    </row>
    <row r="4148" spans="1:4">
      <c r="A4148" s="1">
        <v>24288</v>
      </c>
      <c r="B4148">
        <v>84.74</v>
      </c>
      <c r="C4148">
        <f t="shared" si="148"/>
        <v>-1.4140938015555567E-3</v>
      </c>
      <c r="D4148">
        <f t="shared" si="147"/>
        <v>-0.18223132170589709</v>
      </c>
    </row>
    <row r="4149" spans="1:4">
      <c r="A4149" s="1">
        <v>24289</v>
      </c>
      <c r="B4149">
        <v>85.61</v>
      </c>
      <c r="C4149">
        <f t="shared" si="148"/>
        <v>1.0266698135473266E-2</v>
      </c>
      <c r="D4149">
        <f t="shared" si="147"/>
        <v>1.0512563363502507</v>
      </c>
    </row>
    <row r="4150" spans="1:4">
      <c r="A4150" s="1">
        <v>24293</v>
      </c>
      <c r="B4150">
        <v>85.82</v>
      </c>
      <c r="C4150">
        <f t="shared" si="148"/>
        <v>2.4529844644316521E-3</v>
      </c>
      <c r="D4150">
        <f t="shared" si="147"/>
        <v>0.22613082869858206</v>
      </c>
    </row>
    <row r="4151" spans="1:4">
      <c r="A4151" s="1">
        <v>24294</v>
      </c>
      <c r="B4151">
        <v>87.06</v>
      </c>
      <c r="C4151">
        <f t="shared" si="148"/>
        <v>1.4448846422745389E-2</v>
      </c>
      <c r="D4151">
        <f t="shared" si="147"/>
        <v>1.4928897739049132</v>
      </c>
    </row>
    <row r="4152" spans="1:4">
      <c r="A4152" s="1">
        <v>24295</v>
      </c>
      <c r="B4152">
        <v>87.38</v>
      </c>
      <c r="C4152">
        <f t="shared" si="148"/>
        <v>3.6756260050539074E-3</v>
      </c>
      <c r="D4152">
        <f t="shared" si="147"/>
        <v>0.35524135979223981</v>
      </c>
    </row>
    <row r="4153" spans="1:4">
      <c r="A4153" s="1">
        <v>24296</v>
      </c>
      <c r="B4153">
        <v>87.61</v>
      </c>
      <c r="C4153">
        <f t="shared" si="148"/>
        <v>2.6321812771801785E-3</v>
      </c>
      <c r="D4153">
        <f t="shared" si="147"/>
        <v>0.24505395121287024</v>
      </c>
    </row>
    <row r="4154" spans="1:4">
      <c r="A4154" s="1">
        <v>24299</v>
      </c>
      <c r="B4154">
        <v>87.45</v>
      </c>
      <c r="C4154">
        <f t="shared" si="148"/>
        <v>-1.8262755393219563E-3</v>
      </c>
      <c r="D4154">
        <f t="shared" si="147"/>
        <v>-0.22575757310664876</v>
      </c>
    </row>
    <row r="4155" spans="1:4">
      <c r="A4155" s="1">
        <v>24300</v>
      </c>
      <c r="B4155">
        <v>86.88</v>
      </c>
      <c r="C4155">
        <f t="shared" si="148"/>
        <v>-6.5180102915952812E-3</v>
      </c>
      <c r="D4155">
        <f t="shared" si="147"/>
        <v>-0.72120316814858232</v>
      </c>
    </row>
    <row r="4156" spans="1:4">
      <c r="A4156" s="1">
        <v>24301</v>
      </c>
      <c r="B4156">
        <v>86.3</v>
      </c>
      <c r="C4156">
        <f t="shared" si="148"/>
        <v>-6.6758747697974021E-3</v>
      </c>
      <c r="D4156">
        <f t="shared" si="147"/>
        <v>-0.73787360338598296</v>
      </c>
    </row>
    <row r="4157" spans="1:4">
      <c r="A4157" s="1">
        <v>24302</v>
      </c>
      <c r="B4157">
        <v>86.82</v>
      </c>
      <c r="C4157">
        <f t="shared" si="148"/>
        <v>6.0254924681343693E-3</v>
      </c>
      <c r="D4157">
        <f t="shared" si="147"/>
        <v>0.60338645953511605</v>
      </c>
    </row>
    <row r="4158" spans="1:4">
      <c r="A4158" s="1">
        <v>24303</v>
      </c>
      <c r="B4158">
        <v>87.08</v>
      </c>
      <c r="C4158">
        <f t="shared" si="148"/>
        <v>2.9947016816402341E-3</v>
      </c>
      <c r="D4158">
        <f t="shared" si="147"/>
        <v>0.28333598269717936</v>
      </c>
    </row>
    <row r="4159" spans="1:4">
      <c r="A4159" s="1">
        <v>24306</v>
      </c>
      <c r="B4159">
        <v>86.99</v>
      </c>
      <c r="C4159">
        <f t="shared" si="148"/>
        <v>-1.0335323840147384E-3</v>
      </c>
      <c r="D4159">
        <f t="shared" si="147"/>
        <v>-0.14204416537269773</v>
      </c>
    </row>
    <row r="4160" spans="1:4">
      <c r="A4160" s="1">
        <v>24307</v>
      </c>
      <c r="B4160">
        <v>86.33</v>
      </c>
      <c r="C4160">
        <f t="shared" si="148"/>
        <v>-7.5870789745947423E-3</v>
      </c>
      <c r="D4160">
        <f t="shared" si="147"/>
        <v>-0.83409645767922358</v>
      </c>
    </row>
    <row r="4161" spans="1:4">
      <c r="A4161" s="1">
        <v>24308</v>
      </c>
      <c r="B4161">
        <v>85.51</v>
      </c>
      <c r="C4161">
        <f t="shared" si="148"/>
        <v>-9.4984362330591127E-3</v>
      </c>
      <c r="D4161">
        <f t="shared" si="147"/>
        <v>-1.0359351344711616</v>
      </c>
    </row>
    <row r="4162" spans="1:4">
      <c r="A4162" s="1">
        <v>24309</v>
      </c>
      <c r="B4162">
        <v>85.52</v>
      </c>
      <c r="C4162">
        <f t="shared" si="148"/>
        <v>1.1694538650439603E-4</v>
      </c>
      <c r="D4162">
        <f t="shared" si="147"/>
        <v>-2.0554103872272283E-2</v>
      </c>
    </row>
    <row r="4163" spans="1:4">
      <c r="A4163" s="1">
        <v>24310</v>
      </c>
      <c r="B4163">
        <v>85.41</v>
      </c>
      <c r="C4163">
        <f t="shared" si="148"/>
        <v>-1.2862488306828745E-3</v>
      </c>
      <c r="D4163">
        <f t="shared" ref="D4163:D4226" si="149">(C4163-avg)/sd</f>
        <v>-0.16873093623835891</v>
      </c>
    </row>
    <row r="4164" spans="1:4">
      <c r="A4164" s="1">
        <v>24313</v>
      </c>
      <c r="B4164">
        <v>83.83</v>
      </c>
      <c r="C4164">
        <f t="shared" ref="C4164:C4227" si="150">(B4164-B4163)/B4163</f>
        <v>-1.8499004800374644E-2</v>
      </c>
      <c r="D4164">
        <f t="shared" si="149"/>
        <v>-1.9863921157377753</v>
      </c>
    </row>
    <row r="4165" spans="1:4">
      <c r="A4165" s="1">
        <v>24314</v>
      </c>
      <c r="B4165">
        <v>83.7</v>
      </c>
      <c r="C4165">
        <f t="shared" si="150"/>
        <v>-1.5507574853870388E-3</v>
      </c>
      <c r="D4165">
        <f t="shared" si="149"/>
        <v>-0.19666296026425836</v>
      </c>
    </row>
    <row r="4166" spans="1:4">
      <c r="A4166" s="1">
        <v>24315</v>
      </c>
      <c r="B4166">
        <v>84.1</v>
      </c>
      <c r="C4166">
        <f t="shared" si="150"/>
        <v>4.778972520907903E-3</v>
      </c>
      <c r="D4166">
        <f t="shared" si="149"/>
        <v>0.47175437682071841</v>
      </c>
    </row>
    <row r="4167" spans="1:4">
      <c r="A4167" s="1">
        <v>24316</v>
      </c>
      <c r="B4167">
        <v>83.77</v>
      </c>
      <c r="C4167">
        <f t="shared" si="150"/>
        <v>-3.923900118906044E-3</v>
      </c>
      <c r="D4167">
        <f t="shared" si="149"/>
        <v>-0.44726601569349012</v>
      </c>
    </row>
    <row r="4168" spans="1:4">
      <c r="A4168" s="1">
        <v>24317</v>
      </c>
      <c r="B4168">
        <v>83.6</v>
      </c>
      <c r="C4168">
        <f t="shared" si="150"/>
        <v>-2.0293661215232389E-3</v>
      </c>
      <c r="D4168">
        <f t="shared" si="149"/>
        <v>-0.24720386955326112</v>
      </c>
    </row>
    <row r="4169" spans="1:4">
      <c r="A4169" s="1">
        <v>24320</v>
      </c>
      <c r="B4169">
        <v>82.31</v>
      </c>
      <c r="C4169">
        <f t="shared" si="150"/>
        <v>-1.5430622009569284E-2</v>
      </c>
      <c r="D4169">
        <f t="shared" si="149"/>
        <v>-1.6623719360227163</v>
      </c>
    </row>
    <row r="4170" spans="1:4">
      <c r="A4170" s="1">
        <v>24321</v>
      </c>
      <c r="B4170">
        <v>82.33</v>
      </c>
      <c r="C4170">
        <f t="shared" si="150"/>
        <v>2.4298384157448694E-4</v>
      </c>
      <c r="D4170">
        <f t="shared" si="149"/>
        <v>-7.2444858594231751E-3</v>
      </c>
    </row>
    <row r="4171" spans="1:4">
      <c r="A4171" s="1">
        <v>24322</v>
      </c>
      <c r="B4171">
        <v>83.15</v>
      </c>
      <c r="C4171">
        <f t="shared" si="150"/>
        <v>9.9599174055630679E-3</v>
      </c>
      <c r="D4171">
        <f t="shared" si="149"/>
        <v>1.0188603955515707</v>
      </c>
    </row>
    <row r="4172" spans="1:4">
      <c r="A4172" s="1">
        <v>24323</v>
      </c>
      <c r="B4172">
        <v>83.93</v>
      </c>
      <c r="C4172">
        <f t="shared" si="150"/>
        <v>9.3806374022850393E-3</v>
      </c>
      <c r="D4172">
        <f t="shared" si="149"/>
        <v>0.9576886241122512</v>
      </c>
    </row>
    <row r="4173" spans="1:4">
      <c r="A4173" s="1">
        <v>24324</v>
      </c>
      <c r="B4173">
        <v>84</v>
      </c>
      <c r="C4173">
        <f t="shared" si="150"/>
        <v>8.3402835696405543E-4</v>
      </c>
      <c r="D4173">
        <f t="shared" si="149"/>
        <v>5.5169614059922975E-2</v>
      </c>
    </row>
    <row r="4174" spans="1:4">
      <c r="A4174" s="1">
        <v>24327</v>
      </c>
      <c r="B4174">
        <v>83.75</v>
      </c>
      <c r="C4174">
        <f t="shared" si="150"/>
        <v>-2.976190476190476E-3</v>
      </c>
      <c r="D4174">
        <f t="shared" si="149"/>
        <v>-0.34718819956488578</v>
      </c>
    </row>
    <row r="4175" spans="1:4">
      <c r="A4175" s="1">
        <v>24328</v>
      </c>
      <c r="B4175">
        <v>83.49</v>
      </c>
      <c r="C4175">
        <f t="shared" si="150"/>
        <v>-3.1044776119403595E-3</v>
      </c>
      <c r="D4175">
        <f t="shared" si="149"/>
        <v>-0.36073527749315726</v>
      </c>
    </row>
    <row r="4176" spans="1:4">
      <c r="A4176" s="1">
        <v>24329</v>
      </c>
      <c r="B4176">
        <v>83.11</v>
      </c>
      <c r="C4176">
        <f t="shared" si="150"/>
        <v>-4.551443286621098E-3</v>
      </c>
      <c r="D4176">
        <f t="shared" si="149"/>
        <v>-0.51353436089191284</v>
      </c>
    </row>
    <row r="4177" spans="1:4">
      <c r="A4177" s="1">
        <v>24330</v>
      </c>
      <c r="B4177">
        <v>83.02</v>
      </c>
      <c r="C4177">
        <f t="shared" si="150"/>
        <v>-1.0829021778366432E-3</v>
      </c>
      <c r="D4177">
        <f t="shared" si="149"/>
        <v>-0.14725759881868258</v>
      </c>
    </row>
    <row r="4178" spans="1:4">
      <c r="A4178" s="1">
        <v>24331</v>
      </c>
      <c r="B4178">
        <v>83.17</v>
      </c>
      <c r="C4178">
        <f t="shared" si="150"/>
        <v>1.8067935437244722E-3</v>
      </c>
      <c r="D4178">
        <f t="shared" si="149"/>
        <v>0.15789328712287012</v>
      </c>
    </row>
    <row r="4179" spans="1:4">
      <c r="A4179" s="1">
        <v>24334</v>
      </c>
      <c r="B4179">
        <v>82.74</v>
      </c>
      <c r="C4179">
        <f t="shared" si="150"/>
        <v>-5.1701334615847881E-3</v>
      </c>
      <c r="D4179">
        <f t="shared" si="149"/>
        <v>-0.57886783306506995</v>
      </c>
    </row>
    <row r="4180" spans="1:4">
      <c r="A4180" s="1">
        <v>24335</v>
      </c>
      <c r="B4180">
        <v>81.63</v>
      </c>
      <c r="C4180">
        <f t="shared" si="150"/>
        <v>-1.3415518491660618E-2</v>
      </c>
      <c r="D4180">
        <f t="shared" si="149"/>
        <v>-1.4495776894985275</v>
      </c>
    </row>
    <row r="4181" spans="1:4">
      <c r="A4181" s="1">
        <v>24336</v>
      </c>
      <c r="B4181">
        <v>81.180000000000007</v>
      </c>
      <c r="C4181">
        <f t="shared" si="150"/>
        <v>-5.5126791620726283E-3</v>
      </c>
      <c r="D4181">
        <f t="shared" si="149"/>
        <v>-0.61504054259964491</v>
      </c>
    </row>
    <row r="4182" spans="1:4">
      <c r="A4182" s="1">
        <v>24337</v>
      </c>
      <c r="B4182">
        <v>80.16</v>
      </c>
      <c r="C4182">
        <f t="shared" si="150"/>
        <v>-1.2564671101256593E-2</v>
      </c>
      <c r="D4182">
        <f t="shared" si="149"/>
        <v>-1.3597284942889427</v>
      </c>
    </row>
    <row r="4183" spans="1:4">
      <c r="A4183" s="1">
        <v>24338</v>
      </c>
      <c r="B4183">
        <v>79.62</v>
      </c>
      <c r="C4183">
        <f t="shared" si="150"/>
        <v>-6.7365269461076857E-3</v>
      </c>
      <c r="D4183">
        <f t="shared" si="149"/>
        <v>-0.74427845258767245</v>
      </c>
    </row>
    <row r="4184" spans="1:4">
      <c r="A4184" s="1">
        <v>24341</v>
      </c>
      <c r="B4184">
        <v>78.239999999999995</v>
      </c>
      <c r="C4184">
        <f t="shared" si="150"/>
        <v>-1.733232856066327E-2</v>
      </c>
      <c r="D4184">
        <f t="shared" si="149"/>
        <v>-1.8631915013967766</v>
      </c>
    </row>
    <row r="4185" spans="1:4">
      <c r="A4185" s="1">
        <v>24342</v>
      </c>
      <c r="B4185">
        <v>78.11</v>
      </c>
      <c r="C4185">
        <f t="shared" si="150"/>
        <v>-1.6615541922289808E-3</v>
      </c>
      <c r="D4185">
        <f t="shared" si="149"/>
        <v>-0.20836305484513692</v>
      </c>
    </row>
    <row r="4186" spans="1:4">
      <c r="A4186" s="1">
        <v>24343</v>
      </c>
      <c r="B4186">
        <v>79.069999999999993</v>
      </c>
      <c r="C4186">
        <f t="shared" si="150"/>
        <v>1.2290359749071741E-2</v>
      </c>
      <c r="D4186">
        <f t="shared" si="149"/>
        <v>1.2649543148702451</v>
      </c>
    </row>
    <row r="4187" spans="1:4">
      <c r="A4187" s="1">
        <v>24344</v>
      </c>
      <c r="B4187">
        <v>78.06</v>
      </c>
      <c r="C4187">
        <f t="shared" si="150"/>
        <v>-1.2773491842670938E-2</v>
      </c>
      <c r="D4187">
        <f t="shared" si="149"/>
        <v>-1.3817798936006789</v>
      </c>
    </row>
    <row r="4188" spans="1:4">
      <c r="A4188" s="1">
        <v>24345</v>
      </c>
      <c r="B4188">
        <v>76.41</v>
      </c>
      <c r="C4188">
        <f t="shared" si="150"/>
        <v>-2.113758647194473E-2</v>
      </c>
      <c r="D4188">
        <f t="shared" si="149"/>
        <v>-2.2650254433580881</v>
      </c>
    </row>
    <row r="4189" spans="1:4">
      <c r="A4189" s="1">
        <v>24348</v>
      </c>
      <c r="B4189">
        <v>74.53</v>
      </c>
      <c r="C4189">
        <f t="shared" si="150"/>
        <v>-2.4604109409763063E-2</v>
      </c>
      <c r="D4189">
        <f t="shared" si="149"/>
        <v>-2.6310890872633053</v>
      </c>
    </row>
    <row r="4190" spans="1:4">
      <c r="A4190" s="1">
        <v>24349</v>
      </c>
      <c r="B4190">
        <v>75.86</v>
      </c>
      <c r="C4190">
        <f t="shared" si="150"/>
        <v>1.7845163021602016E-2</v>
      </c>
      <c r="D4190">
        <f t="shared" si="149"/>
        <v>1.8515396522800682</v>
      </c>
    </row>
    <row r="4191" spans="1:4">
      <c r="A4191" s="1">
        <v>24350</v>
      </c>
      <c r="B4191">
        <v>77.099999999999994</v>
      </c>
      <c r="C4191">
        <f t="shared" si="150"/>
        <v>1.6345900342736554E-2</v>
      </c>
      <c r="D4191">
        <f t="shared" si="149"/>
        <v>1.6932180230160214</v>
      </c>
    </row>
    <row r="4192" spans="1:4">
      <c r="A4192" s="1">
        <v>24351</v>
      </c>
      <c r="B4192">
        <v>77.7</v>
      </c>
      <c r="C4192">
        <f t="shared" si="150"/>
        <v>7.7821011673152862E-3</v>
      </c>
      <c r="D4192">
        <f t="shared" si="149"/>
        <v>0.78888374106831238</v>
      </c>
    </row>
    <row r="4193" spans="1:4">
      <c r="A4193" s="1">
        <v>24352</v>
      </c>
      <c r="B4193">
        <v>77.42</v>
      </c>
      <c r="C4193">
        <f t="shared" si="150"/>
        <v>-3.603603603603618E-3</v>
      </c>
      <c r="D4193">
        <f t="shared" si="149"/>
        <v>-0.4134428125516294</v>
      </c>
    </row>
    <row r="4194" spans="1:4">
      <c r="A4194" s="1">
        <v>24356</v>
      </c>
      <c r="B4194">
        <v>76.959999999999994</v>
      </c>
      <c r="C4194">
        <f t="shared" si="150"/>
        <v>-5.941617153190493E-3</v>
      </c>
      <c r="D4194">
        <f t="shared" si="149"/>
        <v>-0.66033624865858398</v>
      </c>
    </row>
    <row r="4195" spans="1:4">
      <c r="A4195" s="1">
        <v>24357</v>
      </c>
      <c r="B4195">
        <v>76.37</v>
      </c>
      <c r="C4195">
        <f t="shared" si="150"/>
        <v>-7.6663201663200262E-3</v>
      </c>
      <c r="D4195">
        <f t="shared" si="149"/>
        <v>-0.84246430059002375</v>
      </c>
    </row>
    <row r="4196" spans="1:4">
      <c r="A4196" s="1">
        <v>24358</v>
      </c>
      <c r="B4196">
        <v>76.05</v>
      </c>
      <c r="C4196">
        <f t="shared" si="150"/>
        <v>-4.1901270132251849E-3</v>
      </c>
      <c r="D4196">
        <f t="shared" si="149"/>
        <v>-0.47537948523867313</v>
      </c>
    </row>
    <row r="4197" spans="1:4">
      <c r="A4197" s="1">
        <v>24359</v>
      </c>
      <c r="B4197">
        <v>76.290000000000006</v>
      </c>
      <c r="C4197">
        <f t="shared" si="150"/>
        <v>3.1558185404340446E-3</v>
      </c>
      <c r="D4197">
        <f t="shared" si="149"/>
        <v>0.30034986821952447</v>
      </c>
    </row>
    <row r="4198" spans="1:4">
      <c r="A4198" s="1">
        <v>24362</v>
      </c>
      <c r="B4198">
        <v>77.91</v>
      </c>
      <c r="C4198">
        <f t="shared" si="150"/>
        <v>2.1234762092017172E-2</v>
      </c>
      <c r="D4198">
        <f t="shared" si="149"/>
        <v>2.2094801619352031</v>
      </c>
    </row>
    <row r="4199" spans="1:4">
      <c r="A4199" s="1">
        <v>24363</v>
      </c>
      <c r="B4199">
        <v>78.319999999999993</v>
      </c>
      <c r="C4199">
        <f t="shared" si="150"/>
        <v>5.2624823514310949E-3</v>
      </c>
      <c r="D4199">
        <f t="shared" si="149"/>
        <v>0.52281285057099058</v>
      </c>
    </row>
    <row r="4200" spans="1:4">
      <c r="A4200" s="1">
        <v>24364</v>
      </c>
      <c r="B4200">
        <v>79.13</v>
      </c>
      <c r="C4200">
        <f t="shared" si="150"/>
        <v>1.0342185903983687E-2</v>
      </c>
      <c r="D4200">
        <f t="shared" si="149"/>
        <v>1.0592278190454121</v>
      </c>
    </row>
    <row r="4201" spans="1:4">
      <c r="A4201" s="1">
        <v>24365</v>
      </c>
      <c r="B4201">
        <v>80.08</v>
      </c>
      <c r="C4201">
        <f t="shared" si="150"/>
        <v>1.200556047011251E-2</v>
      </c>
      <c r="D4201">
        <f t="shared" si="149"/>
        <v>1.234879607820129</v>
      </c>
    </row>
    <row r="4202" spans="1:4">
      <c r="A4202" s="1">
        <v>24366</v>
      </c>
      <c r="B4202">
        <v>79.989999999999995</v>
      </c>
      <c r="C4202">
        <f t="shared" si="150"/>
        <v>-1.1238761238761665E-3</v>
      </c>
      <c r="D4202">
        <f t="shared" si="149"/>
        <v>-0.15158443359273527</v>
      </c>
    </row>
    <row r="4203" spans="1:4">
      <c r="A4203" s="1">
        <v>24369</v>
      </c>
      <c r="B4203">
        <v>79.59</v>
      </c>
      <c r="C4203">
        <f t="shared" si="150"/>
        <v>-5.0006250781346609E-3</v>
      </c>
      <c r="D4203">
        <f t="shared" si="149"/>
        <v>-0.56096780539143554</v>
      </c>
    </row>
    <row r="4204" spans="1:4">
      <c r="A4204" s="1">
        <v>24370</v>
      </c>
      <c r="B4204">
        <v>79.040000000000006</v>
      </c>
      <c r="C4204">
        <f t="shared" si="150"/>
        <v>-6.9104158813920987E-3</v>
      </c>
      <c r="D4204">
        <f t="shared" si="149"/>
        <v>-0.7626410650459855</v>
      </c>
    </row>
    <row r="4205" spans="1:4">
      <c r="A4205" s="1">
        <v>24371</v>
      </c>
      <c r="B4205">
        <v>77.709999999999994</v>
      </c>
      <c r="C4205">
        <f t="shared" si="150"/>
        <v>-1.6826923076923232E-2</v>
      </c>
      <c r="D4205">
        <f t="shared" si="149"/>
        <v>-1.8098208541094996</v>
      </c>
    </row>
    <row r="4206" spans="1:4">
      <c r="A4206" s="1">
        <v>24372</v>
      </c>
      <c r="B4206">
        <v>77.94</v>
      </c>
      <c r="C4206">
        <f t="shared" si="150"/>
        <v>2.959722043495097E-3</v>
      </c>
      <c r="D4206">
        <f t="shared" si="149"/>
        <v>0.27964214479920962</v>
      </c>
    </row>
    <row r="4207" spans="1:4">
      <c r="A4207" s="1">
        <v>24373</v>
      </c>
      <c r="B4207">
        <v>77.67</v>
      </c>
      <c r="C4207">
        <f t="shared" si="150"/>
        <v>-3.4642032332563E-3</v>
      </c>
      <c r="D4207">
        <f t="shared" si="149"/>
        <v>-0.39872218082744076</v>
      </c>
    </row>
    <row r="4208" spans="1:4">
      <c r="A4208" s="1">
        <v>24376</v>
      </c>
      <c r="B4208">
        <v>77.86</v>
      </c>
      <c r="C4208">
        <f t="shared" si="150"/>
        <v>2.4462469421912929E-3</v>
      </c>
      <c r="D4208">
        <f t="shared" si="149"/>
        <v>0.22541934864019522</v>
      </c>
    </row>
    <row r="4209" spans="1:4">
      <c r="A4209" s="1">
        <v>24377</v>
      </c>
      <c r="B4209">
        <v>78.099999999999994</v>
      </c>
      <c r="C4209">
        <f t="shared" si="150"/>
        <v>3.0824556896993948E-3</v>
      </c>
      <c r="D4209">
        <f t="shared" si="149"/>
        <v>0.29260277611919006</v>
      </c>
    </row>
    <row r="4210" spans="1:4">
      <c r="A4210" s="1">
        <v>24378</v>
      </c>
      <c r="B4210">
        <v>77.11</v>
      </c>
      <c r="C4210">
        <f t="shared" si="150"/>
        <v>-1.2676056338028105E-2</v>
      </c>
      <c r="D4210">
        <f t="shared" si="149"/>
        <v>-1.3714907374303329</v>
      </c>
    </row>
    <row r="4211" spans="1:4">
      <c r="A4211" s="1">
        <v>24379</v>
      </c>
      <c r="B4211">
        <v>76.31</v>
      </c>
      <c r="C4211">
        <f t="shared" si="150"/>
        <v>-1.0374789262093077E-2</v>
      </c>
      <c r="D4211">
        <f t="shared" si="149"/>
        <v>-1.1284777164502802</v>
      </c>
    </row>
    <row r="4212" spans="1:4">
      <c r="A4212" s="1">
        <v>24380</v>
      </c>
      <c r="B4212">
        <v>76.56</v>
      </c>
      <c r="C4212">
        <f t="shared" si="150"/>
        <v>3.2761106014939064E-3</v>
      </c>
      <c r="D4212">
        <f t="shared" si="149"/>
        <v>0.31305266897818762</v>
      </c>
    </row>
    <row r="4213" spans="1:4">
      <c r="A4213" s="1">
        <v>24383</v>
      </c>
      <c r="B4213">
        <v>74.900000000000006</v>
      </c>
      <c r="C4213">
        <f t="shared" si="150"/>
        <v>-2.1682340647857845E-2</v>
      </c>
      <c r="D4213">
        <f t="shared" si="149"/>
        <v>-2.3225512991635715</v>
      </c>
    </row>
    <row r="4214" spans="1:4">
      <c r="A4214" s="1">
        <v>24384</v>
      </c>
      <c r="B4214">
        <v>75.099999999999994</v>
      </c>
      <c r="C4214">
        <f t="shared" si="150"/>
        <v>2.670226969292238E-3</v>
      </c>
      <c r="D4214">
        <f t="shared" si="149"/>
        <v>0.24907156336754463</v>
      </c>
    </row>
    <row r="4215" spans="1:4">
      <c r="A4215" s="1">
        <v>24385</v>
      </c>
      <c r="B4215">
        <v>74.69</v>
      </c>
      <c r="C4215">
        <f t="shared" si="150"/>
        <v>-5.4593874833554811E-3</v>
      </c>
      <c r="D4215">
        <f t="shared" si="149"/>
        <v>-0.60941295944183593</v>
      </c>
    </row>
    <row r="4216" spans="1:4">
      <c r="A4216" s="1">
        <v>24386</v>
      </c>
      <c r="B4216">
        <v>74.05</v>
      </c>
      <c r="C4216">
        <f t="shared" si="150"/>
        <v>-8.5687508367920818E-3</v>
      </c>
      <c r="D4216">
        <f t="shared" si="149"/>
        <v>-0.93776067264078367</v>
      </c>
    </row>
    <row r="4217" spans="1:4">
      <c r="A4217" s="1">
        <v>24387</v>
      </c>
      <c r="B4217">
        <v>73.2</v>
      </c>
      <c r="C4217">
        <f t="shared" si="150"/>
        <v>-1.1478730587440842E-2</v>
      </c>
      <c r="D4217">
        <f t="shared" si="149"/>
        <v>-1.2450535451591151</v>
      </c>
    </row>
    <row r="4218" spans="1:4">
      <c r="A4218" s="1">
        <v>24390</v>
      </c>
      <c r="B4218">
        <v>74.53</v>
      </c>
      <c r="C4218">
        <f t="shared" si="150"/>
        <v>1.8169398907103802E-2</v>
      </c>
      <c r="D4218">
        <f t="shared" si="149"/>
        <v>1.8857788515759244</v>
      </c>
    </row>
    <row r="4219" spans="1:4">
      <c r="A4219" s="1">
        <v>24391</v>
      </c>
      <c r="B4219">
        <v>74.91</v>
      </c>
      <c r="C4219">
        <f t="shared" si="150"/>
        <v>5.0986180061719502E-3</v>
      </c>
      <c r="D4219">
        <f t="shared" si="149"/>
        <v>0.50550883141182223</v>
      </c>
    </row>
    <row r="4220" spans="1:4">
      <c r="A4220" s="1">
        <v>24392</v>
      </c>
      <c r="B4220">
        <v>77.040000000000006</v>
      </c>
      <c r="C4220">
        <f t="shared" si="150"/>
        <v>2.8434120945134291E-2</v>
      </c>
      <c r="D4220">
        <f t="shared" si="149"/>
        <v>2.9697300096433943</v>
      </c>
    </row>
    <row r="4221" spans="1:4">
      <c r="A4221" s="1">
        <v>24393</v>
      </c>
      <c r="B4221">
        <v>76.89</v>
      </c>
      <c r="C4221">
        <f t="shared" si="150"/>
        <v>-1.9470404984424413E-3</v>
      </c>
      <c r="D4221">
        <f t="shared" si="149"/>
        <v>-0.23851031173976789</v>
      </c>
    </row>
    <row r="4222" spans="1:4">
      <c r="A4222" s="1">
        <v>24394</v>
      </c>
      <c r="B4222">
        <v>76.599999999999994</v>
      </c>
      <c r="C4222">
        <f t="shared" si="150"/>
        <v>-3.7716217973729517E-3</v>
      </c>
      <c r="D4222">
        <f t="shared" si="149"/>
        <v>-0.43118547670151208</v>
      </c>
    </row>
    <row r="4223" spans="1:4">
      <c r="A4223" s="1">
        <v>24397</v>
      </c>
      <c r="B4223">
        <v>77.47</v>
      </c>
      <c r="C4223">
        <f t="shared" si="150"/>
        <v>1.1357702349869513E-2</v>
      </c>
      <c r="D4223">
        <f t="shared" si="149"/>
        <v>1.1664660105401434</v>
      </c>
    </row>
    <row r="4224" spans="1:4">
      <c r="A4224" s="1">
        <v>24398</v>
      </c>
      <c r="B4224">
        <v>78.680000000000007</v>
      </c>
      <c r="C4224">
        <f t="shared" si="150"/>
        <v>1.561894927068553E-2</v>
      </c>
      <c r="D4224">
        <f t="shared" si="149"/>
        <v>1.6164522369101089</v>
      </c>
    </row>
    <row r="4225" spans="1:4">
      <c r="A4225" s="1">
        <v>24399</v>
      </c>
      <c r="B4225">
        <v>78.05</v>
      </c>
      <c r="C4225">
        <f t="shared" si="150"/>
        <v>-8.0071174377225416E-3</v>
      </c>
      <c r="D4225">
        <f t="shared" si="149"/>
        <v>-0.87845237660750841</v>
      </c>
    </row>
    <row r="4226" spans="1:4">
      <c r="A4226" s="1">
        <v>24400</v>
      </c>
      <c r="B4226">
        <v>77.84</v>
      </c>
      <c r="C4226">
        <f t="shared" si="150"/>
        <v>-2.6905829596411755E-3</v>
      </c>
      <c r="D4226">
        <f t="shared" si="149"/>
        <v>-0.31702814289999148</v>
      </c>
    </row>
    <row r="4227" spans="1:4">
      <c r="A4227" s="1">
        <v>24401</v>
      </c>
      <c r="B4227">
        <v>78.19</v>
      </c>
      <c r="C4227">
        <f t="shared" si="150"/>
        <v>4.4964028776977687E-3</v>
      </c>
      <c r="D4227">
        <f t="shared" ref="D4227:D4290" si="151">(C4227-avg)/sd</f>
        <v>0.44191511854781679</v>
      </c>
    </row>
    <row r="4228" spans="1:4">
      <c r="A4228" s="1">
        <v>24404</v>
      </c>
      <c r="B4228">
        <v>78.42</v>
      </c>
      <c r="C4228">
        <f t="shared" ref="C4228:C4291" si="152">(B4228-B4227)/B4227</f>
        <v>2.9415526282133776E-3</v>
      </c>
      <c r="D4228">
        <f t="shared" si="151"/>
        <v>0.27772346072154436</v>
      </c>
    </row>
    <row r="4229" spans="1:4">
      <c r="A4229" s="1">
        <v>24405</v>
      </c>
      <c r="B4229">
        <v>78.900000000000006</v>
      </c>
      <c r="C4229">
        <f t="shared" si="152"/>
        <v>6.1208875286917113E-3</v>
      </c>
      <c r="D4229">
        <f t="shared" si="151"/>
        <v>0.61346014550361472</v>
      </c>
    </row>
    <row r="4230" spans="1:4">
      <c r="A4230" s="1">
        <v>24406</v>
      </c>
      <c r="B4230">
        <v>79.58</v>
      </c>
      <c r="C4230">
        <f t="shared" si="152"/>
        <v>8.6185044359948365E-3</v>
      </c>
      <c r="D4230">
        <f t="shared" si="151"/>
        <v>0.87720764193358824</v>
      </c>
    </row>
    <row r="4231" spans="1:4">
      <c r="A4231" s="1">
        <v>24407</v>
      </c>
      <c r="B4231">
        <v>80.23</v>
      </c>
      <c r="C4231">
        <f t="shared" si="152"/>
        <v>8.1678813772305316E-3</v>
      </c>
      <c r="D4231">
        <f t="shared" si="151"/>
        <v>0.8296220001022977</v>
      </c>
    </row>
    <row r="4232" spans="1:4">
      <c r="A4232" s="1">
        <v>24408</v>
      </c>
      <c r="B4232">
        <v>80.239999999999995</v>
      </c>
      <c r="C4232">
        <f t="shared" si="152"/>
        <v>1.2464165524106823E-4</v>
      </c>
      <c r="D4232">
        <f t="shared" si="151"/>
        <v>-1.9741380509768553E-2</v>
      </c>
    </row>
    <row r="4233" spans="1:4">
      <c r="A4233" s="1">
        <v>24411</v>
      </c>
      <c r="B4233">
        <v>80.2</v>
      </c>
      <c r="C4233">
        <f t="shared" si="152"/>
        <v>-4.9850448654027973E-4</v>
      </c>
      <c r="D4233">
        <f t="shared" si="151"/>
        <v>-8.5545401264213602E-2</v>
      </c>
    </row>
    <row r="4234" spans="1:4">
      <c r="A4234" s="1">
        <v>24412</v>
      </c>
      <c r="B4234">
        <v>80.81</v>
      </c>
      <c r="C4234">
        <f t="shared" si="152"/>
        <v>7.6059850374064764E-3</v>
      </c>
      <c r="D4234">
        <f t="shared" si="151"/>
        <v>0.7702859376147233</v>
      </c>
    </row>
    <row r="4235" spans="1:4">
      <c r="A4235" s="1">
        <v>24413</v>
      </c>
      <c r="B4235">
        <v>80.88</v>
      </c>
      <c r="C4235">
        <f t="shared" si="152"/>
        <v>8.6622942705102306E-4</v>
      </c>
      <c r="D4235">
        <f t="shared" si="151"/>
        <v>5.8570036115431212E-2</v>
      </c>
    </row>
    <row r="4236" spans="1:4">
      <c r="A4236" s="1">
        <v>24414</v>
      </c>
      <c r="B4236">
        <v>80.56</v>
      </c>
      <c r="C4236">
        <f t="shared" si="152"/>
        <v>-3.9564787339267209E-3</v>
      </c>
      <c r="D4236">
        <f t="shared" si="151"/>
        <v>-0.45070630636566433</v>
      </c>
    </row>
    <row r="4237" spans="1:4">
      <c r="A4237" s="1">
        <v>24415</v>
      </c>
      <c r="B4237">
        <v>80.81</v>
      </c>
      <c r="C4237">
        <f t="shared" si="152"/>
        <v>3.1032770605759681E-3</v>
      </c>
      <c r="D4237">
        <f t="shared" si="151"/>
        <v>0.29480150580622838</v>
      </c>
    </row>
    <row r="4238" spans="1:4">
      <c r="A4238" s="1">
        <v>24418</v>
      </c>
      <c r="B4238">
        <v>80.73</v>
      </c>
      <c r="C4238">
        <f t="shared" si="152"/>
        <v>-9.8997648805838737E-4</v>
      </c>
      <c r="D4238">
        <f t="shared" si="151"/>
        <v>-0.13744467756507547</v>
      </c>
    </row>
    <row r="4239" spans="1:4">
      <c r="A4239" s="1">
        <v>24420</v>
      </c>
      <c r="B4239">
        <v>81.38</v>
      </c>
      <c r="C4239">
        <f t="shared" si="152"/>
        <v>8.051529790660119E-3</v>
      </c>
      <c r="D4239">
        <f t="shared" si="151"/>
        <v>0.81733531211028787</v>
      </c>
    </row>
    <row r="4240" spans="1:4">
      <c r="A4240" s="1">
        <v>24421</v>
      </c>
      <c r="B4240">
        <v>81.89</v>
      </c>
      <c r="C4240">
        <f t="shared" si="152"/>
        <v>6.2668960432539335E-3</v>
      </c>
      <c r="D4240">
        <f t="shared" si="151"/>
        <v>0.62887859501067989</v>
      </c>
    </row>
    <row r="4241" spans="1:4">
      <c r="A4241" s="1">
        <v>24422</v>
      </c>
      <c r="B4241">
        <v>81.94</v>
      </c>
      <c r="C4241">
        <f t="shared" si="152"/>
        <v>6.1057516180238315E-4</v>
      </c>
      <c r="D4241">
        <f t="shared" si="151"/>
        <v>3.1573032606281894E-2</v>
      </c>
    </row>
    <row r="4242" spans="1:4">
      <c r="A4242" s="1">
        <v>24425</v>
      </c>
      <c r="B4242">
        <v>81.37</v>
      </c>
      <c r="C4242">
        <f t="shared" si="152"/>
        <v>-6.9563094947521749E-3</v>
      </c>
      <c r="D4242">
        <f t="shared" si="151"/>
        <v>-0.76748741501681239</v>
      </c>
    </row>
    <row r="4243" spans="1:4">
      <c r="A4243" s="1">
        <v>24426</v>
      </c>
      <c r="B4243">
        <v>81.69</v>
      </c>
      <c r="C4243">
        <f t="shared" si="152"/>
        <v>3.9326533120313768E-3</v>
      </c>
      <c r="D4243">
        <f t="shared" si="151"/>
        <v>0.38238335604123397</v>
      </c>
    </row>
    <row r="4244" spans="1:4">
      <c r="A4244" s="1">
        <v>24427</v>
      </c>
      <c r="B4244">
        <v>82.37</v>
      </c>
      <c r="C4244">
        <f t="shared" si="152"/>
        <v>8.3241522830212605E-3</v>
      </c>
      <c r="D4244">
        <f t="shared" si="151"/>
        <v>0.84612415463473678</v>
      </c>
    </row>
    <row r="4245" spans="1:4">
      <c r="A4245" s="1">
        <v>24428</v>
      </c>
      <c r="B4245">
        <v>81.8</v>
      </c>
      <c r="C4245">
        <f t="shared" si="152"/>
        <v>-6.9199951438631462E-3</v>
      </c>
      <c r="D4245">
        <f t="shared" si="151"/>
        <v>-0.76365263190677857</v>
      </c>
    </row>
    <row r="4246" spans="1:4">
      <c r="A4246" s="1">
        <v>24429</v>
      </c>
      <c r="B4246">
        <v>81.260000000000005</v>
      </c>
      <c r="C4246">
        <f t="shared" si="152"/>
        <v>-6.6014669926649392E-3</v>
      </c>
      <c r="D4246">
        <f t="shared" si="151"/>
        <v>-0.73001616741322717</v>
      </c>
    </row>
    <row r="4247" spans="1:4">
      <c r="A4247" s="1">
        <v>24432</v>
      </c>
      <c r="B4247">
        <v>80.09</v>
      </c>
      <c r="C4247">
        <f t="shared" si="152"/>
        <v>-1.4398227910411046E-2</v>
      </c>
      <c r="D4247">
        <f t="shared" si="151"/>
        <v>-1.5533514700794111</v>
      </c>
    </row>
    <row r="4248" spans="1:4">
      <c r="A4248" s="1">
        <v>24433</v>
      </c>
      <c r="B4248">
        <v>79.67</v>
      </c>
      <c r="C4248">
        <f t="shared" si="152"/>
        <v>-5.2441003870645738E-3</v>
      </c>
      <c r="D4248">
        <f t="shared" si="151"/>
        <v>-0.58667871525315574</v>
      </c>
    </row>
    <row r="4249" spans="1:4">
      <c r="A4249" s="1">
        <v>24434</v>
      </c>
      <c r="B4249">
        <v>80.209999999999994</v>
      </c>
      <c r="C4249">
        <f t="shared" si="152"/>
        <v>6.7779590812098913E-3</v>
      </c>
      <c r="D4249">
        <f t="shared" si="151"/>
        <v>0.68284667810006194</v>
      </c>
    </row>
    <row r="4250" spans="1:4">
      <c r="A4250" s="1">
        <v>24436</v>
      </c>
      <c r="B4250">
        <v>80.849999999999994</v>
      </c>
      <c r="C4250">
        <f t="shared" si="152"/>
        <v>7.9790549806757344E-3</v>
      </c>
      <c r="D4250">
        <f t="shared" si="151"/>
        <v>0.8096819968113218</v>
      </c>
    </row>
    <row r="4251" spans="1:4">
      <c r="A4251" s="1">
        <v>24439</v>
      </c>
      <c r="B4251">
        <v>80.709999999999994</v>
      </c>
      <c r="C4251">
        <f t="shared" si="152"/>
        <v>-1.7316017316017388E-3</v>
      </c>
      <c r="D4251">
        <f t="shared" si="151"/>
        <v>-0.21576005119258465</v>
      </c>
    </row>
    <row r="4252" spans="1:4">
      <c r="A4252" s="1">
        <v>24440</v>
      </c>
      <c r="B4252">
        <v>80.42</v>
      </c>
      <c r="C4252">
        <f t="shared" si="152"/>
        <v>-3.5931111386444314E-3</v>
      </c>
      <c r="D4252">
        <f t="shared" si="151"/>
        <v>-0.4123348118185014</v>
      </c>
    </row>
    <row r="4253" spans="1:4">
      <c r="A4253" s="1">
        <v>24441</v>
      </c>
      <c r="B4253">
        <v>80.45</v>
      </c>
      <c r="C4253">
        <f t="shared" si="152"/>
        <v>3.7304153195723868E-4</v>
      </c>
      <c r="D4253">
        <f t="shared" si="151"/>
        <v>6.4895620362384557E-3</v>
      </c>
    </row>
    <row r="4254" spans="1:4">
      <c r="A4254" s="1">
        <v>24442</v>
      </c>
      <c r="B4254">
        <v>80.08</v>
      </c>
      <c r="C4254">
        <f t="shared" si="152"/>
        <v>-4.5991298943443698E-3</v>
      </c>
      <c r="D4254">
        <f t="shared" si="151"/>
        <v>-0.51857005045802473</v>
      </c>
    </row>
    <row r="4255" spans="1:4">
      <c r="A4255" s="1">
        <v>24443</v>
      </c>
      <c r="B4255">
        <v>80.13</v>
      </c>
      <c r="C4255">
        <f t="shared" si="152"/>
        <v>6.2437562437558892E-4</v>
      </c>
      <c r="D4255">
        <f t="shared" si="151"/>
        <v>3.3030356763007272E-2</v>
      </c>
    </row>
    <row r="4256" spans="1:4">
      <c r="A4256" s="1">
        <v>24446</v>
      </c>
      <c r="B4256">
        <v>80.239999999999995</v>
      </c>
      <c r="C4256">
        <f t="shared" si="152"/>
        <v>1.3727692499687937E-3</v>
      </c>
      <c r="D4256">
        <f t="shared" si="151"/>
        <v>0.11206046923429612</v>
      </c>
    </row>
    <row r="4257" spans="1:4">
      <c r="A4257" s="1">
        <v>24447</v>
      </c>
      <c r="B4257">
        <v>80.84</v>
      </c>
      <c r="C4257">
        <f t="shared" si="152"/>
        <v>7.4775672981057901E-3</v>
      </c>
      <c r="D4257">
        <f t="shared" si="151"/>
        <v>0.75672506799588135</v>
      </c>
    </row>
    <row r="4258" spans="1:4">
      <c r="A4258" s="1">
        <v>24448</v>
      </c>
      <c r="B4258">
        <v>81.72</v>
      </c>
      <c r="C4258">
        <f t="shared" si="152"/>
        <v>1.0885700148441309E-2</v>
      </c>
      <c r="D4258">
        <f t="shared" si="151"/>
        <v>1.1166227385106688</v>
      </c>
    </row>
    <row r="4259" spans="1:4">
      <c r="A4259" s="1">
        <v>24449</v>
      </c>
      <c r="B4259">
        <v>82.05</v>
      </c>
      <c r="C4259">
        <f t="shared" si="152"/>
        <v>4.0381791483112862E-3</v>
      </c>
      <c r="D4259">
        <f t="shared" si="151"/>
        <v>0.39352684848241781</v>
      </c>
    </row>
    <row r="4260" spans="1:4">
      <c r="A4260" s="1">
        <v>24450</v>
      </c>
      <c r="B4260">
        <v>82.14</v>
      </c>
      <c r="C4260">
        <f t="shared" si="152"/>
        <v>1.0968921389397125E-3</v>
      </c>
      <c r="D4260">
        <f t="shared" si="151"/>
        <v>8.2927940084811497E-2</v>
      </c>
    </row>
    <row r="4261" spans="1:4">
      <c r="A4261" s="1">
        <v>24453</v>
      </c>
      <c r="B4261">
        <v>83</v>
      </c>
      <c r="C4261">
        <f t="shared" si="152"/>
        <v>1.04699293888483E-2</v>
      </c>
      <c r="D4261">
        <f t="shared" si="151"/>
        <v>1.072717487624995</v>
      </c>
    </row>
    <row r="4262" spans="1:4">
      <c r="A4262" s="1">
        <v>24454</v>
      </c>
      <c r="B4262">
        <v>82.73</v>
      </c>
      <c r="C4262">
        <f t="shared" si="152"/>
        <v>-3.2530120481927233E-3</v>
      </c>
      <c r="D4262">
        <f t="shared" si="151"/>
        <v>-0.37642046347209884</v>
      </c>
    </row>
    <row r="4263" spans="1:4">
      <c r="A4263" s="1">
        <v>24455</v>
      </c>
      <c r="B4263">
        <v>82.64</v>
      </c>
      <c r="C4263">
        <f t="shared" si="152"/>
        <v>-1.087876223860793E-3</v>
      </c>
      <c r="D4263">
        <f t="shared" si="151"/>
        <v>-0.1477828563880724</v>
      </c>
    </row>
    <row r="4264" spans="1:4">
      <c r="A4264" s="1">
        <v>24456</v>
      </c>
      <c r="B4264">
        <v>81.64</v>
      </c>
      <c r="C4264">
        <f t="shared" si="152"/>
        <v>-1.2100677637947725E-2</v>
      </c>
      <c r="D4264">
        <f t="shared" si="151"/>
        <v>-1.3107309422825677</v>
      </c>
    </row>
    <row r="4265" spans="1:4">
      <c r="A4265" s="1">
        <v>24457</v>
      </c>
      <c r="B4265">
        <v>81.58</v>
      </c>
      <c r="C4265">
        <f t="shared" si="152"/>
        <v>-7.3493385595299208E-4</v>
      </c>
      <c r="D4265">
        <f t="shared" si="151"/>
        <v>-0.11051226230794858</v>
      </c>
    </row>
    <row r="4266" spans="1:4">
      <c r="A4266" s="1">
        <v>24460</v>
      </c>
      <c r="B4266">
        <v>81.27</v>
      </c>
      <c r="C4266">
        <f t="shared" si="152"/>
        <v>-3.7999509683746295E-3</v>
      </c>
      <c r="D4266">
        <f t="shared" si="151"/>
        <v>-0.43417702752973614</v>
      </c>
    </row>
    <row r="4267" spans="1:4">
      <c r="A4267" s="1">
        <v>24461</v>
      </c>
      <c r="B4267">
        <v>80.959999999999994</v>
      </c>
      <c r="C4267">
        <f t="shared" si="152"/>
        <v>-3.8144456749108191E-3</v>
      </c>
      <c r="D4267">
        <f t="shared" si="151"/>
        <v>-0.43570766361296759</v>
      </c>
    </row>
    <row r="4268" spans="1:4">
      <c r="A4268" s="1">
        <v>24462</v>
      </c>
      <c r="B4268">
        <v>81.38</v>
      </c>
      <c r="C4268">
        <f t="shared" si="152"/>
        <v>5.1877470355731438E-3</v>
      </c>
      <c r="D4268">
        <f t="shared" si="151"/>
        <v>0.51492082662015914</v>
      </c>
    </row>
    <row r="4269" spans="1:4">
      <c r="A4269" s="1">
        <v>24463</v>
      </c>
      <c r="B4269">
        <v>81.69</v>
      </c>
      <c r="C4269">
        <f t="shared" si="152"/>
        <v>3.8092897517817926E-3</v>
      </c>
      <c r="D4269">
        <f t="shared" si="151"/>
        <v>0.36935620601218944</v>
      </c>
    </row>
    <row r="4270" spans="1:4">
      <c r="A4270" s="1">
        <v>24464</v>
      </c>
      <c r="B4270">
        <v>81.47</v>
      </c>
      <c r="C4270">
        <f t="shared" si="152"/>
        <v>-2.6931080915656614E-3</v>
      </c>
      <c r="D4270">
        <f t="shared" si="151"/>
        <v>-0.31729479597288318</v>
      </c>
    </row>
    <row r="4271" spans="1:4">
      <c r="A4271" s="1">
        <v>24468</v>
      </c>
      <c r="B4271">
        <v>81</v>
      </c>
      <c r="C4271">
        <f t="shared" si="152"/>
        <v>-5.7689947219835384E-3</v>
      </c>
      <c r="D4271">
        <f t="shared" si="151"/>
        <v>-0.64210737860034495</v>
      </c>
    </row>
    <row r="4272" spans="1:4">
      <c r="A4272" s="1">
        <v>24469</v>
      </c>
      <c r="B4272">
        <v>80.61</v>
      </c>
      <c r="C4272">
        <f t="shared" si="152"/>
        <v>-4.8148148148148221E-3</v>
      </c>
      <c r="D4272">
        <f t="shared" si="151"/>
        <v>-0.54134630474483791</v>
      </c>
    </row>
    <row r="4273" spans="1:4">
      <c r="A4273" s="1">
        <v>24470</v>
      </c>
      <c r="B4273">
        <v>80.37</v>
      </c>
      <c r="C4273">
        <f t="shared" si="152"/>
        <v>-2.9772981019723964E-3</v>
      </c>
      <c r="D4273">
        <f t="shared" si="151"/>
        <v>-0.34730516447095627</v>
      </c>
    </row>
    <row r="4274" spans="1:4">
      <c r="A4274" s="1">
        <v>24471</v>
      </c>
      <c r="B4274">
        <v>80.33</v>
      </c>
      <c r="C4274">
        <f t="shared" si="152"/>
        <v>-4.9769814607448365E-4</v>
      </c>
      <c r="D4274">
        <f t="shared" si="151"/>
        <v>-8.5460251985113991E-2</v>
      </c>
    </row>
    <row r="4275" spans="1:4">
      <c r="A4275" s="1">
        <v>24475</v>
      </c>
      <c r="B4275">
        <v>80.38</v>
      </c>
      <c r="C4275">
        <f t="shared" si="152"/>
        <v>6.2243246607739523E-4</v>
      </c>
      <c r="D4275">
        <f t="shared" si="151"/>
        <v>3.2825159907229617E-2</v>
      </c>
    </row>
    <row r="4276" spans="1:4">
      <c r="A4276" s="1">
        <v>24476</v>
      </c>
      <c r="B4276">
        <v>80.55</v>
      </c>
      <c r="C4276">
        <f t="shared" si="152"/>
        <v>2.114953968648939E-3</v>
      </c>
      <c r="D4276">
        <f t="shared" si="151"/>
        <v>0.19043492324607589</v>
      </c>
    </row>
    <row r="4277" spans="1:4">
      <c r="A4277" s="1">
        <v>24477</v>
      </c>
      <c r="B4277">
        <v>81.599999999999994</v>
      </c>
      <c r="C4277">
        <f t="shared" si="152"/>
        <v>1.3035381750465515E-2</v>
      </c>
      <c r="D4277">
        <f t="shared" si="151"/>
        <v>1.3436283849721449</v>
      </c>
    </row>
    <row r="4278" spans="1:4">
      <c r="A4278" s="1">
        <v>24478</v>
      </c>
      <c r="B4278">
        <v>82.18</v>
      </c>
      <c r="C4278">
        <f t="shared" si="152"/>
        <v>7.1078431372550554E-3</v>
      </c>
      <c r="D4278">
        <f t="shared" si="151"/>
        <v>0.7176823222853923</v>
      </c>
    </row>
    <row r="4279" spans="1:4">
      <c r="A4279" s="1">
        <v>24481</v>
      </c>
      <c r="B4279">
        <v>82.81</v>
      </c>
      <c r="C4279">
        <f t="shared" si="152"/>
        <v>7.6660988074956854E-3</v>
      </c>
      <c r="D4279">
        <f t="shared" si="151"/>
        <v>0.7766339313024806</v>
      </c>
    </row>
    <row r="4280" spans="1:4">
      <c r="A4280" s="1">
        <v>24482</v>
      </c>
      <c r="B4280">
        <v>82.81</v>
      </c>
      <c r="C4280">
        <f t="shared" si="152"/>
        <v>0</v>
      </c>
      <c r="D4280">
        <f t="shared" si="151"/>
        <v>-3.29034969354682E-2</v>
      </c>
    </row>
    <row r="4281" spans="1:4">
      <c r="A4281" s="1">
        <v>24483</v>
      </c>
      <c r="B4281">
        <v>83.47</v>
      </c>
      <c r="C4281">
        <f t="shared" si="152"/>
        <v>7.9700519260958412E-3</v>
      </c>
      <c r="D4281">
        <f t="shared" si="151"/>
        <v>0.80873127730797201</v>
      </c>
    </row>
    <row r="4282" spans="1:4">
      <c r="A4282" s="1">
        <v>24484</v>
      </c>
      <c r="B4282">
        <v>83.91</v>
      </c>
      <c r="C4282">
        <f t="shared" si="152"/>
        <v>5.2713549778363213E-3</v>
      </c>
      <c r="D4282">
        <f t="shared" si="151"/>
        <v>0.52374979690343026</v>
      </c>
    </row>
    <row r="4283" spans="1:4">
      <c r="A4283" s="1">
        <v>24485</v>
      </c>
      <c r="B4283">
        <v>84.53</v>
      </c>
      <c r="C4283">
        <f t="shared" si="152"/>
        <v>7.3888690263377976E-3</v>
      </c>
      <c r="D4283">
        <f t="shared" si="151"/>
        <v>0.74735856064718886</v>
      </c>
    </row>
    <row r="4284" spans="1:4">
      <c r="A4284" s="1">
        <v>24488</v>
      </c>
      <c r="B4284">
        <v>84.31</v>
      </c>
      <c r="C4284">
        <f t="shared" si="152"/>
        <v>-2.6026262865254802E-3</v>
      </c>
      <c r="D4284">
        <f t="shared" si="151"/>
        <v>-0.30773994811689992</v>
      </c>
    </row>
    <row r="4285" spans="1:4">
      <c r="A4285" s="1">
        <v>24489</v>
      </c>
      <c r="B4285">
        <v>85.24</v>
      </c>
      <c r="C4285">
        <f t="shared" si="152"/>
        <v>1.1030719962044747E-2</v>
      </c>
      <c r="D4285">
        <f t="shared" si="151"/>
        <v>1.1319367815325621</v>
      </c>
    </row>
    <row r="4286" spans="1:4">
      <c r="A4286" s="1">
        <v>24490</v>
      </c>
      <c r="B4286">
        <v>85.79</v>
      </c>
      <c r="C4286">
        <f t="shared" si="152"/>
        <v>6.4523697794464027E-3</v>
      </c>
      <c r="D4286">
        <f t="shared" si="151"/>
        <v>0.64846455850701845</v>
      </c>
    </row>
    <row r="4287" spans="1:4">
      <c r="A4287" s="1">
        <v>24491</v>
      </c>
      <c r="B4287">
        <v>85.82</v>
      </c>
      <c r="C4287">
        <f t="shared" si="152"/>
        <v>3.4969110618938016E-4</v>
      </c>
      <c r="D4287">
        <f t="shared" si="151"/>
        <v>4.0237650123479624E-3</v>
      </c>
    </row>
    <row r="4288" spans="1:4">
      <c r="A4288" s="1">
        <v>24492</v>
      </c>
      <c r="B4288">
        <v>86.07</v>
      </c>
      <c r="C4288">
        <f t="shared" si="152"/>
        <v>2.9130738755534843E-3</v>
      </c>
      <c r="D4288">
        <f t="shared" si="151"/>
        <v>0.27471611412105801</v>
      </c>
    </row>
    <row r="4289" spans="1:4">
      <c r="A4289" s="1">
        <v>24495</v>
      </c>
      <c r="B4289">
        <v>86.39</v>
      </c>
      <c r="C4289">
        <f t="shared" si="152"/>
        <v>3.7179040316022705E-3</v>
      </c>
      <c r="D4289">
        <f t="shared" si="151"/>
        <v>0.35970590502474747</v>
      </c>
    </row>
    <row r="4290" spans="1:4">
      <c r="A4290" s="1">
        <v>24496</v>
      </c>
      <c r="B4290">
        <v>86.51</v>
      </c>
      <c r="C4290">
        <f t="shared" si="152"/>
        <v>1.389049658525345E-3</v>
      </c>
      <c r="D4290">
        <f t="shared" si="151"/>
        <v>0.11377967484388819</v>
      </c>
    </row>
    <row r="4291" spans="1:4">
      <c r="A4291" s="1">
        <v>24497</v>
      </c>
      <c r="B4291">
        <v>85.85</v>
      </c>
      <c r="C4291">
        <f t="shared" si="152"/>
        <v>-7.6291758178246537E-3</v>
      </c>
      <c r="D4291">
        <f t="shared" ref="D4291:D4354" si="153">(C4291-avg)/sd</f>
        <v>-0.83854187001489</v>
      </c>
    </row>
    <row r="4292" spans="1:4">
      <c r="A4292" s="1">
        <v>24498</v>
      </c>
      <c r="B4292">
        <v>85.81</v>
      </c>
      <c r="C4292">
        <f t="shared" ref="C4292:C4355" si="154">(B4292-B4291)/B4291</f>
        <v>-4.6592894583566738E-4</v>
      </c>
      <c r="D4292">
        <f t="shared" si="153"/>
        <v>-8.2105435238770841E-2</v>
      </c>
    </row>
    <row r="4293" spans="1:4">
      <c r="A4293" s="1">
        <v>24499</v>
      </c>
      <c r="B4293">
        <v>86.16</v>
      </c>
      <c r="C4293">
        <f t="shared" si="154"/>
        <v>4.0787786971214811E-3</v>
      </c>
      <c r="D4293">
        <f t="shared" si="153"/>
        <v>0.39781414703631718</v>
      </c>
    </row>
    <row r="4294" spans="1:4">
      <c r="A4294" s="1">
        <v>24502</v>
      </c>
      <c r="B4294">
        <v>86.66</v>
      </c>
      <c r="C4294">
        <f t="shared" si="154"/>
        <v>5.8031569173630461E-3</v>
      </c>
      <c r="D4294">
        <f t="shared" si="153"/>
        <v>0.57990790094919009</v>
      </c>
    </row>
    <row r="4295" spans="1:4">
      <c r="A4295" s="1">
        <v>24503</v>
      </c>
      <c r="B4295">
        <v>86.61</v>
      </c>
      <c r="C4295">
        <f t="shared" si="154"/>
        <v>-5.7696745903527762E-4</v>
      </c>
      <c r="D4295">
        <f t="shared" si="153"/>
        <v>-9.383106448882518E-2</v>
      </c>
    </row>
    <row r="4296" spans="1:4">
      <c r="A4296" s="1">
        <v>24504</v>
      </c>
      <c r="B4296">
        <v>86.43</v>
      </c>
      <c r="C4296">
        <f t="shared" si="154"/>
        <v>-2.078281953584951E-3</v>
      </c>
      <c r="D4296">
        <f t="shared" si="153"/>
        <v>-0.25236936479167871</v>
      </c>
    </row>
    <row r="4297" spans="1:4">
      <c r="A4297" s="1">
        <v>24505</v>
      </c>
      <c r="B4297">
        <v>86.73</v>
      </c>
      <c r="C4297">
        <f t="shared" si="154"/>
        <v>3.4710170079833061E-3</v>
      </c>
      <c r="D4297">
        <f t="shared" si="153"/>
        <v>0.33363471925156168</v>
      </c>
    </row>
    <row r="4298" spans="1:4">
      <c r="A4298" s="1">
        <v>24506</v>
      </c>
      <c r="B4298">
        <v>87.36</v>
      </c>
      <c r="C4298">
        <f t="shared" si="154"/>
        <v>7.2639225181597537E-3</v>
      </c>
      <c r="D4298">
        <f t="shared" si="153"/>
        <v>0.73416425185496914</v>
      </c>
    </row>
    <row r="4299" spans="1:4">
      <c r="A4299" s="1">
        <v>24509</v>
      </c>
      <c r="B4299">
        <v>87.18</v>
      </c>
      <c r="C4299">
        <f t="shared" si="154"/>
        <v>-2.0604395604394759E-3</v>
      </c>
      <c r="D4299">
        <f t="shared" si="153"/>
        <v>-0.25048521414044067</v>
      </c>
    </row>
    <row r="4300" spans="1:4">
      <c r="A4300" s="1">
        <v>24510</v>
      </c>
      <c r="B4300">
        <v>86.95</v>
      </c>
      <c r="C4300">
        <f t="shared" si="154"/>
        <v>-2.6382197751778384E-3</v>
      </c>
      <c r="D4300">
        <f t="shared" si="153"/>
        <v>-0.31149860841977434</v>
      </c>
    </row>
    <row r="4301" spans="1:4">
      <c r="A4301" s="1">
        <v>24511</v>
      </c>
      <c r="B4301">
        <v>87.72</v>
      </c>
      <c r="C4301">
        <f t="shared" si="154"/>
        <v>8.8556641748130643E-3</v>
      </c>
      <c r="D4301">
        <f t="shared" si="153"/>
        <v>0.90225162973828099</v>
      </c>
    </row>
    <row r="4302" spans="1:4">
      <c r="A4302" s="1">
        <v>24512</v>
      </c>
      <c r="B4302">
        <v>87.36</v>
      </c>
      <c r="C4302">
        <f t="shared" si="154"/>
        <v>-4.1039671682626478E-3</v>
      </c>
      <c r="D4302">
        <f t="shared" si="153"/>
        <v>-0.4662810348977835</v>
      </c>
    </row>
    <row r="4303" spans="1:4">
      <c r="A4303" s="1">
        <v>24513</v>
      </c>
      <c r="B4303">
        <v>87.63</v>
      </c>
      <c r="C4303">
        <f t="shared" si="154"/>
        <v>3.090659340659295E-3</v>
      </c>
      <c r="D4303">
        <f t="shared" si="153"/>
        <v>0.29346907887199908</v>
      </c>
    </row>
    <row r="4304" spans="1:4">
      <c r="A4304" s="1">
        <v>24516</v>
      </c>
      <c r="B4304">
        <v>87.58</v>
      </c>
      <c r="C4304">
        <f t="shared" si="154"/>
        <v>-5.705808513065977E-4</v>
      </c>
      <c r="D4304">
        <f t="shared" si="153"/>
        <v>-9.3156640883590006E-2</v>
      </c>
    </row>
    <row r="4305" spans="1:4">
      <c r="A4305" s="1">
        <v>24517</v>
      </c>
      <c r="B4305">
        <v>88.17</v>
      </c>
      <c r="C4305">
        <f t="shared" si="154"/>
        <v>6.736697876227488E-3</v>
      </c>
      <c r="D4305">
        <f t="shared" si="153"/>
        <v>0.67848950887928516</v>
      </c>
    </row>
    <row r="4306" spans="1:4">
      <c r="A4306" s="1">
        <v>24518</v>
      </c>
      <c r="B4306">
        <v>88.27</v>
      </c>
      <c r="C4306">
        <f t="shared" si="154"/>
        <v>1.1341726210728628E-3</v>
      </c>
      <c r="D4306">
        <f t="shared" si="153"/>
        <v>8.6864746325820572E-2</v>
      </c>
    </row>
    <row r="4307" spans="1:4">
      <c r="A4307" s="1">
        <v>24519</v>
      </c>
      <c r="B4307">
        <v>87.86</v>
      </c>
      <c r="C4307">
        <f t="shared" si="154"/>
        <v>-4.64483969638605E-3</v>
      </c>
      <c r="D4307">
        <f t="shared" si="153"/>
        <v>-0.52339699001610951</v>
      </c>
    </row>
    <row r="4308" spans="1:4">
      <c r="A4308" s="1">
        <v>24520</v>
      </c>
      <c r="B4308">
        <v>87.89</v>
      </c>
      <c r="C4308">
        <f t="shared" si="154"/>
        <v>3.4145231049398063E-4</v>
      </c>
      <c r="D4308">
        <f t="shared" si="153"/>
        <v>3.1537509874164987E-3</v>
      </c>
    </row>
    <row r="4309" spans="1:4">
      <c r="A4309" s="1">
        <v>24523</v>
      </c>
      <c r="B4309">
        <v>87.4</v>
      </c>
      <c r="C4309">
        <f t="shared" si="154"/>
        <v>-5.5751507566275445E-3</v>
      </c>
      <c r="D4309">
        <f t="shared" si="153"/>
        <v>-0.62163752174951725</v>
      </c>
    </row>
    <row r="4310" spans="1:4">
      <c r="A4310" s="1">
        <v>24524</v>
      </c>
      <c r="B4310">
        <v>87.34</v>
      </c>
      <c r="C4310">
        <f t="shared" si="154"/>
        <v>-6.8649885583526628E-4</v>
      </c>
      <c r="D4310">
        <f t="shared" si="153"/>
        <v>-0.10539754275937321</v>
      </c>
    </row>
    <row r="4311" spans="1:4">
      <c r="A4311" s="1">
        <v>24526</v>
      </c>
      <c r="B4311">
        <v>87.45</v>
      </c>
      <c r="C4311">
        <f t="shared" si="154"/>
        <v>1.2594458438287088E-3</v>
      </c>
      <c r="D4311">
        <f t="shared" si="153"/>
        <v>0.10009355606640052</v>
      </c>
    </row>
    <row r="4312" spans="1:4">
      <c r="A4312" s="1">
        <v>24527</v>
      </c>
      <c r="B4312">
        <v>87.41</v>
      </c>
      <c r="C4312">
        <f t="shared" si="154"/>
        <v>-4.5740423098920813E-4</v>
      </c>
      <c r="D4312">
        <f t="shared" si="153"/>
        <v>-8.1205228248676126E-2</v>
      </c>
    </row>
    <row r="4313" spans="1:4">
      <c r="A4313" s="1">
        <v>24530</v>
      </c>
      <c r="B4313">
        <v>86.46</v>
      </c>
      <c r="C4313">
        <f t="shared" si="154"/>
        <v>-1.0868321702322421E-2</v>
      </c>
      <c r="D4313">
        <f t="shared" si="153"/>
        <v>-1.1805945743786712</v>
      </c>
    </row>
    <row r="4314" spans="1:4">
      <c r="A4314" s="1">
        <v>24531</v>
      </c>
      <c r="B4314">
        <v>86.78</v>
      </c>
      <c r="C4314">
        <f t="shared" si="154"/>
        <v>3.7011334721259244E-3</v>
      </c>
      <c r="D4314">
        <f t="shared" si="153"/>
        <v>0.35793493964463546</v>
      </c>
    </row>
    <row r="4315" spans="1:4">
      <c r="A4315" s="1">
        <v>24532</v>
      </c>
      <c r="B4315">
        <v>87.68</v>
      </c>
      <c r="C4315">
        <f t="shared" si="154"/>
        <v>1.0371053238073354E-2</v>
      </c>
      <c r="D4315">
        <f t="shared" si="153"/>
        <v>1.0622761997127974</v>
      </c>
    </row>
    <row r="4316" spans="1:4">
      <c r="A4316" s="1">
        <v>24533</v>
      </c>
      <c r="B4316">
        <v>88.16</v>
      </c>
      <c r="C4316">
        <f t="shared" si="154"/>
        <v>5.4744525547444087E-3</v>
      </c>
      <c r="D4316">
        <f t="shared" si="153"/>
        <v>0.54519683198870361</v>
      </c>
    </row>
    <row r="4317" spans="1:4">
      <c r="A4317" s="1">
        <v>24534</v>
      </c>
      <c r="B4317">
        <v>88.29</v>
      </c>
      <c r="C4317">
        <f t="shared" si="154"/>
        <v>1.4745916515427593E-3</v>
      </c>
      <c r="D4317">
        <f t="shared" si="153"/>
        <v>0.12281288022939094</v>
      </c>
    </row>
    <row r="4318" spans="1:4">
      <c r="A4318" s="1">
        <v>24537</v>
      </c>
      <c r="B4318">
        <v>88.1</v>
      </c>
      <c r="C4318">
        <f t="shared" si="154"/>
        <v>-2.1519990938952535E-3</v>
      </c>
      <c r="D4318">
        <f t="shared" si="153"/>
        <v>-0.2601538697507732</v>
      </c>
    </row>
    <row r="4319" spans="1:4">
      <c r="A4319" s="1">
        <v>24538</v>
      </c>
      <c r="B4319">
        <v>88.16</v>
      </c>
      <c r="C4319">
        <f t="shared" si="154"/>
        <v>6.810442678774379E-4</v>
      </c>
      <c r="D4319">
        <f t="shared" si="153"/>
        <v>3.9014546254194676E-2</v>
      </c>
    </row>
    <row r="4320" spans="1:4">
      <c r="A4320" s="1">
        <v>24539</v>
      </c>
      <c r="B4320">
        <v>88.27</v>
      </c>
      <c r="C4320">
        <f t="shared" si="154"/>
        <v>1.2477313974591587E-3</v>
      </c>
      <c r="D4320">
        <f t="shared" si="153"/>
        <v>9.885651451170982E-2</v>
      </c>
    </row>
    <row r="4321" spans="1:4">
      <c r="A4321" s="1">
        <v>24540</v>
      </c>
      <c r="B4321">
        <v>88.53</v>
      </c>
      <c r="C4321">
        <f t="shared" si="154"/>
        <v>2.9455081001473335E-3</v>
      </c>
      <c r="D4321">
        <f t="shared" si="153"/>
        <v>0.2781411572132399</v>
      </c>
    </row>
    <row r="4322" spans="1:4">
      <c r="A4322" s="1">
        <v>24541</v>
      </c>
      <c r="B4322">
        <v>88.89</v>
      </c>
      <c r="C4322">
        <f t="shared" si="154"/>
        <v>4.0664181633344567E-3</v>
      </c>
      <c r="D4322">
        <f t="shared" si="153"/>
        <v>0.396508878869957</v>
      </c>
    </row>
    <row r="4323" spans="1:4">
      <c r="A4323" s="1">
        <v>24544</v>
      </c>
      <c r="B4323">
        <v>88.43</v>
      </c>
      <c r="C4323">
        <f t="shared" si="154"/>
        <v>-5.1749353133085131E-3</v>
      </c>
      <c r="D4323">
        <f t="shared" si="153"/>
        <v>-0.5793749069748666</v>
      </c>
    </row>
    <row r="4324" spans="1:4">
      <c r="A4324" s="1">
        <v>24545</v>
      </c>
      <c r="B4324">
        <v>88.35</v>
      </c>
      <c r="C4324">
        <f t="shared" si="154"/>
        <v>-9.0467036073744772E-4</v>
      </c>
      <c r="D4324">
        <f t="shared" si="153"/>
        <v>-0.12843637951694581</v>
      </c>
    </row>
    <row r="4325" spans="1:4">
      <c r="A4325" s="1">
        <v>24546</v>
      </c>
      <c r="B4325">
        <v>89.19</v>
      </c>
      <c r="C4325">
        <f t="shared" si="154"/>
        <v>9.5076400679117538E-3</v>
      </c>
      <c r="D4325">
        <f t="shared" si="153"/>
        <v>0.97110006243212876</v>
      </c>
    </row>
    <row r="4326" spans="1:4">
      <c r="A4326" s="1">
        <v>24547</v>
      </c>
      <c r="B4326">
        <v>90.09</v>
      </c>
      <c r="C4326">
        <f t="shared" si="154"/>
        <v>1.0090817356205917E-2</v>
      </c>
      <c r="D4326">
        <f t="shared" si="153"/>
        <v>1.0326833858444004</v>
      </c>
    </row>
    <row r="4327" spans="1:4">
      <c r="A4327" s="1">
        <v>24548</v>
      </c>
      <c r="B4327">
        <v>90.25</v>
      </c>
      <c r="C4327">
        <f t="shared" si="154"/>
        <v>1.7760017760017381E-3</v>
      </c>
      <c r="D4327">
        <f t="shared" si="153"/>
        <v>0.15464168691797978</v>
      </c>
    </row>
    <row r="4328" spans="1:4">
      <c r="A4328" s="1">
        <v>24551</v>
      </c>
      <c r="B4328">
        <v>90.2</v>
      </c>
      <c r="C4328">
        <f t="shared" si="154"/>
        <v>-5.5401662049858345E-4</v>
      </c>
      <c r="D4328">
        <f t="shared" si="153"/>
        <v>-9.1407463740719341E-2</v>
      </c>
    </row>
    <row r="4329" spans="1:4">
      <c r="A4329" s="1">
        <v>24552</v>
      </c>
      <c r="B4329">
        <v>90</v>
      </c>
      <c r="C4329">
        <f t="shared" si="154"/>
        <v>-2.2172949002217607E-3</v>
      </c>
      <c r="D4329">
        <f t="shared" si="153"/>
        <v>-0.2670490847037294</v>
      </c>
    </row>
    <row r="4330" spans="1:4">
      <c r="A4330" s="1">
        <v>24553</v>
      </c>
      <c r="B4330">
        <v>90.25</v>
      </c>
      <c r="C4330">
        <f t="shared" si="154"/>
        <v>2.7777777777777779E-3</v>
      </c>
      <c r="D4330">
        <f t="shared" si="153"/>
        <v>0.26042889218532156</v>
      </c>
    </row>
    <row r="4331" spans="1:4">
      <c r="A4331" s="1">
        <v>24554</v>
      </c>
      <c r="B4331">
        <v>90.94</v>
      </c>
      <c r="C4331">
        <f t="shared" si="154"/>
        <v>7.6454293628808612E-3</v>
      </c>
      <c r="D4331">
        <f t="shared" si="153"/>
        <v>0.77445124497704065</v>
      </c>
    </row>
    <row r="4332" spans="1:4">
      <c r="A4332" s="1">
        <v>24558</v>
      </c>
      <c r="B4332">
        <v>90.87</v>
      </c>
      <c r="C4332">
        <f t="shared" si="154"/>
        <v>-7.6973828898167123E-4</v>
      </c>
      <c r="D4332">
        <f t="shared" si="153"/>
        <v>-0.11418759860517549</v>
      </c>
    </row>
    <row r="4333" spans="1:4">
      <c r="A4333" s="1">
        <v>24559</v>
      </c>
      <c r="B4333">
        <v>90.91</v>
      </c>
      <c r="C4333">
        <f t="shared" si="154"/>
        <v>4.4018928139091053E-4</v>
      </c>
      <c r="D4333">
        <f t="shared" si="153"/>
        <v>1.3580341551805179E-2</v>
      </c>
    </row>
    <row r="4334" spans="1:4">
      <c r="A4334" s="1">
        <v>24560</v>
      </c>
      <c r="B4334">
        <v>90.73</v>
      </c>
      <c r="C4334">
        <f t="shared" si="154"/>
        <v>-1.9799802001979169E-3</v>
      </c>
      <c r="D4334">
        <f t="shared" si="153"/>
        <v>-0.24198873304839744</v>
      </c>
    </row>
    <row r="4335" spans="1:4">
      <c r="A4335" s="1">
        <v>24561</v>
      </c>
      <c r="B4335">
        <v>90.7</v>
      </c>
      <c r="C4335">
        <f t="shared" si="154"/>
        <v>-3.3065138322496565E-4</v>
      </c>
      <c r="D4335">
        <f t="shared" si="153"/>
        <v>-6.7820170610158478E-2</v>
      </c>
    </row>
    <row r="4336" spans="1:4">
      <c r="A4336" s="1">
        <v>24562</v>
      </c>
      <c r="B4336">
        <v>90.2</v>
      </c>
      <c r="C4336">
        <f t="shared" si="154"/>
        <v>-5.512679162072767E-3</v>
      </c>
      <c r="D4336">
        <f t="shared" si="153"/>
        <v>-0.61504054259965957</v>
      </c>
    </row>
    <row r="4337" spans="1:4">
      <c r="A4337" s="1">
        <v>24565</v>
      </c>
      <c r="B4337">
        <v>89.24</v>
      </c>
      <c r="C4337">
        <f t="shared" si="154"/>
        <v>-1.064301552106439E-2</v>
      </c>
      <c r="D4337">
        <f t="shared" si="153"/>
        <v>-1.1568023182231153</v>
      </c>
    </row>
    <row r="4338" spans="1:4">
      <c r="A4338" s="1">
        <v>24566</v>
      </c>
      <c r="B4338">
        <v>89.22</v>
      </c>
      <c r="C4338">
        <f t="shared" si="154"/>
        <v>-2.241147467502916E-4</v>
      </c>
      <c r="D4338">
        <f t="shared" si="153"/>
        <v>-5.6569938011995162E-2</v>
      </c>
    </row>
    <row r="4339" spans="1:4">
      <c r="A4339" s="1">
        <v>24567</v>
      </c>
      <c r="B4339">
        <v>89.79</v>
      </c>
      <c r="C4339">
        <f t="shared" si="154"/>
        <v>6.3887020847344473E-3</v>
      </c>
      <c r="D4339">
        <f t="shared" si="153"/>
        <v>0.64174127158713701</v>
      </c>
    </row>
    <row r="4340" spans="1:4">
      <c r="A4340" s="1">
        <v>24568</v>
      </c>
      <c r="B4340">
        <v>89.94</v>
      </c>
      <c r="C4340">
        <f t="shared" si="154"/>
        <v>1.6705646508518928E-3</v>
      </c>
      <c r="D4340">
        <f t="shared" si="153"/>
        <v>0.14350756234197634</v>
      </c>
    </row>
    <row r="4341" spans="1:4">
      <c r="A4341" s="1">
        <v>24569</v>
      </c>
      <c r="B4341">
        <v>89.36</v>
      </c>
      <c r="C4341">
        <f t="shared" si="154"/>
        <v>-6.4487436068489919E-3</v>
      </c>
      <c r="D4341">
        <f t="shared" si="153"/>
        <v>-0.71388862978426437</v>
      </c>
    </row>
    <row r="4342" spans="1:4">
      <c r="A4342" s="1">
        <v>24572</v>
      </c>
      <c r="B4342">
        <v>88.24</v>
      </c>
      <c r="C4342">
        <f t="shared" si="154"/>
        <v>-1.2533572068039442E-2</v>
      </c>
      <c r="D4342">
        <f t="shared" si="153"/>
        <v>-1.3564444469522867</v>
      </c>
    </row>
    <row r="4343" spans="1:4">
      <c r="A4343" s="1">
        <v>24573</v>
      </c>
      <c r="B4343">
        <v>88.88</v>
      </c>
      <c r="C4343">
        <f t="shared" si="154"/>
        <v>7.2529465095194992E-3</v>
      </c>
      <c r="D4343">
        <f t="shared" si="153"/>
        <v>0.73300518907348489</v>
      </c>
    </row>
    <row r="4344" spans="1:4">
      <c r="A4344" s="1">
        <v>24574</v>
      </c>
      <c r="B4344">
        <v>88.78</v>
      </c>
      <c r="C4344">
        <f t="shared" si="154"/>
        <v>-1.1251125112510612E-3</v>
      </c>
      <c r="D4344">
        <f t="shared" si="153"/>
        <v>-0.15171499567925567</v>
      </c>
    </row>
    <row r="4345" spans="1:4">
      <c r="A4345" s="1">
        <v>24575</v>
      </c>
      <c r="B4345">
        <v>89.46</v>
      </c>
      <c r="C4345">
        <f t="shared" si="154"/>
        <v>7.6593827438611465E-3</v>
      </c>
      <c r="D4345">
        <f t="shared" si="153"/>
        <v>0.77592471726557422</v>
      </c>
    </row>
    <row r="4346" spans="1:4">
      <c r="A4346" s="1">
        <v>24576</v>
      </c>
      <c r="B4346">
        <v>90.43</v>
      </c>
      <c r="C4346">
        <f t="shared" si="154"/>
        <v>1.0842834786496905E-2</v>
      </c>
      <c r="D4346">
        <f t="shared" si="153"/>
        <v>1.1120961708599841</v>
      </c>
    </row>
    <row r="4347" spans="1:4">
      <c r="A4347" s="1">
        <v>24579</v>
      </c>
      <c r="B4347">
        <v>91.07</v>
      </c>
      <c r="C4347">
        <f t="shared" si="154"/>
        <v>7.0772973570716168E-3</v>
      </c>
      <c r="D4347">
        <f t="shared" si="153"/>
        <v>0.71445669828103631</v>
      </c>
    </row>
    <row r="4348" spans="1:4">
      <c r="A4348" s="1">
        <v>24580</v>
      </c>
      <c r="B4348">
        <v>91.86</v>
      </c>
      <c r="C4348">
        <f t="shared" si="154"/>
        <v>8.6746458767981375E-3</v>
      </c>
      <c r="D4348">
        <f t="shared" si="153"/>
        <v>0.88313615899901388</v>
      </c>
    </row>
    <row r="4349" spans="1:4">
      <c r="A4349" s="1">
        <v>24581</v>
      </c>
      <c r="B4349">
        <v>91.94</v>
      </c>
      <c r="C4349">
        <f t="shared" si="154"/>
        <v>8.7089048552142713E-4</v>
      </c>
      <c r="D4349">
        <f t="shared" si="153"/>
        <v>5.9062242305535126E-2</v>
      </c>
    </row>
    <row r="4350" spans="1:4">
      <c r="A4350" s="1">
        <v>24582</v>
      </c>
      <c r="B4350">
        <v>92.11</v>
      </c>
      <c r="C4350">
        <f t="shared" si="154"/>
        <v>1.8490319773765685E-3</v>
      </c>
      <c r="D4350">
        <f t="shared" si="153"/>
        <v>0.16235365135899027</v>
      </c>
    </row>
    <row r="4351" spans="1:4">
      <c r="A4351" s="1">
        <v>24583</v>
      </c>
      <c r="B4351">
        <v>92.3</v>
      </c>
      <c r="C4351">
        <f t="shared" si="154"/>
        <v>2.0627510585169658E-3</v>
      </c>
      <c r="D4351">
        <f t="shared" si="153"/>
        <v>0.18492231368077083</v>
      </c>
    </row>
    <row r="4352" spans="1:4">
      <c r="A4352" s="1">
        <v>24586</v>
      </c>
      <c r="B4352">
        <v>92.62</v>
      </c>
      <c r="C4352">
        <f t="shared" si="154"/>
        <v>3.4669555796317162E-3</v>
      </c>
      <c r="D4352">
        <f t="shared" si="153"/>
        <v>0.33320583379818036</v>
      </c>
    </row>
    <row r="4353" spans="1:4">
      <c r="A4353" s="1">
        <v>24587</v>
      </c>
      <c r="B4353">
        <v>93.11</v>
      </c>
      <c r="C4353">
        <f t="shared" si="154"/>
        <v>5.290434031526613E-3</v>
      </c>
      <c r="D4353">
        <f t="shared" si="153"/>
        <v>0.52576453848783955</v>
      </c>
    </row>
    <row r="4354" spans="1:4">
      <c r="A4354" s="1">
        <v>24588</v>
      </c>
      <c r="B4354">
        <v>93.02</v>
      </c>
      <c r="C4354">
        <f t="shared" si="154"/>
        <v>-9.6659864676193117E-4</v>
      </c>
      <c r="D4354">
        <f t="shared" si="153"/>
        <v>-0.13497598547068404</v>
      </c>
    </row>
    <row r="4355" spans="1:4">
      <c r="A4355" s="1">
        <v>24589</v>
      </c>
      <c r="B4355">
        <v>93.81</v>
      </c>
      <c r="C4355">
        <f t="shared" si="154"/>
        <v>8.4927972479037443E-3</v>
      </c>
      <c r="D4355">
        <f t="shared" ref="D4355:D4418" si="155">(C4355-avg)/sd</f>
        <v>0.8639330056011183</v>
      </c>
    </row>
    <row r="4356" spans="1:4">
      <c r="A4356" s="1">
        <v>24590</v>
      </c>
      <c r="B4356">
        <v>94.01</v>
      </c>
      <c r="C4356">
        <f t="shared" ref="C4356:C4419" si="156">(B4356-B4355)/B4355</f>
        <v>2.1319688732544806E-3</v>
      </c>
      <c r="D4356">
        <f t="shared" si="155"/>
        <v>0.192231691388774</v>
      </c>
    </row>
    <row r="4357" spans="1:4">
      <c r="A4357" s="1">
        <v>24593</v>
      </c>
      <c r="B4357">
        <v>93.84</v>
      </c>
      <c r="C4357">
        <f t="shared" si="156"/>
        <v>-1.8083182640144845E-3</v>
      </c>
      <c r="D4357">
        <f t="shared" si="155"/>
        <v>-0.22386129093815418</v>
      </c>
    </row>
    <row r="4358" spans="1:4">
      <c r="A4358" s="1">
        <v>24594</v>
      </c>
      <c r="B4358">
        <v>93.67</v>
      </c>
      <c r="C4358">
        <f t="shared" si="156"/>
        <v>-1.8115942028985687E-3</v>
      </c>
      <c r="D4358">
        <f t="shared" si="155"/>
        <v>-0.22420722897076775</v>
      </c>
    </row>
    <row r="4359" spans="1:4">
      <c r="A4359" s="1">
        <v>24595</v>
      </c>
      <c r="B4359">
        <v>93.91</v>
      </c>
      <c r="C4359">
        <f t="shared" si="156"/>
        <v>2.5621863990604771E-3</v>
      </c>
      <c r="D4359">
        <f t="shared" si="155"/>
        <v>0.23766251587584486</v>
      </c>
    </row>
    <row r="4360" spans="1:4">
      <c r="A4360" s="1">
        <v>24596</v>
      </c>
      <c r="B4360">
        <v>94.32</v>
      </c>
      <c r="C4360">
        <f t="shared" si="156"/>
        <v>4.3658822276647496E-3</v>
      </c>
      <c r="D4360">
        <f t="shared" si="155"/>
        <v>0.42813218227045458</v>
      </c>
    </row>
    <row r="4361" spans="1:4">
      <c r="A4361" s="1">
        <v>24597</v>
      </c>
      <c r="B4361">
        <v>94.44</v>
      </c>
      <c r="C4361">
        <f t="shared" si="156"/>
        <v>1.2722646310433052E-3</v>
      </c>
      <c r="D4361">
        <f t="shared" si="155"/>
        <v>0.10144721563894442</v>
      </c>
    </row>
    <row r="4362" spans="1:4">
      <c r="A4362" s="1">
        <v>24600</v>
      </c>
      <c r="B4362">
        <v>94.58</v>
      </c>
      <c r="C4362">
        <f t="shared" si="156"/>
        <v>1.4824227022448176E-3</v>
      </c>
      <c r="D4362">
        <f t="shared" si="155"/>
        <v>0.12363983652162482</v>
      </c>
    </row>
    <row r="4363" spans="1:4">
      <c r="A4363" s="1">
        <v>24601</v>
      </c>
      <c r="B4363">
        <v>93.6</v>
      </c>
      <c r="C4363">
        <f t="shared" si="156"/>
        <v>-1.0361598646648382E-2</v>
      </c>
      <c r="D4363">
        <f t="shared" si="155"/>
        <v>-1.1270847919430282</v>
      </c>
    </row>
    <row r="4364" spans="1:4">
      <c r="A4364" s="1">
        <v>24602</v>
      </c>
      <c r="B4364">
        <v>93.35</v>
      </c>
      <c r="C4364">
        <f t="shared" si="156"/>
        <v>-2.670940170940171E-3</v>
      </c>
      <c r="D4364">
        <f t="shared" si="155"/>
        <v>-0.31495387109007372</v>
      </c>
    </row>
    <row r="4365" spans="1:4">
      <c r="A4365" s="1">
        <v>24603</v>
      </c>
      <c r="B4365">
        <v>93.75</v>
      </c>
      <c r="C4365">
        <f t="shared" si="156"/>
        <v>4.2849491162293063E-3</v>
      </c>
      <c r="D4365">
        <f t="shared" si="155"/>
        <v>0.41958567321337298</v>
      </c>
    </row>
    <row r="4366" spans="1:4">
      <c r="A4366" s="1">
        <v>24604</v>
      </c>
      <c r="B4366">
        <v>93.48</v>
      </c>
      <c r="C4366">
        <f t="shared" si="156"/>
        <v>-2.8799999999999577E-3</v>
      </c>
      <c r="D4366">
        <f t="shared" si="155"/>
        <v>-0.3370305179758985</v>
      </c>
    </row>
    <row r="4367" spans="1:4">
      <c r="A4367" s="1">
        <v>24607</v>
      </c>
      <c r="B4367">
        <v>92.71</v>
      </c>
      <c r="C4367">
        <f t="shared" si="156"/>
        <v>-8.2370560547711837E-3</v>
      </c>
      <c r="D4367">
        <f t="shared" si="155"/>
        <v>-0.90273381640791139</v>
      </c>
    </row>
    <row r="4368" spans="1:4">
      <c r="A4368" s="1">
        <v>24608</v>
      </c>
      <c r="B4368">
        <v>93.14</v>
      </c>
      <c r="C4368">
        <f t="shared" si="156"/>
        <v>4.6381188652789007E-3</v>
      </c>
      <c r="D4368">
        <f t="shared" si="155"/>
        <v>0.45688027866477965</v>
      </c>
    </row>
    <row r="4369" spans="1:4">
      <c r="A4369" s="1">
        <v>24609</v>
      </c>
      <c r="B4369">
        <v>92.78</v>
      </c>
      <c r="C4369">
        <f t="shared" si="156"/>
        <v>-3.8651492377066721E-3</v>
      </c>
      <c r="D4369">
        <f t="shared" si="155"/>
        <v>-0.44106194260923132</v>
      </c>
    </row>
    <row r="4370" spans="1:4">
      <c r="A4370" s="1">
        <v>24610</v>
      </c>
      <c r="B4370">
        <v>92.53</v>
      </c>
      <c r="C4370">
        <f t="shared" si="156"/>
        <v>-2.6945462384134512E-3</v>
      </c>
      <c r="D4370">
        <f t="shared" si="155"/>
        <v>-0.31744666379115993</v>
      </c>
    </row>
    <row r="4371" spans="1:4">
      <c r="A4371" s="1">
        <v>24611</v>
      </c>
      <c r="B4371">
        <v>92.07</v>
      </c>
      <c r="C4371">
        <f t="shared" si="156"/>
        <v>-4.9713606397925854E-3</v>
      </c>
      <c r="D4371">
        <f t="shared" si="155"/>
        <v>-0.55787749064997838</v>
      </c>
    </row>
    <row r="4372" spans="1:4">
      <c r="A4372" s="1">
        <v>24614</v>
      </c>
      <c r="B4372">
        <v>91.67</v>
      </c>
      <c r="C4372">
        <f t="shared" si="156"/>
        <v>-4.3445204735526391E-3</v>
      </c>
      <c r="D4372">
        <f t="shared" si="155"/>
        <v>-0.49168338216836521</v>
      </c>
    </row>
    <row r="4373" spans="1:4">
      <c r="A4373" s="1">
        <v>24615</v>
      </c>
      <c r="B4373">
        <v>91.23</v>
      </c>
      <c r="C4373">
        <f t="shared" si="156"/>
        <v>-4.7998254608923067E-3</v>
      </c>
      <c r="D4373">
        <f t="shared" si="155"/>
        <v>-0.53976343406574923</v>
      </c>
    </row>
    <row r="4374" spans="1:4">
      <c r="A4374" s="1">
        <v>24616</v>
      </c>
      <c r="B4374">
        <v>90.18</v>
      </c>
      <c r="C4374">
        <f t="shared" si="156"/>
        <v>-1.1509371917132491E-2</v>
      </c>
      <c r="D4374">
        <f t="shared" si="155"/>
        <v>-1.2482892591590593</v>
      </c>
    </row>
    <row r="4375" spans="1:4">
      <c r="A4375" s="1">
        <v>24617</v>
      </c>
      <c r="B4375">
        <v>91.19</v>
      </c>
      <c r="C4375">
        <f t="shared" si="156"/>
        <v>1.1199822577067984E-2</v>
      </c>
      <c r="D4375">
        <f t="shared" si="155"/>
        <v>1.1497939601982441</v>
      </c>
    </row>
    <row r="4376" spans="1:4">
      <c r="A4376" s="1">
        <v>24618</v>
      </c>
      <c r="B4376">
        <v>90.98</v>
      </c>
      <c r="C4376">
        <f t="shared" si="156"/>
        <v>-2.3028840881674935E-3</v>
      </c>
      <c r="D4376">
        <f t="shared" si="155"/>
        <v>-0.27608727385762022</v>
      </c>
    </row>
    <row r="4377" spans="1:4">
      <c r="A4377" s="1">
        <v>24621</v>
      </c>
      <c r="B4377">
        <v>90.49</v>
      </c>
      <c r="C4377">
        <f t="shared" si="156"/>
        <v>-5.3857990767202579E-3</v>
      </c>
      <c r="D4377">
        <f t="shared" si="155"/>
        <v>-0.6016420487150711</v>
      </c>
    </row>
    <row r="4378" spans="1:4">
      <c r="A4378" s="1">
        <v>24623</v>
      </c>
      <c r="B4378">
        <v>89.08</v>
      </c>
      <c r="C4378">
        <f t="shared" si="156"/>
        <v>-1.5581832246657053E-2</v>
      </c>
      <c r="D4378">
        <f t="shared" si="155"/>
        <v>-1.6783396856603277</v>
      </c>
    </row>
    <row r="4379" spans="1:4">
      <c r="A4379" s="1">
        <v>24624</v>
      </c>
      <c r="B4379">
        <v>90.23</v>
      </c>
      <c r="C4379">
        <f t="shared" si="156"/>
        <v>1.2909744050291936E-2</v>
      </c>
      <c r="D4379">
        <f t="shared" si="155"/>
        <v>1.3303610865401443</v>
      </c>
    </row>
    <row r="4380" spans="1:4">
      <c r="A4380" s="1">
        <v>24625</v>
      </c>
      <c r="B4380">
        <v>89.79</v>
      </c>
      <c r="C4380">
        <f t="shared" si="156"/>
        <v>-4.8764269090102817E-3</v>
      </c>
      <c r="D4380">
        <f t="shared" si="155"/>
        <v>-0.54785252094891002</v>
      </c>
    </row>
    <row r="4381" spans="1:4">
      <c r="A4381" s="1">
        <v>24628</v>
      </c>
      <c r="B4381">
        <v>88.43</v>
      </c>
      <c r="C4381">
        <f t="shared" si="156"/>
        <v>-1.5146452834391351E-2</v>
      </c>
      <c r="D4381">
        <f t="shared" si="155"/>
        <v>-1.6323637677177223</v>
      </c>
    </row>
    <row r="4382" spans="1:4">
      <c r="A4382" s="1">
        <v>24629</v>
      </c>
      <c r="B4382">
        <v>90.23</v>
      </c>
      <c r="C4382">
        <f t="shared" si="156"/>
        <v>2.0355083116589359E-2</v>
      </c>
      <c r="D4382">
        <f t="shared" si="155"/>
        <v>2.1165863611474385</v>
      </c>
    </row>
    <row r="4383" spans="1:4">
      <c r="A4383" s="1">
        <v>24630</v>
      </c>
      <c r="B4383">
        <v>90.91</v>
      </c>
      <c r="C4383">
        <f t="shared" si="156"/>
        <v>7.5362961321067557E-3</v>
      </c>
      <c r="D4383">
        <f t="shared" si="155"/>
        <v>0.76292681290348274</v>
      </c>
    </row>
    <row r="4384" spans="1:4">
      <c r="A4384" s="1">
        <v>24631</v>
      </c>
      <c r="B4384">
        <v>91.4</v>
      </c>
      <c r="C4384">
        <f t="shared" si="156"/>
        <v>5.3899461005390949E-3</v>
      </c>
      <c r="D4384">
        <f t="shared" si="155"/>
        <v>0.53627297914976191</v>
      </c>
    </row>
    <row r="4385" spans="1:4">
      <c r="A4385" s="1">
        <v>24632</v>
      </c>
      <c r="B4385">
        <v>91.56</v>
      </c>
      <c r="C4385">
        <f t="shared" si="156"/>
        <v>1.7505470459518225E-3</v>
      </c>
      <c r="D4385">
        <f t="shared" si="155"/>
        <v>0.15195367607719185</v>
      </c>
    </row>
    <row r="4386" spans="1:4">
      <c r="A4386" s="1">
        <v>24635</v>
      </c>
      <c r="B4386">
        <v>92.04</v>
      </c>
      <c r="C4386">
        <f t="shared" si="156"/>
        <v>5.2424639580603317E-3</v>
      </c>
      <c r="D4386">
        <f t="shared" si="155"/>
        <v>0.52069891503562049</v>
      </c>
    </row>
    <row r="4387" spans="1:4">
      <c r="A4387" s="1">
        <v>24636</v>
      </c>
      <c r="B4387">
        <v>92.62</v>
      </c>
      <c r="C4387">
        <f t="shared" si="156"/>
        <v>6.3016079965232319E-3</v>
      </c>
      <c r="D4387">
        <f t="shared" si="155"/>
        <v>0.63254416547675163</v>
      </c>
    </row>
    <row r="4388" spans="1:4">
      <c r="A4388" s="1">
        <v>24637</v>
      </c>
      <c r="B4388">
        <v>92.4</v>
      </c>
      <c r="C4388">
        <f t="shared" si="156"/>
        <v>-2.3752969121140018E-3</v>
      </c>
      <c r="D4388">
        <f t="shared" si="155"/>
        <v>-0.28373404345205666</v>
      </c>
    </row>
    <row r="4389" spans="1:4">
      <c r="A4389" s="1">
        <v>24638</v>
      </c>
      <c r="B4389">
        <v>92.49</v>
      </c>
      <c r="C4389">
        <f t="shared" si="156"/>
        <v>9.7402597402585704E-4</v>
      </c>
      <c r="D4389">
        <f t="shared" si="155"/>
        <v>6.9953314834147032E-2</v>
      </c>
    </row>
    <row r="4390" spans="1:4">
      <c r="A4390" s="1">
        <v>24639</v>
      </c>
      <c r="B4390">
        <v>92.54</v>
      </c>
      <c r="C4390">
        <f t="shared" si="156"/>
        <v>5.405989836740336E-4</v>
      </c>
      <c r="D4390">
        <f t="shared" si="155"/>
        <v>2.4183571981986833E-2</v>
      </c>
    </row>
    <row r="4391" spans="1:4">
      <c r="A4391" s="1">
        <v>24642</v>
      </c>
      <c r="B4391">
        <v>92.51</v>
      </c>
      <c r="C4391">
        <f t="shared" si="156"/>
        <v>-3.2418413658959514E-4</v>
      </c>
      <c r="D4391">
        <f t="shared" si="155"/>
        <v>-6.71372315637873E-2</v>
      </c>
    </row>
    <row r="4392" spans="1:4">
      <c r="A4392" s="1">
        <v>24643</v>
      </c>
      <c r="B4392">
        <v>92.48</v>
      </c>
      <c r="C4392">
        <f t="shared" si="156"/>
        <v>-3.2428926602530683E-4</v>
      </c>
      <c r="D4392">
        <f t="shared" si="155"/>
        <v>-6.7148333196463211E-2</v>
      </c>
    </row>
    <row r="4393" spans="1:4">
      <c r="A4393" s="1">
        <v>24644</v>
      </c>
      <c r="B4393">
        <v>92.2</v>
      </c>
      <c r="C4393">
        <f t="shared" si="156"/>
        <v>-3.0276816608996661E-3</v>
      </c>
      <c r="D4393">
        <f t="shared" si="155"/>
        <v>-0.35262565116747213</v>
      </c>
    </row>
    <row r="4394" spans="1:4">
      <c r="A4394" s="1">
        <v>24645</v>
      </c>
      <c r="B4394">
        <v>91.97</v>
      </c>
      <c r="C4394">
        <f t="shared" si="156"/>
        <v>-2.4945770065076351E-3</v>
      </c>
      <c r="D4394">
        <f t="shared" si="155"/>
        <v>-0.29632998087475027</v>
      </c>
    </row>
    <row r="4395" spans="1:4">
      <c r="A4395" s="1">
        <v>24646</v>
      </c>
      <c r="B4395">
        <v>92</v>
      </c>
      <c r="C4395">
        <f t="shared" si="156"/>
        <v>3.26193323909983E-4</v>
      </c>
      <c r="D4395">
        <f t="shared" si="155"/>
        <v>1.5424071909279006E-3</v>
      </c>
    </row>
    <row r="4396" spans="1:4">
      <c r="A4396" s="1">
        <v>24649</v>
      </c>
      <c r="B4396">
        <v>91.64</v>
      </c>
      <c r="C4396">
        <f t="shared" si="156"/>
        <v>-3.9130434782608638E-3</v>
      </c>
      <c r="D4396">
        <f t="shared" si="155"/>
        <v>-0.44611955813171056</v>
      </c>
    </row>
    <row r="4397" spans="1:4">
      <c r="A4397" s="1">
        <v>24650</v>
      </c>
      <c r="B4397">
        <v>91.3</v>
      </c>
      <c r="C4397">
        <f t="shared" si="156"/>
        <v>-3.7101702313400635E-3</v>
      </c>
      <c r="D4397">
        <f t="shared" si="155"/>
        <v>-0.42469621221684123</v>
      </c>
    </row>
    <row r="4398" spans="1:4">
      <c r="A4398" s="1">
        <v>24651</v>
      </c>
      <c r="B4398">
        <v>91.31</v>
      </c>
      <c r="C4398">
        <f t="shared" si="156"/>
        <v>1.0952902519173183E-4</v>
      </c>
      <c r="D4398">
        <f t="shared" si="155"/>
        <v>-2.1337269105945928E-2</v>
      </c>
    </row>
    <row r="4399" spans="1:4">
      <c r="A4399" s="1">
        <v>24652</v>
      </c>
      <c r="B4399">
        <v>90.85</v>
      </c>
      <c r="C4399">
        <f t="shared" si="156"/>
        <v>-5.0377833753149481E-3</v>
      </c>
      <c r="D4399">
        <f t="shared" si="155"/>
        <v>-0.56489170894295504</v>
      </c>
    </row>
    <row r="4400" spans="1:4">
      <c r="A4400" s="1">
        <v>24653</v>
      </c>
      <c r="B4400">
        <v>90.64</v>
      </c>
      <c r="C4400">
        <f t="shared" si="156"/>
        <v>-2.3115024766097278E-3</v>
      </c>
      <c r="D4400">
        <f t="shared" si="155"/>
        <v>-0.27699737274758757</v>
      </c>
    </row>
    <row r="4401" spans="1:4">
      <c r="A4401" s="1">
        <v>24656</v>
      </c>
      <c r="B4401">
        <v>90.91</v>
      </c>
      <c r="C4401">
        <f t="shared" si="156"/>
        <v>2.9788172992056047E-3</v>
      </c>
      <c r="D4401">
        <f t="shared" si="155"/>
        <v>0.28165859731144643</v>
      </c>
    </row>
    <row r="4402" spans="1:4">
      <c r="A4402" s="1">
        <v>24658</v>
      </c>
      <c r="B4402">
        <v>91.36</v>
      </c>
      <c r="C4402">
        <f t="shared" si="156"/>
        <v>4.9499505004950263E-3</v>
      </c>
      <c r="D4402">
        <f t="shared" si="155"/>
        <v>0.48980959334687957</v>
      </c>
    </row>
    <row r="4403" spans="1:4">
      <c r="A4403" s="1">
        <v>24659</v>
      </c>
      <c r="B4403">
        <v>91.32</v>
      </c>
      <c r="C4403">
        <f t="shared" si="156"/>
        <v>-4.3782837127852731E-4</v>
      </c>
      <c r="D4403">
        <f t="shared" si="155"/>
        <v>-7.9138024117386241E-2</v>
      </c>
    </row>
    <row r="4404" spans="1:4">
      <c r="A4404" s="1">
        <v>24660</v>
      </c>
      <c r="B4404">
        <v>91.69</v>
      </c>
      <c r="C4404">
        <f t="shared" si="156"/>
        <v>4.0516863775734184E-3</v>
      </c>
      <c r="D4404">
        <f t="shared" si="155"/>
        <v>0.39495320730116862</v>
      </c>
    </row>
    <row r="4405" spans="1:4">
      <c r="A4405" s="1">
        <v>24663</v>
      </c>
      <c r="B4405">
        <v>92.05</v>
      </c>
      <c r="C4405">
        <f t="shared" si="156"/>
        <v>3.926273312247785E-3</v>
      </c>
      <c r="D4405">
        <f t="shared" si="155"/>
        <v>0.38170963023275395</v>
      </c>
    </row>
    <row r="4406" spans="1:4">
      <c r="A4406" s="1">
        <v>24664</v>
      </c>
      <c r="B4406">
        <v>92.48</v>
      </c>
      <c r="C4406">
        <f t="shared" si="156"/>
        <v>4.6713742531233771E-3</v>
      </c>
      <c r="D4406">
        <f t="shared" si="155"/>
        <v>0.46039203631710079</v>
      </c>
    </row>
    <row r="4407" spans="1:4">
      <c r="A4407" s="1">
        <v>24665</v>
      </c>
      <c r="B4407">
        <v>92.4</v>
      </c>
      <c r="C4407">
        <f t="shared" si="156"/>
        <v>-8.6505190311416834E-4</v>
      </c>
      <c r="D4407">
        <f t="shared" si="155"/>
        <v>-0.12425268385889558</v>
      </c>
    </row>
    <row r="4408" spans="1:4">
      <c r="A4408" s="1">
        <v>24666</v>
      </c>
      <c r="B4408">
        <v>92.42</v>
      </c>
      <c r="C4408">
        <f t="shared" si="156"/>
        <v>2.1645021645017338E-4</v>
      </c>
      <c r="D4408">
        <f t="shared" si="155"/>
        <v>-1.0046427653333285E-2</v>
      </c>
    </row>
    <row r="4409" spans="1:4">
      <c r="A4409" s="1">
        <v>24667</v>
      </c>
      <c r="B4409">
        <v>92.74</v>
      </c>
      <c r="C4409">
        <f t="shared" si="156"/>
        <v>3.4624540142825489E-3</v>
      </c>
      <c r="D4409">
        <f t="shared" si="155"/>
        <v>0.3327304700274647</v>
      </c>
    </row>
    <row r="4410" spans="1:4">
      <c r="A4410" s="1">
        <v>24670</v>
      </c>
      <c r="B4410">
        <v>92.75</v>
      </c>
      <c r="C4410">
        <f t="shared" si="156"/>
        <v>1.0782833728709421E-4</v>
      </c>
      <c r="D4410">
        <f t="shared" si="155"/>
        <v>-2.151686117058375E-2</v>
      </c>
    </row>
    <row r="4411" spans="1:4">
      <c r="A4411" s="1">
        <v>24671</v>
      </c>
      <c r="B4411">
        <v>93.5</v>
      </c>
      <c r="C4411">
        <f t="shared" si="156"/>
        <v>8.0862533692722376E-3</v>
      </c>
      <c r="D4411">
        <f t="shared" si="155"/>
        <v>0.8210021102086098</v>
      </c>
    </row>
    <row r="4412" spans="1:4">
      <c r="A4412" s="1">
        <v>24672</v>
      </c>
      <c r="B4412">
        <v>93.65</v>
      </c>
      <c r="C4412">
        <f t="shared" si="156"/>
        <v>1.6042780748663709E-3</v>
      </c>
      <c r="D4412">
        <f t="shared" si="155"/>
        <v>0.13650772244980716</v>
      </c>
    </row>
    <row r="4413" spans="1:4">
      <c r="A4413" s="1">
        <v>24673</v>
      </c>
      <c r="B4413">
        <v>93.85</v>
      </c>
      <c r="C4413">
        <f t="shared" si="156"/>
        <v>2.1356113187398678E-3</v>
      </c>
      <c r="D4413">
        <f t="shared" si="155"/>
        <v>0.19261633239390349</v>
      </c>
    </row>
    <row r="4414" spans="1:4">
      <c r="A4414" s="1">
        <v>24674</v>
      </c>
      <c r="B4414">
        <v>94.04</v>
      </c>
      <c r="C4414">
        <f t="shared" si="156"/>
        <v>2.0245071923283104E-3</v>
      </c>
      <c r="D4414">
        <f t="shared" si="155"/>
        <v>0.18088377441097059</v>
      </c>
    </row>
    <row r="4415" spans="1:4">
      <c r="A4415" s="1">
        <v>24677</v>
      </c>
      <c r="B4415">
        <v>93.73</v>
      </c>
      <c r="C4415">
        <f t="shared" si="156"/>
        <v>-3.2964695874096368E-3</v>
      </c>
      <c r="D4415">
        <f t="shared" si="155"/>
        <v>-0.38100956484146958</v>
      </c>
    </row>
    <row r="4416" spans="1:4">
      <c r="A4416" s="1">
        <v>24678</v>
      </c>
      <c r="B4416">
        <v>93.24</v>
      </c>
      <c r="C4416">
        <f t="shared" si="156"/>
        <v>-5.2277819268111494E-3</v>
      </c>
      <c r="D4416">
        <f t="shared" si="155"/>
        <v>-0.58495549139730829</v>
      </c>
    </row>
    <row r="4417" spans="1:4">
      <c r="A4417" s="1">
        <v>24679</v>
      </c>
      <c r="B4417">
        <v>94.06</v>
      </c>
      <c r="C4417">
        <f t="shared" si="156"/>
        <v>8.7945087945088748E-3</v>
      </c>
      <c r="D4417">
        <f t="shared" si="155"/>
        <v>0.89579364236588233</v>
      </c>
    </row>
    <row r="4418" spans="1:4">
      <c r="A4418" s="1">
        <v>24680</v>
      </c>
      <c r="B4418">
        <v>94.35</v>
      </c>
      <c r="C4418">
        <f t="shared" si="156"/>
        <v>3.083138422283564E-3</v>
      </c>
      <c r="D4418">
        <f t="shared" si="155"/>
        <v>0.29267487244800627</v>
      </c>
    </row>
    <row r="4419" spans="1:4">
      <c r="A4419" s="1">
        <v>24681</v>
      </c>
      <c r="B4419">
        <v>94.49</v>
      </c>
      <c r="C4419">
        <f t="shared" si="156"/>
        <v>1.4838367779544312E-3</v>
      </c>
      <c r="D4419">
        <f t="shared" ref="D4419:D4482" si="157">(C4419-avg)/sd</f>
        <v>0.12378916243589233</v>
      </c>
    </row>
    <row r="4420" spans="1:4">
      <c r="A4420" s="1">
        <v>24684</v>
      </c>
      <c r="B4420">
        <v>94.75</v>
      </c>
      <c r="C4420">
        <f t="shared" ref="C4420:C4483" si="158">(B4420-B4419)/B4419</f>
        <v>2.7516139273997793E-3</v>
      </c>
      <c r="D4420">
        <f t="shared" si="157"/>
        <v>0.25766599847892979</v>
      </c>
    </row>
    <row r="4421" spans="1:4">
      <c r="A4421" s="1">
        <v>24685</v>
      </c>
      <c r="B4421">
        <v>95.37</v>
      </c>
      <c r="C4421">
        <f t="shared" si="158"/>
        <v>6.5435356200528186E-3</v>
      </c>
      <c r="D4421">
        <f t="shared" si="157"/>
        <v>0.65809164028628109</v>
      </c>
    </row>
    <row r="4422" spans="1:4">
      <c r="A4422" s="1">
        <v>24686</v>
      </c>
      <c r="B4422">
        <v>95.78</v>
      </c>
      <c r="C4422">
        <f t="shared" si="158"/>
        <v>4.2990458215371348E-3</v>
      </c>
      <c r="D4422">
        <f t="shared" si="157"/>
        <v>0.42107428050217671</v>
      </c>
    </row>
    <row r="4423" spans="1:4">
      <c r="A4423" s="1">
        <v>24687</v>
      </c>
      <c r="B4423">
        <v>95.66</v>
      </c>
      <c r="C4423">
        <f t="shared" si="158"/>
        <v>-1.2528711630821106E-3</v>
      </c>
      <c r="D4423">
        <f t="shared" si="157"/>
        <v>-0.16520626588533871</v>
      </c>
    </row>
    <row r="4424" spans="1:4">
      <c r="A4424" s="1">
        <v>24688</v>
      </c>
      <c r="B4424">
        <v>95.83</v>
      </c>
      <c r="C4424">
        <f t="shared" si="158"/>
        <v>1.7771273259460769E-3</v>
      </c>
      <c r="D4424">
        <f t="shared" si="157"/>
        <v>0.15476054460950894</v>
      </c>
    </row>
    <row r="4425" spans="1:4">
      <c r="A4425" s="1">
        <v>24691</v>
      </c>
      <c r="B4425">
        <v>95.58</v>
      </c>
      <c r="C4425">
        <f t="shared" si="158"/>
        <v>-2.6087863925701765E-3</v>
      </c>
      <c r="D4425">
        <f t="shared" si="157"/>
        <v>-0.3083904532212981</v>
      </c>
    </row>
    <row r="4426" spans="1:4">
      <c r="A4426" s="1">
        <v>24692</v>
      </c>
      <c r="B4426">
        <v>95.69</v>
      </c>
      <c r="C4426">
        <f t="shared" si="158"/>
        <v>1.1508683825067947E-3</v>
      </c>
      <c r="D4426">
        <f t="shared" si="157"/>
        <v>8.8627813058078722E-2</v>
      </c>
    </row>
    <row r="4427" spans="1:4">
      <c r="A4427" s="1">
        <v>24693</v>
      </c>
      <c r="B4427">
        <v>95.78</v>
      </c>
      <c r="C4427">
        <f t="shared" si="158"/>
        <v>9.4053715121750875E-4</v>
      </c>
      <c r="D4427">
        <f t="shared" si="157"/>
        <v>6.6416906528989406E-2</v>
      </c>
    </row>
    <row r="4428" spans="1:4">
      <c r="A4428" s="1">
        <v>24694</v>
      </c>
      <c r="B4428">
        <v>95.53</v>
      </c>
      <c r="C4428">
        <f t="shared" si="158"/>
        <v>-2.6101482564209648E-3</v>
      </c>
      <c r="D4428">
        <f t="shared" si="157"/>
        <v>-0.30853426558102132</v>
      </c>
    </row>
    <row r="4429" spans="1:4">
      <c r="A4429" s="1">
        <v>24695</v>
      </c>
      <c r="B4429">
        <v>95.15</v>
      </c>
      <c r="C4429">
        <f t="shared" si="158"/>
        <v>-3.9778080184234843E-3</v>
      </c>
      <c r="D4429">
        <f t="shared" si="157"/>
        <v>-0.45295867155834646</v>
      </c>
    </row>
    <row r="4430" spans="1:4">
      <c r="A4430" s="1">
        <v>24698</v>
      </c>
      <c r="B4430">
        <v>94.64</v>
      </c>
      <c r="C4430">
        <f t="shared" si="158"/>
        <v>-5.3599579611140835E-3</v>
      </c>
      <c r="D4430">
        <f t="shared" si="157"/>
        <v>-0.59891323569088106</v>
      </c>
    </row>
    <row r="4431" spans="1:4">
      <c r="A4431" s="1">
        <v>24699</v>
      </c>
      <c r="B4431">
        <v>94.77</v>
      </c>
      <c r="C4431">
        <f t="shared" si="158"/>
        <v>1.3736263736263256E-3</v>
      </c>
      <c r="D4431">
        <f t="shared" si="157"/>
        <v>0.112150981201181</v>
      </c>
    </row>
    <row r="4432" spans="1:4">
      <c r="A4432" s="1">
        <v>24700</v>
      </c>
      <c r="B4432">
        <v>94.55</v>
      </c>
      <c r="C4432">
        <f t="shared" si="158"/>
        <v>-2.3214097288171242E-3</v>
      </c>
      <c r="D4432">
        <f t="shared" si="157"/>
        <v>-0.27804357521305001</v>
      </c>
    </row>
    <row r="4433" spans="1:4">
      <c r="A4433" s="1">
        <v>24701</v>
      </c>
      <c r="B4433">
        <v>94.63</v>
      </c>
      <c r="C4433">
        <f t="shared" si="158"/>
        <v>8.4611316763615334E-4</v>
      </c>
      <c r="D4433">
        <f t="shared" si="157"/>
        <v>5.6445765959069777E-2</v>
      </c>
    </row>
    <row r="4434" spans="1:4">
      <c r="A4434" s="1">
        <v>24702</v>
      </c>
      <c r="B4434">
        <v>94.78</v>
      </c>
      <c r="C4434">
        <f t="shared" si="158"/>
        <v>1.5851209975695413E-3</v>
      </c>
      <c r="D4434">
        <f t="shared" si="157"/>
        <v>0.13448474159906892</v>
      </c>
    </row>
    <row r="4435" spans="1:4">
      <c r="A4435" s="1">
        <v>24705</v>
      </c>
      <c r="B4435">
        <v>94.25</v>
      </c>
      <c r="C4435">
        <f t="shared" si="158"/>
        <v>-5.5918970246887651E-3</v>
      </c>
      <c r="D4435">
        <f t="shared" si="157"/>
        <v>-0.62340592196444911</v>
      </c>
    </row>
    <row r="4436" spans="1:4">
      <c r="A4436" s="1">
        <v>24706</v>
      </c>
      <c r="B4436">
        <v>93.74</v>
      </c>
      <c r="C4436">
        <f t="shared" si="158"/>
        <v>-5.4111405835544305E-3</v>
      </c>
      <c r="D4436">
        <f t="shared" si="157"/>
        <v>-0.60431810322276303</v>
      </c>
    </row>
    <row r="4437" spans="1:4">
      <c r="A4437" s="1">
        <v>24707</v>
      </c>
      <c r="B4437">
        <v>93.61</v>
      </c>
      <c r="C4437">
        <f t="shared" si="158"/>
        <v>-1.3868145935565976E-3</v>
      </c>
      <c r="D4437">
        <f t="shared" si="157"/>
        <v>-0.17935064661386035</v>
      </c>
    </row>
    <row r="4438" spans="1:4">
      <c r="A4438" s="1">
        <v>24708</v>
      </c>
      <c r="B4438">
        <v>93.09</v>
      </c>
      <c r="C4438">
        <f t="shared" si="158"/>
        <v>-5.5549620767011646E-3</v>
      </c>
      <c r="D4438">
        <f t="shared" si="157"/>
        <v>-0.61950560401175725</v>
      </c>
    </row>
    <row r="4439" spans="1:4">
      <c r="A4439" s="1">
        <v>24709</v>
      </c>
      <c r="B4439">
        <v>92.7</v>
      </c>
      <c r="C4439">
        <f t="shared" si="158"/>
        <v>-4.1894940380277209E-3</v>
      </c>
      <c r="D4439">
        <f t="shared" si="157"/>
        <v>-0.47531264327297962</v>
      </c>
    </row>
    <row r="4440" spans="1:4">
      <c r="A4440" s="1">
        <v>24712</v>
      </c>
      <c r="B4440">
        <v>92.64</v>
      </c>
      <c r="C4440">
        <f t="shared" si="158"/>
        <v>-6.4724919093853584E-4</v>
      </c>
      <c r="D4440">
        <f t="shared" si="157"/>
        <v>-0.10125279148788782</v>
      </c>
    </row>
    <row r="4441" spans="1:4">
      <c r="A4441" s="1">
        <v>24713</v>
      </c>
      <c r="B4441">
        <v>92.88</v>
      </c>
      <c r="C4441">
        <f t="shared" si="158"/>
        <v>2.5906735751294783E-3</v>
      </c>
      <c r="D4441">
        <f t="shared" si="157"/>
        <v>0.24067075198546975</v>
      </c>
    </row>
    <row r="4442" spans="1:4">
      <c r="A4442" s="1">
        <v>24714</v>
      </c>
      <c r="B4442">
        <v>93.07</v>
      </c>
      <c r="C4442">
        <f t="shared" si="158"/>
        <v>2.0456503014642307E-3</v>
      </c>
      <c r="D4442">
        <f t="shared" si="157"/>
        <v>0.18311647954883178</v>
      </c>
    </row>
    <row r="4443" spans="1:4">
      <c r="A4443" s="1">
        <v>24715</v>
      </c>
      <c r="B4443">
        <v>93.64</v>
      </c>
      <c r="C4443">
        <f t="shared" si="158"/>
        <v>6.1244224777050335E-3</v>
      </c>
      <c r="D4443">
        <f t="shared" si="157"/>
        <v>0.61383343491783404</v>
      </c>
    </row>
    <row r="4444" spans="1:4">
      <c r="A4444" s="1">
        <v>24716</v>
      </c>
      <c r="B4444">
        <v>93.68</v>
      </c>
      <c r="C4444">
        <f t="shared" si="158"/>
        <v>4.2716787697571823E-4</v>
      </c>
      <c r="D4444">
        <f t="shared" si="157"/>
        <v>1.220528567175129E-2</v>
      </c>
    </row>
    <row r="4445" spans="1:4">
      <c r="A4445" s="1">
        <v>24720</v>
      </c>
      <c r="B4445">
        <v>94.21</v>
      </c>
      <c r="C4445">
        <f t="shared" si="158"/>
        <v>5.6575576430399968E-3</v>
      </c>
      <c r="D4445">
        <f t="shared" si="157"/>
        <v>0.56453266707227412</v>
      </c>
    </row>
    <row r="4446" spans="1:4">
      <c r="A4446" s="1">
        <v>24721</v>
      </c>
      <c r="B4446">
        <v>94.39</v>
      </c>
      <c r="C4446">
        <f t="shared" si="158"/>
        <v>1.9106251990235307E-3</v>
      </c>
      <c r="D4446">
        <f t="shared" si="157"/>
        <v>0.16885787462835619</v>
      </c>
    </row>
    <row r="4447" spans="1:4">
      <c r="A4447" s="1">
        <v>24722</v>
      </c>
      <c r="B4447">
        <v>94.33</v>
      </c>
      <c r="C4447">
        <f t="shared" si="158"/>
        <v>-6.3566055726244595E-4</v>
      </c>
      <c r="D4447">
        <f t="shared" si="157"/>
        <v>-0.10002903571086069</v>
      </c>
    </row>
    <row r="4448" spans="1:4">
      <c r="A4448" s="1">
        <v>24723</v>
      </c>
      <c r="B4448">
        <v>94.36</v>
      </c>
      <c r="C4448">
        <f t="shared" si="158"/>
        <v>3.1803243930882157E-4</v>
      </c>
      <c r="D4448">
        <f t="shared" si="157"/>
        <v>6.8062055106471312E-4</v>
      </c>
    </row>
    <row r="4449" spans="1:4">
      <c r="A4449" s="1">
        <v>24726</v>
      </c>
      <c r="B4449">
        <v>94.54</v>
      </c>
      <c r="C4449">
        <f t="shared" si="158"/>
        <v>1.9075879610004963E-3</v>
      </c>
      <c r="D4449">
        <f t="shared" si="157"/>
        <v>0.16853714332553113</v>
      </c>
    </row>
    <row r="4450" spans="1:4">
      <c r="A4450" s="1">
        <v>24727</v>
      </c>
      <c r="B4450">
        <v>94.99</v>
      </c>
      <c r="C4450">
        <f t="shared" si="158"/>
        <v>4.759889993653359E-3</v>
      </c>
      <c r="D4450">
        <f t="shared" si="157"/>
        <v>0.46973926842910474</v>
      </c>
    </row>
    <row r="4451" spans="1:4">
      <c r="A4451" s="1">
        <v>24728</v>
      </c>
      <c r="B4451">
        <v>95.99</v>
      </c>
      <c r="C4451">
        <f t="shared" si="158"/>
        <v>1.0527423939362039E-2</v>
      </c>
      <c r="D4451">
        <f t="shared" si="157"/>
        <v>1.0787888926158984</v>
      </c>
    </row>
    <row r="4452" spans="1:4">
      <c r="A4452" s="1">
        <v>24729</v>
      </c>
      <c r="B4452">
        <v>96.2</v>
      </c>
      <c r="C4452">
        <f t="shared" si="158"/>
        <v>2.1877278883217833E-3</v>
      </c>
      <c r="D4452">
        <f t="shared" si="157"/>
        <v>0.19811982442647105</v>
      </c>
    </row>
    <row r="4453" spans="1:4">
      <c r="A4453" s="1">
        <v>24730</v>
      </c>
      <c r="B4453">
        <v>96.27</v>
      </c>
      <c r="C4453">
        <f t="shared" si="158"/>
        <v>7.2765072765065668E-4</v>
      </c>
      <c r="D4453">
        <f t="shared" si="157"/>
        <v>4.393617256394116E-2</v>
      </c>
    </row>
    <row r="4454" spans="1:4">
      <c r="A4454" s="1">
        <v>24733</v>
      </c>
      <c r="B4454">
        <v>96.53</v>
      </c>
      <c r="C4454">
        <f t="shared" si="158"/>
        <v>2.7007375090890738E-3</v>
      </c>
      <c r="D4454">
        <f t="shared" si="157"/>
        <v>0.25229346599905411</v>
      </c>
    </row>
    <row r="4455" spans="1:4">
      <c r="A4455" s="1">
        <v>24734</v>
      </c>
      <c r="B4455">
        <v>96.17</v>
      </c>
      <c r="C4455">
        <f t="shared" si="158"/>
        <v>-3.7294105459442601E-3</v>
      </c>
      <c r="D4455">
        <f t="shared" si="157"/>
        <v>-0.42672798289894376</v>
      </c>
    </row>
    <row r="4456" spans="1:4">
      <c r="A4456" s="1">
        <v>24735</v>
      </c>
      <c r="B4456">
        <v>96.13</v>
      </c>
      <c r="C4456">
        <f t="shared" si="158"/>
        <v>-4.1593012373927681E-4</v>
      </c>
      <c r="D4456">
        <f t="shared" si="157"/>
        <v>-7.682557662081739E-2</v>
      </c>
    </row>
    <row r="4457" spans="1:4">
      <c r="A4457" s="1">
        <v>24736</v>
      </c>
      <c r="B4457">
        <v>96.75</v>
      </c>
      <c r="C4457">
        <f t="shared" si="158"/>
        <v>6.4495995006762152E-3</v>
      </c>
      <c r="D4457">
        <f t="shared" si="157"/>
        <v>0.64817201801055024</v>
      </c>
    </row>
    <row r="4458" spans="1:4">
      <c r="A4458" s="1">
        <v>24737</v>
      </c>
      <c r="B4458">
        <v>97</v>
      </c>
      <c r="C4458">
        <f t="shared" si="158"/>
        <v>2.5839793281653748E-3</v>
      </c>
      <c r="D4458">
        <f t="shared" si="157"/>
        <v>0.23996384178154553</v>
      </c>
    </row>
    <row r="4459" spans="1:4">
      <c r="A4459" s="1">
        <v>24740</v>
      </c>
      <c r="B4459">
        <v>97.59</v>
      </c>
      <c r="C4459">
        <f t="shared" si="158"/>
        <v>6.0824742268041588E-3</v>
      </c>
      <c r="D4459">
        <f t="shared" si="157"/>
        <v>0.60940371388160497</v>
      </c>
    </row>
    <row r="4460" spans="1:4">
      <c r="A4460" s="1">
        <v>24741</v>
      </c>
      <c r="B4460">
        <v>96.76</v>
      </c>
      <c r="C4460">
        <f t="shared" si="158"/>
        <v>-8.5049697714929626E-3</v>
      </c>
      <c r="D4460">
        <f t="shared" si="157"/>
        <v>-0.93102541382543424</v>
      </c>
    </row>
    <row r="4461" spans="1:4">
      <c r="A4461" s="1">
        <v>24742</v>
      </c>
      <c r="B4461">
        <v>96.79</v>
      </c>
      <c r="C4461">
        <f t="shared" si="158"/>
        <v>3.10045473336101E-4</v>
      </c>
      <c r="D4461">
        <f t="shared" si="157"/>
        <v>-1.628003407529346E-4</v>
      </c>
    </row>
    <row r="4462" spans="1:4">
      <c r="A4462" s="1">
        <v>24743</v>
      </c>
      <c r="B4462">
        <v>96.79</v>
      </c>
      <c r="C4462">
        <f t="shared" si="158"/>
        <v>0</v>
      </c>
      <c r="D4462">
        <f t="shared" si="157"/>
        <v>-3.29034969354682E-2</v>
      </c>
    </row>
    <row r="4463" spans="1:4">
      <c r="A4463" s="1">
        <v>24744</v>
      </c>
      <c r="B4463">
        <v>96.71</v>
      </c>
      <c r="C4463">
        <f t="shared" si="158"/>
        <v>-8.2653166649460173E-4</v>
      </c>
      <c r="D4463">
        <f t="shared" si="157"/>
        <v>-0.12018495996553397</v>
      </c>
    </row>
    <row r="4464" spans="1:4">
      <c r="A4464" s="1">
        <v>24747</v>
      </c>
      <c r="B4464">
        <v>96.32</v>
      </c>
      <c r="C4464">
        <f t="shared" si="158"/>
        <v>-4.0326750077551501E-3</v>
      </c>
      <c r="D4464">
        <f t="shared" si="157"/>
        <v>-0.45875260698157455</v>
      </c>
    </row>
    <row r="4465" spans="1:4">
      <c r="A4465" s="1">
        <v>24748</v>
      </c>
      <c r="B4465">
        <v>96.65</v>
      </c>
      <c r="C4465">
        <f t="shared" si="158"/>
        <v>3.4260797342193991E-3</v>
      </c>
      <c r="D4465">
        <f t="shared" si="157"/>
        <v>0.32888935841701461</v>
      </c>
    </row>
    <row r="4466" spans="1:4">
      <c r="A4466" s="1">
        <v>24749</v>
      </c>
      <c r="B4466">
        <v>96.43</v>
      </c>
      <c r="C4466">
        <f t="shared" si="158"/>
        <v>-2.2762545266425127E-3</v>
      </c>
      <c r="D4466">
        <f t="shared" si="157"/>
        <v>-0.27327520121241</v>
      </c>
    </row>
    <row r="4467" spans="1:4">
      <c r="A4467" s="1">
        <v>24750</v>
      </c>
      <c r="B4467">
        <v>96.67</v>
      </c>
      <c r="C4467">
        <f t="shared" si="158"/>
        <v>2.4888520170071021E-3</v>
      </c>
      <c r="D4467">
        <f t="shared" si="157"/>
        <v>0.2299184300585761</v>
      </c>
    </row>
    <row r="4468" spans="1:4">
      <c r="A4468" s="1">
        <v>24751</v>
      </c>
      <c r="B4468">
        <v>97.26</v>
      </c>
      <c r="C4468">
        <f t="shared" si="158"/>
        <v>6.1032378193855734E-3</v>
      </c>
      <c r="D4468">
        <f t="shared" si="157"/>
        <v>0.61159634220031434</v>
      </c>
    </row>
    <row r="4469" spans="1:4">
      <c r="A4469" s="1">
        <v>24754</v>
      </c>
      <c r="B4469">
        <v>97.51</v>
      </c>
      <c r="C4469">
        <f t="shared" si="158"/>
        <v>2.5704297758585232E-3</v>
      </c>
      <c r="D4469">
        <f t="shared" si="157"/>
        <v>0.23853301366365862</v>
      </c>
    </row>
    <row r="4470" spans="1:4">
      <c r="A4470" s="1">
        <v>24755</v>
      </c>
      <c r="B4470">
        <v>96.84</v>
      </c>
      <c r="C4470">
        <f t="shared" si="158"/>
        <v>-6.8710901446005709E-3</v>
      </c>
      <c r="D4470">
        <f t="shared" si="157"/>
        <v>-0.75848828060826756</v>
      </c>
    </row>
    <row r="4471" spans="1:4">
      <c r="A4471" s="1">
        <v>24756</v>
      </c>
      <c r="B4471">
        <v>96.37</v>
      </c>
      <c r="C4471">
        <f t="shared" si="158"/>
        <v>-4.853366377529934E-3</v>
      </c>
      <c r="D4471">
        <f t="shared" si="157"/>
        <v>-0.54541733666324088</v>
      </c>
    </row>
    <row r="4472" spans="1:4">
      <c r="A4472" s="1">
        <v>24757</v>
      </c>
      <c r="B4472">
        <v>95.75</v>
      </c>
      <c r="C4472">
        <f t="shared" si="158"/>
        <v>-6.4335374079070723E-3</v>
      </c>
      <c r="D4472">
        <f t="shared" si="157"/>
        <v>-0.71228286034483579</v>
      </c>
    </row>
    <row r="4473" spans="1:4">
      <c r="A4473" s="1">
        <v>24758</v>
      </c>
      <c r="B4473">
        <v>96</v>
      </c>
      <c r="C4473">
        <f t="shared" si="158"/>
        <v>2.6109660574412533E-3</v>
      </c>
      <c r="D4473">
        <f t="shared" si="157"/>
        <v>0.24281363121984331</v>
      </c>
    </row>
    <row r="4474" spans="1:4">
      <c r="A4474" s="1">
        <v>24761</v>
      </c>
      <c r="B4474">
        <v>95.25</v>
      </c>
      <c r="C4474">
        <f t="shared" si="158"/>
        <v>-7.8125E-3</v>
      </c>
      <c r="D4474">
        <f t="shared" si="157"/>
        <v>-0.85790084133768929</v>
      </c>
    </row>
    <row r="4475" spans="1:4">
      <c r="A4475" s="1">
        <v>24762</v>
      </c>
      <c r="B4475">
        <v>95</v>
      </c>
      <c r="C4475">
        <f t="shared" si="158"/>
        <v>-2.6246719160104987E-3</v>
      </c>
      <c r="D4475">
        <f t="shared" si="157"/>
        <v>-0.31006795909684431</v>
      </c>
    </row>
    <row r="4476" spans="1:4">
      <c r="A4476" s="1">
        <v>24763</v>
      </c>
      <c r="B4476">
        <v>95.25</v>
      </c>
      <c r="C4476">
        <f t="shared" si="158"/>
        <v>2.631578947368421E-3</v>
      </c>
      <c r="D4476">
        <f t="shared" si="157"/>
        <v>0.24499034538949049</v>
      </c>
    </row>
    <row r="4477" spans="1:4">
      <c r="A4477" s="1">
        <v>24764</v>
      </c>
      <c r="B4477">
        <v>95.43</v>
      </c>
      <c r="C4477">
        <f t="shared" si="158"/>
        <v>1.8897637795276306E-3</v>
      </c>
      <c r="D4477">
        <f t="shared" si="157"/>
        <v>0.16665491582073019</v>
      </c>
    </row>
    <row r="4478" spans="1:4">
      <c r="A4478" s="1">
        <v>24765</v>
      </c>
      <c r="B4478">
        <v>95.38</v>
      </c>
      <c r="C4478">
        <f t="shared" si="158"/>
        <v>-5.23944252331671E-4</v>
      </c>
      <c r="D4478">
        <f t="shared" si="157"/>
        <v>-8.823183188438799E-2</v>
      </c>
    </row>
    <row r="4479" spans="1:4">
      <c r="A4479" s="1">
        <v>24768</v>
      </c>
      <c r="B4479">
        <v>94.96</v>
      </c>
      <c r="C4479">
        <f t="shared" si="158"/>
        <v>-4.4034388760746668E-3</v>
      </c>
      <c r="D4479">
        <f t="shared" si="157"/>
        <v>-0.4979051454473532</v>
      </c>
    </row>
    <row r="4480" spans="1:4">
      <c r="A4480" s="1">
        <v>24769</v>
      </c>
      <c r="B4480">
        <v>94.42</v>
      </c>
      <c r="C4480">
        <f t="shared" si="158"/>
        <v>-5.6866048862678192E-3</v>
      </c>
      <c r="D4480">
        <f t="shared" si="157"/>
        <v>-0.63340703995443093</v>
      </c>
    </row>
    <row r="4481" spans="1:4">
      <c r="A4481" s="1">
        <v>24770</v>
      </c>
      <c r="B4481">
        <v>94.52</v>
      </c>
      <c r="C4481">
        <f t="shared" si="158"/>
        <v>1.0590976488031594E-3</v>
      </c>
      <c r="D4481">
        <f t="shared" si="157"/>
        <v>7.8936854773362874E-2</v>
      </c>
    </row>
    <row r="4482" spans="1:4">
      <c r="A4482" s="1">
        <v>24771</v>
      </c>
      <c r="B4482">
        <v>94.94</v>
      </c>
      <c r="C4482">
        <f t="shared" si="158"/>
        <v>4.4435040203131791E-3</v>
      </c>
      <c r="D4482">
        <f t="shared" si="157"/>
        <v>0.43632901718919942</v>
      </c>
    </row>
    <row r="4483" spans="1:4">
      <c r="A4483" s="1">
        <v>24772</v>
      </c>
      <c r="B4483">
        <v>94.96</v>
      </c>
      <c r="C4483">
        <f t="shared" si="158"/>
        <v>2.1065936380867939E-4</v>
      </c>
      <c r="D4483">
        <f t="shared" ref="D4483:D4546" si="159">(C4483-avg)/sd</f>
        <v>-1.0657939723868599E-2</v>
      </c>
    </row>
    <row r="4484" spans="1:4">
      <c r="A4484" s="1">
        <v>24775</v>
      </c>
      <c r="B4484">
        <v>94.79</v>
      </c>
      <c r="C4484">
        <f t="shared" ref="C4484:C4547" si="160">(B4484-B4483)/B4483</f>
        <v>-1.790227464195319E-3</v>
      </c>
      <c r="D4484">
        <f t="shared" si="159"/>
        <v>-0.22195090862661196</v>
      </c>
    </row>
    <row r="4485" spans="1:4">
      <c r="A4485" s="1">
        <v>24776</v>
      </c>
      <c r="B4485">
        <v>93.3</v>
      </c>
      <c r="C4485">
        <f t="shared" si="160"/>
        <v>-1.5718957695959584E-2</v>
      </c>
      <c r="D4485">
        <f t="shared" si="159"/>
        <v>-1.6928200864954701</v>
      </c>
    </row>
    <row r="4486" spans="1:4">
      <c r="A4486" s="1">
        <v>24777</v>
      </c>
      <c r="B4486">
        <v>92.71</v>
      </c>
      <c r="C4486">
        <f t="shared" si="160"/>
        <v>-6.3236870310825659E-3</v>
      </c>
      <c r="D4486">
        <f t="shared" si="159"/>
        <v>-0.70068269789212523</v>
      </c>
    </row>
    <row r="4487" spans="1:4">
      <c r="A4487" s="1">
        <v>24778</v>
      </c>
      <c r="B4487">
        <v>92.34</v>
      </c>
      <c r="C4487">
        <f t="shared" si="160"/>
        <v>-3.9909394887281888E-3</v>
      </c>
      <c r="D4487">
        <f t="shared" si="159"/>
        <v>-0.4543453503589196</v>
      </c>
    </row>
    <row r="4488" spans="1:4">
      <c r="A4488" s="1">
        <v>24779</v>
      </c>
      <c r="B4488">
        <v>91.78</v>
      </c>
      <c r="C4488">
        <f t="shared" si="160"/>
        <v>-6.0645440762400072E-3</v>
      </c>
      <c r="D4488">
        <f t="shared" si="159"/>
        <v>-0.67331728994772133</v>
      </c>
    </row>
    <row r="4489" spans="1:4">
      <c r="A4489" s="1">
        <v>24782</v>
      </c>
      <c r="B4489">
        <v>91.48</v>
      </c>
      <c r="C4489">
        <f t="shared" si="160"/>
        <v>-3.2686859882326996E-3</v>
      </c>
      <c r="D4489">
        <f t="shared" si="159"/>
        <v>-0.37807562621248925</v>
      </c>
    </row>
    <row r="4490" spans="1:4">
      <c r="A4490" s="1">
        <v>24784</v>
      </c>
      <c r="B4490">
        <v>91.14</v>
      </c>
      <c r="C4490">
        <f t="shared" si="160"/>
        <v>-3.7166593790992938E-3</v>
      </c>
      <c r="D4490">
        <f t="shared" si="159"/>
        <v>-0.42538146401444743</v>
      </c>
    </row>
    <row r="4491" spans="1:4">
      <c r="A4491" s="1">
        <v>24785</v>
      </c>
      <c r="B4491">
        <v>91.59</v>
      </c>
      <c r="C4491">
        <f t="shared" si="160"/>
        <v>4.9374588545095773E-3</v>
      </c>
      <c r="D4491">
        <f t="shared" si="159"/>
        <v>0.48849047977693294</v>
      </c>
    </row>
    <row r="4492" spans="1:4">
      <c r="A4492" s="1">
        <v>24786</v>
      </c>
      <c r="B4492">
        <v>92.21</v>
      </c>
      <c r="C4492">
        <f t="shared" si="160"/>
        <v>6.7692979582922846E-3</v>
      </c>
      <c r="D4492">
        <f t="shared" si="159"/>
        <v>0.68193206646402138</v>
      </c>
    </row>
    <row r="4493" spans="1:4">
      <c r="A4493" s="1">
        <v>24789</v>
      </c>
      <c r="B4493">
        <v>91.97</v>
      </c>
      <c r="C4493">
        <f t="shared" si="160"/>
        <v>-2.6027545819324901E-3</v>
      </c>
      <c r="D4493">
        <f t="shared" si="159"/>
        <v>-0.30775349606827046</v>
      </c>
    </row>
    <row r="4494" spans="1:4">
      <c r="A4494" s="1">
        <v>24790</v>
      </c>
      <c r="B4494">
        <v>91.39</v>
      </c>
      <c r="C4494">
        <f t="shared" si="160"/>
        <v>-6.3064042622594137E-3</v>
      </c>
      <c r="D4494">
        <f t="shared" si="159"/>
        <v>-0.69885764337909895</v>
      </c>
    </row>
    <row r="4495" spans="1:4">
      <c r="A4495" s="1">
        <v>24791</v>
      </c>
      <c r="B4495">
        <v>91.76</v>
      </c>
      <c r="C4495">
        <f t="shared" si="160"/>
        <v>4.0485829959514665E-3</v>
      </c>
      <c r="D4495">
        <f t="shared" si="159"/>
        <v>0.3946254912567812</v>
      </c>
    </row>
    <row r="4496" spans="1:4">
      <c r="A4496" s="1">
        <v>24792</v>
      </c>
      <c r="B4496">
        <v>92.6</v>
      </c>
      <c r="C4496">
        <f t="shared" si="160"/>
        <v>9.1543156059283905E-3</v>
      </c>
      <c r="D4496">
        <f t="shared" si="159"/>
        <v>0.93378911934750553</v>
      </c>
    </row>
    <row r="4497" spans="1:4">
      <c r="A4497" s="1">
        <v>24793</v>
      </c>
      <c r="B4497">
        <v>92.82</v>
      </c>
      <c r="C4497">
        <f t="shared" si="160"/>
        <v>2.3758099352051715E-3</v>
      </c>
      <c r="D4497">
        <f t="shared" si="159"/>
        <v>0.21798122464516279</v>
      </c>
    </row>
    <row r="4498" spans="1:4">
      <c r="A4498" s="1">
        <v>24796</v>
      </c>
      <c r="B4498">
        <v>91.65</v>
      </c>
      <c r="C4498">
        <f t="shared" si="160"/>
        <v>-1.2605042016806589E-2</v>
      </c>
      <c r="D4498">
        <f t="shared" si="159"/>
        <v>-1.3639916492482815</v>
      </c>
    </row>
    <row r="4499" spans="1:4">
      <c r="A4499" s="1">
        <v>24797</v>
      </c>
      <c r="B4499">
        <v>93.1</v>
      </c>
      <c r="C4499">
        <f t="shared" si="160"/>
        <v>1.5821058374249738E-2</v>
      </c>
      <c r="D4499">
        <f t="shared" si="159"/>
        <v>1.6377948895462671</v>
      </c>
    </row>
    <row r="4500" spans="1:4">
      <c r="A4500" s="1">
        <v>24798</v>
      </c>
      <c r="B4500">
        <v>93.65</v>
      </c>
      <c r="C4500">
        <f t="shared" si="160"/>
        <v>5.9076262083782105E-3</v>
      </c>
      <c r="D4500">
        <f t="shared" si="159"/>
        <v>0.59093982256955402</v>
      </c>
    </row>
    <row r="4501" spans="1:4">
      <c r="A4501" s="1">
        <v>24800</v>
      </c>
      <c r="B4501">
        <v>93.9</v>
      </c>
      <c r="C4501">
        <f t="shared" si="160"/>
        <v>2.6695141484249863E-3</v>
      </c>
      <c r="D4501">
        <f t="shared" si="159"/>
        <v>0.24899628972626242</v>
      </c>
    </row>
    <row r="4502" spans="1:4">
      <c r="A4502" s="1">
        <v>24803</v>
      </c>
      <c r="B4502">
        <v>94.17</v>
      </c>
      <c r="C4502">
        <f t="shared" si="160"/>
        <v>2.8753993610223217E-3</v>
      </c>
      <c r="D4502">
        <f t="shared" si="159"/>
        <v>0.27073769819275695</v>
      </c>
    </row>
    <row r="4503" spans="1:4">
      <c r="A4503" s="1">
        <v>24804</v>
      </c>
      <c r="B4503">
        <v>94.49</v>
      </c>
      <c r="C4503">
        <f t="shared" si="160"/>
        <v>3.3981098014228858E-3</v>
      </c>
      <c r="D4503">
        <f t="shared" si="159"/>
        <v>0.32593574302114492</v>
      </c>
    </row>
    <row r="4504" spans="1:4">
      <c r="A4504" s="1">
        <v>24805</v>
      </c>
      <c r="B4504">
        <v>94.47</v>
      </c>
      <c r="C4504">
        <f t="shared" si="160"/>
        <v>-2.1166260979993672E-4</v>
      </c>
      <c r="D4504">
        <f t="shared" si="159"/>
        <v>-5.5254996582724682E-2</v>
      </c>
    </row>
    <row r="4505" spans="1:4">
      <c r="A4505" s="1">
        <v>24806</v>
      </c>
      <c r="B4505">
        <v>94</v>
      </c>
      <c r="C4505">
        <f t="shared" si="160"/>
        <v>-4.9751243781094405E-3</v>
      </c>
      <c r="D4505">
        <f t="shared" si="159"/>
        <v>-0.55827494013688139</v>
      </c>
    </row>
    <row r="4506" spans="1:4">
      <c r="A4506" s="1">
        <v>24807</v>
      </c>
      <c r="B4506">
        <v>94.5</v>
      </c>
      <c r="C4506">
        <f t="shared" si="160"/>
        <v>5.3191489361702126E-3</v>
      </c>
      <c r="D4506">
        <f t="shared" si="159"/>
        <v>0.52879682265753336</v>
      </c>
    </row>
    <row r="4507" spans="1:4">
      <c r="A4507" s="1">
        <v>24810</v>
      </c>
      <c r="B4507">
        <v>95.1</v>
      </c>
      <c r="C4507">
        <f t="shared" si="160"/>
        <v>6.3492063492062894E-3</v>
      </c>
      <c r="D4507">
        <f t="shared" si="159"/>
        <v>0.63757053534061625</v>
      </c>
    </row>
    <row r="4508" spans="1:4">
      <c r="A4508" s="1">
        <v>24811</v>
      </c>
      <c r="B4508">
        <v>95.23</v>
      </c>
      <c r="C4508">
        <f t="shared" si="160"/>
        <v>1.3669821240800176E-3</v>
      </c>
      <c r="D4508">
        <f t="shared" si="159"/>
        <v>0.11144935070758104</v>
      </c>
    </row>
    <row r="4509" spans="1:4">
      <c r="A4509" s="1">
        <v>24812</v>
      </c>
      <c r="B4509">
        <v>95.64</v>
      </c>
      <c r="C4509">
        <f t="shared" si="160"/>
        <v>4.3053659561062326E-3</v>
      </c>
      <c r="D4509">
        <f t="shared" si="159"/>
        <v>0.42174168456435535</v>
      </c>
    </row>
    <row r="4510" spans="1:4">
      <c r="A4510" s="1">
        <v>24813</v>
      </c>
      <c r="B4510">
        <v>95.53</v>
      </c>
      <c r="C4510">
        <f t="shared" si="160"/>
        <v>-1.1501463822668281E-3</v>
      </c>
      <c r="D4510">
        <f t="shared" si="159"/>
        <v>-0.15435856394909445</v>
      </c>
    </row>
    <row r="4511" spans="1:4">
      <c r="A4511" s="1">
        <v>24814</v>
      </c>
      <c r="B4511">
        <v>95.42</v>
      </c>
      <c r="C4511">
        <f t="shared" si="160"/>
        <v>-1.151470742175227E-3</v>
      </c>
      <c r="D4511">
        <f t="shared" si="159"/>
        <v>-0.15449841590524957</v>
      </c>
    </row>
    <row r="4512" spans="1:4">
      <c r="A4512" s="1">
        <v>24817</v>
      </c>
      <c r="B4512">
        <v>95.12</v>
      </c>
      <c r="C4512">
        <f t="shared" si="160"/>
        <v>-3.1439949696080187E-3</v>
      </c>
      <c r="D4512">
        <f t="shared" si="159"/>
        <v>-0.36490829703025951</v>
      </c>
    </row>
    <row r="4513" spans="1:4">
      <c r="A4513" s="1">
        <v>24818</v>
      </c>
      <c r="B4513">
        <v>95.01</v>
      </c>
      <c r="C4513">
        <f t="shared" si="160"/>
        <v>-1.1564339781328788E-3</v>
      </c>
      <c r="D4513">
        <f t="shared" si="159"/>
        <v>-0.15502253193529172</v>
      </c>
    </row>
    <row r="4514" spans="1:4">
      <c r="A4514" s="1">
        <v>24819</v>
      </c>
      <c r="B4514">
        <v>95.34</v>
      </c>
      <c r="C4514">
        <f t="shared" si="160"/>
        <v>3.4733185980422932E-3</v>
      </c>
      <c r="D4514">
        <f t="shared" si="159"/>
        <v>0.33387776637944222</v>
      </c>
    </row>
    <row r="4515" spans="1:4">
      <c r="A4515" s="1">
        <v>24820</v>
      </c>
      <c r="B4515">
        <v>95.47</v>
      </c>
      <c r="C4515">
        <f t="shared" si="160"/>
        <v>1.3635410111180559E-3</v>
      </c>
      <c r="D4515">
        <f t="shared" si="159"/>
        <v>0.11108597034848901</v>
      </c>
    </row>
    <row r="4516" spans="1:4">
      <c r="A4516" s="1">
        <v>24821</v>
      </c>
      <c r="B4516">
        <v>95.03</v>
      </c>
      <c r="C4516">
        <f t="shared" si="160"/>
        <v>-4.608777626479499E-3</v>
      </c>
      <c r="D4516">
        <f t="shared" si="159"/>
        <v>-0.51958884769207092</v>
      </c>
    </row>
    <row r="4517" spans="1:4">
      <c r="A4517" s="1">
        <v>24824</v>
      </c>
      <c r="B4517">
        <v>94.77</v>
      </c>
      <c r="C4517">
        <f t="shared" si="160"/>
        <v>-2.7359781121751563E-3</v>
      </c>
      <c r="D4517">
        <f t="shared" si="159"/>
        <v>-0.32182185557701781</v>
      </c>
    </row>
    <row r="4518" spans="1:4">
      <c r="A4518" s="1">
        <v>24825</v>
      </c>
      <c r="B4518">
        <v>94.63</v>
      </c>
      <c r="C4518">
        <f t="shared" si="160"/>
        <v>-1.4772607365200019E-3</v>
      </c>
      <c r="D4518">
        <f t="shared" si="159"/>
        <v>-0.18890172856665807</v>
      </c>
    </row>
    <row r="4519" spans="1:4">
      <c r="A4519" s="1">
        <v>24826</v>
      </c>
      <c r="B4519">
        <v>95.15</v>
      </c>
      <c r="C4519">
        <f t="shared" si="160"/>
        <v>5.495086124907643E-3</v>
      </c>
      <c r="D4519">
        <f t="shared" si="159"/>
        <v>0.54737572998424988</v>
      </c>
    </row>
    <row r="4520" spans="1:4">
      <c r="A4520" s="1">
        <v>24827</v>
      </c>
      <c r="B4520">
        <v>95.38</v>
      </c>
      <c r="C4520">
        <f t="shared" si="160"/>
        <v>2.4172359432473962E-3</v>
      </c>
      <c r="D4520">
        <f t="shared" si="159"/>
        <v>0.2223557970130374</v>
      </c>
    </row>
    <row r="4521" spans="1:4">
      <c r="A4521" s="1">
        <v>24828</v>
      </c>
      <c r="B4521">
        <v>95.2</v>
      </c>
      <c r="C4521">
        <f t="shared" si="160"/>
        <v>-1.8871880897462006E-3</v>
      </c>
      <c r="D4521">
        <f t="shared" si="159"/>
        <v>-0.23218991772626704</v>
      </c>
    </row>
    <row r="4522" spans="1:4">
      <c r="A4522" s="1">
        <v>24832</v>
      </c>
      <c r="B4522">
        <v>95.26</v>
      </c>
      <c r="C4522">
        <f t="shared" si="160"/>
        <v>6.3025210084036002E-4</v>
      </c>
      <c r="D4522">
        <f t="shared" si="159"/>
        <v>3.3650910680175693E-2</v>
      </c>
    </row>
    <row r="4523" spans="1:4">
      <c r="A4523" s="1">
        <v>24833</v>
      </c>
      <c r="B4523">
        <v>95.91</v>
      </c>
      <c r="C4523">
        <f t="shared" si="160"/>
        <v>6.8234306109593891E-3</v>
      </c>
      <c r="D4523">
        <f t="shared" si="159"/>
        <v>0.68764845618508486</v>
      </c>
    </row>
    <row r="4524" spans="1:4">
      <c r="A4524" s="1">
        <v>24834</v>
      </c>
      <c r="B4524">
        <v>95.89</v>
      </c>
      <c r="C4524">
        <f t="shared" si="160"/>
        <v>-2.0852882911058307E-4</v>
      </c>
      <c r="D4524">
        <f t="shared" si="159"/>
        <v>-5.4924070407152754E-2</v>
      </c>
    </row>
    <row r="4525" spans="1:4">
      <c r="A4525" s="1">
        <v>24835</v>
      </c>
      <c r="B4525">
        <v>96.47</v>
      </c>
      <c r="C4525">
        <f t="shared" si="160"/>
        <v>6.0485973511314869E-3</v>
      </c>
      <c r="D4525">
        <f t="shared" si="159"/>
        <v>0.60582632732588038</v>
      </c>
    </row>
    <row r="4526" spans="1:4">
      <c r="A4526" s="1">
        <v>24839</v>
      </c>
      <c r="B4526">
        <v>96.11</v>
      </c>
      <c r="C4526">
        <f t="shared" si="160"/>
        <v>-3.7317300715248207E-3</v>
      </c>
      <c r="D4526">
        <f t="shared" si="159"/>
        <v>-0.42697292401180587</v>
      </c>
    </row>
    <row r="4527" spans="1:4">
      <c r="A4527" s="1">
        <v>24840</v>
      </c>
      <c r="B4527">
        <v>95.67</v>
      </c>
      <c r="C4527">
        <f t="shared" si="160"/>
        <v>-4.5780876079492012E-3</v>
      </c>
      <c r="D4527">
        <f t="shared" si="159"/>
        <v>-0.51634799216731564</v>
      </c>
    </row>
    <row r="4528" spans="1:4">
      <c r="A4528" s="1">
        <v>24841</v>
      </c>
      <c r="B4528">
        <v>95.36</v>
      </c>
      <c r="C4528">
        <f t="shared" si="160"/>
        <v>-3.2403052158461614E-3</v>
      </c>
      <c r="D4528">
        <f t="shared" si="159"/>
        <v>-0.3750786262955641</v>
      </c>
    </row>
    <row r="4529" spans="1:4">
      <c r="A4529" s="1">
        <v>24842</v>
      </c>
      <c r="B4529">
        <v>95.94</v>
      </c>
      <c r="C4529">
        <f t="shared" si="160"/>
        <v>6.0822147651006537E-3</v>
      </c>
      <c r="D4529">
        <f t="shared" si="159"/>
        <v>0.60937631481391019</v>
      </c>
    </row>
    <row r="4530" spans="1:4">
      <c r="A4530" s="1">
        <v>24845</v>
      </c>
      <c r="B4530">
        <v>96.62</v>
      </c>
      <c r="C4530">
        <f t="shared" si="160"/>
        <v>7.0877631853242321E-3</v>
      </c>
      <c r="D4530">
        <f t="shared" si="159"/>
        <v>0.71556188618700467</v>
      </c>
    </row>
    <row r="4531" spans="1:4">
      <c r="A4531" s="1">
        <v>24846</v>
      </c>
      <c r="B4531">
        <v>96.5</v>
      </c>
      <c r="C4531">
        <f t="shared" si="160"/>
        <v>-1.241978886358979E-3</v>
      </c>
      <c r="D4531">
        <f t="shared" si="159"/>
        <v>-0.16405604516584077</v>
      </c>
    </row>
    <row r="4532" spans="1:4">
      <c r="A4532" s="1">
        <v>24847</v>
      </c>
      <c r="B4532">
        <v>96.52</v>
      </c>
      <c r="C4532">
        <f t="shared" si="160"/>
        <v>2.0725388601032147E-4</v>
      </c>
      <c r="D4532">
        <f t="shared" si="159"/>
        <v>-1.1017557021797048E-2</v>
      </c>
    </row>
    <row r="4533" spans="1:4">
      <c r="A4533" s="1">
        <v>24848</v>
      </c>
      <c r="B4533">
        <v>96.62</v>
      </c>
      <c r="C4533">
        <f t="shared" si="160"/>
        <v>1.036054703688443E-3</v>
      </c>
      <c r="D4533">
        <f t="shared" si="159"/>
        <v>7.6503527601926441E-2</v>
      </c>
    </row>
    <row r="4534" spans="1:4">
      <c r="A4534" s="1">
        <v>24849</v>
      </c>
      <c r="B4534">
        <v>96.72</v>
      </c>
      <c r="C4534">
        <f t="shared" si="160"/>
        <v>1.0349824052990511E-3</v>
      </c>
      <c r="D4534">
        <f t="shared" si="159"/>
        <v>7.6390293256498584E-2</v>
      </c>
    </row>
    <row r="4535" spans="1:4">
      <c r="A4535" s="1">
        <v>24852</v>
      </c>
      <c r="B4535">
        <v>96.42</v>
      </c>
      <c r="C4535">
        <f t="shared" si="160"/>
        <v>-3.1017369727046854E-3</v>
      </c>
      <c r="D4535">
        <f t="shared" si="159"/>
        <v>-0.36044586692145864</v>
      </c>
    </row>
    <row r="4536" spans="1:4">
      <c r="A4536" s="1">
        <v>24853</v>
      </c>
      <c r="B4536">
        <v>95.82</v>
      </c>
      <c r="C4536">
        <f t="shared" si="160"/>
        <v>-6.2227753578096715E-3</v>
      </c>
      <c r="D4536">
        <f t="shared" si="159"/>
        <v>-0.69002645949605201</v>
      </c>
    </row>
    <row r="4537" spans="1:4">
      <c r="A4537" s="1">
        <v>24854</v>
      </c>
      <c r="B4537">
        <v>95.64</v>
      </c>
      <c r="C4537">
        <f t="shared" si="160"/>
        <v>-1.878522229179635E-3</v>
      </c>
      <c r="D4537">
        <f t="shared" si="159"/>
        <v>-0.23127480579610685</v>
      </c>
    </row>
    <row r="4538" spans="1:4">
      <c r="A4538" s="1">
        <v>24855</v>
      </c>
      <c r="B4538">
        <v>95.56</v>
      </c>
      <c r="C4538">
        <f t="shared" si="160"/>
        <v>-8.3647009619404326E-4</v>
      </c>
      <c r="D4538">
        <f t="shared" si="159"/>
        <v>-0.1212344547635586</v>
      </c>
    </row>
    <row r="4539" spans="1:4">
      <c r="A4539" s="1">
        <v>24856</v>
      </c>
      <c r="B4539">
        <v>95.24</v>
      </c>
      <c r="C4539">
        <f t="shared" si="160"/>
        <v>-3.3486814566765109E-3</v>
      </c>
      <c r="D4539">
        <f t="shared" si="159"/>
        <v>-0.38652312048837484</v>
      </c>
    </row>
    <row r="4540" spans="1:4">
      <c r="A4540" s="1">
        <v>24859</v>
      </c>
      <c r="B4540">
        <v>94.03</v>
      </c>
      <c r="C4540">
        <f t="shared" si="160"/>
        <v>-1.2704745905081834E-2</v>
      </c>
      <c r="D4540">
        <f t="shared" si="159"/>
        <v>-1.3745203459591491</v>
      </c>
    </row>
    <row r="4541" spans="1:4">
      <c r="A4541" s="1">
        <v>24860</v>
      </c>
      <c r="B4541">
        <v>93.66</v>
      </c>
      <c r="C4541">
        <f t="shared" si="160"/>
        <v>-3.9349143890248274E-3</v>
      </c>
      <c r="D4541">
        <f t="shared" si="159"/>
        <v>-0.44842911887410136</v>
      </c>
    </row>
    <row r="4542" spans="1:4">
      <c r="A4542" s="1">
        <v>24861</v>
      </c>
      <c r="B4542">
        <v>93.17</v>
      </c>
      <c r="C4542">
        <f t="shared" si="160"/>
        <v>-5.2316890881912758E-3</v>
      </c>
      <c r="D4542">
        <f t="shared" si="159"/>
        <v>-0.58536808631094095</v>
      </c>
    </row>
    <row r="4543" spans="1:4">
      <c r="A4543" s="1">
        <v>24862</v>
      </c>
      <c r="B4543">
        <v>93.3</v>
      </c>
      <c r="C4543">
        <f t="shared" si="160"/>
        <v>1.3952989159600241E-3</v>
      </c>
      <c r="D4543">
        <f t="shared" si="159"/>
        <v>0.11443959430476448</v>
      </c>
    </row>
    <row r="4544" spans="1:4">
      <c r="A4544" s="1">
        <v>24863</v>
      </c>
      <c r="B4544">
        <v>93.45</v>
      </c>
      <c r="C4544">
        <f t="shared" si="160"/>
        <v>1.607717041800704E-3</v>
      </c>
      <c r="D4544">
        <f t="shared" si="159"/>
        <v>0.13687087618911109</v>
      </c>
    </row>
    <row r="4545" spans="1:4">
      <c r="A4545" s="1">
        <v>24866</v>
      </c>
      <c r="B4545">
        <v>93.35</v>
      </c>
      <c r="C4545">
        <f t="shared" si="160"/>
        <v>-1.0700909577314984E-3</v>
      </c>
      <c r="D4545">
        <f t="shared" si="159"/>
        <v>-0.14590473833032461</v>
      </c>
    </row>
    <row r="4546" spans="1:4">
      <c r="A4546" s="1">
        <v>24867</v>
      </c>
      <c r="B4546">
        <v>92.89</v>
      </c>
      <c r="C4546">
        <f t="shared" si="160"/>
        <v>-4.9276914836635646E-3</v>
      </c>
      <c r="D4546">
        <f t="shared" si="159"/>
        <v>-0.55326604260662116</v>
      </c>
    </row>
    <row r="4547" spans="1:4">
      <c r="A4547" s="1">
        <v>24868</v>
      </c>
      <c r="B4547">
        <v>92.24</v>
      </c>
      <c r="C4547">
        <f t="shared" si="160"/>
        <v>-6.9975239530628234E-3</v>
      </c>
      <c r="D4547">
        <f t="shared" ref="D4547:D4610" si="161">(C4547-avg)/sd</f>
        <v>-0.77183964780494174</v>
      </c>
    </row>
    <row r="4548" spans="1:4">
      <c r="A4548" s="1">
        <v>24869</v>
      </c>
      <c r="B4548">
        <v>92.56</v>
      </c>
      <c r="C4548">
        <f t="shared" ref="C4548:C4611" si="162">(B4548-B4547)/B4547</f>
        <v>3.4692107545534192E-3</v>
      </c>
      <c r="D4548">
        <f t="shared" si="161"/>
        <v>0.33344397950334098</v>
      </c>
    </row>
    <row r="4549" spans="1:4">
      <c r="A4549" s="1">
        <v>24870</v>
      </c>
      <c r="B4549">
        <v>92.27</v>
      </c>
      <c r="C4549">
        <f t="shared" si="162"/>
        <v>-3.1331028522040435E-3</v>
      </c>
      <c r="D4549">
        <f t="shared" si="161"/>
        <v>-0.36375809313481033</v>
      </c>
    </row>
    <row r="4550" spans="1:4">
      <c r="A4550" s="1">
        <v>24873</v>
      </c>
      <c r="B4550">
        <v>91.87</v>
      </c>
      <c r="C4550">
        <f t="shared" si="162"/>
        <v>-4.3351035005959847E-3</v>
      </c>
      <c r="D4550">
        <f t="shared" si="161"/>
        <v>-0.49068895302512711</v>
      </c>
    </row>
    <row r="4551" spans="1:4">
      <c r="A4551" s="1">
        <v>24874</v>
      </c>
      <c r="B4551">
        <v>91.9</v>
      </c>
      <c r="C4551">
        <f t="shared" si="162"/>
        <v>3.2654838358551363E-4</v>
      </c>
      <c r="D4551">
        <f t="shared" si="161"/>
        <v>1.579901371973288E-3</v>
      </c>
    </row>
    <row r="4552" spans="1:4">
      <c r="A4552" s="1">
        <v>24875</v>
      </c>
      <c r="B4552">
        <v>92.06</v>
      </c>
      <c r="C4552">
        <f t="shared" si="162"/>
        <v>1.7410228509248812E-3</v>
      </c>
      <c r="D4552">
        <f t="shared" si="161"/>
        <v>0.15094792431977802</v>
      </c>
    </row>
    <row r="4553" spans="1:4">
      <c r="A4553" s="1">
        <v>24876</v>
      </c>
      <c r="B4553">
        <v>90.9</v>
      </c>
      <c r="C4553">
        <f t="shared" si="162"/>
        <v>-1.2600477949163552E-2</v>
      </c>
      <c r="D4553">
        <f t="shared" si="161"/>
        <v>-1.3635096852565787</v>
      </c>
    </row>
    <row r="4554" spans="1:4">
      <c r="A4554" s="1">
        <v>24877</v>
      </c>
      <c r="B4554">
        <v>89.86</v>
      </c>
      <c r="C4554">
        <f t="shared" si="162"/>
        <v>-1.1441144114411508E-2</v>
      </c>
      <c r="D4554">
        <f t="shared" si="161"/>
        <v>-1.2410844263834806</v>
      </c>
    </row>
    <row r="4555" spans="1:4">
      <c r="A4555" s="1">
        <v>24881</v>
      </c>
      <c r="B4555">
        <v>89.07</v>
      </c>
      <c r="C4555">
        <f t="shared" si="162"/>
        <v>-8.791453371911933E-3</v>
      </c>
      <c r="D4555">
        <f t="shared" si="161"/>
        <v>-0.96127798464917025</v>
      </c>
    </row>
    <row r="4556" spans="1:4">
      <c r="A4556" s="1">
        <v>24882</v>
      </c>
      <c r="B4556">
        <v>90.14</v>
      </c>
      <c r="C4556">
        <f t="shared" si="162"/>
        <v>1.2013023464690777E-2</v>
      </c>
      <c r="D4556">
        <f t="shared" si="161"/>
        <v>1.2356676975107987</v>
      </c>
    </row>
    <row r="4557" spans="1:4">
      <c r="A4557" s="1">
        <v>24883</v>
      </c>
      <c r="B4557">
        <v>90.3</v>
      </c>
      <c r="C4557">
        <f t="shared" si="162"/>
        <v>1.7750166407809694E-3</v>
      </c>
      <c r="D4557">
        <f t="shared" si="161"/>
        <v>0.15453765697353036</v>
      </c>
    </row>
    <row r="4558" spans="1:4">
      <c r="A4558" s="1">
        <v>24884</v>
      </c>
      <c r="B4558">
        <v>89.96</v>
      </c>
      <c r="C4558">
        <f t="shared" si="162"/>
        <v>-3.7652270210410126E-3</v>
      </c>
      <c r="D4558">
        <f t="shared" si="161"/>
        <v>-0.43051019049454936</v>
      </c>
    </row>
    <row r="4559" spans="1:4">
      <c r="A4559" s="1">
        <v>24887</v>
      </c>
      <c r="B4559">
        <v>90.31</v>
      </c>
      <c r="C4559">
        <f t="shared" si="162"/>
        <v>3.8906180524678584E-3</v>
      </c>
      <c r="D4559">
        <f t="shared" si="161"/>
        <v>0.37794444691980539</v>
      </c>
    </row>
    <row r="4560" spans="1:4">
      <c r="A4560" s="1">
        <v>24888</v>
      </c>
      <c r="B4560">
        <v>91.24</v>
      </c>
      <c r="C4560">
        <f t="shared" si="162"/>
        <v>1.0297862916620448E-2</v>
      </c>
      <c r="D4560">
        <f t="shared" si="161"/>
        <v>1.0545473266459695</v>
      </c>
    </row>
    <row r="4561" spans="1:4">
      <c r="A4561" s="1">
        <v>24889</v>
      </c>
      <c r="B4561">
        <v>91.24</v>
      </c>
      <c r="C4561">
        <f t="shared" si="162"/>
        <v>0</v>
      </c>
      <c r="D4561">
        <f t="shared" si="161"/>
        <v>-3.29034969354682E-2</v>
      </c>
    </row>
    <row r="4562" spans="1:4">
      <c r="A4562" s="1">
        <v>24891</v>
      </c>
      <c r="B4562">
        <v>90.89</v>
      </c>
      <c r="C4562">
        <f t="shared" si="162"/>
        <v>-3.8360368259534672E-3</v>
      </c>
      <c r="D4562">
        <f t="shared" si="161"/>
        <v>-0.43798768182388242</v>
      </c>
    </row>
    <row r="4563" spans="1:4">
      <c r="A4563" s="1">
        <v>24894</v>
      </c>
      <c r="B4563">
        <v>90.18</v>
      </c>
      <c r="C4563">
        <f t="shared" si="162"/>
        <v>-7.8116404444932746E-3</v>
      </c>
      <c r="D4563">
        <f t="shared" si="161"/>
        <v>-0.85781007256835629</v>
      </c>
    </row>
    <row r="4564" spans="1:4">
      <c r="A4564" s="1">
        <v>24895</v>
      </c>
      <c r="B4564">
        <v>90.53</v>
      </c>
      <c r="C4564">
        <f t="shared" si="162"/>
        <v>3.8811266356175902E-3</v>
      </c>
      <c r="D4564">
        <f t="shared" si="161"/>
        <v>0.37694215652670637</v>
      </c>
    </row>
    <row r="4565" spans="1:4">
      <c r="A4565" s="1">
        <v>24896</v>
      </c>
      <c r="B4565">
        <v>90.08</v>
      </c>
      <c r="C4565">
        <f t="shared" si="162"/>
        <v>-4.9707279354910287E-3</v>
      </c>
      <c r="D4565">
        <f t="shared" si="161"/>
        <v>-0.55781067729080058</v>
      </c>
    </row>
    <row r="4566" spans="1:4">
      <c r="A4566" s="1">
        <v>24897</v>
      </c>
      <c r="B4566">
        <v>89.36</v>
      </c>
      <c r="C4566">
        <f t="shared" si="162"/>
        <v>-7.9928952042628652E-3</v>
      </c>
      <c r="D4566">
        <f t="shared" si="161"/>
        <v>-0.87695051358853859</v>
      </c>
    </row>
    <row r="4567" spans="1:4">
      <c r="A4567" s="1">
        <v>24898</v>
      </c>
      <c r="B4567">
        <v>89.11</v>
      </c>
      <c r="C4567">
        <f t="shared" si="162"/>
        <v>-2.7976723366159354E-3</v>
      </c>
      <c r="D4567">
        <f t="shared" si="161"/>
        <v>-0.32833674470707824</v>
      </c>
    </row>
    <row r="4568" spans="1:4">
      <c r="A4568" s="1">
        <v>24901</v>
      </c>
      <c r="B4568">
        <v>87.92</v>
      </c>
      <c r="C4568">
        <f t="shared" si="162"/>
        <v>-1.3354281225451663E-2</v>
      </c>
      <c r="D4568">
        <f t="shared" si="161"/>
        <v>-1.44311105500242</v>
      </c>
    </row>
    <row r="4569" spans="1:4">
      <c r="A4569" s="1">
        <v>24902</v>
      </c>
      <c r="B4569">
        <v>87.72</v>
      </c>
      <c r="C4569">
        <f t="shared" si="162"/>
        <v>-2.274795268425874E-3</v>
      </c>
      <c r="D4569">
        <f t="shared" si="161"/>
        <v>-0.27312110404075896</v>
      </c>
    </row>
    <row r="4570" spans="1:4">
      <c r="A4570" s="1">
        <v>24903</v>
      </c>
      <c r="B4570">
        <v>89.26</v>
      </c>
      <c r="C4570">
        <f t="shared" si="162"/>
        <v>1.7555859553123648E-2</v>
      </c>
      <c r="D4570">
        <f t="shared" si="161"/>
        <v>1.8209893043477796</v>
      </c>
    </row>
    <row r="4571" spans="1:4">
      <c r="A4571" s="1">
        <v>24904</v>
      </c>
      <c r="B4571">
        <v>89.1</v>
      </c>
      <c r="C4571">
        <f t="shared" si="162"/>
        <v>-1.7925162446785882E-3</v>
      </c>
      <c r="D4571">
        <f t="shared" si="161"/>
        <v>-0.2221926030676509</v>
      </c>
    </row>
    <row r="4572" spans="1:4">
      <c r="A4572" s="1">
        <v>24905</v>
      </c>
      <c r="B4572">
        <v>89.03</v>
      </c>
      <c r="C4572">
        <f t="shared" si="162"/>
        <v>-7.8563411896737578E-4</v>
      </c>
      <c r="D4572">
        <f t="shared" si="161"/>
        <v>-0.11586619284841075</v>
      </c>
    </row>
    <row r="4573" spans="1:4">
      <c r="A4573" s="1">
        <v>24908</v>
      </c>
      <c r="B4573">
        <v>90.13</v>
      </c>
      <c r="C4573">
        <f t="shared" si="162"/>
        <v>1.2355385825002743E-2</v>
      </c>
      <c r="D4573">
        <f t="shared" si="161"/>
        <v>1.2718210463851218</v>
      </c>
    </row>
    <row r="4574" spans="1:4">
      <c r="A4574" s="1">
        <v>24909</v>
      </c>
      <c r="B4574">
        <v>90.23</v>
      </c>
      <c r="C4574">
        <f t="shared" si="162"/>
        <v>1.1095084877400258E-3</v>
      </c>
      <c r="D4574">
        <f t="shared" si="161"/>
        <v>8.426022222961925E-2</v>
      </c>
    </row>
    <row r="4575" spans="1:4">
      <c r="A4575" s="1">
        <v>24910</v>
      </c>
      <c r="B4575">
        <v>90.03</v>
      </c>
      <c r="C4575">
        <f t="shared" si="162"/>
        <v>-2.2165576859138072E-3</v>
      </c>
      <c r="D4575">
        <f t="shared" si="161"/>
        <v>-0.26697123512340082</v>
      </c>
    </row>
    <row r="4576" spans="1:4">
      <c r="A4576" s="1">
        <v>24911</v>
      </c>
      <c r="B4576">
        <v>88.32</v>
      </c>
      <c r="C4576">
        <f t="shared" si="162"/>
        <v>-1.8993668777074396E-2</v>
      </c>
      <c r="D4576">
        <f t="shared" si="161"/>
        <v>-2.0386284635328136</v>
      </c>
    </row>
    <row r="4577" spans="1:4">
      <c r="A4577" s="1">
        <v>24912</v>
      </c>
      <c r="B4577">
        <v>89.1</v>
      </c>
      <c r="C4577">
        <f t="shared" si="162"/>
        <v>8.831521739130448E-3</v>
      </c>
      <c r="D4577">
        <f t="shared" si="161"/>
        <v>0.89970219673660934</v>
      </c>
    </row>
    <row r="4578" spans="1:4">
      <c r="A4578" s="1">
        <v>24915</v>
      </c>
      <c r="B4578">
        <v>89.59</v>
      </c>
      <c r="C4578">
        <f t="shared" si="162"/>
        <v>5.4994388327722684E-3</v>
      </c>
      <c r="D4578">
        <f t="shared" si="161"/>
        <v>0.54783537445519703</v>
      </c>
    </row>
    <row r="4579" spans="1:4">
      <c r="A4579" s="1">
        <v>24916</v>
      </c>
      <c r="B4579">
        <v>88.99</v>
      </c>
      <c r="C4579">
        <f t="shared" si="162"/>
        <v>-6.6971760241099285E-3</v>
      </c>
      <c r="D4579">
        <f t="shared" si="161"/>
        <v>-0.74012300860073754</v>
      </c>
    </row>
    <row r="4580" spans="1:4">
      <c r="A4580" s="1">
        <v>24917</v>
      </c>
      <c r="B4580">
        <v>88.98</v>
      </c>
      <c r="C4580">
        <f t="shared" si="162"/>
        <v>-1.123721766489595E-4</v>
      </c>
      <c r="D4580">
        <f t="shared" si="161"/>
        <v>-4.4769960592439574E-2</v>
      </c>
    </row>
    <row r="4581" spans="1:4">
      <c r="A4581" s="1">
        <v>24918</v>
      </c>
      <c r="B4581">
        <v>88.33</v>
      </c>
      <c r="C4581">
        <f t="shared" si="162"/>
        <v>-7.3050123623286771E-3</v>
      </c>
      <c r="D4581">
        <f t="shared" si="161"/>
        <v>-0.80431031930302721</v>
      </c>
    </row>
    <row r="4582" spans="1:4">
      <c r="A4582" s="1">
        <v>24919</v>
      </c>
      <c r="B4582">
        <v>88.42</v>
      </c>
      <c r="C4582">
        <f t="shared" si="162"/>
        <v>1.018906373825466E-3</v>
      </c>
      <c r="D4582">
        <f t="shared" si="161"/>
        <v>7.469266979739661E-2</v>
      </c>
    </row>
    <row r="4583" spans="1:4">
      <c r="A4583" s="1">
        <v>24922</v>
      </c>
      <c r="B4583">
        <v>88.33</v>
      </c>
      <c r="C4583">
        <f t="shared" si="162"/>
        <v>-1.0178692603483761E-3</v>
      </c>
      <c r="D4583">
        <f t="shared" si="161"/>
        <v>-0.14039014483768431</v>
      </c>
    </row>
    <row r="4584" spans="1:4">
      <c r="A4584" s="1">
        <v>24923</v>
      </c>
      <c r="B4584">
        <v>88.93</v>
      </c>
      <c r="C4584">
        <f t="shared" si="162"/>
        <v>6.7927091588362793E-3</v>
      </c>
      <c r="D4584">
        <f t="shared" si="161"/>
        <v>0.68440428128361341</v>
      </c>
    </row>
    <row r="4585" spans="1:4">
      <c r="A4585" s="1">
        <v>24924</v>
      </c>
      <c r="B4585">
        <v>89.66</v>
      </c>
      <c r="C4585">
        <f t="shared" si="162"/>
        <v>8.2087034746428627E-3</v>
      </c>
      <c r="D4585">
        <f t="shared" si="161"/>
        <v>0.83393279971293466</v>
      </c>
    </row>
    <row r="4586" spans="1:4">
      <c r="A4586" s="1">
        <v>24925</v>
      </c>
      <c r="B4586">
        <v>89.57</v>
      </c>
      <c r="C4586">
        <f t="shared" si="162"/>
        <v>-1.0037921035021572E-3</v>
      </c>
      <c r="D4586">
        <f t="shared" si="161"/>
        <v>-0.13890360185978171</v>
      </c>
    </row>
    <row r="4587" spans="1:4">
      <c r="A4587" s="1">
        <v>24926</v>
      </c>
      <c r="B4587">
        <v>90.2</v>
      </c>
      <c r="C4587">
        <f t="shared" si="162"/>
        <v>7.0336050016747767E-3</v>
      </c>
      <c r="D4587">
        <f t="shared" si="161"/>
        <v>0.70984280040288328</v>
      </c>
    </row>
    <row r="4588" spans="1:4">
      <c r="A4588" s="1">
        <v>24929</v>
      </c>
      <c r="B4588">
        <v>92.48</v>
      </c>
      <c r="C4588">
        <f t="shared" si="162"/>
        <v>2.5277161862527729E-2</v>
      </c>
      <c r="D4588">
        <f t="shared" si="161"/>
        <v>2.6363562036226731</v>
      </c>
    </row>
    <row r="4589" spans="1:4">
      <c r="A4589" s="1">
        <v>24930</v>
      </c>
      <c r="B4589">
        <v>92.64</v>
      </c>
      <c r="C4589">
        <f t="shared" si="162"/>
        <v>1.7301038062283367E-3</v>
      </c>
      <c r="D4589">
        <f t="shared" si="161"/>
        <v>0.14979487691138657</v>
      </c>
    </row>
    <row r="4590" spans="1:4">
      <c r="A4590" s="1">
        <v>24931</v>
      </c>
      <c r="B4590">
        <v>93.47</v>
      </c>
      <c r="C4590">
        <f t="shared" si="162"/>
        <v>8.9594127806562861E-3</v>
      </c>
      <c r="D4590">
        <f t="shared" si="161"/>
        <v>0.91320744724946057</v>
      </c>
    </row>
    <row r="4591" spans="1:4">
      <c r="A4591" s="1">
        <v>24932</v>
      </c>
      <c r="B4591">
        <v>93.84</v>
      </c>
      <c r="C4591">
        <f t="shared" si="162"/>
        <v>3.9584893548732705E-3</v>
      </c>
      <c r="D4591">
        <f t="shared" si="161"/>
        <v>0.38511163338324023</v>
      </c>
    </row>
    <row r="4592" spans="1:4">
      <c r="A4592" s="1">
        <v>24933</v>
      </c>
      <c r="B4592">
        <v>93.29</v>
      </c>
      <c r="C4592">
        <f t="shared" si="162"/>
        <v>-5.8610400682011631E-3</v>
      </c>
      <c r="D4592">
        <f t="shared" si="161"/>
        <v>-0.65182733587319275</v>
      </c>
    </row>
    <row r="4593" spans="1:4">
      <c r="A4593" s="1">
        <v>24936</v>
      </c>
      <c r="B4593">
        <v>94.95</v>
      </c>
      <c r="C4593">
        <f t="shared" si="162"/>
        <v>1.7793975774466678E-2</v>
      </c>
      <c r="D4593">
        <f t="shared" si="161"/>
        <v>1.8461342963819674</v>
      </c>
    </row>
    <row r="4594" spans="1:4">
      <c r="A4594" s="1">
        <v>24938</v>
      </c>
      <c r="B4594">
        <v>95.67</v>
      </c>
      <c r="C4594">
        <f t="shared" si="162"/>
        <v>7.5829383886255805E-3</v>
      </c>
      <c r="D4594">
        <f t="shared" si="161"/>
        <v>0.76785221933739733</v>
      </c>
    </row>
    <row r="4595" spans="1:4">
      <c r="A4595" s="1">
        <v>24939</v>
      </c>
      <c r="B4595">
        <v>96.53</v>
      </c>
      <c r="C4595">
        <f t="shared" si="162"/>
        <v>8.9892338246054075E-3</v>
      </c>
      <c r="D4595">
        <f t="shared" si="161"/>
        <v>0.91635653935382244</v>
      </c>
    </row>
    <row r="4596" spans="1:4">
      <c r="A4596" s="1">
        <v>24943</v>
      </c>
      <c r="B4596">
        <v>96.59</v>
      </c>
      <c r="C4596">
        <f t="shared" si="162"/>
        <v>6.2156842432406793E-4</v>
      </c>
      <c r="D4596">
        <f t="shared" si="161"/>
        <v>3.2733917391780318E-2</v>
      </c>
    </row>
    <row r="4597" spans="1:4">
      <c r="A4597" s="1">
        <v>24944</v>
      </c>
      <c r="B4597">
        <v>96.62</v>
      </c>
      <c r="C4597">
        <f t="shared" si="162"/>
        <v>3.1059115850503297E-4</v>
      </c>
      <c r="D4597">
        <f t="shared" si="161"/>
        <v>-1.0517617240111995E-4</v>
      </c>
    </row>
    <row r="4598" spans="1:4">
      <c r="A4598" s="1">
        <v>24945</v>
      </c>
      <c r="B4598">
        <v>96.81</v>
      </c>
      <c r="C4598">
        <f t="shared" si="162"/>
        <v>1.9664665700682852E-3</v>
      </c>
      <c r="D4598">
        <f t="shared" si="161"/>
        <v>0.17475470442927798</v>
      </c>
    </row>
    <row r="4599" spans="1:4">
      <c r="A4599" s="1">
        <v>24946</v>
      </c>
      <c r="B4599">
        <v>97.08</v>
      </c>
      <c r="C4599">
        <f t="shared" si="162"/>
        <v>2.7889680818096894E-3</v>
      </c>
      <c r="D4599">
        <f t="shared" si="161"/>
        <v>0.26161058448732227</v>
      </c>
    </row>
    <row r="4600" spans="1:4">
      <c r="A4600" s="1">
        <v>24947</v>
      </c>
      <c r="B4600">
        <v>95.85</v>
      </c>
      <c r="C4600">
        <f t="shared" si="162"/>
        <v>-1.2669962917181747E-2</v>
      </c>
      <c r="D4600">
        <f t="shared" si="161"/>
        <v>-1.3708472742602118</v>
      </c>
    </row>
    <row r="4601" spans="1:4">
      <c r="A4601" s="1">
        <v>24950</v>
      </c>
      <c r="B4601">
        <v>95.32</v>
      </c>
      <c r="C4601">
        <f t="shared" si="162"/>
        <v>-5.52947313510695E-3</v>
      </c>
      <c r="D4601">
        <f t="shared" si="161"/>
        <v>-0.61681398044352043</v>
      </c>
    </row>
    <row r="4602" spans="1:4">
      <c r="A4602" s="1">
        <v>24951</v>
      </c>
      <c r="B4602">
        <v>96.62</v>
      </c>
      <c r="C4602">
        <f t="shared" si="162"/>
        <v>1.3638271086865416E-2</v>
      </c>
      <c r="D4602">
        <f t="shared" si="161"/>
        <v>1.407293293963932</v>
      </c>
    </row>
    <row r="4603" spans="1:4">
      <c r="A4603" s="1">
        <v>24952</v>
      </c>
      <c r="B4603">
        <v>96.92</v>
      </c>
      <c r="C4603">
        <f t="shared" si="162"/>
        <v>3.1049472158973003E-3</v>
      </c>
      <c r="D4603">
        <f t="shared" si="161"/>
        <v>0.2949778736404477</v>
      </c>
    </row>
    <row r="4604" spans="1:4">
      <c r="A4604" s="1">
        <v>24953</v>
      </c>
      <c r="B4604">
        <v>96.62</v>
      </c>
      <c r="C4604">
        <f t="shared" si="162"/>
        <v>-3.0953363598844115E-3</v>
      </c>
      <c r="D4604">
        <f t="shared" si="161"/>
        <v>-0.35976996438331171</v>
      </c>
    </row>
    <row r="4605" spans="1:4">
      <c r="A4605" s="1">
        <v>24954</v>
      </c>
      <c r="B4605">
        <v>97.21</v>
      </c>
      <c r="C4605">
        <f t="shared" si="162"/>
        <v>6.1063961912646361E-3</v>
      </c>
      <c r="D4605">
        <f t="shared" si="161"/>
        <v>0.61192986519716053</v>
      </c>
    </row>
    <row r="4606" spans="1:4">
      <c r="A4606" s="1">
        <v>24957</v>
      </c>
      <c r="B4606">
        <v>97.97</v>
      </c>
      <c r="C4606">
        <f t="shared" si="162"/>
        <v>7.8181257072318187E-3</v>
      </c>
      <c r="D4606">
        <f t="shared" si="161"/>
        <v>0.79268792023816215</v>
      </c>
    </row>
    <row r="4607" spans="1:4">
      <c r="A4607" s="1">
        <v>24958</v>
      </c>
      <c r="B4607">
        <v>97.46</v>
      </c>
      <c r="C4607">
        <f t="shared" si="162"/>
        <v>-5.2056752066959797E-3</v>
      </c>
      <c r="D4607">
        <f t="shared" si="161"/>
        <v>-0.58262102926758563</v>
      </c>
    </row>
    <row r="4608" spans="1:4">
      <c r="A4608" s="1">
        <v>24959</v>
      </c>
      <c r="B4608">
        <v>97.97</v>
      </c>
      <c r="C4608">
        <f t="shared" si="162"/>
        <v>5.2329160681305678E-3</v>
      </c>
      <c r="D4608">
        <f t="shared" si="161"/>
        <v>0.51969066110452289</v>
      </c>
    </row>
    <row r="4609" spans="1:4">
      <c r="A4609" s="1">
        <v>24960</v>
      </c>
      <c r="B4609">
        <v>98.59</v>
      </c>
      <c r="C4609">
        <f t="shared" si="162"/>
        <v>6.3284678983362716E-3</v>
      </c>
      <c r="D4609">
        <f t="shared" si="161"/>
        <v>0.63538056197808435</v>
      </c>
    </row>
    <row r="4610" spans="1:4">
      <c r="A4610" s="1">
        <v>24961</v>
      </c>
      <c r="B4610">
        <v>98.66</v>
      </c>
      <c r="C4610">
        <f t="shared" si="162"/>
        <v>7.1001115731811717E-4</v>
      </c>
      <c r="D4610">
        <f t="shared" si="161"/>
        <v>4.2073439932806274E-2</v>
      </c>
    </row>
    <row r="4611" spans="1:4">
      <c r="A4611" s="1">
        <v>24964</v>
      </c>
      <c r="B4611">
        <v>98.35</v>
      </c>
      <c r="C4611">
        <f t="shared" si="162"/>
        <v>-3.1421041962294981E-3</v>
      </c>
      <c r="D4611">
        <f t="shared" ref="D4611:D4674" si="163">(C4611-avg)/sd</f>
        <v>-0.36470863200419285</v>
      </c>
    </row>
    <row r="4612" spans="1:4">
      <c r="A4612" s="1">
        <v>24965</v>
      </c>
      <c r="B4612">
        <v>98.9</v>
      </c>
      <c r="C4612">
        <f t="shared" ref="C4612:C4675" si="164">(B4612-B4611)/B4611</f>
        <v>5.592272496187203E-3</v>
      </c>
      <c r="D4612">
        <f t="shared" si="163"/>
        <v>0.55763857775611869</v>
      </c>
    </row>
    <row r="4613" spans="1:4">
      <c r="A4613" s="1">
        <v>24966</v>
      </c>
      <c r="B4613">
        <v>98.91</v>
      </c>
      <c r="C4613">
        <f t="shared" si="164"/>
        <v>1.0111223458029226E-4</v>
      </c>
      <c r="D4613">
        <f t="shared" si="163"/>
        <v>-2.2226079333507807E-2</v>
      </c>
    </row>
    <row r="4614" spans="1:4">
      <c r="A4614" s="1">
        <v>24967</v>
      </c>
      <c r="B4614">
        <v>98.39</v>
      </c>
      <c r="C4614">
        <f t="shared" si="164"/>
        <v>-5.257304620361905E-3</v>
      </c>
      <c r="D4614">
        <f t="shared" si="163"/>
        <v>-0.58807307780101692</v>
      </c>
    </row>
    <row r="4615" spans="1:4">
      <c r="A4615" s="1">
        <v>24968</v>
      </c>
      <c r="B4615">
        <v>98.5</v>
      </c>
      <c r="C4615">
        <f t="shared" si="164"/>
        <v>1.1179997967273039E-3</v>
      </c>
      <c r="D4615">
        <f t="shared" si="163"/>
        <v>8.5156901572339641E-2</v>
      </c>
    </row>
    <row r="4616" spans="1:4">
      <c r="A4616" s="1">
        <v>24971</v>
      </c>
      <c r="B4616">
        <v>98.19</v>
      </c>
      <c r="C4616">
        <f t="shared" si="164"/>
        <v>-3.1472081218274343E-3</v>
      </c>
      <c r="D4616">
        <f t="shared" si="163"/>
        <v>-0.3652476048124263</v>
      </c>
    </row>
    <row r="4617" spans="1:4">
      <c r="A4617" s="1">
        <v>24972</v>
      </c>
      <c r="B4617">
        <v>98.12</v>
      </c>
      <c r="C4617">
        <f t="shared" si="164"/>
        <v>-7.1290355433336575E-4</v>
      </c>
      <c r="D4617">
        <f t="shared" si="163"/>
        <v>-0.10818586994537942</v>
      </c>
    </row>
    <row r="4618" spans="1:4">
      <c r="A4618" s="1">
        <v>24973</v>
      </c>
      <c r="B4618">
        <v>98.07</v>
      </c>
      <c r="C4618">
        <f t="shared" si="164"/>
        <v>-5.0958010599277785E-4</v>
      </c>
      <c r="D4618">
        <f t="shared" si="163"/>
        <v>-8.6714982913611433E-2</v>
      </c>
    </row>
    <row r="4619" spans="1:4">
      <c r="A4619" s="1">
        <v>24974</v>
      </c>
      <c r="B4619">
        <v>97.6</v>
      </c>
      <c r="C4619">
        <f t="shared" si="164"/>
        <v>-4.7924951565208413E-3</v>
      </c>
      <c r="D4619">
        <f t="shared" si="163"/>
        <v>-0.53898935641581402</v>
      </c>
    </row>
    <row r="4620" spans="1:4">
      <c r="A4620" s="1">
        <v>24975</v>
      </c>
      <c r="B4620">
        <v>96.9</v>
      </c>
      <c r="C4620">
        <f t="shared" si="164"/>
        <v>-7.1721311475408675E-3</v>
      </c>
      <c r="D4620">
        <f t="shared" si="163"/>
        <v>-0.79027810818995403</v>
      </c>
    </row>
    <row r="4621" spans="1:4">
      <c r="A4621" s="1">
        <v>24978</v>
      </c>
      <c r="B4621">
        <v>96.45</v>
      </c>
      <c r="C4621">
        <f t="shared" si="164"/>
        <v>-4.643962848297243E-3</v>
      </c>
      <c r="D4621">
        <f t="shared" si="163"/>
        <v>-0.5233043951559867</v>
      </c>
    </row>
    <row r="4622" spans="1:4">
      <c r="A4622" s="1">
        <v>24979</v>
      </c>
      <c r="B4622">
        <v>96.93</v>
      </c>
      <c r="C4622">
        <f t="shared" si="164"/>
        <v>4.9766718506998858E-3</v>
      </c>
      <c r="D4622">
        <f t="shared" si="163"/>
        <v>0.49263135884548448</v>
      </c>
    </row>
    <row r="4623" spans="1:4">
      <c r="A4623" s="1">
        <v>24980</v>
      </c>
      <c r="B4623">
        <v>97.18</v>
      </c>
      <c r="C4623">
        <f t="shared" si="164"/>
        <v>2.5791808521613536E-3</v>
      </c>
      <c r="D4623">
        <f t="shared" si="163"/>
        <v>0.23945712434660213</v>
      </c>
    </row>
    <row r="4624" spans="1:4">
      <c r="A4624" s="1">
        <v>24981</v>
      </c>
      <c r="B4624">
        <v>96.97</v>
      </c>
      <c r="C4624">
        <f t="shared" si="164"/>
        <v>-2.1609384647047537E-3</v>
      </c>
      <c r="D4624">
        <f t="shared" si="163"/>
        <v>-0.26109786426961662</v>
      </c>
    </row>
    <row r="4625" spans="1:4">
      <c r="A4625" s="1">
        <v>24982</v>
      </c>
      <c r="B4625">
        <v>97.15</v>
      </c>
      <c r="C4625">
        <f t="shared" si="164"/>
        <v>1.8562441992369479E-3</v>
      </c>
      <c r="D4625">
        <f t="shared" si="163"/>
        <v>0.16311525953589301</v>
      </c>
    </row>
    <row r="4626" spans="1:4">
      <c r="A4626" s="1">
        <v>24985</v>
      </c>
      <c r="B4626">
        <v>96.99</v>
      </c>
      <c r="C4626">
        <f t="shared" si="164"/>
        <v>-1.6469377251673782E-3</v>
      </c>
      <c r="D4626">
        <f t="shared" si="163"/>
        <v>-0.20681956089181022</v>
      </c>
    </row>
    <row r="4627" spans="1:4">
      <c r="A4627" s="1">
        <v>24986</v>
      </c>
      <c r="B4627">
        <v>97.62</v>
      </c>
      <c r="C4627">
        <f t="shared" si="164"/>
        <v>6.4955150015466511E-3</v>
      </c>
      <c r="D4627">
        <f t="shared" si="163"/>
        <v>0.65302067929503116</v>
      </c>
    </row>
    <row r="4628" spans="1:4">
      <c r="A4628" s="1">
        <v>24987</v>
      </c>
      <c r="B4628">
        <v>97.92</v>
      </c>
      <c r="C4628">
        <f t="shared" si="164"/>
        <v>3.0731407498463138E-3</v>
      </c>
      <c r="D4628">
        <f t="shared" si="163"/>
        <v>0.2916191216370066</v>
      </c>
    </row>
    <row r="4629" spans="1:4">
      <c r="A4629" s="1">
        <v>24989</v>
      </c>
      <c r="B4629">
        <v>98.68</v>
      </c>
      <c r="C4629">
        <f t="shared" si="164"/>
        <v>7.7614379084967842E-3</v>
      </c>
      <c r="D4629">
        <f t="shared" si="163"/>
        <v>0.78670170796086158</v>
      </c>
    </row>
    <row r="4630" spans="1:4">
      <c r="A4630" s="1">
        <v>24992</v>
      </c>
      <c r="B4630">
        <v>99.99</v>
      </c>
      <c r="C4630">
        <f t="shared" si="164"/>
        <v>1.3275233076611147E-2</v>
      </c>
      <c r="D4630">
        <f t="shared" si="163"/>
        <v>1.3689566034836966</v>
      </c>
    </row>
    <row r="4631" spans="1:4">
      <c r="A4631" s="1">
        <v>24993</v>
      </c>
      <c r="B4631">
        <v>100.38</v>
      </c>
      <c r="C4631">
        <f t="shared" si="164"/>
        <v>3.9003900390039061E-3</v>
      </c>
      <c r="D4631">
        <f t="shared" si="163"/>
        <v>0.37897636537635238</v>
      </c>
    </row>
    <row r="4632" spans="1:4">
      <c r="A4632" s="1">
        <v>24994</v>
      </c>
      <c r="B4632">
        <v>99.89</v>
      </c>
      <c r="C4632">
        <f t="shared" si="164"/>
        <v>-4.8814504881449982E-3</v>
      </c>
      <c r="D4632">
        <f t="shared" si="163"/>
        <v>-0.54838300919793859</v>
      </c>
    </row>
    <row r="4633" spans="1:4">
      <c r="A4633" s="1">
        <v>24995</v>
      </c>
      <c r="B4633">
        <v>100.65</v>
      </c>
      <c r="C4633">
        <f t="shared" si="164"/>
        <v>7.6083692061267904E-3</v>
      </c>
      <c r="D4633">
        <f t="shared" si="163"/>
        <v>0.77053770502117014</v>
      </c>
    </row>
    <row r="4634" spans="1:4">
      <c r="A4634" s="1">
        <v>24996</v>
      </c>
      <c r="B4634">
        <v>101.27</v>
      </c>
      <c r="C4634">
        <f t="shared" si="164"/>
        <v>6.1599602583208178E-3</v>
      </c>
      <c r="D4634">
        <f t="shared" si="163"/>
        <v>0.61758621247098233</v>
      </c>
    </row>
    <row r="4635" spans="1:4">
      <c r="A4635" s="1">
        <v>24999</v>
      </c>
      <c r="B4635">
        <v>101.41</v>
      </c>
      <c r="C4635">
        <f t="shared" si="164"/>
        <v>1.3824429742273188E-3</v>
      </c>
      <c r="D4635">
        <f t="shared" si="163"/>
        <v>0.11308201122773773</v>
      </c>
    </row>
    <row r="4636" spans="1:4">
      <c r="A4636" s="1">
        <v>25000</v>
      </c>
      <c r="B4636">
        <v>101.66</v>
      </c>
      <c r="C4636">
        <f t="shared" si="164"/>
        <v>2.4652401143871413E-3</v>
      </c>
      <c r="D4636">
        <f t="shared" si="163"/>
        <v>0.22742502116798391</v>
      </c>
    </row>
    <row r="4637" spans="1:4">
      <c r="A4637" s="1">
        <v>25002</v>
      </c>
      <c r="B4637">
        <v>101.25</v>
      </c>
      <c r="C4637">
        <f t="shared" si="164"/>
        <v>-4.0330513476293196E-3</v>
      </c>
      <c r="D4637">
        <f t="shared" si="163"/>
        <v>-0.45879234834436267</v>
      </c>
    </row>
    <row r="4638" spans="1:4">
      <c r="A4638" s="1">
        <v>25003</v>
      </c>
      <c r="B4638">
        <v>101.13</v>
      </c>
      <c r="C4638">
        <f t="shared" si="164"/>
        <v>-1.1851851851852301E-3</v>
      </c>
      <c r="D4638">
        <f t="shared" si="163"/>
        <v>-0.15805864962700988</v>
      </c>
    </row>
    <row r="4639" spans="1:4">
      <c r="A4639" s="1">
        <v>25006</v>
      </c>
      <c r="B4639">
        <v>100.13</v>
      </c>
      <c r="C4639">
        <f t="shared" si="164"/>
        <v>-9.8882626322555137E-3</v>
      </c>
      <c r="D4639">
        <f t="shared" si="163"/>
        <v>-1.0771006697178702</v>
      </c>
    </row>
    <row r="4640" spans="1:4">
      <c r="A4640" s="1">
        <v>25007</v>
      </c>
      <c r="B4640">
        <v>99.99</v>
      </c>
      <c r="C4640">
        <f t="shared" si="164"/>
        <v>-1.3981823629281992E-3</v>
      </c>
      <c r="D4640">
        <f t="shared" si="163"/>
        <v>-0.18055107919540891</v>
      </c>
    </row>
    <row r="4641" spans="1:4">
      <c r="A4641" s="1">
        <v>25009</v>
      </c>
      <c r="B4641">
        <v>101.51</v>
      </c>
      <c r="C4641">
        <f t="shared" si="164"/>
        <v>1.5201520152015304E-2</v>
      </c>
      <c r="D4641">
        <f t="shared" si="163"/>
        <v>1.5723718638695847</v>
      </c>
    </row>
    <row r="4642" spans="1:4">
      <c r="A4642" s="1">
        <v>25010</v>
      </c>
      <c r="B4642">
        <v>100.66</v>
      </c>
      <c r="C4642">
        <f t="shared" si="164"/>
        <v>-8.3735592552458722E-3</v>
      </c>
      <c r="D4642">
        <f t="shared" si="163"/>
        <v>-0.91714850797834624</v>
      </c>
    </row>
    <row r="4643" spans="1:4">
      <c r="A4643" s="1">
        <v>25013</v>
      </c>
      <c r="B4643">
        <v>100.39</v>
      </c>
      <c r="C4643">
        <f t="shared" si="164"/>
        <v>-2.6822968408503479E-3</v>
      </c>
      <c r="D4643">
        <f t="shared" si="163"/>
        <v>-0.31615313157226876</v>
      </c>
    </row>
    <row r="4644" spans="1:4">
      <c r="A4644" s="1">
        <v>25014</v>
      </c>
      <c r="B4644">
        <v>100.08</v>
      </c>
      <c r="C4644">
        <f t="shared" si="164"/>
        <v>-3.0879569678255031E-3</v>
      </c>
      <c r="D4644">
        <f t="shared" si="163"/>
        <v>-0.3589907030902682</v>
      </c>
    </row>
    <row r="4645" spans="1:4">
      <c r="A4645" s="1">
        <v>25016</v>
      </c>
      <c r="B4645">
        <v>99.98</v>
      </c>
      <c r="C4645">
        <f t="shared" si="164"/>
        <v>-9.9920063948835246E-4</v>
      </c>
      <c r="D4645">
        <f t="shared" si="163"/>
        <v>-0.13841874482063835</v>
      </c>
    </row>
    <row r="4646" spans="1:4">
      <c r="A4646" s="1">
        <v>25017</v>
      </c>
      <c r="B4646">
        <v>99.58</v>
      </c>
      <c r="C4646">
        <f t="shared" si="164"/>
        <v>-4.0008001600320628E-3</v>
      </c>
      <c r="D4646">
        <f t="shared" si="163"/>
        <v>-0.45538663389680367</v>
      </c>
    </row>
    <row r="4647" spans="1:4">
      <c r="A4647" s="1">
        <v>25020</v>
      </c>
      <c r="B4647">
        <v>99.4</v>
      </c>
      <c r="C4647">
        <f t="shared" si="164"/>
        <v>-1.8075918859207934E-3</v>
      </c>
      <c r="D4647">
        <f t="shared" si="163"/>
        <v>-0.22378458565836834</v>
      </c>
    </row>
    <row r="4648" spans="1:4">
      <c r="A4648" s="1">
        <v>25021</v>
      </c>
      <c r="B4648">
        <v>99.74</v>
      </c>
      <c r="C4648">
        <f t="shared" si="164"/>
        <v>3.4205231388328892E-3</v>
      </c>
      <c r="D4648">
        <f t="shared" si="163"/>
        <v>0.32830258383297772</v>
      </c>
    </row>
    <row r="4649" spans="1:4">
      <c r="A4649" s="1">
        <v>25022</v>
      </c>
      <c r="B4649">
        <v>100.91</v>
      </c>
      <c r="C4649">
        <f t="shared" si="164"/>
        <v>1.1730499298175273E-2</v>
      </c>
      <c r="D4649">
        <f t="shared" si="163"/>
        <v>1.2058332415613919</v>
      </c>
    </row>
    <row r="4650" spans="1:4">
      <c r="A4650" s="1">
        <v>25027</v>
      </c>
      <c r="B4650">
        <v>101.94</v>
      </c>
      <c r="C4650">
        <f t="shared" si="164"/>
        <v>1.0207115251213964E-2</v>
      </c>
      <c r="D4650">
        <f t="shared" si="163"/>
        <v>1.0449644040256749</v>
      </c>
    </row>
    <row r="4651" spans="1:4">
      <c r="A4651" s="1">
        <v>25028</v>
      </c>
      <c r="B4651">
        <v>102.23</v>
      </c>
      <c r="C4651">
        <f t="shared" si="164"/>
        <v>2.8448106729449308E-3</v>
      </c>
      <c r="D4651">
        <f t="shared" si="163"/>
        <v>0.26750754312938474</v>
      </c>
    </row>
    <row r="4652" spans="1:4">
      <c r="A4652" s="1">
        <v>25030</v>
      </c>
      <c r="B4652">
        <v>102.39</v>
      </c>
      <c r="C4652">
        <f t="shared" si="164"/>
        <v>1.5650983077374213E-3</v>
      </c>
      <c r="D4652">
        <f t="shared" si="163"/>
        <v>0.13237035235884001</v>
      </c>
    </row>
    <row r="4653" spans="1:4">
      <c r="A4653" s="1">
        <v>25031</v>
      </c>
      <c r="B4653">
        <v>102.34</v>
      </c>
      <c r="C4653">
        <f t="shared" si="164"/>
        <v>-4.8832893837286021E-4</v>
      </c>
      <c r="D4653">
        <f t="shared" si="163"/>
        <v>-8.4470866836570985E-2</v>
      </c>
    </row>
    <row r="4654" spans="1:4">
      <c r="A4654" s="1">
        <v>25034</v>
      </c>
      <c r="B4654">
        <v>102.26</v>
      </c>
      <c r="C4654">
        <f t="shared" si="164"/>
        <v>-7.8170803205001259E-4</v>
      </c>
      <c r="D4654">
        <f t="shared" si="163"/>
        <v>-0.11545159940447899</v>
      </c>
    </row>
    <row r="4655" spans="1:4">
      <c r="A4655" s="1">
        <v>25035</v>
      </c>
      <c r="B4655">
        <v>101.7</v>
      </c>
      <c r="C4655">
        <f t="shared" si="164"/>
        <v>-5.4762370428320184E-3</v>
      </c>
      <c r="D4655">
        <f t="shared" si="163"/>
        <v>-0.61119226719511466</v>
      </c>
    </row>
    <row r="4656" spans="1:4">
      <c r="A4656" s="1">
        <v>25037</v>
      </c>
      <c r="B4656">
        <v>101.44</v>
      </c>
      <c r="C4656">
        <f t="shared" si="164"/>
        <v>-2.5565388397247308E-3</v>
      </c>
      <c r="D4656">
        <f t="shared" si="163"/>
        <v>-0.30287312940062516</v>
      </c>
    </row>
    <row r="4657" spans="1:4">
      <c r="A4657" s="1">
        <v>25038</v>
      </c>
      <c r="B4657">
        <v>100.46</v>
      </c>
      <c r="C4657">
        <f t="shared" si="164"/>
        <v>-9.6608832807571366E-3</v>
      </c>
      <c r="D4657">
        <f t="shared" si="163"/>
        <v>-1.0530894874896384</v>
      </c>
    </row>
    <row r="4658" spans="1:4">
      <c r="A4658" s="1">
        <v>25041</v>
      </c>
      <c r="B4658">
        <v>99.33</v>
      </c>
      <c r="C4658">
        <f t="shared" si="164"/>
        <v>-1.1248258013139513E-2</v>
      </c>
      <c r="D4658">
        <f t="shared" si="163"/>
        <v>-1.2207157196543292</v>
      </c>
    </row>
    <row r="4659" spans="1:4">
      <c r="A4659" s="1">
        <v>25042</v>
      </c>
      <c r="B4659">
        <v>99.21</v>
      </c>
      <c r="C4659">
        <f t="shared" si="164"/>
        <v>-1.208094231350091E-3</v>
      </c>
      <c r="D4659">
        <f t="shared" si="163"/>
        <v>-0.16047783711485605</v>
      </c>
    </row>
    <row r="4660" spans="1:4">
      <c r="A4660" s="1">
        <v>25044</v>
      </c>
      <c r="B4660">
        <v>97.94</v>
      </c>
      <c r="C4660">
        <f t="shared" si="164"/>
        <v>-1.2801128918455761E-2</v>
      </c>
      <c r="D4660">
        <f t="shared" si="163"/>
        <v>-1.3846983594092577</v>
      </c>
    </row>
    <row r="4661" spans="1:4">
      <c r="A4661" s="1">
        <v>25045</v>
      </c>
      <c r="B4661">
        <v>98.34</v>
      </c>
      <c r="C4661">
        <f t="shared" si="164"/>
        <v>4.0841331427405115E-3</v>
      </c>
      <c r="D4661">
        <f t="shared" si="163"/>
        <v>0.39837957467362234</v>
      </c>
    </row>
    <row r="4662" spans="1:4">
      <c r="A4662" s="1">
        <v>25048</v>
      </c>
      <c r="B4662">
        <v>97.65</v>
      </c>
      <c r="C4662">
        <f t="shared" si="164"/>
        <v>-7.0164734594264566E-3</v>
      </c>
      <c r="D4662">
        <f t="shared" si="163"/>
        <v>-0.77384070923569126</v>
      </c>
    </row>
    <row r="4663" spans="1:4">
      <c r="A4663" s="1">
        <v>25049</v>
      </c>
      <c r="B4663">
        <v>97.74</v>
      </c>
      <c r="C4663">
        <f t="shared" si="164"/>
        <v>9.2165898617500451E-4</v>
      </c>
      <c r="D4663">
        <f t="shared" si="163"/>
        <v>6.4423378717501034E-2</v>
      </c>
    </row>
    <row r="4664" spans="1:4">
      <c r="A4664" s="1">
        <v>25051</v>
      </c>
      <c r="B4664">
        <v>97.28</v>
      </c>
      <c r="C4664">
        <f t="shared" si="164"/>
        <v>-4.7063638223858581E-3</v>
      </c>
      <c r="D4664">
        <f t="shared" si="163"/>
        <v>-0.52989391680862274</v>
      </c>
    </row>
    <row r="4665" spans="1:4">
      <c r="A4665" s="1">
        <v>25052</v>
      </c>
      <c r="B4665">
        <v>96.63</v>
      </c>
      <c r="C4665">
        <f t="shared" si="164"/>
        <v>-6.6817434210526896E-3</v>
      </c>
      <c r="D4665">
        <f t="shared" si="163"/>
        <v>-0.73849333096368985</v>
      </c>
    </row>
    <row r="4666" spans="1:4">
      <c r="A4666" s="1">
        <v>25055</v>
      </c>
      <c r="B4666">
        <v>96.85</v>
      </c>
      <c r="C4666">
        <f t="shared" si="164"/>
        <v>2.2767256545586142E-3</v>
      </c>
      <c r="D4666">
        <f t="shared" si="163"/>
        <v>0.20751795828926978</v>
      </c>
    </row>
    <row r="4667" spans="1:4">
      <c r="A4667" s="1">
        <v>25056</v>
      </c>
      <c r="B4667">
        <v>97.25</v>
      </c>
      <c r="C4667">
        <f t="shared" si="164"/>
        <v>4.1300980898296927E-3</v>
      </c>
      <c r="D4667">
        <f t="shared" si="163"/>
        <v>0.40323345746199518</v>
      </c>
    </row>
    <row r="4668" spans="1:4">
      <c r="A4668" s="1">
        <v>25058</v>
      </c>
      <c r="B4668">
        <v>97.04</v>
      </c>
      <c r="C4668">
        <f t="shared" si="164"/>
        <v>-2.159383033418959E-3</v>
      </c>
      <c r="D4668">
        <f t="shared" si="163"/>
        <v>-0.2609336112545535</v>
      </c>
    </row>
    <row r="4669" spans="1:4">
      <c r="A4669" s="1">
        <v>25059</v>
      </c>
      <c r="B4669">
        <v>97.01</v>
      </c>
      <c r="C4669">
        <f t="shared" si="164"/>
        <v>-3.0915086562243545E-4</v>
      </c>
      <c r="D4669">
        <f t="shared" si="163"/>
        <v>-6.5549723259712311E-2</v>
      </c>
    </row>
    <row r="4670" spans="1:4">
      <c r="A4670" s="1">
        <v>25062</v>
      </c>
      <c r="B4670">
        <v>98.01</v>
      </c>
      <c r="C4670">
        <f t="shared" si="164"/>
        <v>1.0308215647871353E-2</v>
      </c>
      <c r="D4670">
        <f t="shared" si="163"/>
        <v>1.0556405715470008</v>
      </c>
    </row>
    <row r="4671" spans="1:4">
      <c r="A4671" s="1">
        <v>25063</v>
      </c>
      <c r="B4671">
        <v>98.53</v>
      </c>
      <c r="C4671">
        <f t="shared" si="164"/>
        <v>5.3055810631567795E-3</v>
      </c>
      <c r="D4671">
        <f t="shared" si="163"/>
        <v>0.52736405987925894</v>
      </c>
    </row>
    <row r="4672" spans="1:4">
      <c r="A4672" s="1">
        <v>25065</v>
      </c>
      <c r="B4672">
        <v>98.07</v>
      </c>
      <c r="C4672">
        <f t="shared" si="164"/>
        <v>-4.6686288440069825E-3</v>
      </c>
      <c r="D4672">
        <f t="shared" si="163"/>
        <v>-0.52590911591855583</v>
      </c>
    </row>
    <row r="4673" spans="1:4">
      <c r="A4673" s="1">
        <v>25066</v>
      </c>
      <c r="B4673">
        <v>98.68</v>
      </c>
      <c r="C4673">
        <f t="shared" si="164"/>
        <v>6.2200469052718843E-3</v>
      </c>
      <c r="D4673">
        <f t="shared" si="163"/>
        <v>0.62393134196457123</v>
      </c>
    </row>
    <row r="4674" spans="1:4">
      <c r="A4674" s="1">
        <v>25069</v>
      </c>
      <c r="B4674">
        <v>99</v>
      </c>
      <c r="C4674">
        <f t="shared" si="164"/>
        <v>3.2428050263477214E-3</v>
      </c>
      <c r="D4674">
        <f t="shared" si="163"/>
        <v>0.30953561156386555</v>
      </c>
    </row>
    <row r="4675" spans="1:4">
      <c r="A4675" s="1">
        <v>25070</v>
      </c>
      <c r="B4675">
        <v>98.96</v>
      </c>
      <c r="C4675">
        <f t="shared" si="164"/>
        <v>-4.0404040404046719E-4</v>
      </c>
      <c r="D4675">
        <f t="shared" ref="D4675:D4738" si="165">(C4675-avg)/sd</f>
        <v>-7.5570026262135187E-2</v>
      </c>
    </row>
    <row r="4676" spans="1:4">
      <c r="A4676" s="1">
        <v>25072</v>
      </c>
      <c r="B4676">
        <v>98.7</v>
      </c>
      <c r="C4676">
        <f t="shared" ref="C4676:C4739" si="166">(B4676-B4675)/B4675</f>
        <v>-2.627324171382285E-3</v>
      </c>
      <c r="D4676">
        <f t="shared" si="165"/>
        <v>-0.31034803636255953</v>
      </c>
    </row>
    <row r="4677" spans="1:4">
      <c r="A4677" s="1">
        <v>25073</v>
      </c>
      <c r="B4677">
        <v>98.69</v>
      </c>
      <c r="C4677">
        <f t="shared" si="166"/>
        <v>-1.0131712259377017E-4</v>
      </c>
      <c r="D4677">
        <f t="shared" si="165"/>
        <v>-4.3602550642007035E-2</v>
      </c>
    </row>
    <row r="4678" spans="1:4">
      <c r="A4678" s="1">
        <v>25076</v>
      </c>
      <c r="B4678">
        <v>98.94</v>
      </c>
      <c r="C4678">
        <f t="shared" si="166"/>
        <v>2.53318471982977E-3</v>
      </c>
      <c r="D4678">
        <f t="shared" si="165"/>
        <v>0.23459994840723195</v>
      </c>
    </row>
    <row r="4679" spans="1:4">
      <c r="A4679" s="1">
        <v>25077</v>
      </c>
      <c r="B4679">
        <v>98.81</v>
      </c>
      <c r="C4679">
        <f t="shared" si="166"/>
        <v>-1.3139276329087878E-3</v>
      </c>
      <c r="D4679">
        <f t="shared" si="165"/>
        <v>-0.17165380834493332</v>
      </c>
    </row>
    <row r="4680" spans="1:4">
      <c r="A4680" s="1">
        <v>25079</v>
      </c>
      <c r="B4680">
        <v>98.74</v>
      </c>
      <c r="C4680">
        <f t="shared" si="166"/>
        <v>-7.0843032081780572E-4</v>
      </c>
      <c r="D4680">
        <f t="shared" si="165"/>
        <v>-0.10771349800666222</v>
      </c>
    </row>
    <row r="4681" spans="1:4">
      <c r="A4681" s="1">
        <v>25080</v>
      </c>
      <c r="B4681">
        <v>98.86</v>
      </c>
      <c r="C4681">
        <f t="shared" si="166"/>
        <v>1.2153129430828899E-3</v>
      </c>
      <c r="D4681">
        <f t="shared" si="165"/>
        <v>9.5433136749143888E-2</v>
      </c>
    </row>
    <row r="4682" spans="1:4">
      <c r="A4682" s="1">
        <v>25084</v>
      </c>
      <c r="B4682">
        <v>99.32</v>
      </c>
      <c r="C4682">
        <f t="shared" si="166"/>
        <v>4.6530447096904083E-3</v>
      </c>
      <c r="D4682">
        <f t="shared" si="165"/>
        <v>0.45845644276109382</v>
      </c>
    </row>
    <row r="4683" spans="1:4">
      <c r="A4683" s="1">
        <v>25085</v>
      </c>
      <c r="B4683">
        <v>100.02</v>
      </c>
      <c r="C4683">
        <f t="shared" si="166"/>
        <v>7.0479258960934642E-3</v>
      </c>
      <c r="D4683">
        <f t="shared" si="165"/>
        <v>0.71135508198558817</v>
      </c>
    </row>
    <row r="4684" spans="1:4">
      <c r="A4684" s="1">
        <v>25086</v>
      </c>
      <c r="B4684">
        <v>100.74</v>
      </c>
      <c r="C4684">
        <f t="shared" si="166"/>
        <v>7.1985602879424005E-3</v>
      </c>
      <c r="D4684">
        <f t="shared" si="165"/>
        <v>0.72726202256171812</v>
      </c>
    </row>
    <row r="4685" spans="1:4">
      <c r="A4685" s="1">
        <v>25087</v>
      </c>
      <c r="B4685">
        <v>101.2</v>
      </c>
      <c r="C4685">
        <f t="shared" si="166"/>
        <v>4.56621004566218E-3</v>
      </c>
      <c r="D4685">
        <f t="shared" si="165"/>
        <v>0.44928673175624934</v>
      </c>
    </row>
    <row r="4686" spans="1:4">
      <c r="A4686" s="1">
        <v>25090</v>
      </c>
      <c r="B4686">
        <v>101.23</v>
      </c>
      <c r="C4686">
        <f t="shared" si="166"/>
        <v>2.9644268774704682E-4</v>
      </c>
      <c r="D4686">
        <f t="shared" si="165"/>
        <v>-1.5992498751455754E-3</v>
      </c>
    </row>
    <row r="4687" spans="1:4">
      <c r="A4687" s="1">
        <v>25091</v>
      </c>
      <c r="B4687">
        <v>100.73</v>
      </c>
      <c r="C4687">
        <f t="shared" si="166"/>
        <v>-4.9392472587177711E-3</v>
      </c>
      <c r="D4687">
        <f t="shared" si="165"/>
        <v>-0.55448632852434654</v>
      </c>
    </row>
    <row r="4688" spans="1:4">
      <c r="A4688" s="1">
        <v>25093</v>
      </c>
      <c r="B4688">
        <v>100.52</v>
      </c>
      <c r="C4688">
        <f t="shared" si="166"/>
        <v>-2.0847810979847904E-3</v>
      </c>
      <c r="D4688">
        <f t="shared" si="165"/>
        <v>-0.25305567223113523</v>
      </c>
    </row>
    <row r="4689" spans="1:4">
      <c r="A4689" s="1">
        <v>25094</v>
      </c>
      <c r="B4689">
        <v>100.86</v>
      </c>
      <c r="C4689">
        <f t="shared" si="166"/>
        <v>3.3824114604059236E-3</v>
      </c>
      <c r="D4689">
        <f t="shared" si="165"/>
        <v>0.3242780035458791</v>
      </c>
    </row>
    <row r="4690" spans="1:4">
      <c r="A4690" s="1">
        <v>25097</v>
      </c>
      <c r="B4690">
        <v>101.24</v>
      </c>
      <c r="C4690">
        <f t="shared" si="166"/>
        <v>3.7675986515962271E-3</v>
      </c>
      <c r="D4690">
        <f t="shared" si="165"/>
        <v>0.3649536400040872</v>
      </c>
    </row>
    <row r="4691" spans="1:4">
      <c r="A4691" s="1">
        <v>25098</v>
      </c>
      <c r="B4691">
        <v>101.5</v>
      </c>
      <c r="C4691">
        <f t="shared" si="166"/>
        <v>2.5681548794943216E-3</v>
      </c>
      <c r="D4691">
        <f t="shared" si="165"/>
        <v>0.23829278538087376</v>
      </c>
    </row>
    <row r="4692" spans="1:4">
      <c r="A4692" s="1">
        <v>25100</v>
      </c>
      <c r="B4692">
        <v>101.59</v>
      </c>
      <c r="C4692">
        <f t="shared" si="166"/>
        <v>8.8669950738919621E-4</v>
      </c>
      <c r="D4692">
        <f t="shared" si="165"/>
        <v>6.0731669641023896E-2</v>
      </c>
    </row>
    <row r="4693" spans="1:4">
      <c r="A4693" s="1">
        <v>25101</v>
      </c>
      <c r="B4693">
        <v>101.66</v>
      </c>
      <c r="C4693">
        <f t="shared" si="166"/>
        <v>6.8904419726344298E-4</v>
      </c>
      <c r="D4693">
        <f t="shared" si="165"/>
        <v>3.9859336078048688E-2</v>
      </c>
    </row>
    <row r="4694" spans="1:4">
      <c r="A4694" s="1">
        <v>25104</v>
      </c>
      <c r="B4694">
        <v>102.24</v>
      </c>
      <c r="C4694">
        <f t="shared" si="166"/>
        <v>5.7052921503049211E-3</v>
      </c>
      <c r="D4694">
        <f t="shared" si="165"/>
        <v>0.56957341481370272</v>
      </c>
    </row>
    <row r="4695" spans="1:4">
      <c r="A4695" s="1">
        <v>25105</v>
      </c>
      <c r="B4695">
        <v>102.59</v>
      </c>
      <c r="C4695">
        <f t="shared" si="166"/>
        <v>3.4233176838811478E-3</v>
      </c>
      <c r="D4695">
        <f t="shared" si="165"/>
        <v>0.32859768684016183</v>
      </c>
    </row>
    <row r="4696" spans="1:4">
      <c r="A4696" s="1">
        <v>25107</v>
      </c>
      <c r="B4696">
        <v>102.36</v>
      </c>
      <c r="C4696">
        <f t="shared" si="166"/>
        <v>-2.2419339116873378E-3</v>
      </c>
      <c r="D4696">
        <f t="shared" si="165"/>
        <v>-0.2696509559392874</v>
      </c>
    </row>
    <row r="4697" spans="1:4">
      <c r="A4697" s="1">
        <v>25108</v>
      </c>
      <c r="B4697">
        <v>102.31</v>
      </c>
      <c r="C4697">
        <f t="shared" si="166"/>
        <v>-4.8847205939817463E-4</v>
      </c>
      <c r="D4697">
        <f t="shared" si="165"/>
        <v>-8.4485980368195004E-2</v>
      </c>
    </row>
    <row r="4698" spans="1:4">
      <c r="A4698" s="1">
        <v>25111</v>
      </c>
      <c r="B4698">
        <v>102.67</v>
      </c>
      <c r="C4698">
        <f t="shared" si="166"/>
        <v>3.5187176229107557E-3</v>
      </c>
      <c r="D4698">
        <f t="shared" si="165"/>
        <v>0.33867188797367354</v>
      </c>
    </row>
    <row r="4699" spans="1:4">
      <c r="A4699" s="1">
        <v>25112</v>
      </c>
      <c r="B4699">
        <v>102.86</v>
      </c>
      <c r="C4699">
        <f t="shared" si="166"/>
        <v>1.8505892665822317E-3</v>
      </c>
      <c r="D4699">
        <f t="shared" si="165"/>
        <v>0.16251810056975999</v>
      </c>
    </row>
    <row r="4700" spans="1:4">
      <c r="A4700" s="1">
        <v>25114</v>
      </c>
      <c r="B4700">
        <v>103.22</v>
      </c>
      <c r="C4700">
        <f t="shared" si="166"/>
        <v>3.4999027804783144E-3</v>
      </c>
      <c r="D4700">
        <f t="shared" si="165"/>
        <v>0.33668504700828339</v>
      </c>
    </row>
    <row r="4701" spans="1:4">
      <c r="A4701" s="1">
        <v>25115</v>
      </c>
      <c r="B4701">
        <v>103.71</v>
      </c>
      <c r="C4701">
        <f t="shared" si="166"/>
        <v>4.7471420267389541E-3</v>
      </c>
      <c r="D4701">
        <f t="shared" si="165"/>
        <v>0.46839308745618807</v>
      </c>
    </row>
    <row r="4702" spans="1:4">
      <c r="A4702" s="1">
        <v>25118</v>
      </c>
      <c r="B4702">
        <v>103.7</v>
      </c>
      <c r="C4702">
        <f t="shared" si="166"/>
        <v>-9.6422717192082787E-5</v>
      </c>
      <c r="D4702">
        <f t="shared" si="165"/>
        <v>-4.308570309527808E-2</v>
      </c>
    </row>
    <row r="4703" spans="1:4">
      <c r="A4703" s="1">
        <v>25119</v>
      </c>
      <c r="B4703">
        <v>103.74</v>
      </c>
      <c r="C4703">
        <f t="shared" si="166"/>
        <v>3.8572806171641313E-4</v>
      </c>
      <c r="D4703">
        <f t="shared" si="165"/>
        <v>7.8292552664462854E-3</v>
      </c>
    </row>
    <row r="4704" spans="1:4">
      <c r="A4704" s="1">
        <v>25121</v>
      </c>
      <c r="B4704">
        <v>103.29</v>
      </c>
      <c r="C4704">
        <f t="shared" si="166"/>
        <v>-4.3377674956621235E-3</v>
      </c>
      <c r="D4704">
        <f t="shared" si="165"/>
        <v>-0.49097026999857546</v>
      </c>
    </row>
    <row r="4705" spans="1:4">
      <c r="A4705" s="1">
        <v>25122</v>
      </c>
      <c r="B4705">
        <v>103.18</v>
      </c>
      <c r="C4705">
        <f t="shared" si="166"/>
        <v>-1.0649627263045738E-3</v>
      </c>
      <c r="D4705">
        <f t="shared" si="165"/>
        <v>-0.14536319883481191</v>
      </c>
    </row>
    <row r="4706" spans="1:4">
      <c r="A4706" s="1">
        <v>25125</v>
      </c>
      <c r="B4706">
        <v>103.32</v>
      </c>
      <c r="C4706">
        <f t="shared" si="166"/>
        <v>1.3568521031206275E-3</v>
      </c>
      <c r="D4706">
        <f t="shared" si="165"/>
        <v>0.11037962393763086</v>
      </c>
    </row>
    <row r="4707" spans="1:4">
      <c r="A4707" s="1">
        <v>25126</v>
      </c>
      <c r="B4707">
        <v>103.53</v>
      </c>
      <c r="C4707">
        <f t="shared" si="166"/>
        <v>2.032520325203329E-3</v>
      </c>
      <c r="D4707">
        <f t="shared" si="165"/>
        <v>0.18172995851877632</v>
      </c>
    </row>
    <row r="4708" spans="1:4">
      <c r="A4708" s="1">
        <v>25128</v>
      </c>
      <c r="B4708">
        <v>104.01</v>
      </c>
      <c r="C4708">
        <f t="shared" si="166"/>
        <v>4.6363372935381434E-3</v>
      </c>
      <c r="D4708">
        <f t="shared" si="165"/>
        <v>0.45669214529454133</v>
      </c>
    </row>
    <row r="4709" spans="1:4">
      <c r="A4709" s="1">
        <v>25129</v>
      </c>
      <c r="B4709">
        <v>104.82</v>
      </c>
      <c r="C4709">
        <f t="shared" si="166"/>
        <v>7.7877127199306607E-3</v>
      </c>
      <c r="D4709">
        <f t="shared" si="165"/>
        <v>0.78947631911703653</v>
      </c>
    </row>
    <row r="4710" spans="1:4">
      <c r="A4710" s="1">
        <v>25132</v>
      </c>
      <c r="B4710">
        <v>104.99</v>
      </c>
      <c r="C4710">
        <f t="shared" si="166"/>
        <v>1.6218278954398179E-3</v>
      </c>
      <c r="D4710">
        <f t="shared" si="165"/>
        <v>0.13836097753688931</v>
      </c>
    </row>
    <row r="4711" spans="1:4">
      <c r="A4711" s="1">
        <v>25133</v>
      </c>
      <c r="B4711">
        <v>104.57</v>
      </c>
      <c r="C4711">
        <f t="shared" si="166"/>
        <v>-4.0003809886656038E-3</v>
      </c>
      <c r="D4711">
        <f t="shared" si="165"/>
        <v>-0.4553423695429889</v>
      </c>
    </row>
    <row r="4712" spans="1:4">
      <c r="A4712" s="1">
        <v>25135</v>
      </c>
      <c r="B4712">
        <v>103.84</v>
      </c>
      <c r="C4712">
        <f t="shared" si="166"/>
        <v>-6.980969685378118E-3</v>
      </c>
      <c r="D4712">
        <f t="shared" si="165"/>
        <v>-0.77009152276450588</v>
      </c>
    </row>
    <row r="4713" spans="1:4">
      <c r="A4713" s="1">
        <v>25136</v>
      </c>
      <c r="B4713">
        <v>104.2</v>
      </c>
      <c r="C4713">
        <f t="shared" si="166"/>
        <v>3.466872110939902E-3</v>
      </c>
      <c r="D4713">
        <f t="shared" si="165"/>
        <v>0.33319701953269715</v>
      </c>
    </row>
    <row r="4714" spans="1:4">
      <c r="A4714" s="1">
        <v>25139</v>
      </c>
      <c r="B4714">
        <v>103.9</v>
      </c>
      <c r="C4714">
        <f t="shared" si="166"/>
        <v>-2.8790786948176311E-3</v>
      </c>
      <c r="D4714">
        <f t="shared" si="165"/>
        <v>-0.33693322846181167</v>
      </c>
    </row>
    <row r="4715" spans="1:4">
      <c r="A4715" s="1">
        <v>25140</v>
      </c>
      <c r="B4715">
        <v>103.3</v>
      </c>
      <c r="C4715">
        <f t="shared" si="166"/>
        <v>-5.7747834456208713E-3</v>
      </c>
      <c r="D4715">
        <f t="shared" si="165"/>
        <v>-0.64271866584876458</v>
      </c>
    </row>
    <row r="4716" spans="1:4">
      <c r="A4716" s="1">
        <v>25142</v>
      </c>
      <c r="B4716">
        <v>103.41</v>
      </c>
      <c r="C4716">
        <f t="shared" si="166"/>
        <v>1.0648596321393942E-3</v>
      </c>
      <c r="D4716">
        <f t="shared" si="165"/>
        <v>7.9545318255075978E-2</v>
      </c>
    </row>
    <row r="4717" spans="1:4">
      <c r="A4717" s="1">
        <v>25143</v>
      </c>
      <c r="B4717">
        <v>103.06</v>
      </c>
      <c r="C4717">
        <f t="shared" si="166"/>
        <v>-3.3845856300163844E-3</v>
      </c>
      <c r="D4717">
        <f t="shared" si="165"/>
        <v>-0.39031458898864396</v>
      </c>
    </row>
    <row r="4718" spans="1:4">
      <c r="A4718" s="1">
        <v>25146</v>
      </c>
      <c r="B4718">
        <v>103.1</v>
      </c>
      <c r="C4718">
        <f t="shared" si="166"/>
        <v>3.8812342324851581E-4</v>
      </c>
      <c r="D4718">
        <f t="shared" si="165"/>
        <v>8.0822046300133826E-3</v>
      </c>
    </row>
    <row r="4719" spans="1:4">
      <c r="A4719" s="1">
        <v>25148</v>
      </c>
      <c r="B4719">
        <v>103.27</v>
      </c>
      <c r="C4719">
        <f t="shared" si="166"/>
        <v>1.648884578079551E-3</v>
      </c>
      <c r="D4719">
        <f t="shared" si="165"/>
        <v>0.14121815402663182</v>
      </c>
    </row>
    <row r="4720" spans="1:4">
      <c r="A4720" s="1">
        <v>25149</v>
      </c>
      <c r="B4720">
        <v>103.5</v>
      </c>
      <c r="C4720">
        <f t="shared" si="166"/>
        <v>2.2271714922049383E-3</v>
      </c>
      <c r="D4720">
        <f t="shared" si="165"/>
        <v>0.20228505558899981</v>
      </c>
    </row>
    <row r="4721" spans="1:4">
      <c r="A4721" s="1">
        <v>25150</v>
      </c>
      <c r="B4721">
        <v>103.95</v>
      </c>
      <c r="C4721">
        <f t="shared" si="166"/>
        <v>4.3478260869565495E-3</v>
      </c>
      <c r="D4721">
        <f t="shared" si="165"/>
        <v>0.4262254599492491</v>
      </c>
    </row>
    <row r="4722" spans="1:4">
      <c r="A4722" s="1">
        <v>25154</v>
      </c>
      <c r="B4722">
        <v>104.62</v>
      </c>
      <c r="C4722">
        <f t="shared" si="166"/>
        <v>6.4454064454064616E-3</v>
      </c>
      <c r="D4722">
        <f t="shared" si="165"/>
        <v>0.64772923279935291</v>
      </c>
    </row>
    <row r="4723" spans="1:4">
      <c r="A4723" s="1">
        <v>25155</v>
      </c>
      <c r="B4723">
        <v>105.13</v>
      </c>
      <c r="C4723">
        <f t="shared" si="166"/>
        <v>4.8747849359586206E-3</v>
      </c>
      <c r="D4723">
        <f t="shared" si="165"/>
        <v>0.48187213528185191</v>
      </c>
    </row>
    <row r="4724" spans="1:4">
      <c r="A4724" s="1">
        <v>25156</v>
      </c>
      <c r="B4724">
        <v>105.2</v>
      </c>
      <c r="C4724">
        <f t="shared" si="166"/>
        <v>6.6584229049754967E-4</v>
      </c>
      <c r="D4724">
        <f t="shared" si="165"/>
        <v>3.7409222610281657E-2</v>
      </c>
    </row>
    <row r="4725" spans="1:4">
      <c r="A4725" s="1">
        <v>25157</v>
      </c>
      <c r="B4725">
        <v>105.78</v>
      </c>
      <c r="C4725">
        <f t="shared" si="166"/>
        <v>5.5133079847908585E-3</v>
      </c>
      <c r="D4725">
        <f t="shared" si="165"/>
        <v>0.54929995219400629</v>
      </c>
    </row>
    <row r="4726" spans="1:4">
      <c r="A4726" s="1">
        <v>25160</v>
      </c>
      <c r="B4726">
        <v>105.92</v>
      </c>
      <c r="C4726">
        <f t="shared" si="166"/>
        <v>1.3235016071090997E-3</v>
      </c>
      <c r="D4726">
        <f t="shared" si="165"/>
        <v>0.10685782289519793</v>
      </c>
    </row>
    <row r="4727" spans="1:4">
      <c r="A4727" s="1">
        <v>25161</v>
      </c>
      <c r="B4727">
        <v>106.14</v>
      </c>
      <c r="C4727">
        <f t="shared" si="166"/>
        <v>2.0770392749244605E-3</v>
      </c>
      <c r="D4727">
        <f t="shared" si="165"/>
        <v>0.18643114447660156</v>
      </c>
    </row>
    <row r="4728" spans="1:4">
      <c r="A4728" s="1">
        <v>25163</v>
      </c>
      <c r="B4728">
        <v>105.97</v>
      </c>
      <c r="C4728">
        <f t="shared" si="166"/>
        <v>-1.6016581872998089E-3</v>
      </c>
      <c r="D4728">
        <f t="shared" si="165"/>
        <v>-0.20203805708425765</v>
      </c>
    </row>
    <row r="4729" spans="1:4">
      <c r="A4729" s="1">
        <v>25164</v>
      </c>
      <c r="B4729">
        <v>106.3</v>
      </c>
      <c r="C4729">
        <f t="shared" si="166"/>
        <v>3.1140888930829319E-3</v>
      </c>
      <c r="D4729">
        <f t="shared" si="165"/>
        <v>0.29594323164384334</v>
      </c>
    </row>
    <row r="4730" spans="1:4">
      <c r="A4730" s="1">
        <v>25167</v>
      </c>
      <c r="B4730">
        <v>106.48</v>
      </c>
      <c r="C4730">
        <f t="shared" si="166"/>
        <v>1.693320790216433E-3</v>
      </c>
      <c r="D4730">
        <f t="shared" si="165"/>
        <v>0.14591060292368416</v>
      </c>
    </row>
    <row r="4731" spans="1:4">
      <c r="A4731" s="1">
        <v>25168</v>
      </c>
      <c r="B4731">
        <v>107.26</v>
      </c>
      <c r="C4731">
        <f t="shared" si="166"/>
        <v>7.3253193087903937E-3</v>
      </c>
      <c r="D4731">
        <f t="shared" si="165"/>
        <v>0.74064773207578161</v>
      </c>
    </row>
    <row r="4732" spans="1:4">
      <c r="A4732" s="1">
        <v>25169</v>
      </c>
      <c r="B4732">
        <v>107.76</v>
      </c>
      <c r="C4732">
        <f t="shared" si="166"/>
        <v>4.6615700167816519E-3</v>
      </c>
      <c r="D4732">
        <f t="shared" si="165"/>
        <v>0.45935671229203645</v>
      </c>
    </row>
    <row r="4733" spans="1:4">
      <c r="A4733" s="1">
        <v>25171</v>
      </c>
      <c r="B4733">
        <v>108.37</v>
      </c>
      <c r="C4733">
        <f t="shared" si="166"/>
        <v>5.6607275426874479E-3</v>
      </c>
      <c r="D4733">
        <f t="shared" si="165"/>
        <v>0.56486740739754371</v>
      </c>
    </row>
    <row r="4734" spans="1:4">
      <c r="A4734" s="1">
        <v>25174</v>
      </c>
      <c r="B4734">
        <v>108.12</v>
      </c>
      <c r="C4734">
        <f t="shared" si="166"/>
        <v>-2.3069115068745961E-3</v>
      </c>
      <c r="D4734">
        <f t="shared" si="165"/>
        <v>-0.27651256790410411</v>
      </c>
    </row>
    <row r="4735" spans="1:4">
      <c r="A4735" s="1">
        <v>25175</v>
      </c>
      <c r="B4735">
        <v>108.02</v>
      </c>
      <c r="C4735">
        <f t="shared" si="166"/>
        <v>-9.248982611913478E-4</v>
      </c>
      <c r="D4735">
        <f t="shared" si="165"/>
        <v>-0.13057243892908021</v>
      </c>
    </row>
    <row r="4736" spans="1:4">
      <c r="A4736" s="1">
        <v>25177</v>
      </c>
      <c r="B4736">
        <v>107.67</v>
      </c>
      <c r="C4736">
        <f t="shared" si="166"/>
        <v>-3.2401407146824138E-3</v>
      </c>
      <c r="D4736">
        <f t="shared" si="165"/>
        <v>-0.375061255028589</v>
      </c>
    </row>
    <row r="4737" spans="1:4">
      <c r="A4737" s="1">
        <v>25178</v>
      </c>
      <c r="B4737">
        <v>107.93</v>
      </c>
      <c r="C4737">
        <f t="shared" si="166"/>
        <v>2.4147859199406068E-3</v>
      </c>
      <c r="D4737">
        <f t="shared" si="165"/>
        <v>0.22209707538464382</v>
      </c>
    </row>
    <row r="4738" spans="1:4">
      <c r="A4738" s="1">
        <v>25181</v>
      </c>
      <c r="B4738">
        <v>107.66</v>
      </c>
      <c r="C4738">
        <f t="shared" si="166"/>
        <v>-2.5016214212916724E-3</v>
      </c>
      <c r="D4738">
        <f t="shared" si="165"/>
        <v>-0.29707386868143171</v>
      </c>
    </row>
    <row r="4739" spans="1:4">
      <c r="A4739" s="1">
        <v>25182</v>
      </c>
      <c r="B4739">
        <v>107.39</v>
      </c>
      <c r="C4739">
        <f t="shared" si="166"/>
        <v>-2.5078952257105336E-3</v>
      </c>
      <c r="D4739">
        <f t="shared" ref="D4739:D4802" si="167">(C4739-avg)/sd</f>
        <v>-0.29773638029549371</v>
      </c>
    </row>
    <row r="4740" spans="1:4">
      <c r="A4740" s="1">
        <v>25184</v>
      </c>
      <c r="B4740">
        <v>107.32</v>
      </c>
      <c r="C4740">
        <f t="shared" ref="C4740:C4803" si="168">(B4740-B4739)/B4739</f>
        <v>-6.518297793091292E-4</v>
      </c>
      <c r="D4740">
        <f t="shared" si="167"/>
        <v>-0.10173650006280482</v>
      </c>
    </row>
    <row r="4741" spans="1:4">
      <c r="A4741" s="1">
        <v>25185</v>
      </c>
      <c r="B4741">
        <v>107.58</v>
      </c>
      <c r="C4741">
        <f t="shared" si="168"/>
        <v>2.4226612001491347E-3</v>
      </c>
      <c r="D4741">
        <f t="shared" si="167"/>
        <v>0.22292870229772657</v>
      </c>
    </row>
    <row r="4742" spans="1:4">
      <c r="A4742" s="1">
        <v>25188</v>
      </c>
      <c r="B4742">
        <v>107.1</v>
      </c>
      <c r="C4742">
        <f t="shared" si="168"/>
        <v>-4.4617958728388543E-3</v>
      </c>
      <c r="D4742">
        <f t="shared" si="167"/>
        <v>-0.50406762446914444</v>
      </c>
    </row>
    <row r="4743" spans="1:4">
      <c r="A4743" s="1">
        <v>25189</v>
      </c>
      <c r="B4743">
        <v>106.66</v>
      </c>
      <c r="C4743">
        <f t="shared" si="168"/>
        <v>-4.1083099906629112E-3</v>
      </c>
      <c r="D4743">
        <f t="shared" si="167"/>
        <v>-0.46673963546705427</v>
      </c>
    </row>
    <row r="4744" spans="1:4">
      <c r="A4744" s="1">
        <v>25191</v>
      </c>
      <c r="B4744">
        <v>106.97</v>
      </c>
      <c r="C4744">
        <f t="shared" si="168"/>
        <v>2.9064316519782701E-3</v>
      </c>
      <c r="D4744">
        <f t="shared" si="167"/>
        <v>0.2740146975693169</v>
      </c>
    </row>
    <row r="4745" spans="1:4">
      <c r="A4745" s="1">
        <v>25192</v>
      </c>
      <c r="B4745">
        <v>106.34</v>
      </c>
      <c r="C4745">
        <f t="shared" si="168"/>
        <v>-5.8895017294568145E-3</v>
      </c>
      <c r="D4745">
        <f t="shared" si="167"/>
        <v>-0.65483287762720077</v>
      </c>
    </row>
    <row r="4746" spans="1:4">
      <c r="A4746" s="1">
        <v>25195</v>
      </c>
      <c r="B4746">
        <v>105.21</v>
      </c>
      <c r="C4746">
        <f t="shared" si="168"/>
        <v>-1.0626293022381132E-2</v>
      </c>
      <c r="D4746">
        <f t="shared" si="167"/>
        <v>-1.1550364280464167</v>
      </c>
    </row>
    <row r="4747" spans="1:4">
      <c r="A4747" s="1">
        <v>25196</v>
      </c>
      <c r="B4747">
        <v>105.04</v>
      </c>
      <c r="C4747">
        <f t="shared" si="168"/>
        <v>-1.6158159870733534E-3</v>
      </c>
      <c r="D4747">
        <f t="shared" si="167"/>
        <v>-0.20353311592787399</v>
      </c>
    </row>
    <row r="4748" spans="1:4">
      <c r="A4748" s="1">
        <v>25198</v>
      </c>
      <c r="B4748">
        <v>105.15</v>
      </c>
      <c r="C4748">
        <f t="shared" si="168"/>
        <v>1.0472201066260417E-3</v>
      </c>
      <c r="D4748">
        <f t="shared" si="167"/>
        <v>7.7682590356832004E-2</v>
      </c>
    </row>
    <row r="4749" spans="1:4">
      <c r="A4749" s="1">
        <v>25199</v>
      </c>
      <c r="B4749">
        <v>104.74</v>
      </c>
      <c r="C4749">
        <f t="shared" si="168"/>
        <v>-3.8991916310034311E-3</v>
      </c>
      <c r="D4749">
        <f t="shared" si="167"/>
        <v>-0.44465680776979727</v>
      </c>
    </row>
    <row r="4750" spans="1:4">
      <c r="A4750" s="1">
        <v>25202</v>
      </c>
      <c r="B4750">
        <v>103.8</v>
      </c>
      <c r="C4750">
        <f t="shared" si="168"/>
        <v>-8.974603780790508E-3</v>
      </c>
      <c r="D4750">
        <f t="shared" si="167"/>
        <v>-0.98061860557089886</v>
      </c>
    </row>
    <row r="4751" spans="1:4">
      <c r="A4751" s="1">
        <v>25203</v>
      </c>
      <c r="B4751">
        <v>103.86</v>
      </c>
      <c r="C4751">
        <f t="shared" si="168"/>
        <v>5.7803468208094679E-4</v>
      </c>
      <c r="D4751">
        <f t="shared" si="167"/>
        <v>2.8136769008744702E-2</v>
      </c>
    </row>
    <row r="4752" spans="1:4">
      <c r="A4752" s="1">
        <v>25205</v>
      </c>
      <c r="B4752">
        <v>103.93</v>
      </c>
      <c r="C4752">
        <f t="shared" si="168"/>
        <v>6.7398420951287686E-4</v>
      </c>
      <c r="D4752">
        <f t="shared" si="167"/>
        <v>3.8269006490727467E-2</v>
      </c>
    </row>
    <row r="4753" spans="1:4">
      <c r="A4753" s="1">
        <v>25206</v>
      </c>
      <c r="B4753">
        <v>103.99</v>
      </c>
      <c r="C4753">
        <f t="shared" si="168"/>
        <v>5.773116520733961E-4</v>
      </c>
      <c r="D4753">
        <f t="shared" si="167"/>
        <v>2.8060417285717187E-2</v>
      </c>
    </row>
    <row r="4754" spans="1:4">
      <c r="A4754" s="1">
        <v>25209</v>
      </c>
      <c r="B4754">
        <v>102.47</v>
      </c>
      <c r="C4754">
        <f t="shared" si="168"/>
        <v>-1.4616790075968805E-2</v>
      </c>
      <c r="D4754">
        <f t="shared" si="167"/>
        <v>-1.5764315604694208</v>
      </c>
    </row>
    <row r="4755" spans="1:4">
      <c r="A4755" s="1">
        <v>25210</v>
      </c>
      <c r="B4755">
        <v>101.22</v>
      </c>
      <c r="C4755">
        <f t="shared" si="168"/>
        <v>-1.219869230018542E-2</v>
      </c>
      <c r="D4755">
        <f t="shared" si="167"/>
        <v>-1.3210812572980659</v>
      </c>
    </row>
    <row r="4756" spans="1:4">
      <c r="A4756" s="1">
        <v>25211</v>
      </c>
      <c r="B4756">
        <v>100.8</v>
      </c>
      <c r="C4756">
        <f t="shared" si="168"/>
        <v>-4.1493775933610123E-3</v>
      </c>
      <c r="D4756">
        <f t="shared" si="167"/>
        <v>-0.47107636035241729</v>
      </c>
    </row>
    <row r="4757" spans="1:4">
      <c r="A4757" s="1">
        <v>25212</v>
      </c>
      <c r="B4757">
        <v>101.22</v>
      </c>
      <c r="C4757">
        <f t="shared" si="168"/>
        <v>4.166666666666684E-3</v>
      </c>
      <c r="D4757">
        <f t="shared" si="167"/>
        <v>0.40709508674571826</v>
      </c>
    </row>
    <row r="4758" spans="1:4">
      <c r="A4758" s="1">
        <v>25213</v>
      </c>
      <c r="B4758">
        <v>100.93</v>
      </c>
      <c r="C4758">
        <f t="shared" si="168"/>
        <v>-2.8650464335110851E-3</v>
      </c>
      <c r="D4758">
        <f t="shared" si="167"/>
        <v>-0.33545142643763781</v>
      </c>
    </row>
    <row r="4759" spans="1:4">
      <c r="A4759" s="1">
        <v>25216</v>
      </c>
      <c r="B4759">
        <v>100.44</v>
      </c>
      <c r="C4759">
        <f t="shared" si="168"/>
        <v>-4.8548498959675923E-3</v>
      </c>
      <c r="D4759">
        <f t="shared" si="167"/>
        <v>-0.54557399570598508</v>
      </c>
    </row>
    <row r="4760" spans="1:4">
      <c r="A4760" s="1">
        <v>25217</v>
      </c>
      <c r="B4760">
        <v>101.13</v>
      </c>
      <c r="C4760">
        <f t="shared" si="168"/>
        <v>6.8697729988052344E-3</v>
      </c>
      <c r="D4760">
        <f t="shared" si="167"/>
        <v>0.69254219658906313</v>
      </c>
    </row>
    <row r="4761" spans="1:4">
      <c r="A4761" s="1">
        <v>25218</v>
      </c>
      <c r="B4761">
        <v>101.62</v>
      </c>
      <c r="C4761">
        <f t="shared" si="168"/>
        <v>4.8452486898052918E-3</v>
      </c>
      <c r="D4761">
        <f t="shared" si="167"/>
        <v>0.47875311772791829</v>
      </c>
    </row>
    <row r="4762" spans="1:4">
      <c r="A4762" s="1">
        <v>25219</v>
      </c>
      <c r="B4762">
        <v>102.18</v>
      </c>
      <c r="C4762">
        <f t="shared" si="168"/>
        <v>5.510726234993134E-3</v>
      </c>
      <c r="D4762">
        <f t="shared" si="167"/>
        <v>0.54902732029294599</v>
      </c>
    </row>
    <row r="4763" spans="1:4">
      <c r="A4763" s="1">
        <v>25220</v>
      </c>
      <c r="B4763">
        <v>102.03</v>
      </c>
      <c r="C4763">
        <f t="shared" si="168"/>
        <v>-1.4679976512038137E-3</v>
      </c>
      <c r="D4763">
        <f t="shared" si="167"/>
        <v>-0.18792354990594429</v>
      </c>
    </row>
    <row r="4764" spans="1:4">
      <c r="A4764" s="1">
        <v>25223</v>
      </c>
      <c r="B4764">
        <v>101.69</v>
      </c>
      <c r="C4764">
        <f t="shared" si="168"/>
        <v>-3.3323532294423541E-3</v>
      </c>
      <c r="D4764">
        <f t="shared" si="167"/>
        <v>-0.38479886524268198</v>
      </c>
    </row>
    <row r="4765" spans="1:4">
      <c r="A4765" s="1">
        <v>25224</v>
      </c>
      <c r="B4765">
        <v>101.63</v>
      </c>
      <c r="C4765">
        <f t="shared" si="168"/>
        <v>-5.900285180450612E-4</v>
      </c>
      <c r="D4765">
        <f t="shared" si="167"/>
        <v>-9.5210307880588652E-2</v>
      </c>
    </row>
    <row r="4766" spans="1:4">
      <c r="A4766" s="1">
        <v>25225</v>
      </c>
      <c r="B4766">
        <v>101.98</v>
      </c>
      <c r="C4766">
        <f t="shared" si="168"/>
        <v>3.4438650004920647E-3</v>
      </c>
      <c r="D4766">
        <f t="shared" si="167"/>
        <v>0.33076747648990235</v>
      </c>
    </row>
    <row r="4767" spans="1:4">
      <c r="A4767" s="1">
        <v>25226</v>
      </c>
      <c r="B4767">
        <v>102.43</v>
      </c>
      <c r="C4767">
        <f t="shared" si="168"/>
        <v>4.4126299274367797E-3</v>
      </c>
      <c r="D4767">
        <f t="shared" si="167"/>
        <v>0.43306872347606573</v>
      </c>
    </row>
    <row r="4768" spans="1:4">
      <c r="A4768" s="1">
        <v>25227</v>
      </c>
      <c r="B4768">
        <v>102.38</v>
      </c>
      <c r="C4768">
        <f t="shared" si="168"/>
        <v>-4.8813824074989132E-4</v>
      </c>
      <c r="D4768">
        <f t="shared" si="167"/>
        <v>-8.4450729232406749E-2</v>
      </c>
    </row>
    <row r="4769" spans="1:4">
      <c r="A4769" s="1">
        <v>25230</v>
      </c>
      <c r="B4769">
        <v>102.4</v>
      </c>
      <c r="C4769">
        <f t="shared" si="168"/>
        <v>1.9535065442479228E-4</v>
      </c>
      <c r="D4769">
        <f t="shared" si="167"/>
        <v>-1.2274534231123924E-2</v>
      </c>
    </row>
    <row r="4770" spans="1:4">
      <c r="A4770" s="1">
        <v>25231</v>
      </c>
      <c r="B4770">
        <v>102.41</v>
      </c>
      <c r="C4770">
        <f t="shared" si="168"/>
        <v>9.7656249999911182E-5</v>
      </c>
      <c r="D4770">
        <f t="shared" si="167"/>
        <v>-2.2591030130449812E-2</v>
      </c>
    </row>
    <row r="4771" spans="1:4">
      <c r="A4771" s="1">
        <v>25232</v>
      </c>
      <c r="B4771">
        <v>102.51</v>
      </c>
      <c r="C4771">
        <f t="shared" si="168"/>
        <v>9.7646714188075905E-4</v>
      </c>
      <c r="D4771">
        <f t="shared" si="167"/>
        <v>7.021110132983141E-2</v>
      </c>
    </row>
    <row r="4772" spans="1:4">
      <c r="A4772" s="1">
        <v>25233</v>
      </c>
      <c r="B4772">
        <v>102.55</v>
      </c>
      <c r="C4772">
        <f t="shared" si="168"/>
        <v>3.9020583357713432E-4</v>
      </c>
      <c r="D4772">
        <f t="shared" si="167"/>
        <v>8.3021064528698337E-3</v>
      </c>
    </row>
    <row r="4773" spans="1:4">
      <c r="A4773" s="1">
        <v>25234</v>
      </c>
      <c r="B4773">
        <v>103.01</v>
      </c>
      <c r="C4773">
        <f t="shared" si="168"/>
        <v>4.4856167723062697E-3</v>
      </c>
      <c r="D4773">
        <f t="shared" si="167"/>
        <v>0.44077610948484985</v>
      </c>
    </row>
    <row r="4774" spans="1:4">
      <c r="A4774" s="1">
        <v>25237</v>
      </c>
      <c r="B4774">
        <v>102.89</v>
      </c>
      <c r="C4774">
        <f t="shared" si="168"/>
        <v>-1.1649354431609023E-3</v>
      </c>
      <c r="D4774">
        <f t="shared" si="167"/>
        <v>-0.15592028375246261</v>
      </c>
    </row>
    <row r="4775" spans="1:4">
      <c r="A4775" s="1">
        <v>25238</v>
      </c>
      <c r="B4775">
        <v>102.92</v>
      </c>
      <c r="C4775">
        <f t="shared" si="168"/>
        <v>2.9157352512392979E-4</v>
      </c>
      <c r="D4775">
        <f t="shared" si="167"/>
        <v>-2.1134317930379398E-3</v>
      </c>
    </row>
    <row r="4776" spans="1:4">
      <c r="A4776" s="1">
        <v>25239</v>
      </c>
      <c r="B4776">
        <v>103.2</v>
      </c>
      <c r="C4776">
        <f t="shared" si="168"/>
        <v>2.720559657986797E-3</v>
      </c>
      <c r="D4776">
        <f t="shared" si="167"/>
        <v>0.25438667818477789</v>
      </c>
    </row>
    <row r="4777" spans="1:4">
      <c r="A4777" s="1">
        <v>25240</v>
      </c>
      <c r="B4777">
        <v>103.54</v>
      </c>
      <c r="C4777">
        <f t="shared" si="168"/>
        <v>3.2945736434108856E-3</v>
      </c>
      <c r="D4777">
        <f t="shared" si="167"/>
        <v>0.31500235992872777</v>
      </c>
    </row>
    <row r="4778" spans="1:4">
      <c r="A4778" s="1">
        <v>25241</v>
      </c>
      <c r="B4778">
        <v>103.53</v>
      </c>
      <c r="C4778">
        <f t="shared" si="168"/>
        <v>-9.6581031485465672E-5</v>
      </c>
      <c r="D4778">
        <f t="shared" si="167"/>
        <v>-4.3102421030845668E-2</v>
      </c>
    </row>
    <row r="4779" spans="1:4">
      <c r="A4779" s="1">
        <v>25245</v>
      </c>
      <c r="B4779">
        <v>103.65</v>
      </c>
      <c r="C4779">
        <f t="shared" si="168"/>
        <v>1.1590843233845701E-3</v>
      </c>
      <c r="D4779">
        <f t="shared" si="167"/>
        <v>8.9495413622037806E-2</v>
      </c>
    </row>
    <row r="4780" spans="1:4">
      <c r="A4780" s="1">
        <v>25246</v>
      </c>
      <c r="B4780">
        <v>103.63</v>
      </c>
      <c r="C4780">
        <f t="shared" si="168"/>
        <v>-1.9295706705267949E-4</v>
      </c>
      <c r="D4780">
        <f t="shared" si="167"/>
        <v>-5.3279697626937232E-2</v>
      </c>
    </row>
    <row r="4781" spans="1:4">
      <c r="A4781" s="1">
        <v>25247</v>
      </c>
      <c r="B4781">
        <v>103.71</v>
      </c>
      <c r="C4781">
        <f t="shared" si="168"/>
        <v>7.7197722667179676E-4</v>
      </c>
      <c r="D4781">
        <f t="shared" si="167"/>
        <v>4.8617035793264457E-2</v>
      </c>
    </row>
    <row r="4782" spans="1:4">
      <c r="A4782" s="1">
        <v>25248</v>
      </c>
      <c r="B4782">
        <v>103.61</v>
      </c>
      <c r="C4782">
        <f t="shared" si="168"/>
        <v>-9.6422717192164999E-4</v>
      </c>
      <c r="D4782">
        <f t="shared" si="167"/>
        <v>-0.13472555853365384</v>
      </c>
    </row>
    <row r="4783" spans="1:4">
      <c r="A4783" s="1">
        <v>25251</v>
      </c>
      <c r="B4783">
        <v>102.44</v>
      </c>
      <c r="C4783">
        <f t="shared" si="168"/>
        <v>-1.1292346298619841E-2</v>
      </c>
      <c r="D4783">
        <f t="shared" si="167"/>
        <v>-1.2253714276147154</v>
      </c>
    </row>
    <row r="4784" spans="1:4">
      <c r="A4784" s="1">
        <v>25252</v>
      </c>
      <c r="B4784">
        <v>101.4</v>
      </c>
      <c r="C4784">
        <f t="shared" si="168"/>
        <v>-1.0152284263959314E-2</v>
      </c>
      <c r="D4784">
        <f t="shared" si="167"/>
        <v>-1.1049812642804784</v>
      </c>
    </row>
    <row r="4785" spans="1:4">
      <c r="A4785" s="1">
        <v>25253</v>
      </c>
      <c r="B4785">
        <v>100.65</v>
      </c>
      <c r="C4785">
        <f t="shared" si="168"/>
        <v>-7.3964497041420114E-3</v>
      </c>
      <c r="D4785">
        <f t="shared" si="167"/>
        <v>-0.81396607151745271</v>
      </c>
    </row>
    <row r="4786" spans="1:4">
      <c r="A4786" s="1">
        <v>25254</v>
      </c>
      <c r="B4786">
        <v>99.79</v>
      </c>
      <c r="C4786">
        <f t="shared" si="168"/>
        <v>-8.54446100347739E-3</v>
      </c>
      <c r="D4786">
        <f t="shared" si="167"/>
        <v>-0.93519567449926777</v>
      </c>
    </row>
    <row r="4787" spans="1:4">
      <c r="A4787" s="1">
        <v>25258</v>
      </c>
      <c r="B4787">
        <v>98.6</v>
      </c>
      <c r="C4787">
        <f t="shared" si="168"/>
        <v>-1.1925042589437938E-2</v>
      </c>
      <c r="D4787">
        <f t="shared" si="167"/>
        <v>-1.2921839408611879</v>
      </c>
    </row>
    <row r="4788" spans="1:4">
      <c r="A4788" s="1">
        <v>25259</v>
      </c>
      <c r="B4788">
        <v>97.98</v>
      </c>
      <c r="C4788">
        <f t="shared" si="168"/>
        <v>-6.2880324543609575E-3</v>
      </c>
      <c r="D4788">
        <f t="shared" si="167"/>
        <v>-0.69691758670990289</v>
      </c>
    </row>
    <row r="4789" spans="1:4">
      <c r="A4789" s="1">
        <v>25260</v>
      </c>
      <c r="B4789">
        <v>98.45</v>
      </c>
      <c r="C4789">
        <f t="shared" si="168"/>
        <v>4.7968973259848828E-3</v>
      </c>
      <c r="D4789">
        <f t="shared" si="167"/>
        <v>0.47364723014391019</v>
      </c>
    </row>
    <row r="4790" spans="1:4">
      <c r="A4790" s="1">
        <v>25261</v>
      </c>
      <c r="B4790">
        <v>98.14</v>
      </c>
      <c r="C4790">
        <f t="shared" si="168"/>
        <v>-3.148806500761831E-3</v>
      </c>
      <c r="D4790">
        <f t="shared" si="167"/>
        <v>-0.36541639308458324</v>
      </c>
    </row>
    <row r="4791" spans="1:4">
      <c r="A4791" s="1">
        <v>25262</v>
      </c>
      <c r="B4791">
        <v>98.13</v>
      </c>
      <c r="C4791">
        <f t="shared" si="168"/>
        <v>-1.0189525168132378E-4</v>
      </c>
      <c r="D4791">
        <f t="shared" si="167"/>
        <v>-4.3663600877137075E-2</v>
      </c>
    </row>
    <row r="4792" spans="1:4">
      <c r="A4792" s="1">
        <v>25265</v>
      </c>
      <c r="B4792">
        <v>98.38</v>
      </c>
      <c r="C4792">
        <f t="shared" si="168"/>
        <v>2.5476408845409152E-3</v>
      </c>
      <c r="D4792">
        <f t="shared" si="167"/>
        <v>0.23612651448683974</v>
      </c>
    </row>
    <row r="4793" spans="1:4">
      <c r="A4793" s="1">
        <v>25266</v>
      </c>
      <c r="B4793">
        <v>99.32</v>
      </c>
      <c r="C4793">
        <f t="shared" si="168"/>
        <v>9.5547875584468169E-3</v>
      </c>
      <c r="D4793">
        <f t="shared" si="167"/>
        <v>0.97607882140642066</v>
      </c>
    </row>
    <row r="4794" spans="1:4">
      <c r="A4794" s="1">
        <v>25267</v>
      </c>
      <c r="B4794">
        <v>99.71</v>
      </c>
      <c r="C4794">
        <f t="shared" si="168"/>
        <v>3.9267015706806341E-3</v>
      </c>
      <c r="D4794">
        <f t="shared" si="167"/>
        <v>0.38175485417769073</v>
      </c>
    </row>
    <row r="4795" spans="1:4">
      <c r="A4795" s="1">
        <v>25268</v>
      </c>
      <c r="B4795">
        <v>98.7</v>
      </c>
      <c r="C4795">
        <f t="shared" si="168"/>
        <v>-1.012937518804524E-2</v>
      </c>
      <c r="D4795">
        <f t="shared" si="167"/>
        <v>-1.1025620736511255</v>
      </c>
    </row>
    <row r="4796" spans="1:4">
      <c r="A4796" s="1">
        <v>25269</v>
      </c>
      <c r="B4796">
        <v>98.65</v>
      </c>
      <c r="C4796">
        <f t="shared" si="168"/>
        <v>-5.0658561296856289E-4</v>
      </c>
      <c r="D4796">
        <f t="shared" si="167"/>
        <v>-8.639876546813198E-2</v>
      </c>
    </row>
    <row r="4797" spans="1:4">
      <c r="A4797" s="1">
        <v>25272</v>
      </c>
      <c r="B4797">
        <v>98.99</v>
      </c>
      <c r="C4797">
        <f t="shared" si="168"/>
        <v>3.4465281297515376E-3</v>
      </c>
      <c r="D4797">
        <f t="shared" si="167"/>
        <v>0.33104870203446107</v>
      </c>
    </row>
    <row r="4798" spans="1:4">
      <c r="A4798" s="1">
        <v>25273</v>
      </c>
      <c r="B4798">
        <v>99.32</v>
      </c>
      <c r="C4798">
        <f t="shared" si="168"/>
        <v>3.3336700676835874E-3</v>
      </c>
      <c r="D4798">
        <f t="shared" si="167"/>
        <v>0.31913092904240475</v>
      </c>
    </row>
    <row r="4799" spans="1:4">
      <c r="A4799" s="1">
        <v>25274</v>
      </c>
      <c r="B4799">
        <v>99.05</v>
      </c>
      <c r="C4799">
        <f t="shared" si="168"/>
        <v>-2.7184857027788565E-3</v>
      </c>
      <c r="D4799">
        <f t="shared" si="167"/>
        <v>-0.31997466309072736</v>
      </c>
    </row>
    <row r="4800" spans="1:4">
      <c r="A4800" s="1">
        <v>25275</v>
      </c>
      <c r="B4800">
        <v>98.39</v>
      </c>
      <c r="C4800">
        <f t="shared" si="168"/>
        <v>-6.663301362947972E-3</v>
      </c>
      <c r="D4800">
        <f t="shared" si="167"/>
        <v>-0.73654585589659172</v>
      </c>
    </row>
    <row r="4801" spans="1:4">
      <c r="A4801" s="1">
        <v>25276</v>
      </c>
      <c r="B4801">
        <v>98</v>
      </c>
      <c r="C4801">
        <f t="shared" si="168"/>
        <v>-3.9638174611241039E-3</v>
      </c>
      <c r="D4801">
        <f t="shared" si="167"/>
        <v>-0.45148127346315337</v>
      </c>
    </row>
    <row r="4802" spans="1:4">
      <c r="A4802" s="1">
        <v>25279</v>
      </c>
      <c r="B4802">
        <v>98.25</v>
      </c>
      <c r="C4802">
        <f t="shared" si="168"/>
        <v>2.5510204081632651E-3</v>
      </c>
      <c r="D4802">
        <f t="shared" si="167"/>
        <v>0.23648339103260399</v>
      </c>
    </row>
    <row r="4803" spans="1:4">
      <c r="A4803" s="1">
        <v>25280</v>
      </c>
      <c r="B4803">
        <v>98.49</v>
      </c>
      <c r="C4803">
        <f t="shared" si="168"/>
        <v>2.4427480916030015E-3</v>
      </c>
      <c r="D4803">
        <f t="shared" ref="D4803:D4866" si="169">(C4803-avg)/sd</f>
        <v>0.22504987120738876</v>
      </c>
    </row>
    <row r="4804" spans="1:4">
      <c r="A4804" s="1">
        <v>25281</v>
      </c>
      <c r="B4804">
        <v>99.21</v>
      </c>
      <c r="C4804">
        <f t="shared" ref="C4804:C4867" si="170">(B4804-B4803)/B4803</f>
        <v>7.3103868413036746E-3</v>
      </c>
      <c r="D4804">
        <f t="shared" si="169"/>
        <v>0.73907086858497628</v>
      </c>
    </row>
    <row r="4805" spans="1:4">
      <c r="A4805" s="1">
        <v>25282</v>
      </c>
      <c r="B4805">
        <v>99.84</v>
      </c>
      <c r="C4805">
        <f t="shared" si="170"/>
        <v>6.3501663138797468E-3</v>
      </c>
      <c r="D4805">
        <f t="shared" si="169"/>
        <v>0.6376719072838255</v>
      </c>
    </row>
    <row r="4806" spans="1:4">
      <c r="A4806" s="1">
        <v>25283</v>
      </c>
      <c r="B4806">
        <v>99.63</v>
      </c>
      <c r="C4806">
        <f t="shared" si="170"/>
        <v>-2.1033653846154643E-3</v>
      </c>
      <c r="D4806">
        <f t="shared" si="169"/>
        <v>-0.25501816658222848</v>
      </c>
    </row>
    <row r="4807" spans="1:4">
      <c r="A4807" s="1">
        <v>25286</v>
      </c>
      <c r="B4807">
        <v>99.5</v>
      </c>
      <c r="C4807">
        <f t="shared" si="170"/>
        <v>-1.3048278630934001E-3</v>
      </c>
      <c r="D4807">
        <f t="shared" si="169"/>
        <v>-0.17069287574559044</v>
      </c>
    </row>
    <row r="4808" spans="1:4">
      <c r="A4808" s="1">
        <v>25287</v>
      </c>
      <c r="B4808">
        <v>99.66</v>
      </c>
      <c r="C4808">
        <f t="shared" si="170"/>
        <v>1.6080402010049909E-3</v>
      </c>
      <c r="D4808">
        <f t="shared" si="169"/>
        <v>0.13690500169123662</v>
      </c>
    </row>
    <row r="4809" spans="1:4">
      <c r="A4809" s="1">
        <v>25288</v>
      </c>
      <c r="B4809">
        <v>100.39</v>
      </c>
      <c r="C4809">
        <f t="shared" si="170"/>
        <v>7.3249046758980937E-3</v>
      </c>
      <c r="D4809">
        <f t="shared" si="169"/>
        <v>0.74060394698329524</v>
      </c>
    </row>
    <row r="4810" spans="1:4">
      <c r="A4810" s="1">
        <v>25289</v>
      </c>
      <c r="B4810">
        <v>101.1</v>
      </c>
      <c r="C4810">
        <f t="shared" si="170"/>
        <v>7.0724175714711995E-3</v>
      </c>
      <c r="D4810">
        <f t="shared" si="169"/>
        <v>0.713941394580352</v>
      </c>
    </row>
    <row r="4811" spans="1:4">
      <c r="A4811" s="1">
        <v>25290</v>
      </c>
      <c r="B4811">
        <v>101.51</v>
      </c>
      <c r="C4811">
        <f t="shared" si="170"/>
        <v>4.0553907022750826E-3</v>
      </c>
      <c r="D4811">
        <f t="shared" si="169"/>
        <v>0.39534438273050326</v>
      </c>
    </row>
    <row r="4812" spans="1:4">
      <c r="A4812" s="1">
        <v>25294</v>
      </c>
      <c r="B4812">
        <v>101.42</v>
      </c>
      <c r="C4812">
        <f t="shared" si="170"/>
        <v>-8.8661215643782293E-4</v>
      </c>
      <c r="D4812">
        <f t="shared" si="169"/>
        <v>-0.12652943928118732</v>
      </c>
    </row>
    <row r="4813" spans="1:4">
      <c r="A4813" s="1">
        <v>25295</v>
      </c>
      <c r="B4813">
        <v>100.78</v>
      </c>
      <c r="C4813">
        <f t="shared" si="170"/>
        <v>-6.3103924275290926E-3</v>
      </c>
      <c r="D4813">
        <f t="shared" si="169"/>
        <v>-0.69927879227593381</v>
      </c>
    </row>
    <row r="4814" spans="1:4">
      <c r="A4814" s="1">
        <v>25296</v>
      </c>
      <c r="B4814">
        <v>100.68</v>
      </c>
      <c r="C4814">
        <f t="shared" si="170"/>
        <v>-9.92260369120801E-4</v>
      </c>
      <c r="D4814">
        <f t="shared" si="169"/>
        <v>-0.13768585462893745</v>
      </c>
    </row>
    <row r="4815" spans="1:4">
      <c r="A4815" s="1">
        <v>25300</v>
      </c>
      <c r="B4815">
        <v>99.89</v>
      </c>
      <c r="C4815">
        <f t="shared" si="170"/>
        <v>-7.8466428287644642E-3</v>
      </c>
      <c r="D4815">
        <f t="shared" si="169"/>
        <v>-0.86150631244950537</v>
      </c>
    </row>
    <row r="4816" spans="1:4">
      <c r="A4816" s="1">
        <v>25301</v>
      </c>
      <c r="B4816">
        <v>100.14</v>
      </c>
      <c r="C4816">
        <f t="shared" si="170"/>
        <v>2.5027530283311642E-3</v>
      </c>
      <c r="D4816">
        <f t="shared" si="169"/>
        <v>0.2313863721292137</v>
      </c>
    </row>
    <row r="4817" spans="1:4">
      <c r="A4817" s="1">
        <v>25302</v>
      </c>
      <c r="B4817">
        <v>101.02</v>
      </c>
      <c r="C4817">
        <f t="shared" si="170"/>
        <v>8.7876972238865141E-3</v>
      </c>
      <c r="D4817">
        <f t="shared" si="169"/>
        <v>0.89507434282352638</v>
      </c>
    </row>
    <row r="4818" spans="1:4">
      <c r="A4818" s="1">
        <v>25303</v>
      </c>
      <c r="B4818">
        <v>101.55</v>
      </c>
      <c r="C4818">
        <f t="shared" si="170"/>
        <v>5.2464858443872619E-3</v>
      </c>
      <c r="D4818">
        <f t="shared" si="169"/>
        <v>0.52112362486463881</v>
      </c>
    </row>
    <row r="4819" spans="1:4">
      <c r="A4819" s="1">
        <v>25304</v>
      </c>
      <c r="B4819">
        <v>101.65</v>
      </c>
      <c r="C4819">
        <f t="shared" si="170"/>
        <v>9.847365829641411E-4</v>
      </c>
      <c r="D4819">
        <f t="shared" si="169"/>
        <v>7.1084351497316955E-2</v>
      </c>
    </row>
    <row r="4820" spans="1:4">
      <c r="A4820" s="1">
        <v>25307</v>
      </c>
      <c r="B4820">
        <v>101.57</v>
      </c>
      <c r="C4820">
        <f t="shared" si="170"/>
        <v>-7.8701426463366941E-4</v>
      </c>
      <c r="D4820">
        <f t="shared" si="169"/>
        <v>-0.11601193576163706</v>
      </c>
    </row>
    <row r="4821" spans="1:4">
      <c r="A4821" s="1">
        <v>25308</v>
      </c>
      <c r="B4821">
        <v>101.53</v>
      </c>
      <c r="C4821">
        <f t="shared" si="170"/>
        <v>-3.9381707196999157E-4</v>
      </c>
      <c r="D4821">
        <f t="shared" si="169"/>
        <v>-7.4490445870572394E-2</v>
      </c>
    </row>
    <row r="4822" spans="1:4">
      <c r="A4822" s="1">
        <v>25309</v>
      </c>
      <c r="B4822">
        <v>100.63</v>
      </c>
      <c r="C4822">
        <f t="shared" si="170"/>
        <v>-8.8643750615582158E-3</v>
      </c>
      <c r="D4822">
        <f t="shared" si="169"/>
        <v>-0.968978490288531</v>
      </c>
    </row>
    <row r="4823" spans="1:4">
      <c r="A4823" s="1">
        <v>25310</v>
      </c>
      <c r="B4823">
        <v>100.78</v>
      </c>
      <c r="C4823">
        <f t="shared" si="170"/>
        <v>1.4906091622777073E-3</v>
      </c>
      <c r="D4823">
        <f t="shared" si="169"/>
        <v>0.12450432391838499</v>
      </c>
    </row>
    <row r="4824" spans="1:4">
      <c r="A4824" s="1">
        <v>25311</v>
      </c>
      <c r="B4824">
        <v>101.24</v>
      </c>
      <c r="C4824">
        <f t="shared" si="170"/>
        <v>4.5643976979558819E-3</v>
      </c>
      <c r="D4824">
        <f t="shared" si="169"/>
        <v>0.44909534845451116</v>
      </c>
    </row>
    <row r="4825" spans="1:4">
      <c r="A4825" s="1">
        <v>25314</v>
      </c>
      <c r="B4825">
        <v>100.56</v>
      </c>
      <c r="C4825">
        <f t="shared" si="170"/>
        <v>-6.716712761754175E-3</v>
      </c>
      <c r="D4825">
        <f t="shared" si="169"/>
        <v>-0.74218608145511022</v>
      </c>
    </row>
    <row r="4826" spans="1:4">
      <c r="A4826" s="1">
        <v>25315</v>
      </c>
      <c r="B4826">
        <v>100.78</v>
      </c>
      <c r="C4826">
        <f t="shared" si="170"/>
        <v>2.1877486077963291E-3</v>
      </c>
      <c r="D4826">
        <f t="shared" si="169"/>
        <v>0.19812201239594018</v>
      </c>
    </row>
    <row r="4827" spans="1:4">
      <c r="A4827" s="1">
        <v>25316</v>
      </c>
      <c r="B4827">
        <v>100.8</v>
      </c>
      <c r="C4827">
        <f t="shared" si="170"/>
        <v>1.9845207382413198E-4</v>
      </c>
      <c r="D4827">
        <f t="shared" si="169"/>
        <v>-1.1947025396777328E-2</v>
      </c>
    </row>
    <row r="4828" spans="1:4">
      <c r="A4828" s="1">
        <v>25317</v>
      </c>
      <c r="B4828">
        <v>101.27</v>
      </c>
      <c r="C4828">
        <f t="shared" si="170"/>
        <v>4.6626984126984013E-3</v>
      </c>
      <c r="D4828">
        <f t="shared" si="169"/>
        <v>0.45947587051728478</v>
      </c>
    </row>
    <row r="4829" spans="1:4">
      <c r="A4829" s="1">
        <v>25318</v>
      </c>
      <c r="B4829">
        <v>101.72</v>
      </c>
      <c r="C4829">
        <f t="shared" si="170"/>
        <v>4.4435667028735349E-3</v>
      </c>
      <c r="D4829">
        <f t="shared" si="169"/>
        <v>0.43633563644626616</v>
      </c>
    </row>
    <row r="4830" spans="1:4">
      <c r="A4830" s="1">
        <v>25321</v>
      </c>
      <c r="B4830">
        <v>102.03</v>
      </c>
      <c r="C4830">
        <f t="shared" si="170"/>
        <v>3.0475815965395428E-3</v>
      </c>
      <c r="D4830">
        <f t="shared" si="169"/>
        <v>0.28892008373578992</v>
      </c>
    </row>
    <row r="4831" spans="1:4">
      <c r="A4831" s="1">
        <v>25322</v>
      </c>
      <c r="B4831">
        <v>102.79</v>
      </c>
      <c r="C4831">
        <f t="shared" si="170"/>
        <v>7.4487895716946499E-3</v>
      </c>
      <c r="D4831">
        <f t="shared" si="169"/>
        <v>0.75368614986888949</v>
      </c>
    </row>
    <row r="4832" spans="1:4">
      <c r="A4832" s="1">
        <v>25323</v>
      </c>
      <c r="B4832">
        <v>103.69</v>
      </c>
      <c r="C4832">
        <f t="shared" si="170"/>
        <v>8.7557155365307077E-3</v>
      </c>
      <c r="D4832">
        <f t="shared" si="169"/>
        <v>0.89169708750985699</v>
      </c>
    </row>
    <row r="4833" spans="1:4">
      <c r="A4833" s="1">
        <v>25324</v>
      </c>
      <c r="B4833">
        <v>103.51</v>
      </c>
      <c r="C4833">
        <f t="shared" si="170"/>
        <v>-1.7359436782717003E-3</v>
      </c>
      <c r="D4833">
        <f t="shared" si="169"/>
        <v>-0.2162185592850332</v>
      </c>
    </row>
    <row r="4834" spans="1:4">
      <c r="A4834" s="1">
        <v>25325</v>
      </c>
      <c r="B4834">
        <v>104</v>
      </c>
      <c r="C4834">
        <f t="shared" si="170"/>
        <v>4.7338421408559062E-3</v>
      </c>
      <c r="D4834">
        <f t="shared" si="169"/>
        <v>0.46698862402778907</v>
      </c>
    </row>
    <row r="4835" spans="1:4">
      <c r="A4835" s="1">
        <v>25328</v>
      </c>
      <c r="B4835">
        <v>104.37</v>
      </c>
      <c r="C4835">
        <f t="shared" si="170"/>
        <v>3.5576923076923515E-3</v>
      </c>
      <c r="D4835">
        <f t="shared" si="169"/>
        <v>0.34278760143847098</v>
      </c>
    </row>
    <row r="4836" spans="1:4">
      <c r="A4836" s="1">
        <v>25329</v>
      </c>
      <c r="B4836">
        <v>104.86</v>
      </c>
      <c r="C4836">
        <f t="shared" si="170"/>
        <v>4.6948356807511244E-3</v>
      </c>
      <c r="D4836">
        <f t="shared" si="169"/>
        <v>0.46286955509966415</v>
      </c>
    </row>
    <row r="4837" spans="1:4">
      <c r="A4837" s="1">
        <v>25330</v>
      </c>
      <c r="B4837">
        <v>104.67</v>
      </c>
      <c r="C4837">
        <f t="shared" si="170"/>
        <v>-1.8119397291626715E-3</v>
      </c>
      <c r="D4837">
        <f t="shared" si="169"/>
        <v>-0.2242437164268069</v>
      </c>
    </row>
    <row r="4838" spans="1:4">
      <c r="A4838" s="1">
        <v>25331</v>
      </c>
      <c r="B4838">
        <v>105.1</v>
      </c>
      <c r="C4838">
        <f t="shared" si="170"/>
        <v>4.1081494219928592E-3</v>
      </c>
      <c r="D4838">
        <f t="shared" si="169"/>
        <v>0.40091568559914026</v>
      </c>
    </row>
    <row r="4839" spans="1:4">
      <c r="A4839" s="1">
        <v>25332</v>
      </c>
      <c r="B4839">
        <v>105.05</v>
      </c>
      <c r="C4839">
        <f t="shared" si="170"/>
        <v>-4.7573739295905955E-4</v>
      </c>
      <c r="D4839">
        <f t="shared" si="169"/>
        <v>-8.3141203920947884E-2</v>
      </c>
    </row>
    <row r="4840" spans="1:4">
      <c r="A4840" s="1">
        <v>25335</v>
      </c>
      <c r="B4840">
        <v>104.89</v>
      </c>
      <c r="C4840">
        <f t="shared" si="170"/>
        <v>-1.5230842455973021E-3</v>
      </c>
      <c r="D4840">
        <f t="shared" si="169"/>
        <v>-0.19374067554905341</v>
      </c>
    </row>
    <row r="4841" spans="1:4">
      <c r="A4841" s="1">
        <v>25336</v>
      </c>
      <c r="B4841">
        <v>105.34</v>
      </c>
      <c r="C4841">
        <f t="shared" si="170"/>
        <v>4.2902087901611485E-3</v>
      </c>
      <c r="D4841">
        <f t="shared" si="169"/>
        <v>0.42014109299272551</v>
      </c>
    </row>
    <row r="4842" spans="1:4">
      <c r="A4842" s="1">
        <v>25337</v>
      </c>
      <c r="B4842">
        <v>106.16</v>
      </c>
      <c r="C4842">
        <f t="shared" si="170"/>
        <v>7.7843174482627028E-3</v>
      </c>
      <c r="D4842">
        <f t="shared" si="169"/>
        <v>0.7891177795830091</v>
      </c>
    </row>
    <row r="4843" spans="1:4">
      <c r="A4843" s="1">
        <v>25338</v>
      </c>
      <c r="B4843">
        <v>105.85</v>
      </c>
      <c r="C4843">
        <f t="shared" si="170"/>
        <v>-2.9201205727204436E-3</v>
      </c>
      <c r="D4843">
        <f t="shared" si="169"/>
        <v>-0.34126723681753657</v>
      </c>
    </row>
    <row r="4844" spans="1:4">
      <c r="A4844" s="1">
        <v>25339</v>
      </c>
      <c r="B4844">
        <v>105.94</v>
      </c>
      <c r="C4844">
        <f t="shared" si="170"/>
        <v>8.5025980160607852E-4</v>
      </c>
      <c r="D4844">
        <f t="shared" si="169"/>
        <v>5.6883649096784505E-2</v>
      </c>
    </row>
    <row r="4845" spans="1:4">
      <c r="A4845" s="1">
        <v>25342</v>
      </c>
      <c r="B4845">
        <v>104.97</v>
      </c>
      <c r="C4845">
        <f t="shared" si="170"/>
        <v>-9.156126109118359E-3</v>
      </c>
      <c r="D4845">
        <f t="shared" si="169"/>
        <v>-0.99978730173988262</v>
      </c>
    </row>
    <row r="4846" spans="1:4">
      <c r="A4846" s="1">
        <v>25343</v>
      </c>
      <c r="B4846">
        <v>104.04</v>
      </c>
      <c r="C4846">
        <f t="shared" si="170"/>
        <v>-8.8596741926263937E-3</v>
      </c>
      <c r="D4846">
        <f t="shared" si="169"/>
        <v>-0.96848208012723358</v>
      </c>
    </row>
    <row r="4847" spans="1:4">
      <c r="A4847" s="1">
        <v>25344</v>
      </c>
      <c r="B4847">
        <v>104.47</v>
      </c>
      <c r="C4847">
        <f t="shared" si="170"/>
        <v>4.133025759323266E-3</v>
      </c>
      <c r="D4847">
        <f t="shared" si="169"/>
        <v>0.40354261836535332</v>
      </c>
    </row>
    <row r="4848" spans="1:4">
      <c r="A4848" s="1">
        <v>25345</v>
      </c>
      <c r="B4848">
        <v>104.6</v>
      </c>
      <c r="C4848">
        <f t="shared" si="170"/>
        <v>1.2443763759930645E-3</v>
      </c>
      <c r="D4848">
        <f t="shared" si="169"/>
        <v>9.8502225385317485E-2</v>
      </c>
    </row>
    <row r="4849" spans="1:4">
      <c r="A4849" s="1">
        <v>25346</v>
      </c>
      <c r="B4849">
        <v>104.59</v>
      </c>
      <c r="C4849">
        <f t="shared" si="170"/>
        <v>-9.5602294454979981E-5</v>
      </c>
      <c r="D4849">
        <f t="shared" si="169"/>
        <v>-4.2999066733115258E-2</v>
      </c>
    </row>
    <row r="4850" spans="1:4">
      <c r="A4850" s="1">
        <v>25349</v>
      </c>
      <c r="B4850">
        <v>104.36</v>
      </c>
      <c r="C4850">
        <f t="shared" si="170"/>
        <v>-2.1990630079357872E-3</v>
      </c>
      <c r="D4850">
        <f t="shared" si="169"/>
        <v>-0.26512380307565186</v>
      </c>
    </row>
    <row r="4851" spans="1:4">
      <c r="A4851" s="1">
        <v>25350</v>
      </c>
      <c r="B4851">
        <v>103.57</v>
      </c>
      <c r="C4851">
        <f t="shared" si="170"/>
        <v>-7.5699501724799372E-3</v>
      </c>
      <c r="D4851">
        <f t="shared" si="169"/>
        <v>-0.83228766199826287</v>
      </c>
    </row>
    <row r="4852" spans="1:4">
      <c r="A4852" s="1">
        <v>25351</v>
      </c>
      <c r="B4852">
        <v>103.26</v>
      </c>
      <c r="C4852">
        <f t="shared" si="170"/>
        <v>-2.9931447330306853E-3</v>
      </c>
      <c r="D4852">
        <f t="shared" si="169"/>
        <v>-0.34897856332417992</v>
      </c>
    </row>
    <row r="4853" spans="1:4">
      <c r="A4853" s="1">
        <v>25352</v>
      </c>
      <c r="B4853">
        <v>103.46</v>
      </c>
      <c r="C4853">
        <f t="shared" si="170"/>
        <v>1.9368584156497059E-3</v>
      </c>
      <c r="D4853">
        <f t="shared" si="169"/>
        <v>0.17162809338697671</v>
      </c>
    </row>
    <row r="4854" spans="1:4">
      <c r="A4854" s="1">
        <v>25356</v>
      </c>
      <c r="B4854">
        <v>102.94</v>
      </c>
      <c r="C4854">
        <f t="shared" si="170"/>
        <v>-5.0260970423351642E-3</v>
      </c>
      <c r="D4854">
        <f t="shared" si="169"/>
        <v>-0.5636576361526674</v>
      </c>
    </row>
    <row r="4855" spans="1:4">
      <c r="A4855" s="1">
        <v>25357</v>
      </c>
      <c r="B4855">
        <v>102.63</v>
      </c>
      <c r="C4855">
        <f t="shared" si="170"/>
        <v>-3.0114629881484579E-3</v>
      </c>
      <c r="D4855">
        <f t="shared" si="169"/>
        <v>-0.35091296483793927</v>
      </c>
    </row>
    <row r="4856" spans="1:4">
      <c r="A4856" s="1">
        <v>25358</v>
      </c>
      <c r="B4856">
        <v>102.59</v>
      </c>
      <c r="C4856">
        <f t="shared" si="170"/>
        <v>-3.8974958589098747E-4</v>
      </c>
      <c r="D4856">
        <f t="shared" si="169"/>
        <v>-7.4060920723235252E-2</v>
      </c>
    </row>
    <row r="4857" spans="1:4">
      <c r="A4857" s="1">
        <v>25359</v>
      </c>
      <c r="B4857">
        <v>102.76</v>
      </c>
      <c r="C4857">
        <f t="shared" si="170"/>
        <v>1.6570815868993244E-3</v>
      </c>
      <c r="D4857">
        <f t="shared" si="169"/>
        <v>0.14208375537170123</v>
      </c>
    </row>
    <row r="4858" spans="1:4">
      <c r="A4858" s="1">
        <v>25360</v>
      </c>
      <c r="B4858">
        <v>102.12</v>
      </c>
      <c r="C4858">
        <f t="shared" si="170"/>
        <v>-6.2281043207473774E-3</v>
      </c>
      <c r="D4858">
        <f t="shared" si="169"/>
        <v>-0.69058919617087122</v>
      </c>
    </row>
    <row r="4859" spans="1:4">
      <c r="A4859" s="1">
        <v>25363</v>
      </c>
      <c r="B4859">
        <v>101.2</v>
      </c>
      <c r="C4859">
        <f t="shared" si="170"/>
        <v>-9.0090090090090245E-3</v>
      </c>
      <c r="D4859">
        <f t="shared" si="169"/>
        <v>-0.98425178597586893</v>
      </c>
    </row>
    <row r="4860" spans="1:4">
      <c r="A4860" s="1">
        <v>25364</v>
      </c>
      <c r="B4860">
        <v>100.42</v>
      </c>
      <c r="C4860">
        <f t="shared" si="170"/>
        <v>-7.7075098814229359E-3</v>
      </c>
      <c r="D4860">
        <f t="shared" si="169"/>
        <v>-0.84681392050382664</v>
      </c>
    </row>
    <row r="4861" spans="1:4">
      <c r="A4861" s="1">
        <v>25365</v>
      </c>
      <c r="B4861">
        <v>99.05</v>
      </c>
      <c r="C4861">
        <f t="shared" si="170"/>
        <v>-1.3642700657239638E-2</v>
      </c>
      <c r="D4861">
        <f t="shared" si="169"/>
        <v>-1.4735680489607019</v>
      </c>
    </row>
    <row r="4862" spans="1:4">
      <c r="A4862" s="1">
        <v>25366</v>
      </c>
      <c r="B4862">
        <v>98.26</v>
      </c>
      <c r="C4862">
        <f t="shared" si="170"/>
        <v>-7.9757698132255639E-3</v>
      </c>
      <c r="D4862">
        <f t="shared" si="169"/>
        <v>-0.87514207811620282</v>
      </c>
    </row>
    <row r="4863" spans="1:4">
      <c r="A4863" s="1">
        <v>25367</v>
      </c>
      <c r="B4863">
        <v>98.65</v>
      </c>
      <c r="C4863">
        <f t="shared" si="170"/>
        <v>3.9690616731121566E-3</v>
      </c>
      <c r="D4863">
        <f t="shared" si="169"/>
        <v>0.38622806659556103</v>
      </c>
    </row>
    <row r="4864" spans="1:4">
      <c r="A4864" s="1">
        <v>25370</v>
      </c>
      <c r="B4864">
        <v>98.32</v>
      </c>
      <c r="C4864">
        <f t="shared" si="170"/>
        <v>-3.3451596553473136E-3</v>
      </c>
      <c r="D4864">
        <f t="shared" si="169"/>
        <v>-0.38615121946513004</v>
      </c>
    </row>
    <row r="4865" spans="1:4">
      <c r="A4865" s="1">
        <v>25371</v>
      </c>
      <c r="B4865">
        <v>97.95</v>
      </c>
      <c r="C4865">
        <f t="shared" si="170"/>
        <v>-3.7632221318143855E-3</v>
      </c>
      <c r="D4865">
        <f t="shared" si="169"/>
        <v>-0.43029847487371248</v>
      </c>
    </row>
    <row r="4866" spans="1:4">
      <c r="A4866" s="1">
        <v>25372</v>
      </c>
      <c r="B4866">
        <v>97.81</v>
      </c>
      <c r="C4866">
        <f t="shared" si="170"/>
        <v>-1.4293006636038853E-3</v>
      </c>
      <c r="D4866">
        <f t="shared" si="169"/>
        <v>-0.18383716116913704</v>
      </c>
    </row>
    <row r="4867" spans="1:4">
      <c r="A4867" s="1">
        <v>25373</v>
      </c>
      <c r="B4867">
        <v>97.24</v>
      </c>
      <c r="C4867">
        <f t="shared" si="170"/>
        <v>-5.8276249872201962E-3</v>
      </c>
      <c r="D4867">
        <f t="shared" ref="D4867:D4930" si="171">(C4867-avg)/sd</f>
        <v>-0.64829871467994049</v>
      </c>
    </row>
    <row r="4868" spans="1:4">
      <c r="A4868" s="1">
        <v>25374</v>
      </c>
      <c r="B4868">
        <v>96.67</v>
      </c>
      <c r="C4868">
        <f t="shared" ref="C4868:C4931" si="172">(B4868-B4867)/B4867</f>
        <v>-5.8617852735499097E-3</v>
      </c>
      <c r="D4868">
        <f t="shared" si="171"/>
        <v>-0.65190602930471275</v>
      </c>
    </row>
    <row r="4869" spans="1:4">
      <c r="A4869" s="1">
        <v>25377</v>
      </c>
      <c r="B4869">
        <v>96.23</v>
      </c>
      <c r="C4869">
        <f t="shared" si="172"/>
        <v>-4.5515671873383439E-3</v>
      </c>
      <c r="D4869">
        <f t="shared" si="171"/>
        <v>-0.51354744476553804</v>
      </c>
    </row>
    <row r="4870" spans="1:4">
      <c r="A4870" s="1">
        <v>25378</v>
      </c>
      <c r="B4870">
        <v>97.32</v>
      </c>
      <c r="C4870">
        <f t="shared" si="172"/>
        <v>1.1327028993037402E-2</v>
      </c>
      <c r="D4870">
        <f t="shared" si="171"/>
        <v>1.1632269144850531</v>
      </c>
    </row>
    <row r="4871" spans="1:4">
      <c r="A4871" s="1">
        <v>25379</v>
      </c>
      <c r="B4871">
        <v>97.01</v>
      </c>
      <c r="C4871">
        <f t="shared" si="172"/>
        <v>-3.1853678586106463E-3</v>
      </c>
      <c r="D4871">
        <f t="shared" si="171"/>
        <v>-0.36927726004560874</v>
      </c>
    </row>
    <row r="4872" spans="1:4">
      <c r="A4872" s="1">
        <v>25380</v>
      </c>
      <c r="B4872">
        <v>97.25</v>
      </c>
      <c r="C4872">
        <f t="shared" si="172"/>
        <v>2.4739717554890721E-3</v>
      </c>
      <c r="D4872">
        <f t="shared" si="171"/>
        <v>0.22834707950031877</v>
      </c>
    </row>
    <row r="4873" spans="1:4">
      <c r="A4873" s="1">
        <v>25381</v>
      </c>
      <c r="B4873">
        <v>97.33</v>
      </c>
      <c r="C4873">
        <f t="shared" si="172"/>
        <v>8.2262210796913413E-4</v>
      </c>
      <c r="D4873">
        <f t="shared" si="171"/>
        <v>5.3965118043231702E-2</v>
      </c>
    </row>
    <row r="4874" spans="1:4">
      <c r="A4874" s="1">
        <v>25384</v>
      </c>
      <c r="B4874">
        <v>97.71</v>
      </c>
      <c r="C4874">
        <f t="shared" si="172"/>
        <v>3.904243296003241E-3</v>
      </c>
      <c r="D4874">
        <f t="shared" si="171"/>
        <v>0.37938326800569644</v>
      </c>
    </row>
    <row r="4875" spans="1:4">
      <c r="A4875" s="1">
        <v>25385</v>
      </c>
      <c r="B4875">
        <v>98.08</v>
      </c>
      <c r="C4875">
        <f t="shared" si="172"/>
        <v>3.7867157916283345E-3</v>
      </c>
      <c r="D4875">
        <f t="shared" si="171"/>
        <v>0.36697240349324611</v>
      </c>
    </row>
    <row r="4876" spans="1:4">
      <c r="A4876" s="1">
        <v>25386</v>
      </c>
      <c r="B4876">
        <v>98.94</v>
      </c>
      <c r="C4876">
        <f t="shared" si="172"/>
        <v>8.7683523654159806E-3</v>
      </c>
      <c r="D4876">
        <f t="shared" si="171"/>
        <v>0.89303153234467503</v>
      </c>
    </row>
    <row r="4877" spans="1:4">
      <c r="A4877" s="1">
        <v>25387</v>
      </c>
      <c r="B4877">
        <v>99.61</v>
      </c>
      <c r="C4877">
        <f t="shared" si="172"/>
        <v>6.7717808772993909E-3</v>
      </c>
      <c r="D4877">
        <f t="shared" si="171"/>
        <v>0.68219426186718657</v>
      </c>
    </row>
    <row r="4878" spans="1:4">
      <c r="A4878" s="1">
        <v>25391</v>
      </c>
      <c r="B4878">
        <v>99.03</v>
      </c>
      <c r="C4878">
        <f t="shared" si="172"/>
        <v>-5.8227085633972319E-3</v>
      </c>
      <c r="D4878">
        <f t="shared" si="171"/>
        <v>-0.6477795419954091</v>
      </c>
    </row>
    <row r="4879" spans="1:4">
      <c r="A4879" s="1">
        <v>25392</v>
      </c>
      <c r="B4879">
        <v>97.63</v>
      </c>
      <c r="C4879">
        <f t="shared" si="172"/>
        <v>-1.4137130162577054E-2</v>
      </c>
      <c r="D4879">
        <f t="shared" si="171"/>
        <v>-1.5257796366595782</v>
      </c>
    </row>
    <row r="4880" spans="1:4">
      <c r="A4880" s="1">
        <v>25393</v>
      </c>
      <c r="B4880">
        <v>96.88</v>
      </c>
      <c r="C4880">
        <f t="shared" si="172"/>
        <v>-7.6820649390556186E-3</v>
      </c>
      <c r="D4880">
        <f t="shared" si="171"/>
        <v>-0.84412694323899407</v>
      </c>
    </row>
    <row r="4881" spans="1:4">
      <c r="A4881" s="1">
        <v>25394</v>
      </c>
      <c r="B4881">
        <v>95.38</v>
      </c>
      <c r="C4881">
        <f t="shared" si="172"/>
        <v>-1.5483071841453346E-2</v>
      </c>
      <c r="D4881">
        <f t="shared" si="171"/>
        <v>-1.6679106204411089</v>
      </c>
    </row>
    <row r="4882" spans="1:4">
      <c r="A4882" s="1">
        <v>25395</v>
      </c>
      <c r="B4882">
        <v>95.77</v>
      </c>
      <c r="C4882">
        <f t="shared" si="172"/>
        <v>4.0889075277836086E-3</v>
      </c>
      <c r="D4882">
        <f t="shared" si="171"/>
        <v>0.39888374811128102</v>
      </c>
    </row>
    <row r="4883" spans="1:4">
      <c r="A4883" s="1">
        <v>25398</v>
      </c>
      <c r="B4883">
        <v>94.55</v>
      </c>
      <c r="C4883">
        <f t="shared" si="172"/>
        <v>-1.2738853503184702E-2</v>
      </c>
      <c r="D4883">
        <f t="shared" si="171"/>
        <v>-1.378122096725076</v>
      </c>
    </row>
    <row r="4884" spans="1:4">
      <c r="A4884" s="1">
        <v>25399</v>
      </c>
      <c r="B4884">
        <v>94.24</v>
      </c>
      <c r="C4884">
        <f t="shared" si="172"/>
        <v>-3.2786885245901882E-3</v>
      </c>
      <c r="D4884">
        <f t="shared" si="171"/>
        <v>-0.37913189065181274</v>
      </c>
    </row>
    <row r="4885" spans="1:4">
      <c r="A4885" s="1">
        <v>25400</v>
      </c>
      <c r="B4885">
        <v>95.18</v>
      </c>
      <c r="C4885">
        <f t="shared" si="172"/>
        <v>9.9745331069610779E-3</v>
      </c>
      <c r="D4885">
        <f t="shared" si="171"/>
        <v>1.0204038086510823</v>
      </c>
    </row>
    <row r="4886" spans="1:4">
      <c r="A4886" s="1">
        <v>25401</v>
      </c>
      <c r="B4886">
        <v>95.76</v>
      </c>
      <c r="C4886">
        <f t="shared" si="172"/>
        <v>6.0937171674721397E-3</v>
      </c>
      <c r="D4886">
        <f t="shared" si="171"/>
        <v>0.61059096459448248</v>
      </c>
    </row>
    <row r="4887" spans="1:4">
      <c r="A4887" s="1">
        <v>25402</v>
      </c>
      <c r="B4887">
        <v>94.95</v>
      </c>
      <c r="C4887">
        <f t="shared" si="172"/>
        <v>-8.4586466165413772E-3</v>
      </c>
      <c r="D4887">
        <f t="shared" si="171"/>
        <v>-0.92613370440855225</v>
      </c>
    </row>
    <row r="4888" spans="1:4">
      <c r="A4888" s="1">
        <v>25406</v>
      </c>
      <c r="B4888">
        <v>93.52</v>
      </c>
      <c r="C4888">
        <f t="shared" si="172"/>
        <v>-1.5060558188520345E-2</v>
      </c>
      <c r="D4888">
        <f t="shared" si="171"/>
        <v>-1.6232933223107529</v>
      </c>
    </row>
    <row r="4889" spans="1:4">
      <c r="A4889" s="1">
        <v>25407</v>
      </c>
      <c r="B4889">
        <v>93.12</v>
      </c>
      <c r="C4889">
        <f t="shared" si="172"/>
        <v>-4.2771599657826292E-3</v>
      </c>
      <c r="D4889">
        <f t="shared" si="171"/>
        <v>-0.48457013544480126</v>
      </c>
    </row>
    <row r="4890" spans="1:4">
      <c r="A4890" s="1">
        <v>25408</v>
      </c>
      <c r="B4890">
        <v>92.8</v>
      </c>
      <c r="C4890">
        <f t="shared" si="172"/>
        <v>-3.4364261168385673E-3</v>
      </c>
      <c r="D4890">
        <f t="shared" si="171"/>
        <v>-0.39578892677562882</v>
      </c>
    </row>
    <row r="4891" spans="1:4">
      <c r="A4891" s="1">
        <v>25409</v>
      </c>
      <c r="B4891">
        <v>92.06</v>
      </c>
      <c r="C4891">
        <f t="shared" si="172"/>
        <v>-7.9741379310344276E-3</v>
      </c>
      <c r="D4891">
        <f t="shared" si="171"/>
        <v>-0.87496975191152249</v>
      </c>
    </row>
    <row r="4892" spans="1:4">
      <c r="A4892" s="1">
        <v>25412</v>
      </c>
      <c r="B4892">
        <v>90.21</v>
      </c>
      <c r="C4892">
        <f t="shared" si="172"/>
        <v>-2.0095589832717885E-2</v>
      </c>
      <c r="D4892">
        <f t="shared" si="171"/>
        <v>-2.1549909524476001</v>
      </c>
    </row>
    <row r="4893" spans="1:4">
      <c r="A4893" s="1">
        <v>25413</v>
      </c>
      <c r="B4893">
        <v>89.48</v>
      </c>
      <c r="C4893">
        <f t="shared" si="172"/>
        <v>-8.0922292428776167E-3</v>
      </c>
      <c r="D4893">
        <f t="shared" si="171"/>
        <v>-0.887440154300976</v>
      </c>
    </row>
    <row r="4894" spans="1:4">
      <c r="A4894" s="1">
        <v>25414</v>
      </c>
      <c r="B4894">
        <v>89.93</v>
      </c>
      <c r="C4894">
        <f t="shared" si="172"/>
        <v>5.0290567724631521E-3</v>
      </c>
      <c r="D4894">
        <f t="shared" si="171"/>
        <v>0.4981631887771853</v>
      </c>
    </row>
    <row r="4895" spans="1:4">
      <c r="A4895" s="1">
        <v>25415</v>
      </c>
      <c r="B4895">
        <v>91.83</v>
      </c>
      <c r="C4895">
        <f t="shared" si="172"/>
        <v>2.112754364505717E-2</v>
      </c>
      <c r="D4895">
        <f t="shared" si="171"/>
        <v>2.1981579303815479</v>
      </c>
    </row>
    <row r="4896" spans="1:4">
      <c r="A4896" s="1">
        <v>25416</v>
      </c>
      <c r="B4896">
        <v>93.47</v>
      </c>
      <c r="C4896">
        <f t="shared" si="172"/>
        <v>1.7859087444190357E-2</v>
      </c>
      <c r="D4896">
        <f t="shared" si="171"/>
        <v>1.853010066572256</v>
      </c>
    </row>
    <row r="4897" spans="1:4">
      <c r="A4897" s="1">
        <v>25419</v>
      </c>
      <c r="B4897">
        <v>92.99</v>
      </c>
      <c r="C4897">
        <f t="shared" si="172"/>
        <v>-5.1353375414571944E-3</v>
      </c>
      <c r="D4897">
        <f t="shared" si="171"/>
        <v>-0.57519339572730399</v>
      </c>
    </row>
    <row r="4898" spans="1:4">
      <c r="A4898" s="1">
        <v>25420</v>
      </c>
      <c r="B4898">
        <v>93.41</v>
      </c>
      <c r="C4898">
        <f t="shared" si="172"/>
        <v>4.5166146897516052E-3</v>
      </c>
      <c r="D4898">
        <f t="shared" si="171"/>
        <v>0.44404947903037317</v>
      </c>
    </row>
    <row r="4899" spans="1:4">
      <c r="A4899" s="1">
        <v>25421</v>
      </c>
      <c r="B4899">
        <v>93.92</v>
      </c>
      <c r="C4899">
        <f t="shared" si="172"/>
        <v>5.4598008778503921E-3</v>
      </c>
      <c r="D4899">
        <f t="shared" si="171"/>
        <v>0.54364961988904237</v>
      </c>
    </row>
    <row r="4900" spans="1:4">
      <c r="A4900" s="1">
        <v>25422</v>
      </c>
      <c r="B4900">
        <v>93.99</v>
      </c>
      <c r="C4900">
        <f t="shared" si="172"/>
        <v>7.4531516183979111E-4</v>
      </c>
      <c r="D4900">
        <f t="shared" si="171"/>
        <v>4.5801530809880836E-2</v>
      </c>
    </row>
    <row r="4901" spans="1:4">
      <c r="A4901" s="1">
        <v>25423</v>
      </c>
      <c r="B4901">
        <v>93.94</v>
      </c>
      <c r="C4901">
        <f t="shared" si="172"/>
        <v>-5.3197148632830261E-4</v>
      </c>
      <c r="D4901">
        <f t="shared" si="171"/>
        <v>-8.9079505065842876E-2</v>
      </c>
    </row>
    <row r="4902" spans="1:4">
      <c r="A4902" s="1">
        <v>25426</v>
      </c>
      <c r="B4902">
        <v>93.36</v>
      </c>
      <c r="C4902">
        <f t="shared" si="172"/>
        <v>-6.1741537151373035E-3</v>
      </c>
      <c r="D4902">
        <f t="shared" si="171"/>
        <v>-0.68489203055714931</v>
      </c>
    </row>
    <row r="4903" spans="1:4">
      <c r="A4903" s="1">
        <v>25427</v>
      </c>
      <c r="B4903">
        <v>92.63</v>
      </c>
      <c r="C4903">
        <f t="shared" si="172"/>
        <v>-7.8191945158526555E-3</v>
      </c>
      <c r="D4903">
        <f t="shared" si="171"/>
        <v>-0.85860777993615323</v>
      </c>
    </row>
    <row r="4904" spans="1:4">
      <c r="A4904" s="1">
        <v>25428</v>
      </c>
      <c r="B4904">
        <v>92.7</v>
      </c>
      <c r="C4904">
        <f t="shared" si="172"/>
        <v>7.5569469934154583E-4</v>
      </c>
      <c r="D4904">
        <f t="shared" si="171"/>
        <v>4.6897606441889915E-2</v>
      </c>
    </row>
    <row r="4905" spans="1:4">
      <c r="A4905" s="1">
        <v>25429</v>
      </c>
      <c r="B4905">
        <v>93.34</v>
      </c>
      <c r="C4905">
        <f t="shared" si="172"/>
        <v>6.9039913700107937E-3</v>
      </c>
      <c r="D4905">
        <f t="shared" si="171"/>
        <v>0.69615564495698068</v>
      </c>
    </row>
    <row r="4906" spans="1:4">
      <c r="A4906" s="1">
        <v>25430</v>
      </c>
      <c r="B4906">
        <v>94</v>
      </c>
      <c r="C4906">
        <f t="shared" si="172"/>
        <v>7.0709235054638589E-3</v>
      </c>
      <c r="D4906">
        <f t="shared" si="171"/>
        <v>0.7137836217178346</v>
      </c>
    </row>
    <row r="4907" spans="1:4">
      <c r="A4907" s="1">
        <v>25433</v>
      </c>
      <c r="B4907">
        <v>94.57</v>
      </c>
      <c r="C4907">
        <f t="shared" si="172"/>
        <v>6.0638297872339696E-3</v>
      </c>
      <c r="D4907">
        <f t="shared" si="171"/>
        <v>0.60743486740054597</v>
      </c>
    </row>
    <row r="4908" spans="1:4">
      <c r="A4908" s="1">
        <v>25434</v>
      </c>
      <c r="B4908">
        <v>95.07</v>
      </c>
      <c r="C4908">
        <f t="shared" si="172"/>
        <v>5.2870889288357831E-3</v>
      </c>
      <c r="D4908">
        <f t="shared" si="171"/>
        <v>0.52541129678074361</v>
      </c>
    </row>
    <row r="4909" spans="1:4">
      <c r="A4909" s="1">
        <v>25435</v>
      </c>
      <c r="B4909">
        <v>95.07</v>
      </c>
      <c r="C4909">
        <f t="shared" si="172"/>
        <v>0</v>
      </c>
      <c r="D4909">
        <f t="shared" si="171"/>
        <v>-3.29034969354682E-2</v>
      </c>
    </row>
    <row r="4910" spans="1:4">
      <c r="A4910" s="1">
        <v>25436</v>
      </c>
      <c r="B4910">
        <v>95.35</v>
      </c>
      <c r="C4910">
        <f t="shared" si="172"/>
        <v>2.9451982749553081E-3</v>
      </c>
      <c r="D4910">
        <f t="shared" si="171"/>
        <v>0.27810843977827671</v>
      </c>
    </row>
    <row r="4911" spans="1:4">
      <c r="A4911" s="1">
        <v>25437</v>
      </c>
      <c r="B4911">
        <v>95.92</v>
      </c>
      <c r="C4911">
        <f t="shared" si="172"/>
        <v>5.977975878343025E-3</v>
      </c>
      <c r="D4911">
        <f t="shared" si="171"/>
        <v>0.59836872380482375</v>
      </c>
    </row>
    <row r="4912" spans="1:4">
      <c r="A4912" s="1">
        <v>25440</v>
      </c>
      <c r="B4912">
        <v>94.93</v>
      </c>
      <c r="C4912">
        <f t="shared" si="172"/>
        <v>-1.0321100917431139E-2</v>
      </c>
      <c r="D4912">
        <f t="shared" si="171"/>
        <v>-1.1228082455035344</v>
      </c>
    </row>
    <row r="4913" spans="1:4">
      <c r="A4913" s="1">
        <v>25441</v>
      </c>
      <c r="B4913">
        <v>94.3</v>
      </c>
      <c r="C4913">
        <f t="shared" si="172"/>
        <v>-6.6364689771411522E-3</v>
      </c>
      <c r="D4913">
        <f t="shared" si="171"/>
        <v>-0.73371236507616266</v>
      </c>
    </row>
    <row r="4914" spans="1:4">
      <c r="A4914" s="1">
        <v>25442</v>
      </c>
      <c r="B4914">
        <v>94.49</v>
      </c>
      <c r="C4914">
        <f t="shared" si="172"/>
        <v>2.0148462354188518E-3</v>
      </c>
      <c r="D4914">
        <f t="shared" si="171"/>
        <v>0.17986358064525054</v>
      </c>
    </row>
    <row r="4915" spans="1:4">
      <c r="A4915" s="1">
        <v>25443</v>
      </c>
      <c r="B4915">
        <v>94.89</v>
      </c>
      <c r="C4915">
        <f t="shared" si="172"/>
        <v>4.2332521959996374E-3</v>
      </c>
      <c r="D4915">
        <f t="shared" si="171"/>
        <v>0.41412649600975693</v>
      </c>
    </row>
    <row r="4916" spans="1:4">
      <c r="A4916" s="1">
        <v>25444</v>
      </c>
      <c r="B4916">
        <v>95.51</v>
      </c>
      <c r="C4916">
        <f t="shared" si="172"/>
        <v>6.5338813362841664E-3</v>
      </c>
      <c r="D4916">
        <f t="shared" si="171"/>
        <v>0.65707215120196194</v>
      </c>
    </row>
    <row r="4917" spans="1:4">
      <c r="A4917" s="1">
        <v>25448</v>
      </c>
      <c r="B4917">
        <v>95.54</v>
      </c>
      <c r="C4917">
        <f t="shared" si="172"/>
        <v>3.1410323526333511E-4</v>
      </c>
      <c r="D4917">
        <f t="shared" si="171"/>
        <v>2.6569793946269119E-4</v>
      </c>
    </row>
    <row r="4918" spans="1:4">
      <c r="A4918" s="1">
        <v>25449</v>
      </c>
      <c r="B4918">
        <v>94.98</v>
      </c>
      <c r="C4918">
        <f t="shared" si="172"/>
        <v>-5.8614193008164357E-3</v>
      </c>
      <c r="D4918">
        <f t="shared" si="171"/>
        <v>-0.65186738270845812</v>
      </c>
    </row>
    <row r="4919" spans="1:4">
      <c r="A4919" s="1">
        <v>25450</v>
      </c>
      <c r="B4919">
        <v>94.2</v>
      </c>
      <c r="C4919">
        <f t="shared" si="172"/>
        <v>-8.212255211623512E-3</v>
      </c>
      <c r="D4919">
        <f t="shared" si="171"/>
        <v>-0.90011485580173345</v>
      </c>
    </row>
    <row r="4920" spans="1:4">
      <c r="A4920" s="1">
        <v>25451</v>
      </c>
      <c r="B4920">
        <v>93.64</v>
      </c>
      <c r="C4920">
        <f t="shared" si="172"/>
        <v>-5.9447983014862234E-3</v>
      </c>
      <c r="D4920">
        <f t="shared" si="171"/>
        <v>-0.66067217683728829</v>
      </c>
    </row>
    <row r="4921" spans="1:4">
      <c r="A4921" s="1">
        <v>25454</v>
      </c>
      <c r="B4921">
        <v>92.7</v>
      </c>
      <c r="C4921">
        <f t="shared" si="172"/>
        <v>-1.0038445108927783E-2</v>
      </c>
      <c r="D4921">
        <f t="shared" si="171"/>
        <v>-1.0929598882049576</v>
      </c>
    </row>
    <row r="4922" spans="1:4">
      <c r="A4922" s="1">
        <v>25455</v>
      </c>
      <c r="B4922">
        <v>93.38</v>
      </c>
      <c r="C4922">
        <f t="shared" si="172"/>
        <v>7.3354908306363818E-3</v>
      </c>
      <c r="D4922">
        <f t="shared" si="171"/>
        <v>0.74172184132524965</v>
      </c>
    </row>
    <row r="4923" spans="1:4">
      <c r="A4923" s="1">
        <v>25456</v>
      </c>
      <c r="B4923">
        <v>94.95</v>
      </c>
      <c r="C4923">
        <f t="shared" si="172"/>
        <v>1.6813022060398451E-2</v>
      </c>
      <c r="D4923">
        <f t="shared" si="171"/>
        <v>1.742545917618731</v>
      </c>
    </row>
    <row r="4924" spans="1:4">
      <c r="A4924" s="1">
        <v>25457</v>
      </c>
      <c r="B4924">
        <v>94.22</v>
      </c>
      <c r="C4924">
        <f t="shared" si="172"/>
        <v>-7.6882569773565447E-3</v>
      </c>
      <c r="D4924">
        <f t="shared" si="171"/>
        <v>-0.84478082037879587</v>
      </c>
    </row>
    <row r="4925" spans="1:4">
      <c r="A4925" s="1">
        <v>25458</v>
      </c>
      <c r="B4925">
        <v>94.13</v>
      </c>
      <c r="C4925">
        <f t="shared" si="172"/>
        <v>-9.5521120781154117E-4</v>
      </c>
      <c r="D4925">
        <f t="shared" si="171"/>
        <v>-0.13377347578830143</v>
      </c>
    </row>
    <row r="4926" spans="1:4">
      <c r="A4926" s="1">
        <v>25461</v>
      </c>
      <c r="B4926">
        <v>94.87</v>
      </c>
      <c r="C4926">
        <f t="shared" si="172"/>
        <v>7.8614681823011706E-3</v>
      </c>
      <c r="D4926">
        <f t="shared" si="171"/>
        <v>0.79726487087266262</v>
      </c>
    </row>
    <row r="4927" spans="1:4">
      <c r="A4927" s="1">
        <v>25462</v>
      </c>
      <c r="B4927">
        <v>94.95</v>
      </c>
      <c r="C4927">
        <f t="shared" si="172"/>
        <v>8.4325919679559703E-4</v>
      </c>
      <c r="D4927">
        <f t="shared" si="171"/>
        <v>5.6144387608418854E-2</v>
      </c>
    </row>
    <row r="4928" spans="1:4">
      <c r="A4928" s="1">
        <v>25463</v>
      </c>
      <c r="B4928">
        <v>94.76</v>
      </c>
      <c r="C4928">
        <f t="shared" si="172"/>
        <v>-2.0010531858872852E-3</v>
      </c>
      <c r="D4928">
        <f t="shared" si="171"/>
        <v>-0.24421403317413884</v>
      </c>
    </row>
    <row r="4929" spans="1:4">
      <c r="A4929" s="1">
        <v>25464</v>
      </c>
      <c r="B4929">
        <v>94.9</v>
      </c>
      <c r="C4929">
        <f t="shared" si="172"/>
        <v>1.4774166314900862E-3</v>
      </c>
      <c r="D4929">
        <f t="shared" si="171"/>
        <v>0.1231111971515713</v>
      </c>
    </row>
    <row r="4930" spans="1:4">
      <c r="A4930" s="1">
        <v>25465</v>
      </c>
      <c r="B4930">
        <v>95.19</v>
      </c>
      <c r="C4930">
        <f t="shared" si="172"/>
        <v>3.0558482613276291E-3</v>
      </c>
      <c r="D4930">
        <f t="shared" si="171"/>
        <v>0.28979304072743595</v>
      </c>
    </row>
    <row r="4931" spans="1:4">
      <c r="A4931" s="1">
        <v>25468</v>
      </c>
      <c r="B4931">
        <v>95.63</v>
      </c>
      <c r="C4931">
        <f t="shared" si="172"/>
        <v>4.6223342788107753E-3</v>
      </c>
      <c r="D4931">
        <f t="shared" ref="D4931:D4994" si="173">(C4931-avg)/sd</f>
        <v>0.45521343169918721</v>
      </c>
    </row>
    <row r="4932" spans="1:4">
      <c r="A4932" s="1">
        <v>25469</v>
      </c>
      <c r="B4932">
        <v>95.63</v>
      </c>
      <c r="C4932">
        <f t="shared" ref="C4932:C4995" si="174">(B4932-B4931)/B4931</f>
        <v>0</v>
      </c>
      <c r="D4932">
        <f t="shared" si="173"/>
        <v>-3.29034969354682E-2</v>
      </c>
    </row>
    <row r="4933" spans="1:4">
      <c r="A4933" s="1">
        <v>25470</v>
      </c>
      <c r="B4933">
        <v>95.5</v>
      </c>
      <c r="C4933">
        <f t="shared" si="174"/>
        <v>-1.359406044128364E-3</v>
      </c>
      <c r="D4933">
        <f t="shared" si="173"/>
        <v>-0.17645631311085749</v>
      </c>
    </row>
    <row r="4934" spans="1:4">
      <c r="A4934" s="1">
        <v>25471</v>
      </c>
      <c r="B4934">
        <v>94.77</v>
      </c>
      <c r="C4934">
        <f t="shared" si="174"/>
        <v>-7.6439790575916645E-3</v>
      </c>
      <c r="D4934">
        <f t="shared" si="173"/>
        <v>-0.8401050871024206</v>
      </c>
    </row>
    <row r="4935" spans="1:4">
      <c r="A4935" s="1">
        <v>25472</v>
      </c>
      <c r="B4935">
        <v>94.16</v>
      </c>
      <c r="C4935">
        <f t="shared" si="174"/>
        <v>-6.4366360662656899E-3</v>
      </c>
      <c r="D4935">
        <f t="shared" si="173"/>
        <v>-0.71261007761422068</v>
      </c>
    </row>
    <row r="4936" spans="1:4">
      <c r="A4936" s="1">
        <v>25475</v>
      </c>
      <c r="B4936">
        <v>93.41</v>
      </c>
      <c r="C4936">
        <f t="shared" si="174"/>
        <v>-7.9651656754460495E-3</v>
      </c>
      <c r="D4936">
        <f t="shared" si="173"/>
        <v>-0.87402228477120769</v>
      </c>
    </row>
    <row r="4937" spans="1:4">
      <c r="A4937" s="1">
        <v>25476</v>
      </c>
      <c r="B4937">
        <v>93.12</v>
      </c>
      <c r="C4937">
        <f t="shared" si="174"/>
        <v>-3.1045926560324595E-3</v>
      </c>
      <c r="D4937">
        <f t="shared" si="173"/>
        <v>-0.36074742611017763</v>
      </c>
    </row>
    <row r="4938" spans="1:4">
      <c r="A4938" s="1">
        <v>25477</v>
      </c>
      <c r="B4938">
        <v>92.52</v>
      </c>
      <c r="C4938">
        <f t="shared" si="174"/>
        <v>-6.4432989690722565E-3</v>
      </c>
      <c r="D4938">
        <f t="shared" si="173"/>
        <v>-0.71331367788576339</v>
      </c>
    </row>
    <row r="4939" spans="1:4">
      <c r="A4939" s="1">
        <v>25478</v>
      </c>
      <c r="B4939">
        <v>93.24</v>
      </c>
      <c r="C4939">
        <f t="shared" si="174"/>
        <v>7.7821011673151631E-3</v>
      </c>
      <c r="D4939">
        <f t="shared" si="173"/>
        <v>0.78888374106829939</v>
      </c>
    </row>
    <row r="4940" spans="1:4">
      <c r="A4940" s="1">
        <v>25479</v>
      </c>
      <c r="B4940">
        <v>93.19</v>
      </c>
      <c r="C4940">
        <f t="shared" si="174"/>
        <v>-5.3625053625050575E-4</v>
      </c>
      <c r="D4940">
        <f t="shared" si="173"/>
        <v>-8.9531371283107786E-2</v>
      </c>
    </row>
    <row r="4941" spans="1:4">
      <c r="A4941" s="1">
        <v>25482</v>
      </c>
      <c r="B4941">
        <v>93.38</v>
      </c>
      <c r="C4941">
        <f t="shared" si="174"/>
        <v>2.0388453696748333E-3</v>
      </c>
      <c r="D4941">
        <f t="shared" si="173"/>
        <v>0.18239788106498012</v>
      </c>
    </row>
    <row r="4942" spans="1:4">
      <c r="A4942" s="1">
        <v>25483</v>
      </c>
      <c r="B4942">
        <v>93.09</v>
      </c>
      <c r="C4942">
        <f t="shared" si="174"/>
        <v>-3.105590062111716E-3</v>
      </c>
      <c r="D4942">
        <f t="shared" si="173"/>
        <v>-0.36085275185311233</v>
      </c>
    </row>
    <row r="4943" spans="1:4">
      <c r="A4943" s="1">
        <v>25484</v>
      </c>
      <c r="B4943">
        <v>92.67</v>
      </c>
      <c r="C4943">
        <f t="shared" si="174"/>
        <v>-4.5117628101837117E-3</v>
      </c>
      <c r="D4943">
        <f t="shared" si="173"/>
        <v>-0.50934411606817409</v>
      </c>
    </row>
    <row r="4944" spans="1:4">
      <c r="A4944" s="1">
        <v>25485</v>
      </c>
      <c r="B4944">
        <v>93.03</v>
      </c>
      <c r="C4944">
        <f t="shared" si="174"/>
        <v>3.8847523470378702E-3</v>
      </c>
      <c r="D4944">
        <f t="shared" si="173"/>
        <v>0.37732503042024879</v>
      </c>
    </row>
    <row r="4945" spans="1:4">
      <c r="A4945" s="1">
        <v>25486</v>
      </c>
      <c r="B4945">
        <v>93.56</v>
      </c>
      <c r="C4945">
        <f t="shared" si="174"/>
        <v>5.6970869611953252E-3</v>
      </c>
      <c r="D4945">
        <f t="shared" si="173"/>
        <v>0.56870694963280866</v>
      </c>
    </row>
    <row r="4946" spans="1:4">
      <c r="A4946" s="1">
        <v>25489</v>
      </c>
      <c r="B4946">
        <v>94.55</v>
      </c>
      <c r="C4946">
        <f t="shared" si="174"/>
        <v>1.058144506199225E-2</v>
      </c>
      <c r="D4946">
        <f t="shared" si="173"/>
        <v>1.0844935048029769</v>
      </c>
    </row>
    <row r="4947" spans="1:4">
      <c r="A4947" s="1">
        <v>25490</v>
      </c>
      <c r="B4947">
        <v>95.7</v>
      </c>
      <c r="C4947">
        <f t="shared" si="174"/>
        <v>1.2162876784770023E-2</v>
      </c>
      <c r="D4947">
        <f t="shared" si="173"/>
        <v>1.2514921571735487</v>
      </c>
    </row>
    <row r="4948" spans="1:4">
      <c r="A4948" s="1">
        <v>25491</v>
      </c>
      <c r="B4948">
        <v>95.72</v>
      </c>
      <c r="C4948">
        <f t="shared" si="174"/>
        <v>2.0898641588292603E-4</v>
      </c>
      <c r="D4948">
        <f t="shared" si="173"/>
        <v>-1.0834602456165522E-2</v>
      </c>
    </row>
    <row r="4949" spans="1:4">
      <c r="A4949" s="1">
        <v>25492</v>
      </c>
      <c r="B4949">
        <v>96.37</v>
      </c>
      <c r="C4949">
        <f t="shared" si="174"/>
        <v>6.7906393648141002E-3</v>
      </c>
      <c r="D4949">
        <f t="shared" si="173"/>
        <v>0.68418571173842857</v>
      </c>
    </row>
    <row r="4950" spans="1:4">
      <c r="A4950" s="1">
        <v>25493</v>
      </c>
      <c r="B4950">
        <v>96.26</v>
      </c>
      <c r="C4950">
        <f t="shared" si="174"/>
        <v>-1.141434056241563E-3</v>
      </c>
      <c r="D4950">
        <f t="shared" si="173"/>
        <v>-0.15343854528228995</v>
      </c>
    </row>
    <row r="4951" spans="1:4">
      <c r="A4951" s="1">
        <v>25496</v>
      </c>
      <c r="B4951">
        <v>96.46</v>
      </c>
      <c r="C4951">
        <f t="shared" si="174"/>
        <v>2.0777062123414568E-3</v>
      </c>
      <c r="D4951">
        <f t="shared" si="173"/>
        <v>0.18650157284113331</v>
      </c>
    </row>
    <row r="4952" spans="1:4">
      <c r="A4952" s="1">
        <v>25497</v>
      </c>
      <c r="B4952">
        <v>97.2</v>
      </c>
      <c r="C4952">
        <f t="shared" si="174"/>
        <v>7.6715737093096528E-3</v>
      </c>
      <c r="D4952">
        <f t="shared" si="173"/>
        <v>0.77721207907302592</v>
      </c>
    </row>
    <row r="4953" spans="1:4">
      <c r="A4953" s="1">
        <v>25498</v>
      </c>
      <c r="B4953">
        <v>97.83</v>
      </c>
      <c r="C4953">
        <f t="shared" si="174"/>
        <v>6.4814814814814345E-3</v>
      </c>
      <c r="D4953">
        <f t="shared" si="173"/>
        <v>0.65153874434636949</v>
      </c>
    </row>
    <row r="4954" spans="1:4">
      <c r="A4954" s="1">
        <v>25499</v>
      </c>
      <c r="B4954">
        <v>97.46</v>
      </c>
      <c r="C4954">
        <f t="shared" si="174"/>
        <v>-3.7820709393846935E-3</v>
      </c>
      <c r="D4954">
        <f t="shared" si="173"/>
        <v>-0.43228890254611607</v>
      </c>
    </row>
    <row r="4955" spans="1:4">
      <c r="A4955" s="1">
        <v>25500</v>
      </c>
      <c r="B4955">
        <v>98.12</v>
      </c>
      <c r="C4955">
        <f t="shared" si="174"/>
        <v>6.7720090293454833E-3</v>
      </c>
      <c r="D4955">
        <f t="shared" si="173"/>
        <v>0.68221835464570135</v>
      </c>
    </row>
    <row r="4956" spans="1:4">
      <c r="A4956" s="1">
        <v>25503</v>
      </c>
      <c r="B4956">
        <v>97.97</v>
      </c>
      <c r="C4956">
        <f t="shared" si="174"/>
        <v>-1.5287403179780441E-3</v>
      </c>
      <c r="D4956">
        <f t="shared" si="173"/>
        <v>-0.19433795486986735</v>
      </c>
    </row>
    <row r="4957" spans="1:4">
      <c r="A4957" s="1">
        <v>25504</v>
      </c>
      <c r="B4957">
        <v>97.66</v>
      </c>
      <c r="C4957">
        <f t="shared" si="174"/>
        <v>-3.1642339491681358E-3</v>
      </c>
      <c r="D4957">
        <f t="shared" si="173"/>
        <v>-0.36704552639224447</v>
      </c>
    </row>
    <row r="4958" spans="1:4">
      <c r="A4958" s="1">
        <v>25505</v>
      </c>
      <c r="B4958">
        <v>96.81</v>
      </c>
      <c r="C4958">
        <f t="shared" si="174"/>
        <v>-8.7036657792340204E-3</v>
      </c>
      <c r="D4958">
        <f t="shared" si="173"/>
        <v>-0.95200764470283528</v>
      </c>
    </row>
    <row r="4959" spans="1:4">
      <c r="A4959" s="1">
        <v>25506</v>
      </c>
      <c r="B4959">
        <v>96.93</v>
      </c>
      <c r="C4959">
        <f t="shared" si="174"/>
        <v>1.2395413696932604E-3</v>
      </c>
      <c r="D4959">
        <f t="shared" si="173"/>
        <v>9.799165036355667E-2</v>
      </c>
    </row>
    <row r="4960" spans="1:4">
      <c r="A4960" s="1">
        <v>25507</v>
      </c>
      <c r="B4960">
        <v>97.12</v>
      </c>
      <c r="C4960">
        <f t="shared" si="174"/>
        <v>1.9601774476426053E-3</v>
      </c>
      <c r="D4960">
        <f t="shared" si="173"/>
        <v>0.17409057523890278</v>
      </c>
    </row>
    <row r="4961" spans="1:4">
      <c r="A4961" s="1">
        <v>25510</v>
      </c>
      <c r="B4961">
        <v>97.15</v>
      </c>
      <c r="C4961">
        <f t="shared" si="174"/>
        <v>3.0889621087315831E-4</v>
      </c>
      <c r="D4961">
        <f t="shared" si="173"/>
        <v>-2.8416206618639119E-4</v>
      </c>
    </row>
    <row r="4962" spans="1:4">
      <c r="A4962" s="1">
        <v>25511</v>
      </c>
      <c r="B4962">
        <v>97.21</v>
      </c>
      <c r="C4962">
        <f t="shared" si="174"/>
        <v>6.176016469376023E-4</v>
      </c>
      <c r="D4962">
        <f t="shared" si="173"/>
        <v>3.2315027048142694E-2</v>
      </c>
    </row>
    <row r="4963" spans="1:4">
      <c r="A4963" s="1">
        <v>25512</v>
      </c>
      <c r="B4963">
        <v>97.64</v>
      </c>
      <c r="C4963">
        <f t="shared" si="174"/>
        <v>4.4234132290917275E-3</v>
      </c>
      <c r="D4963">
        <f t="shared" si="173"/>
        <v>0.43420743646540588</v>
      </c>
    </row>
    <row r="4964" spans="1:4">
      <c r="A4964" s="1">
        <v>25513</v>
      </c>
      <c r="B4964">
        <v>97.67</v>
      </c>
      <c r="C4964">
        <f t="shared" si="174"/>
        <v>3.0725112658747577E-4</v>
      </c>
      <c r="D4964">
        <f t="shared" si="173"/>
        <v>-4.5788240756314838E-4</v>
      </c>
    </row>
    <row r="4965" spans="1:4">
      <c r="A4965" s="1">
        <v>25514</v>
      </c>
      <c r="B4965">
        <v>98.26</v>
      </c>
      <c r="C4965">
        <f t="shared" si="174"/>
        <v>6.0407494624757181E-3</v>
      </c>
      <c r="D4965">
        <f t="shared" si="173"/>
        <v>0.60499759295145816</v>
      </c>
    </row>
    <row r="4966" spans="1:4">
      <c r="A4966" s="1">
        <v>25517</v>
      </c>
      <c r="B4966">
        <v>98.33</v>
      </c>
      <c r="C4966">
        <f t="shared" si="174"/>
        <v>7.123956849174962E-4</v>
      </c>
      <c r="D4966">
        <f t="shared" si="173"/>
        <v>4.2325245236760387E-2</v>
      </c>
    </row>
    <row r="4967" spans="1:4">
      <c r="A4967" s="1">
        <v>25518</v>
      </c>
      <c r="B4967">
        <v>98.07</v>
      </c>
      <c r="C4967">
        <f t="shared" si="174"/>
        <v>-2.644157429065444E-3</v>
      </c>
      <c r="D4967">
        <f t="shared" si="173"/>
        <v>-0.31212562265199884</v>
      </c>
    </row>
    <row r="4968" spans="1:4">
      <c r="A4968" s="1">
        <v>25519</v>
      </c>
      <c r="B4968">
        <v>97.89</v>
      </c>
      <c r="C4968">
        <f t="shared" si="174"/>
        <v>-1.8354236769653576E-3</v>
      </c>
      <c r="D4968">
        <f t="shared" si="173"/>
        <v>-0.22672361333218885</v>
      </c>
    </row>
    <row r="4969" spans="1:4">
      <c r="A4969" s="1">
        <v>25520</v>
      </c>
      <c r="B4969">
        <v>97.42</v>
      </c>
      <c r="C4969">
        <f t="shared" si="174"/>
        <v>-4.8013075901522E-3</v>
      </c>
      <c r="D4969">
        <f t="shared" si="173"/>
        <v>-0.53991994641179375</v>
      </c>
    </row>
    <row r="4970" spans="1:4">
      <c r="A4970" s="1">
        <v>25521</v>
      </c>
      <c r="B4970">
        <v>97.07</v>
      </c>
      <c r="C4970">
        <f t="shared" si="174"/>
        <v>-3.5926914391296296E-3</v>
      </c>
      <c r="D4970">
        <f t="shared" si="173"/>
        <v>-0.41229049169240112</v>
      </c>
    </row>
    <row r="4971" spans="1:4">
      <c r="A4971" s="1">
        <v>25524</v>
      </c>
      <c r="B4971">
        <v>96.41</v>
      </c>
      <c r="C4971">
        <f t="shared" si="174"/>
        <v>-6.7992170598536791E-3</v>
      </c>
      <c r="D4971">
        <f t="shared" si="173"/>
        <v>-0.75089850728984431</v>
      </c>
    </row>
    <row r="4972" spans="1:4">
      <c r="A4972" s="1">
        <v>25525</v>
      </c>
      <c r="B4972">
        <v>96.39</v>
      </c>
      <c r="C4972">
        <f t="shared" si="174"/>
        <v>-2.0744736023229978E-4</v>
      </c>
      <c r="D4972">
        <f t="shared" si="173"/>
        <v>-5.4809867661215178E-2</v>
      </c>
    </row>
    <row r="4973" spans="1:4">
      <c r="A4973" s="1">
        <v>25526</v>
      </c>
      <c r="B4973">
        <v>95.9</v>
      </c>
      <c r="C4973">
        <f t="shared" si="174"/>
        <v>-5.0835148874364029E-3</v>
      </c>
      <c r="D4973">
        <f t="shared" si="173"/>
        <v>-0.56972094107808435</v>
      </c>
    </row>
    <row r="4974" spans="1:4">
      <c r="A4974" s="1">
        <v>25527</v>
      </c>
      <c r="B4974">
        <v>94.91</v>
      </c>
      <c r="C4974">
        <f t="shared" si="174"/>
        <v>-1.0323253388946914E-2</v>
      </c>
      <c r="D4974">
        <f t="shared" si="173"/>
        <v>-1.1230355457639396</v>
      </c>
    </row>
    <row r="4975" spans="1:4">
      <c r="A4975" s="1">
        <v>25528</v>
      </c>
      <c r="B4975">
        <v>94.32</v>
      </c>
      <c r="C4975">
        <f t="shared" si="174"/>
        <v>-6.2164155515752129E-3</v>
      </c>
      <c r="D4975">
        <f t="shared" si="173"/>
        <v>-0.68935486611949637</v>
      </c>
    </row>
    <row r="4976" spans="1:4">
      <c r="A4976" s="1">
        <v>25531</v>
      </c>
      <c r="B4976">
        <v>93.24</v>
      </c>
      <c r="C4976">
        <f t="shared" si="174"/>
        <v>-1.1450381679389296E-2</v>
      </c>
      <c r="D4976">
        <f t="shared" si="173"/>
        <v>-1.2420599101051339</v>
      </c>
    </row>
    <row r="4977" spans="1:4">
      <c r="A4977" s="1">
        <v>25532</v>
      </c>
      <c r="B4977">
        <v>92.94</v>
      </c>
      <c r="C4977">
        <f t="shared" si="174"/>
        <v>-3.2175032175031874E-3</v>
      </c>
      <c r="D4977">
        <f t="shared" si="173"/>
        <v>-0.37267074302132186</v>
      </c>
    </row>
    <row r="4978" spans="1:4">
      <c r="A4978" s="1">
        <v>25533</v>
      </c>
      <c r="B4978">
        <v>93.27</v>
      </c>
      <c r="C4978">
        <f t="shared" si="174"/>
        <v>3.550677856681712E-3</v>
      </c>
      <c r="D4978">
        <f t="shared" si="173"/>
        <v>0.34204687779607523</v>
      </c>
    </row>
    <row r="4979" spans="1:4">
      <c r="A4979" s="1">
        <v>25535</v>
      </c>
      <c r="B4979">
        <v>93.81</v>
      </c>
      <c r="C4979">
        <f t="shared" si="174"/>
        <v>5.7896429720167928E-3</v>
      </c>
      <c r="D4979">
        <f t="shared" si="173"/>
        <v>0.57848083291423891</v>
      </c>
    </row>
    <row r="4980" spans="1:4">
      <c r="A4980" s="1">
        <v>25538</v>
      </c>
      <c r="B4980">
        <v>93.22</v>
      </c>
      <c r="C4980">
        <f t="shared" si="174"/>
        <v>-6.2893081761006648E-3</v>
      </c>
      <c r="D4980">
        <f t="shared" si="173"/>
        <v>-0.69705230249197714</v>
      </c>
    </row>
    <row r="4981" spans="1:4">
      <c r="A4981" s="1">
        <v>25539</v>
      </c>
      <c r="B4981">
        <v>92.65</v>
      </c>
      <c r="C4981">
        <f t="shared" si="174"/>
        <v>-6.1145676893369794E-3</v>
      </c>
      <c r="D4981">
        <f t="shared" si="173"/>
        <v>-0.67859976648690934</v>
      </c>
    </row>
    <row r="4982" spans="1:4">
      <c r="A4982" s="1">
        <v>25540</v>
      </c>
      <c r="B4982">
        <v>91.65</v>
      </c>
      <c r="C4982">
        <f t="shared" si="174"/>
        <v>-1.0793308148947653E-2</v>
      </c>
      <c r="D4982">
        <f t="shared" si="173"/>
        <v>-1.1726731686406415</v>
      </c>
    </row>
    <row r="4983" spans="1:4">
      <c r="A4983" s="1">
        <v>25541</v>
      </c>
      <c r="B4983">
        <v>91.95</v>
      </c>
      <c r="C4983">
        <f t="shared" si="174"/>
        <v>3.2733224222585614E-3</v>
      </c>
      <c r="D4983">
        <f t="shared" si="173"/>
        <v>0.31275823819868337</v>
      </c>
    </row>
    <row r="4984" spans="1:4">
      <c r="A4984" s="1">
        <v>25542</v>
      </c>
      <c r="B4984">
        <v>91.73</v>
      </c>
      <c r="C4984">
        <f t="shared" si="174"/>
        <v>-2.3926046764545825E-3</v>
      </c>
      <c r="D4984">
        <f t="shared" si="173"/>
        <v>-0.28556173748322705</v>
      </c>
    </row>
    <row r="4985" spans="1:4">
      <c r="A4985" s="1">
        <v>25545</v>
      </c>
      <c r="B4985">
        <v>90.84</v>
      </c>
      <c r="C4985">
        <f t="shared" si="174"/>
        <v>-9.7023874414041266E-3</v>
      </c>
      <c r="D4985">
        <f t="shared" si="173"/>
        <v>-1.0574723127460108</v>
      </c>
    </row>
    <row r="4986" spans="1:4">
      <c r="A4986" s="1">
        <v>25546</v>
      </c>
      <c r="B4986">
        <v>90.55</v>
      </c>
      <c r="C4986">
        <f t="shared" si="174"/>
        <v>-3.1924262439454671E-3</v>
      </c>
      <c r="D4986">
        <f t="shared" si="173"/>
        <v>-0.37002262313770407</v>
      </c>
    </row>
    <row r="4987" spans="1:4">
      <c r="A4987" s="1">
        <v>25547</v>
      </c>
      <c r="B4987">
        <v>90.48</v>
      </c>
      <c r="C4987">
        <f t="shared" si="174"/>
        <v>-7.7305356156811905E-4</v>
      </c>
      <c r="D4987">
        <f t="shared" si="173"/>
        <v>-0.11453769026338849</v>
      </c>
    </row>
    <row r="4988" spans="1:4">
      <c r="A4988" s="1">
        <v>25548</v>
      </c>
      <c r="B4988">
        <v>90.52</v>
      </c>
      <c r="C4988">
        <f t="shared" si="174"/>
        <v>4.4208664898311276E-4</v>
      </c>
      <c r="D4988">
        <f t="shared" si="173"/>
        <v>1.3780702924595153E-2</v>
      </c>
    </row>
    <row r="4989" spans="1:4">
      <c r="A4989" s="1">
        <v>25549</v>
      </c>
      <c r="B4989">
        <v>90.81</v>
      </c>
      <c r="C4989">
        <f t="shared" si="174"/>
        <v>3.203711886875898E-3</v>
      </c>
      <c r="D4989">
        <f t="shared" si="173"/>
        <v>0.30540738932404476</v>
      </c>
    </row>
    <row r="4990" spans="1:4">
      <c r="A4990" s="1">
        <v>25552</v>
      </c>
      <c r="B4990">
        <v>90.54</v>
      </c>
      <c r="C4990">
        <f t="shared" si="174"/>
        <v>-2.9732408325073892E-3</v>
      </c>
      <c r="D4990">
        <f t="shared" si="173"/>
        <v>-0.34687671819458438</v>
      </c>
    </row>
    <row r="4991" spans="1:4">
      <c r="A4991" s="1">
        <v>25553</v>
      </c>
      <c r="B4991">
        <v>89.72</v>
      </c>
      <c r="C4991">
        <f t="shared" si="174"/>
        <v>-9.0567704881820994E-3</v>
      </c>
      <c r="D4991">
        <f t="shared" si="173"/>
        <v>-0.98929538194163003</v>
      </c>
    </row>
    <row r="4992" spans="1:4">
      <c r="A4992" s="1">
        <v>25554</v>
      </c>
      <c r="B4992">
        <v>89.2</v>
      </c>
      <c r="C4992">
        <f t="shared" si="174"/>
        <v>-5.7958091841283548E-3</v>
      </c>
      <c r="D4992">
        <f t="shared" si="173"/>
        <v>-0.64493897668815903</v>
      </c>
    </row>
    <row r="4993" spans="1:4">
      <c r="A4993" s="1">
        <v>25555</v>
      </c>
      <c r="B4993">
        <v>90.61</v>
      </c>
      <c r="C4993">
        <f t="shared" si="174"/>
        <v>1.5807174887892336E-2</v>
      </c>
      <c r="D4993">
        <f t="shared" si="173"/>
        <v>1.6363287981061516</v>
      </c>
    </row>
    <row r="4994" spans="1:4">
      <c r="A4994" s="1">
        <v>25556</v>
      </c>
      <c r="B4994">
        <v>91.38</v>
      </c>
      <c r="C4994">
        <f t="shared" si="174"/>
        <v>8.4979582827502051E-3</v>
      </c>
      <c r="D4994">
        <f t="shared" si="173"/>
        <v>0.86447800912658357</v>
      </c>
    </row>
    <row r="4995" spans="1:4">
      <c r="A4995" s="1">
        <v>25559</v>
      </c>
      <c r="B4995">
        <v>90.58</v>
      </c>
      <c r="C4995">
        <f t="shared" si="174"/>
        <v>-8.7546509082950009E-3</v>
      </c>
      <c r="D4995">
        <f t="shared" ref="D4995:D5058" si="175">(C4995-avg)/sd</f>
        <v>-0.95739165700098738</v>
      </c>
    </row>
    <row r="4996" spans="1:4">
      <c r="A4996" s="1">
        <v>25560</v>
      </c>
      <c r="B4996">
        <v>90.23</v>
      </c>
      <c r="C4996">
        <f t="shared" ref="C4996:C5059" si="176">(B4996-B4995)/B4995</f>
        <v>-3.8639876352395044E-3</v>
      </c>
      <c r="D4996">
        <f t="shared" si="175"/>
        <v>-0.44093927778354625</v>
      </c>
    </row>
    <row r="4997" spans="1:4">
      <c r="A4997" s="1">
        <v>25561</v>
      </c>
      <c r="B4997">
        <v>91.18</v>
      </c>
      <c r="C4997">
        <f t="shared" si="176"/>
        <v>1.0528649008090467E-2</v>
      </c>
      <c r="D4997">
        <f t="shared" si="175"/>
        <v>1.0789182594571993</v>
      </c>
    </row>
    <row r="4998" spans="1:4">
      <c r="A4998" s="1">
        <v>25563</v>
      </c>
      <c r="B4998">
        <v>91.89</v>
      </c>
      <c r="C4998">
        <f t="shared" si="176"/>
        <v>7.7867953498573558E-3</v>
      </c>
      <c r="D4998">
        <f t="shared" si="175"/>
        <v>0.78937944514912484</v>
      </c>
    </row>
    <row r="4999" spans="1:4">
      <c r="A4999" s="1">
        <v>25566</v>
      </c>
      <c r="B4999">
        <v>91.25</v>
      </c>
      <c r="C4999">
        <f t="shared" si="176"/>
        <v>-6.9648492763086361E-3</v>
      </c>
      <c r="D4999">
        <f t="shared" si="175"/>
        <v>-0.76838921304636187</v>
      </c>
    </row>
    <row r="5000" spans="1:4">
      <c r="A5000" s="1">
        <v>25567</v>
      </c>
      <c r="B5000">
        <v>91.6</v>
      </c>
      <c r="C5000">
        <f t="shared" si="176"/>
        <v>3.8356164383561019E-3</v>
      </c>
      <c r="D5000">
        <f t="shared" si="175"/>
        <v>0.3721362951655609</v>
      </c>
    </row>
    <row r="5001" spans="1:4">
      <c r="A5001" s="1">
        <v>25568</v>
      </c>
      <c r="B5001">
        <v>92.06</v>
      </c>
      <c r="C5001">
        <f t="shared" si="176"/>
        <v>5.021834061135458E-3</v>
      </c>
      <c r="D5001">
        <f t="shared" si="175"/>
        <v>0.49740047291609968</v>
      </c>
    </row>
    <row r="5002" spans="1:4">
      <c r="A5002" s="1">
        <v>25570</v>
      </c>
      <c r="B5002">
        <v>93</v>
      </c>
      <c r="C5002">
        <f t="shared" si="176"/>
        <v>1.0210732131218746E-2</v>
      </c>
      <c r="D5002">
        <f t="shared" si="175"/>
        <v>1.0453463453247427</v>
      </c>
    </row>
    <row r="5003" spans="1:4">
      <c r="A5003" s="1">
        <v>25573</v>
      </c>
      <c r="B5003">
        <v>93.46</v>
      </c>
      <c r="C5003">
        <f t="shared" si="176"/>
        <v>4.9462365591397177E-3</v>
      </c>
      <c r="D5003">
        <f t="shared" si="175"/>
        <v>0.48941740240218895</v>
      </c>
    </row>
    <row r="5004" spans="1:4">
      <c r="A5004" s="1">
        <v>25574</v>
      </c>
      <c r="B5004">
        <v>92.82</v>
      </c>
      <c r="C5004">
        <f t="shared" si="176"/>
        <v>-6.8478493473143652E-3</v>
      </c>
      <c r="D5004">
        <f t="shared" si="175"/>
        <v>-0.75603406031477505</v>
      </c>
    </row>
    <row r="5005" spans="1:4">
      <c r="A5005" s="1">
        <v>25575</v>
      </c>
      <c r="B5005">
        <v>92.63</v>
      </c>
      <c r="C5005">
        <f t="shared" si="176"/>
        <v>-2.0469726352079051E-3</v>
      </c>
      <c r="D5005">
        <f t="shared" si="175"/>
        <v>-0.24906311141361709</v>
      </c>
    </row>
    <row r="5006" spans="1:4">
      <c r="A5006" s="1">
        <v>25576</v>
      </c>
      <c r="B5006">
        <v>92.68</v>
      </c>
      <c r="C5006">
        <f t="shared" si="176"/>
        <v>5.3978192810116995E-4</v>
      </c>
      <c r="D5006">
        <f t="shared" si="175"/>
        <v>2.4097291191223114E-2</v>
      </c>
    </row>
    <row r="5007" spans="1:4">
      <c r="A5007" s="1">
        <v>25577</v>
      </c>
      <c r="B5007">
        <v>92.4</v>
      </c>
      <c r="C5007">
        <f t="shared" si="176"/>
        <v>-3.0211480362537886E-3</v>
      </c>
      <c r="D5007">
        <f t="shared" si="175"/>
        <v>-0.35193570262575441</v>
      </c>
    </row>
    <row r="5008" spans="1:4">
      <c r="A5008" s="1">
        <v>25580</v>
      </c>
      <c r="B5008">
        <v>91.7</v>
      </c>
      <c r="C5008">
        <f t="shared" si="176"/>
        <v>-7.5757575757576063E-3</v>
      </c>
      <c r="D5008">
        <f t="shared" si="175"/>
        <v>-0.83290092181035258</v>
      </c>
    </row>
    <row r="5009" spans="1:4">
      <c r="A5009" s="1">
        <v>25581</v>
      </c>
      <c r="B5009">
        <v>91.92</v>
      </c>
      <c r="C5009">
        <f t="shared" si="176"/>
        <v>2.3991275899672721E-3</v>
      </c>
      <c r="D5009">
        <f t="shared" si="175"/>
        <v>0.22044356106198465</v>
      </c>
    </row>
    <row r="5010" spans="1:4">
      <c r="A5010" s="1">
        <v>25582</v>
      </c>
      <c r="B5010">
        <v>91.65</v>
      </c>
      <c r="C5010">
        <f t="shared" si="176"/>
        <v>-2.9373368146213665E-3</v>
      </c>
      <c r="D5010">
        <f t="shared" si="175"/>
        <v>-0.34308526611018902</v>
      </c>
    </row>
    <row r="5011" spans="1:4">
      <c r="A5011" s="1">
        <v>25583</v>
      </c>
      <c r="B5011">
        <v>91.68</v>
      </c>
      <c r="C5011">
        <f t="shared" si="176"/>
        <v>3.2733224222587163E-4</v>
      </c>
      <c r="D5011">
        <f t="shared" si="175"/>
        <v>1.6626765779485953E-3</v>
      </c>
    </row>
    <row r="5012" spans="1:4">
      <c r="A5012" s="1">
        <v>25584</v>
      </c>
      <c r="B5012">
        <v>90.92</v>
      </c>
      <c r="C5012">
        <f t="shared" si="176"/>
        <v>-8.2897033158813808E-3</v>
      </c>
      <c r="D5012">
        <f t="shared" si="175"/>
        <v>-0.90829334928547467</v>
      </c>
    </row>
    <row r="5013" spans="1:4">
      <c r="A5013" s="1">
        <v>25587</v>
      </c>
      <c r="B5013">
        <v>89.65</v>
      </c>
      <c r="C5013">
        <f t="shared" si="176"/>
        <v>-1.3968323801143819E-2</v>
      </c>
      <c r="D5013">
        <f t="shared" si="175"/>
        <v>-1.5079537422722988</v>
      </c>
    </row>
    <row r="5014" spans="1:4">
      <c r="A5014" s="1">
        <v>25588</v>
      </c>
      <c r="B5014">
        <v>89.83</v>
      </c>
      <c r="C5014">
        <f t="shared" si="176"/>
        <v>2.0078081427773852E-3</v>
      </c>
      <c r="D5014">
        <f t="shared" si="175"/>
        <v>0.17912036045467561</v>
      </c>
    </row>
    <row r="5015" spans="1:4">
      <c r="A5015" s="1">
        <v>25589</v>
      </c>
      <c r="B5015">
        <v>89.95</v>
      </c>
      <c r="C5015">
        <f t="shared" si="176"/>
        <v>1.3358566180563794E-3</v>
      </c>
      <c r="D5015">
        <f t="shared" si="175"/>
        <v>0.1081625078515584</v>
      </c>
    </row>
    <row r="5016" spans="1:4">
      <c r="A5016" s="1">
        <v>25590</v>
      </c>
      <c r="B5016">
        <v>90.04</v>
      </c>
      <c r="C5016">
        <f t="shared" si="176"/>
        <v>1.0005558643691318E-3</v>
      </c>
      <c r="D5016">
        <f t="shared" si="175"/>
        <v>7.2754862236448947E-2</v>
      </c>
    </row>
    <row r="5017" spans="1:4">
      <c r="A5017" s="1">
        <v>25591</v>
      </c>
      <c r="B5017">
        <v>89.37</v>
      </c>
      <c r="C5017">
        <f t="shared" si="176"/>
        <v>-7.4411372723234299E-3</v>
      </c>
      <c r="D5017">
        <f t="shared" si="175"/>
        <v>-0.81868506352736803</v>
      </c>
    </row>
    <row r="5018" spans="1:4">
      <c r="A5018" s="1">
        <v>25594</v>
      </c>
      <c r="B5018">
        <v>88.17</v>
      </c>
      <c r="C5018">
        <f t="shared" si="176"/>
        <v>-1.3427324605572371E-2</v>
      </c>
      <c r="D5018">
        <f t="shared" si="175"/>
        <v>-1.4508244111145154</v>
      </c>
    </row>
    <row r="5019" spans="1:4">
      <c r="A5019" s="1">
        <v>25595</v>
      </c>
      <c r="B5019">
        <v>87.62</v>
      </c>
      <c r="C5019">
        <f t="shared" si="176"/>
        <v>-6.2379494159010675E-3</v>
      </c>
      <c r="D5019">
        <f t="shared" si="175"/>
        <v>-0.69162883487259041</v>
      </c>
    </row>
    <row r="5020" spans="1:4">
      <c r="A5020" s="1">
        <v>25596</v>
      </c>
      <c r="B5020">
        <v>86.79</v>
      </c>
      <c r="C5020">
        <f t="shared" si="176"/>
        <v>-9.472723122574734E-3</v>
      </c>
      <c r="D5020">
        <f t="shared" si="175"/>
        <v>-1.0332198387443221</v>
      </c>
    </row>
    <row r="5021" spans="1:4">
      <c r="A5021" s="1">
        <v>25597</v>
      </c>
      <c r="B5021">
        <v>85.69</v>
      </c>
      <c r="C5021">
        <f t="shared" si="176"/>
        <v>-1.2674271229404406E-2</v>
      </c>
      <c r="D5021">
        <f t="shared" si="175"/>
        <v>-1.3713022305664582</v>
      </c>
    </row>
    <row r="5022" spans="1:4">
      <c r="A5022" s="1">
        <v>25598</v>
      </c>
      <c r="B5022">
        <v>85.02</v>
      </c>
      <c r="C5022">
        <f t="shared" si="176"/>
        <v>-7.8188820165713824E-3</v>
      </c>
      <c r="D5022">
        <f t="shared" si="175"/>
        <v>-0.85857478011827448</v>
      </c>
    </row>
    <row r="5023" spans="1:4">
      <c r="A5023" s="1">
        <v>25601</v>
      </c>
      <c r="B5023">
        <v>85.75</v>
      </c>
      <c r="C5023">
        <f t="shared" si="176"/>
        <v>8.5862150082334047E-3</v>
      </c>
      <c r="D5023">
        <f t="shared" si="175"/>
        <v>0.87379788933769076</v>
      </c>
    </row>
    <row r="5024" spans="1:4">
      <c r="A5024" s="1">
        <v>25602</v>
      </c>
      <c r="B5024">
        <v>86.77</v>
      </c>
      <c r="C5024">
        <f t="shared" si="176"/>
        <v>1.1895043731778378E-2</v>
      </c>
      <c r="D5024">
        <f t="shared" si="175"/>
        <v>1.2232090778185094</v>
      </c>
    </row>
    <row r="5025" spans="1:4">
      <c r="A5025" s="1">
        <v>25603</v>
      </c>
      <c r="B5025">
        <v>86.24</v>
      </c>
      <c r="C5025">
        <f t="shared" si="176"/>
        <v>-6.1081018785294587E-3</v>
      </c>
      <c r="D5025">
        <f t="shared" si="175"/>
        <v>-0.67791697906347104</v>
      </c>
    </row>
    <row r="5026" spans="1:4">
      <c r="A5026" s="1">
        <v>25604</v>
      </c>
      <c r="B5026">
        <v>85.9</v>
      </c>
      <c r="C5026">
        <f t="shared" si="176"/>
        <v>-3.9424860853431035E-3</v>
      </c>
      <c r="D5026">
        <f t="shared" si="175"/>
        <v>-0.44922868743156669</v>
      </c>
    </row>
    <row r="5027" spans="1:4">
      <c r="A5027" s="1">
        <v>25605</v>
      </c>
      <c r="B5027">
        <v>86.33</v>
      </c>
      <c r="C5027">
        <f t="shared" si="176"/>
        <v>5.0058207217694127E-3</v>
      </c>
      <c r="D5027">
        <f t="shared" si="175"/>
        <v>0.49570946972224383</v>
      </c>
    </row>
    <row r="5028" spans="1:4">
      <c r="A5028" s="1">
        <v>25608</v>
      </c>
      <c r="B5028">
        <v>87.01</v>
      </c>
      <c r="C5028">
        <f t="shared" si="176"/>
        <v>7.8767519981467263E-3</v>
      </c>
      <c r="D5028">
        <f t="shared" si="175"/>
        <v>0.79887883663073189</v>
      </c>
    </row>
    <row r="5029" spans="1:4">
      <c r="A5029" s="1">
        <v>25609</v>
      </c>
      <c r="B5029">
        <v>86.1</v>
      </c>
      <c r="C5029">
        <f t="shared" si="176"/>
        <v>-1.0458567980691998E-2</v>
      </c>
      <c r="D5029">
        <f t="shared" si="175"/>
        <v>-1.137324720656556</v>
      </c>
    </row>
    <row r="5030" spans="1:4">
      <c r="A5030" s="1">
        <v>25610</v>
      </c>
      <c r="B5030">
        <v>86.94</v>
      </c>
      <c r="C5030">
        <f t="shared" si="176"/>
        <v>9.7560975609756496E-3</v>
      </c>
      <c r="D5030">
        <f t="shared" si="175"/>
        <v>0.99733708924487074</v>
      </c>
    </row>
    <row r="5031" spans="1:4">
      <c r="A5031" s="1">
        <v>25611</v>
      </c>
      <c r="B5031">
        <v>86.73</v>
      </c>
      <c r="C5031">
        <f t="shared" si="176"/>
        <v>-2.415458937197996E-3</v>
      </c>
      <c r="D5031">
        <f t="shared" si="175"/>
        <v>-0.28797513964919086</v>
      </c>
    </row>
    <row r="5032" spans="1:4">
      <c r="A5032" s="1">
        <v>25612</v>
      </c>
      <c r="B5032">
        <v>86.54</v>
      </c>
      <c r="C5032">
        <f t="shared" si="176"/>
        <v>-2.1907067911910265E-3</v>
      </c>
      <c r="D5032">
        <f t="shared" si="175"/>
        <v>-0.26424138942782122</v>
      </c>
    </row>
    <row r="5033" spans="1:4">
      <c r="A5033" s="1">
        <v>25615</v>
      </c>
      <c r="B5033">
        <v>86.47</v>
      </c>
      <c r="C5033">
        <f t="shared" si="176"/>
        <v>-8.0887450889770491E-4</v>
      </c>
      <c r="D5033">
        <f t="shared" si="175"/>
        <v>-0.11832037012526114</v>
      </c>
    </row>
    <row r="5034" spans="1:4">
      <c r="A5034" s="1">
        <v>25616</v>
      </c>
      <c r="B5034">
        <v>86.37</v>
      </c>
      <c r="C5034">
        <f t="shared" si="176"/>
        <v>-1.1564704521798811E-3</v>
      </c>
      <c r="D5034">
        <f t="shared" si="175"/>
        <v>-0.15502638358225704</v>
      </c>
    </row>
    <row r="5035" spans="1:4">
      <c r="A5035" s="1">
        <v>25617</v>
      </c>
      <c r="B5035">
        <v>87.44</v>
      </c>
      <c r="C5035">
        <f t="shared" si="176"/>
        <v>1.2388560842885182E-2</v>
      </c>
      <c r="D5035">
        <f t="shared" si="175"/>
        <v>1.275324316996771</v>
      </c>
    </row>
    <row r="5036" spans="1:4">
      <c r="A5036" s="1">
        <v>25618</v>
      </c>
      <c r="B5036">
        <v>87.76</v>
      </c>
      <c r="C5036">
        <f t="shared" si="176"/>
        <v>3.6596523330284471E-3</v>
      </c>
      <c r="D5036">
        <f t="shared" si="175"/>
        <v>0.35355454545606613</v>
      </c>
    </row>
    <row r="5037" spans="1:4">
      <c r="A5037" s="1">
        <v>25619</v>
      </c>
      <c r="B5037">
        <v>88.03</v>
      </c>
      <c r="C5037">
        <f t="shared" si="176"/>
        <v>3.076572470373701E-3</v>
      </c>
      <c r="D5037">
        <f t="shared" si="175"/>
        <v>0.29198151015820023</v>
      </c>
    </row>
    <row r="5038" spans="1:4">
      <c r="A5038" s="1">
        <v>25623</v>
      </c>
      <c r="B5038">
        <v>87.99</v>
      </c>
      <c r="C5038">
        <f t="shared" si="176"/>
        <v>-4.5439054867665857E-4</v>
      </c>
      <c r="D5038">
        <f t="shared" si="175"/>
        <v>-8.0886984420871277E-2</v>
      </c>
    </row>
    <row r="5039" spans="1:4">
      <c r="A5039" s="1">
        <v>25624</v>
      </c>
      <c r="B5039">
        <v>89.35</v>
      </c>
      <c r="C5039">
        <f t="shared" si="176"/>
        <v>1.5456301852483232E-2</v>
      </c>
      <c r="D5039">
        <f t="shared" si="175"/>
        <v>1.5992767248344899</v>
      </c>
    </row>
    <row r="5040" spans="1:4">
      <c r="A5040" s="1">
        <v>25625</v>
      </c>
      <c r="B5040">
        <v>88.9</v>
      </c>
      <c r="C5040">
        <f t="shared" si="176"/>
        <v>-5.036373810856057E-3</v>
      </c>
      <c r="D5040">
        <f t="shared" si="175"/>
        <v>-0.56474285941523039</v>
      </c>
    </row>
    <row r="5041" spans="1:4">
      <c r="A5041" s="1">
        <v>25626</v>
      </c>
      <c r="B5041">
        <v>89.5</v>
      </c>
      <c r="C5041">
        <f t="shared" si="176"/>
        <v>6.7491563554555037E-3</v>
      </c>
      <c r="D5041">
        <f t="shared" si="175"/>
        <v>0.67980512005092075</v>
      </c>
    </row>
    <row r="5042" spans="1:4">
      <c r="A5042" s="1">
        <v>25629</v>
      </c>
      <c r="B5042">
        <v>89.71</v>
      </c>
      <c r="C5042">
        <f t="shared" si="176"/>
        <v>2.3463687150837289E-3</v>
      </c>
      <c r="D5042">
        <f t="shared" si="175"/>
        <v>0.21487224180789541</v>
      </c>
    </row>
    <row r="5043" spans="1:4">
      <c r="A5043" s="1">
        <v>25630</v>
      </c>
      <c r="B5043">
        <v>90.23</v>
      </c>
      <c r="C5043">
        <f t="shared" si="176"/>
        <v>5.7964552446774084E-3</v>
      </c>
      <c r="D5043">
        <f t="shared" si="175"/>
        <v>0.57920020659159599</v>
      </c>
    </row>
    <row r="5044" spans="1:4">
      <c r="A5044" s="1">
        <v>25631</v>
      </c>
      <c r="B5044">
        <v>90.04</v>
      </c>
      <c r="C5044">
        <f t="shared" si="176"/>
        <v>-2.1057298016180616E-3</v>
      </c>
      <c r="D5044">
        <f t="shared" si="175"/>
        <v>-0.25526784821399834</v>
      </c>
    </row>
    <row r="5045" spans="1:4">
      <c r="A5045" s="1">
        <v>25632</v>
      </c>
      <c r="B5045">
        <v>90</v>
      </c>
      <c r="C5045">
        <f t="shared" si="176"/>
        <v>-4.4424700133281043E-4</v>
      </c>
      <c r="D5045">
        <f t="shared" si="175"/>
        <v>-7.9815829269320168E-2</v>
      </c>
    </row>
    <row r="5046" spans="1:4">
      <c r="A5046" s="1">
        <v>25633</v>
      </c>
      <c r="B5046">
        <v>89.44</v>
      </c>
      <c r="C5046">
        <f t="shared" si="176"/>
        <v>-6.2222222222222479E-3</v>
      </c>
      <c r="D5046">
        <f t="shared" si="175"/>
        <v>-0.68996804856603999</v>
      </c>
    </row>
    <row r="5047" spans="1:4">
      <c r="A5047" s="1">
        <v>25636</v>
      </c>
      <c r="B5047">
        <v>88.51</v>
      </c>
      <c r="C5047">
        <f t="shared" si="176"/>
        <v>-1.0398032200357699E-2</v>
      </c>
      <c r="D5047">
        <f t="shared" si="175"/>
        <v>-1.1309321628303655</v>
      </c>
    </row>
    <row r="5048" spans="1:4">
      <c r="A5048" s="1">
        <v>25637</v>
      </c>
      <c r="B5048">
        <v>88.75</v>
      </c>
      <c r="C5048">
        <f t="shared" si="176"/>
        <v>2.711558016043327E-3</v>
      </c>
      <c r="D5048">
        <f t="shared" si="175"/>
        <v>0.25343610785535425</v>
      </c>
    </row>
    <row r="5049" spans="1:4">
      <c r="A5049" s="1">
        <v>25638</v>
      </c>
      <c r="B5049">
        <v>88.69</v>
      </c>
      <c r="C5049">
        <f t="shared" si="176"/>
        <v>-6.7605633802819459E-4</v>
      </c>
      <c r="D5049">
        <f t="shared" si="175"/>
        <v>-0.10429481642853071</v>
      </c>
    </row>
    <row r="5050" spans="1:4">
      <c r="A5050" s="1">
        <v>25639</v>
      </c>
      <c r="B5050">
        <v>88.33</v>
      </c>
      <c r="C5050">
        <f t="shared" si="176"/>
        <v>-4.0590821964144709E-3</v>
      </c>
      <c r="D5050">
        <f t="shared" si="175"/>
        <v>-0.46154119712775926</v>
      </c>
    </row>
    <row r="5051" spans="1:4">
      <c r="A5051" s="1">
        <v>25640</v>
      </c>
      <c r="B5051">
        <v>87.86</v>
      </c>
      <c r="C5051">
        <f t="shared" si="176"/>
        <v>-5.3209555077549965E-3</v>
      </c>
      <c r="D5051">
        <f t="shared" si="175"/>
        <v>-0.59479458987373957</v>
      </c>
    </row>
    <row r="5052" spans="1:4">
      <c r="A5052" s="1">
        <v>25643</v>
      </c>
      <c r="B5052">
        <v>86.91</v>
      </c>
      <c r="C5052">
        <f t="shared" si="176"/>
        <v>-1.0812656498975675E-2</v>
      </c>
      <c r="D5052">
        <f t="shared" si="175"/>
        <v>-1.174716347826777</v>
      </c>
    </row>
    <row r="5053" spans="1:4">
      <c r="A5053" s="1">
        <v>25644</v>
      </c>
      <c r="B5053">
        <v>87.29</v>
      </c>
      <c r="C5053">
        <f t="shared" si="176"/>
        <v>4.3723392014728994E-3</v>
      </c>
      <c r="D5053">
        <f t="shared" si="175"/>
        <v>0.42881403650976313</v>
      </c>
    </row>
    <row r="5054" spans="1:4">
      <c r="A5054" s="1">
        <v>25645</v>
      </c>
      <c r="B5054">
        <v>87.54</v>
      </c>
      <c r="C5054">
        <f t="shared" si="176"/>
        <v>2.8640164967350208E-3</v>
      </c>
      <c r="D5054">
        <f t="shared" si="175"/>
        <v>0.26953567159324154</v>
      </c>
    </row>
    <row r="5055" spans="1:4">
      <c r="A5055" s="1">
        <v>25646</v>
      </c>
      <c r="B5055">
        <v>87.42</v>
      </c>
      <c r="C5055">
        <f t="shared" si="176"/>
        <v>-1.3708019191227387E-3</v>
      </c>
      <c r="D5055">
        <f t="shared" si="175"/>
        <v>-0.17765971363661734</v>
      </c>
    </row>
    <row r="5056" spans="1:4">
      <c r="A5056" s="1">
        <v>25647</v>
      </c>
      <c r="B5056">
        <v>87.06</v>
      </c>
      <c r="C5056">
        <f t="shared" si="176"/>
        <v>-4.1180507892930613E-3</v>
      </c>
      <c r="D5056">
        <f t="shared" si="175"/>
        <v>-0.46776826049133979</v>
      </c>
    </row>
    <row r="5057" spans="1:4">
      <c r="A5057" s="1">
        <v>25650</v>
      </c>
      <c r="B5057">
        <v>86.99</v>
      </c>
      <c r="C5057">
        <f t="shared" si="176"/>
        <v>-8.0404318860564429E-4</v>
      </c>
      <c r="D5057">
        <f t="shared" si="175"/>
        <v>-0.11781018434466509</v>
      </c>
    </row>
    <row r="5058" spans="1:4">
      <c r="A5058" s="1">
        <v>25651</v>
      </c>
      <c r="B5058">
        <v>87.98</v>
      </c>
      <c r="C5058">
        <f t="shared" si="176"/>
        <v>1.1380618461892276E-2</v>
      </c>
      <c r="D5058">
        <f t="shared" si="175"/>
        <v>1.1688859441801822</v>
      </c>
    </row>
    <row r="5059" spans="1:4">
      <c r="A5059" s="1">
        <v>25652</v>
      </c>
      <c r="B5059">
        <v>89.77</v>
      </c>
      <c r="C5059">
        <f t="shared" si="176"/>
        <v>2.0345533075698932E-2</v>
      </c>
      <c r="D5059">
        <f t="shared" ref="D5059:D5122" si="177">(C5059-avg)/sd</f>
        <v>2.1155778800756257</v>
      </c>
    </row>
    <row r="5060" spans="1:4">
      <c r="A5060" s="1">
        <v>25653</v>
      </c>
      <c r="B5060">
        <v>89.92</v>
      </c>
      <c r="C5060">
        <f t="shared" ref="C5060:C5123" si="178">(B5060-B5059)/B5059</f>
        <v>1.6709368385875649E-3</v>
      </c>
      <c r="D5060">
        <f t="shared" si="177"/>
        <v>0.14354686524035054</v>
      </c>
    </row>
    <row r="5061" spans="1:4">
      <c r="A5061" s="1">
        <v>25657</v>
      </c>
      <c r="B5061">
        <v>89.63</v>
      </c>
      <c r="C5061">
        <f t="shared" si="178"/>
        <v>-3.2250889679715997E-3</v>
      </c>
      <c r="D5061">
        <f t="shared" si="177"/>
        <v>-0.3734717956922643</v>
      </c>
    </row>
    <row r="5062" spans="1:4">
      <c r="A5062" s="1">
        <v>25658</v>
      </c>
      <c r="B5062">
        <v>89.63</v>
      </c>
      <c r="C5062">
        <f t="shared" si="178"/>
        <v>0</v>
      </c>
      <c r="D5062">
        <f t="shared" si="177"/>
        <v>-3.29034969354682E-2</v>
      </c>
    </row>
    <row r="5063" spans="1:4">
      <c r="A5063" s="1">
        <v>25659</v>
      </c>
      <c r="B5063">
        <v>90.07</v>
      </c>
      <c r="C5063">
        <f t="shared" si="178"/>
        <v>4.9090706236750836E-3</v>
      </c>
      <c r="D5063">
        <f t="shared" si="177"/>
        <v>0.4854926922504389</v>
      </c>
    </row>
    <row r="5064" spans="1:4">
      <c r="A5064" s="1">
        <v>25660</v>
      </c>
      <c r="B5064">
        <v>89.79</v>
      </c>
      <c r="C5064">
        <f t="shared" si="178"/>
        <v>-3.1086932385920611E-3</v>
      </c>
      <c r="D5064">
        <f t="shared" si="177"/>
        <v>-0.36118044623461582</v>
      </c>
    </row>
    <row r="5065" spans="1:4">
      <c r="A5065" s="1">
        <v>25661</v>
      </c>
      <c r="B5065">
        <v>89.39</v>
      </c>
      <c r="C5065">
        <f t="shared" si="178"/>
        <v>-4.454839068938698E-3</v>
      </c>
      <c r="D5065">
        <f t="shared" si="177"/>
        <v>-0.50333298834202045</v>
      </c>
    </row>
    <row r="5066" spans="1:4">
      <c r="A5066" s="1">
        <v>25664</v>
      </c>
      <c r="B5066">
        <v>88.76</v>
      </c>
      <c r="C5066">
        <f t="shared" si="178"/>
        <v>-7.0477682067344831E-3</v>
      </c>
      <c r="D5066">
        <f t="shared" si="177"/>
        <v>-0.77714542391381736</v>
      </c>
    </row>
    <row r="5067" spans="1:4">
      <c r="A5067" s="1">
        <v>25665</v>
      </c>
      <c r="B5067">
        <v>88.52</v>
      </c>
      <c r="C5067">
        <f t="shared" si="178"/>
        <v>-2.7039206849933427E-3</v>
      </c>
      <c r="D5067">
        <f t="shared" si="177"/>
        <v>-0.31843660216346725</v>
      </c>
    </row>
    <row r="5068" spans="1:4">
      <c r="A5068" s="1">
        <v>25666</v>
      </c>
      <c r="B5068">
        <v>88.49</v>
      </c>
      <c r="C5068">
        <f t="shared" si="178"/>
        <v>-3.3890646181655151E-4</v>
      </c>
      <c r="D5068">
        <f t="shared" si="177"/>
        <v>-6.869190410339239E-2</v>
      </c>
    </row>
    <row r="5069" spans="1:4">
      <c r="A5069" s="1">
        <v>25667</v>
      </c>
      <c r="B5069">
        <v>88.53</v>
      </c>
      <c r="C5069">
        <f t="shared" si="178"/>
        <v>4.5202847779417173E-4</v>
      </c>
      <c r="D5069">
        <f t="shared" si="177"/>
        <v>1.483055666765117E-2</v>
      </c>
    </row>
    <row r="5070" spans="1:4">
      <c r="A5070" s="1">
        <v>25668</v>
      </c>
      <c r="B5070">
        <v>88.24</v>
      </c>
      <c r="C5070">
        <f t="shared" si="178"/>
        <v>-3.2757257426861658E-3</v>
      </c>
      <c r="D5070">
        <f t="shared" si="177"/>
        <v>-0.37881902188984645</v>
      </c>
    </row>
    <row r="5071" spans="1:4">
      <c r="A5071" s="1">
        <v>25671</v>
      </c>
      <c r="B5071">
        <v>87.64</v>
      </c>
      <c r="C5071">
        <f t="shared" si="178"/>
        <v>-6.7996373526744598E-3</v>
      </c>
      <c r="D5071">
        <f t="shared" si="177"/>
        <v>-0.75094289006885429</v>
      </c>
    </row>
    <row r="5072" spans="1:4">
      <c r="A5072" s="1">
        <v>25672</v>
      </c>
      <c r="B5072">
        <v>86.89</v>
      </c>
      <c r="C5072">
        <f t="shared" si="178"/>
        <v>-8.5577361935189403E-3</v>
      </c>
      <c r="D5072">
        <f t="shared" si="177"/>
        <v>-0.93659753005519908</v>
      </c>
    </row>
    <row r="5073" spans="1:4">
      <c r="A5073" s="1">
        <v>25673</v>
      </c>
      <c r="B5073">
        <v>86.73</v>
      </c>
      <c r="C5073">
        <f t="shared" si="178"/>
        <v>-1.8414086776383542E-3</v>
      </c>
      <c r="D5073">
        <f t="shared" si="177"/>
        <v>-0.22735562736885676</v>
      </c>
    </row>
    <row r="5074" spans="1:4">
      <c r="A5074" s="1">
        <v>25674</v>
      </c>
      <c r="B5074">
        <v>85.88</v>
      </c>
      <c r="C5074">
        <f t="shared" si="178"/>
        <v>-9.8005303816442804E-3</v>
      </c>
      <c r="D5074">
        <f t="shared" si="177"/>
        <v>-1.0678361738749649</v>
      </c>
    </row>
    <row r="5075" spans="1:4">
      <c r="A5075" s="1">
        <v>25675</v>
      </c>
      <c r="B5075">
        <v>85.67</v>
      </c>
      <c r="C5075">
        <f t="shared" si="178"/>
        <v>-2.4452724732183717E-3</v>
      </c>
      <c r="D5075">
        <f t="shared" si="177"/>
        <v>-0.29112343891882925</v>
      </c>
    </row>
    <row r="5076" spans="1:4">
      <c r="A5076" s="1">
        <v>25678</v>
      </c>
      <c r="B5076">
        <v>85.83</v>
      </c>
      <c r="C5076">
        <f t="shared" si="178"/>
        <v>1.8676316096649537E-3</v>
      </c>
      <c r="D5076">
        <f t="shared" si="177"/>
        <v>0.16431776620632157</v>
      </c>
    </row>
    <row r="5077" spans="1:4">
      <c r="A5077" s="1">
        <v>25679</v>
      </c>
      <c r="B5077">
        <v>85.38</v>
      </c>
      <c r="C5077">
        <f t="shared" si="178"/>
        <v>-5.2429220552254793E-3</v>
      </c>
      <c r="D5077">
        <f t="shared" si="177"/>
        <v>-0.58655428381148178</v>
      </c>
    </row>
    <row r="5078" spans="1:4">
      <c r="A5078" s="1">
        <v>25680</v>
      </c>
      <c r="B5078">
        <v>84.27</v>
      </c>
      <c r="C5078">
        <f t="shared" si="178"/>
        <v>-1.300070274068868E-2</v>
      </c>
      <c r="D5078">
        <f t="shared" si="177"/>
        <v>-1.4057732871986155</v>
      </c>
    </row>
    <row r="5079" spans="1:4">
      <c r="A5079" s="1">
        <v>25681</v>
      </c>
      <c r="B5079">
        <v>83.04</v>
      </c>
      <c r="C5079">
        <f t="shared" si="178"/>
        <v>-1.4595941616233414E-2</v>
      </c>
      <c r="D5079">
        <f t="shared" si="177"/>
        <v>-1.5742299702080993</v>
      </c>
    </row>
    <row r="5080" spans="1:4">
      <c r="A5080" s="1">
        <v>25682</v>
      </c>
      <c r="B5080">
        <v>82.77</v>
      </c>
      <c r="C5080">
        <f t="shared" si="178"/>
        <v>-3.2514450867053252E-3</v>
      </c>
      <c r="D5080">
        <f t="shared" si="177"/>
        <v>-0.37625499287166569</v>
      </c>
    </row>
    <row r="5081" spans="1:4">
      <c r="A5081" s="1">
        <v>25685</v>
      </c>
      <c r="B5081">
        <v>81.459999999999994</v>
      </c>
      <c r="C5081">
        <f t="shared" si="178"/>
        <v>-1.5826990455479067E-2</v>
      </c>
      <c r="D5081">
        <f t="shared" si="177"/>
        <v>-1.7042283091786083</v>
      </c>
    </row>
    <row r="5082" spans="1:4">
      <c r="A5082" s="1">
        <v>25686</v>
      </c>
      <c r="B5082">
        <v>80.27</v>
      </c>
      <c r="C5082">
        <f t="shared" si="178"/>
        <v>-1.4608396759145567E-2</v>
      </c>
      <c r="D5082">
        <f t="shared" si="177"/>
        <v>-1.5755452290659138</v>
      </c>
    </row>
    <row r="5083" spans="1:4">
      <c r="A5083" s="1">
        <v>25687</v>
      </c>
      <c r="B5083">
        <v>81.81</v>
      </c>
      <c r="C5083">
        <f t="shared" si="178"/>
        <v>1.9185249781985877E-2</v>
      </c>
      <c r="D5083">
        <f t="shared" si="177"/>
        <v>1.9930523586589817</v>
      </c>
    </row>
    <row r="5084" spans="1:4">
      <c r="A5084" s="1">
        <v>25688</v>
      </c>
      <c r="B5084">
        <v>81.52</v>
      </c>
      <c r="C5084">
        <f t="shared" si="178"/>
        <v>-3.5447989243369547E-3</v>
      </c>
      <c r="D5084">
        <f t="shared" si="177"/>
        <v>-0.40723305840975144</v>
      </c>
    </row>
    <row r="5085" spans="1:4">
      <c r="A5085" s="1">
        <v>25689</v>
      </c>
      <c r="B5085">
        <v>81.44</v>
      </c>
      <c r="C5085">
        <f t="shared" si="178"/>
        <v>-9.8135426889104879E-4</v>
      </c>
      <c r="D5085">
        <f t="shared" si="177"/>
        <v>-0.13653417415183919</v>
      </c>
    </row>
    <row r="5086" spans="1:4">
      <c r="A5086" s="1">
        <v>25692</v>
      </c>
      <c r="B5086">
        <v>79.37</v>
      </c>
      <c r="C5086">
        <f t="shared" si="178"/>
        <v>-2.5417485265225852E-2</v>
      </c>
      <c r="D5086">
        <f t="shared" si="177"/>
        <v>-2.7169813011202892</v>
      </c>
    </row>
    <row r="5087" spans="1:4">
      <c r="A5087" s="1">
        <v>25693</v>
      </c>
      <c r="B5087">
        <v>78.599999999999994</v>
      </c>
      <c r="C5087">
        <f t="shared" si="178"/>
        <v>-9.7013985132923045E-3</v>
      </c>
      <c r="D5087">
        <f t="shared" si="177"/>
        <v>-1.0573678822735555</v>
      </c>
    </row>
    <row r="5088" spans="1:4">
      <c r="A5088" s="1">
        <v>25694</v>
      </c>
      <c r="B5088">
        <v>79.47</v>
      </c>
      <c r="C5088">
        <f t="shared" si="178"/>
        <v>1.1068702290076395E-2</v>
      </c>
      <c r="D5088">
        <f t="shared" si="177"/>
        <v>1.1359477024618834</v>
      </c>
    </row>
    <row r="5089" spans="1:4">
      <c r="A5089" s="1">
        <v>25695</v>
      </c>
      <c r="B5089">
        <v>79.83</v>
      </c>
      <c r="C5089">
        <f t="shared" si="178"/>
        <v>4.5300113250283051E-3</v>
      </c>
      <c r="D5089">
        <f t="shared" si="177"/>
        <v>0.44546415916185511</v>
      </c>
    </row>
    <row r="5090" spans="1:4">
      <c r="A5090" s="1">
        <v>25696</v>
      </c>
      <c r="B5090">
        <v>79.44</v>
      </c>
      <c r="C5090">
        <f t="shared" si="178"/>
        <v>-4.8853814355505525E-3</v>
      </c>
      <c r="D5090">
        <f t="shared" si="177"/>
        <v>-0.54879811590777117</v>
      </c>
    </row>
    <row r="5091" spans="1:4">
      <c r="A5091" s="1">
        <v>25699</v>
      </c>
      <c r="B5091">
        <v>78.599999999999994</v>
      </c>
      <c r="C5091">
        <f t="shared" si="178"/>
        <v>-1.0574018126888261E-2</v>
      </c>
      <c r="D5091">
        <f t="shared" si="177"/>
        <v>-1.1495162168514699</v>
      </c>
    </row>
    <row r="5092" spans="1:4">
      <c r="A5092" s="1">
        <v>25700</v>
      </c>
      <c r="B5092">
        <v>77.849999999999994</v>
      </c>
      <c r="C5092">
        <f t="shared" si="178"/>
        <v>-9.5419847328244278E-3</v>
      </c>
      <c r="D5092">
        <f t="shared" si="177"/>
        <v>-1.0405338412435245</v>
      </c>
    </row>
    <row r="5093" spans="1:4">
      <c r="A5093" s="1">
        <v>25701</v>
      </c>
      <c r="B5093">
        <v>76.53</v>
      </c>
      <c r="C5093">
        <f t="shared" si="178"/>
        <v>-1.6955684007707042E-2</v>
      </c>
      <c r="D5093">
        <f t="shared" si="177"/>
        <v>-1.8234179646323028</v>
      </c>
    </row>
    <row r="5094" spans="1:4">
      <c r="A5094" s="1">
        <v>25702</v>
      </c>
      <c r="B5094">
        <v>75.44</v>
      </c>
      <c r="C5094">
        <f t="shared" si="178"/>
        <v>-1.4242780608911583E-2</v>
      </c>
      <c r="D5094">
        <f t="shared" si="177"/>
        <v>-1.5369362878801729</v>
      </c>
    </row>
    <row r="5095" spans="1:4">
      <c r="A5095" s="1">
        <v>25703</v>
      </c>
      <c r="B5095">
        <v>76.900000000000006</v>
      </c>
      <c r="C5095">
        <f t="shared" si="178"/>
        <v>1.9353128313891941E-2</v>
      </c>
      <c r="D5095">
        <f t="shared" si="177"/>
        <v>2.0107802745635763</v>
      </c>
    </row>
    <row r="5096" spans="1:4">
      <c r="A5096" s="1">
        <v>25706</v>
      </c>
      <c r="B5096">
        <v>76.959999999999994</v>
      </c>
      <c r="C5096">
        <f t="shared" si="178"/>
        <v>7.8023407022091099E-4</v>
      </c>
      <c r="D5096">
        <f t="shared" si="177"/>
        <v>4.9488955665413427E-2</v>
      </c>
    </row>
    <row r="5097" spans="1:4">
      <c r="A5097" s="1">
        <v>25707</v>
      </c>
      <c r="B5097">
        <v>75.459999999999994</v>
      </c>
      <c r="C5097">
        <f t="shared" si="178"/>
        <v>-1.9490644490644492E-2</v>
      </c>
      <c r="D5097">
        <f t="shared" si="177"/>
        <v>-2.091108929955563</v>
      </c>
    </row>
    <row r="5098" spans="1:4">
      <c r="A5098" s="1">
        <v>25708</v>
      </c>
      <c r="B5098">
        <v>73.52</v>
      </c>
      <c r="C5098">
        <f t="shared" si="178"/>
        <v>-2.5708984892658333E-2</v>
      </c>
      <c r="D5098">
        <f t="shared" si="177"/>
        <v>-2.7477635626916217</v>
      </c>
    </row>
    <row r="5099" spans="1:4">
      <c r="A5099" s="1">
        <v>25709</v>
      </c>
      <c r="B5099">
        <v>72.16</v>
      </c>
      <c r="C5099">
        <f t="shared" si="178"/>
        <v>-1.8498367791077251E-2</v>
      </c>
      <c r="D5099">
        <f t="shared" si="177"/>
        <v>-1.9863248477725004</v>
      </c>
    </row>
    <row r="5100" spans="1:4">
      <c r="A5100" s="1">
        <v>25710</v>
      </c>
      <c r="B5100">
        <v>72.25</v>
      </c>
      <c r="C5100">
        <f t="shared" si="178"/>
        <v>1.2472283813747701E-3</v>
      </c>
      <c r="D5100">
        <f t="shared" si="177"/>
        <v>9.8803396184181852E-2</v>
      </c>
    </row>
    <row r="5101" spans="1:4">
      <c r="A5101" s="1">
        <v>25713</v>
      </c>
      <c r="B5101">
        <v>70.25</v>
      </c>
      <c r="C5101">
        <f t="shared" si="178"/>
        <v>-2.768166089965398E-2</v>
      </c>
      <c r="D5101">
        <f t="shared" si="177"/>
        <v>-2.9560774784852071</v>
      </c>
    </row>
    <row r="5102" spans="1:4">
      <c r="A5102" s="1">
        <v>25714</v>
      </c>
      <c r="B5102">
        <v>69.290000000000006</v>
      </c>
      <c r="C5102">
        <f t="shared" si="178"/>
        <v>-1.3665480427046175E-2</v>
      </c>
      <c r="D5102">
        <f t="shared" si="177"/>
        <v>-1.4759735849090523</v>
      </c>
    </row>
    <row r="5103" spans="1:4">
      <c r="A5103" s="1">
        <v>25715</v>
      </c>
      <c r="B5103">
        <v>72.77</v>
      </c>
      <c r="C5103">
        <f t="shared" si="178"/>
        <v>5.0223697503247067E-2</v>
      </c>
      <c r="D5103">
        <f t="shared" si="177"/>
        <v>5.2707018875431615</v>
      </c>
    </row>
    <row r="5104" spans="1:4">
      <c r="A5104" s="1">
        <v>25716</v>
      </c>
      <c r="B5104">
        <v>74.61</v>
      </c>
      <c r="C5104">
        <f t="shared" si="178"/>
        <v>2.5285144977325869E-2</v>
      </c>
      <c r="D5104">
        <f t="shared" si="177"/>
        <v>2.637199217831764</v>
      </c>
    </row>
    <row r="5105" spans="1:4">
      <c r="A5105" s="1">
        <v>25717</v>
      </c>
      <c r="B5105">
        <v>76.55</v>
      </c>
      <c r="C5105">
        <f t="shared" si="178"/>
        <v>2.6001876424071809E-2</v>
      </c>
      <c r="D5105">
        <f t="shared" si="177"/>
        <v>2.7128858149792792</v>
      </c>
    </row>
    <row r="5106" spans="1:4">
      <c r="A5106" s="1">
        <v>25720</v>
      </c>
      <c r="B5106">
        <v>77.84</v>
      </c>
      <c r="C5106">
        <f t="shared" si="178"/>
        <v>1.6851730894840055E-2</v>
      </c>
      <c r="D5106">
        <f t="shared" si="177"/>
        <v>1.7466335573779923</v>
      </c>
    </row>
    <row r="5107" spans="1:4">
      <c r="A5107" s="1">
        <v>25721</v>
      </c>
      <c r="B5107">
        <v>77.84</v>
      </c>
      <c r="C5107">
        <f t="shared" si="178"/>
        <v>0</v>
      </c>
      <c r="D5107">
        <f t="shared" si="177"/>
        <v>-3.29034969354682E-2</v>
      </c>
    </row>
    <row r="5108" spans="1:4">
      <c r="A5108" s="1">
        <v>25722</v>
      </c>
      <c r="B5108">
        <v>78.52</v>
      </c>
      <c r="C5108">
        <f t="shared" si="178"/>
        <v>8.7358684480985695E-3</v>
      </c>
      <c r="D5108">
        <f t="shared" si="177"/>
        <v>0.88960124171777633</v>
      </c>
    </row>
    <row r="5109" spans="1:4">
      <c r="A5109" s="1">
        <v>25723</v>
      </c>
      <c r="B5109">
        <v>77.36</v>
      </c>
      <c r="C5109">
        <f t="shared" si="178"/>
        <v>-1.4773306164034598E-2</v>
      </c>
      <c r="D5109">
        <f t="shared" si="177"/>
        <v>-1.5929596061667652</v>
      </c>
    </row>
    <row r="5110" spans="1:4">
      <c r="A5110" s="1">
        <v>25724</v>
      </c>
      <c r="B5110">
        <v>76.17</v>
      </c>
      <c r="C5110">
        <f t="shared" si="178"/>
        <v>-1.5382626680454986E-2</v>
      </c>
      <c r="D5110">
        <f t="shared" si="177"/>
        <v>-1.6573036455826513</v>
      </c>
    </row>
    <row r="5111" spans="1:4">
      <c r="A5111" s="1">
        <v>25727</v>
      </c>
      <c r="B5111">
        <v>76.290000000000006</v>
      </c>
      <c r="C5111">
        <f t="shared" si="178"/>
        <v>1.5754233950374759E-3</v>
      </c>
      <c r="D5111">
        <f t="shared" si="177"/>
        <v>0.13346067806805809</v>
      </c>
    </row>
    <row r="5112" spans="1:4">
      <c r="A5112" s="1">
        <v>25728</v>
      </c>
      <c r="B5112">
        <v>76.25</v>
      </c>
      <c r="C5112">
        <f t="shared" si="178"/>
        <v>-5.2431511338322514E-4</v>
      </c>
      <c r="D5112">
        <f t="shared" si="177"/>
        <v>-8.8270994685370294E-2</v>
      </c>
    </row>
    <row r="5113" spans="1:4">
      <c r="A5113" s="1">
        <v>25729</v>
      </c>
      <c r="B5113">
        <v>75.48</v>
      </c>
      <c r="C5113">
        <f t="shared" si="178"/>
        <v>-1.0098360655737652E-2</v>
      </c>
      <c r="D5113">
        <f t="shared" si="177"/>
        <v>-1.0992869495817958</v>
      </c>
    </row>
    <row r="5114" spans="1:4">
      <c r="A5114" s="1">
        <v>25730</v>
      </c>
      <c r="B5114">
        <v>74.45</v>
      </c>
      <c r="C5114">
        <f t="shared" si="178"/>
        <v>-1.3645998940116602E-2</v>
      </c>
      <c r="D5114">
        <f t="shared" si="177"/>
        <v>-1.4739163465113685</v>
      </c>
    </row>
    <row r="5115" spans="1:4">
      <c r="A5115" s="1">
        <v>25731</v>
      </c>
      <c r="B5115">
        <v>73.88</v>
      </c>
      <c r="C5115">
        <f t="shared" si="178"/>
        <v>-7.6561450638013076E-3</v>
      </c>
      <c r="D5115">
        <f t="shared" si="177"/>
        <v>-0.84138981322273254</v>
      </c>
    </row>
    <row r="5116" spans="1:4">
      <c r="A5116" s="1">
        <v>25734</v>
      </c>
      <c r="B5116">
        <v>74.58</v>
      </c>
      <c r="C5116">
        <f t="shared" si="178"/>
        <v>9.4748240389821714E-3</v>
      </c>
      <c r="D5116">
        <f t="shared" si="177"/>
        <v>0.96763470093187498</v>
      </c>
    </row>
    <row r="5117" spans="1:4">
      <c r="A5117" s="1">
        <v>25735</v>
      </c>
      <c r="B5117">
        <v>76.150000000000006</v>
      </c>
      <c r="C5117">
        <f t="shared" si="178"/>
        <v>2.1051220166264515E-2</v>
      </c>
      <c r="D5117">
        <f t="shared" si="177"/>
        <v>2.1900981969646542</v>
      </c>
    </row>
    <row r="5118" spans="1:4">
      <c r="A5118" s="1">
        <v>25736</v>
      </c>
      <c r="B5118">
        <v>76</v>
      </c>
      <c r="C5118">
        <f t="shared" si="178"/>
        <v>-1.9697964543664566E-3</v>
      </c>
      <c r="D5118">
        <f t="shared" si="177"/>
        <v>-0.24091333295021861</v>
      </c>
    </row>
    <row r="5119" spans="1:4">
      <c r="A5119" s="1">
        <v>25737</v>
      </c>
      <c r="B5119">
        <v>76.510000000000005</v>
      </c>
      <c r="C5119">
        <f t="shared" si="178"/>
        <v>6.7105263157895409E-3</v>
      </c>
      <c r="D5119">
        <f t="shared" si="177"/>
        <v>0.67572580099318358</v>
      </c>
    </row>
    <row r="5120" spans="1:4">
      <c r="A5120" s="1">
        <v>25738</v>
      </c>
      <c r="B5120">
        <v>77.05</v>
      </c>
      <c r="C5120">
        <f t="shared" si="178"/>
        <v>7.0579009279831658E-3</v>
      </c>
      <c r="D5120">
        <f t="shared" si="177"/>
        <v>0.71240844196246256</v>
      </c>
    </row>
    <row r="5121" spans="1:4">
      <c r="A5121" s="1">
        <v>25741</v>
      </c>
      <c r="B5121">
        <v>76.64</v>
      </c>
      <c r="C5121">
        <f t="shared" si="178"/>
        <v>-5.3212199870213703E-3</v>
      </c>
      <c r="D5121">
        <f t="shared" si="177"/>
        <v>-0.59482251879436776</v>
      </c>
    </row>
    <row r="5122" spans="1:4">
      <c r="A5122" s="1">
        <v>25742</v>
      </c>
      <c r="B5122">
        <v>74.760000000000005</v>
      </c>
      <c r="C5122">
        <f t="shared" si="178"/>
        <v>-2.453027139874733E-2</v>
      </c>
      <c r="D5122">
        <f t="shared" si="177"/>
        <v>-2.6232918183988034</v>
      </c>
    </row>
    <row r="5123" spans="1:4">
      <c r="A5123" s="1">
        <v>25743</v>
      </c>
      <c r="B5123">
        <v>73.97</v>
      </c>
      <c r="C5123">
        <f t="shared" si="178"/>
        <v>-1.0567148207597729E-2</v>
      </c>
      <c r="D5123">
        <f t="shared" ref="D5123:D5186" si="179">(C5123-avg)/sd</f>
        <v>-1.1487907557095889</v>
      </c>
    </row>
    <row r="5124" spans="1:4">
      <c r="A5124" s="1">
        <v>25744</v>
      </c>
      <c r="B5124">
        <v>74.02</v>
      </c>
      <c r="C5124">
        <f t="shared" ref="C5124:C5187" si="180">(B5124-B5123)/B5123</f>
        <v>6.7594970934158657E-4</v>
      </c>
      <c r="D5124">
        <f t="shared" si="179"/>
        <v>3.847656260453336E-2</v>
      </c>
    </row>
    <row r="5125" spans="1:4">
      <c r="A5125" s="1">
        <v>25745</v>
      </c>
      <c r="B5125">
        <v>73.47</v>
      </c>
      <c r="C5125">
        <f t="shared" si="180"/>
        <v>-7.4304242096730234E-3</v>
      </c>
      <c r="D5125">
        <f t="shared" si="179"/>
        <v>-0.81755376775303201</v>
      </c>
    </row>
    <row r="5126" spans="1:4">
      <c r="A5126" s="1">
        <v>25748</v>
      </c>
      <c r="B5126">
        <v>72.89</v>
      </c>
      <c r="C5126">
        <f t="shared" si="180"/>
        <v>-7.8943786579556054E-3</v>
      </c>
      <c r="D5126">
        <f t="shared" si="179"/>
        <v>-0.86654719978589312</v>
      </c>
    </row>
    <row r="5127" spans="1:4">
      <c r="A5127" s="1">
        <v>25749</v>
      </c>
      <c r="B5127">
        <v>72.72</v>
      </c>
      <c r="C5127">
        <f t="shared" si="180"/>
        <v>-2.3322815200988024E-3</v>
      </c>
      <c r="D5127">
        <f t="shared" si="179"/>
        <v>-0.27919163267689379</v>
      </c>
    </row>
    <row r="5128" spans="1:4">
      <c r="A5128" s="1">
        <v>25750</v>
      </c>
      <c r="B5128">
        <v>72.94</v>
      </c>
      <c r="C5128">
        <f t="shared" si="180"/>
        <v>3.0253025302530096E-3</v>
      </c>
      <c r="D5128">
        <f t="shared" si="179"/>
        <v>0.28656742190895462</v>
      </c>
    </row>
    <row r="5129" spans="1:4">
      <c r="A5129" s="1">
        <v>25751</v>
      </c>
      <c r="B5129">
        <v>72.92</v>
      </c>
      <c r="C5129">
        <f t="shared" si="180"/>
        <v>-2.7419797093496053E-4</v>
      </c>
      <c r="D5129">
        <f t="shared" si="179"/>
        <v>-6.1858709461781139E-2</v>
      </c>
    </row>
    <row r="5130" spans="1:4">
      <c r="A5130" s="1">
        <v>25755</v>
      </c>
      <c r="B5130">
        <v>71.78</v>
      </c>
      <c r="C5130">
        <f t="shared" si="180"/>
        <v>-1.5633571036752614E-2</v>
      </c>
      <c r="D5130">
        <f t="shared" si="179"/>
        <v>-1.6838032843075497</v>
      </c>
    </row>
    <row r="5131" spans="1:4">
      <c r="A5131" s="1">
        <v>25756</v>
      </c>
      <c r="B5131">
        <v>71.23</v>
      </c>
      <c r="C5131">
        <f t="shared" si="180"/>
        <v>-7.6623014767344269E-3</v>
      </c>
      <c r="D5131">
        <f t="shared" si="179"/>
        <v>-0.84203992833580354</v>
      </c>
    </row>
    <row r="5132" spans="1:4">
      <c r="A5132" s="1">
        <v>25757</v>
      </c>
      <c r="B5132">
        <v>73</v>
      </c>
      <c r="C5132">
        <f t="shared" si="180"/>
        <v>2.4849080443633244E-2</v>
      </c>
      <c r="D5132">
        <f t="shared" si="179"/>
        <v>2.5911509512993596</v>
      </c>
    </row>
    <row r="5133" spans="1:4">
      <c r="A5133" s="1">
        <v>25758</v>
      </c>
      <c r="B5133">
        <v>74.06</v>
      </c>
      <c r="C5133">
        <f t="shared" si="180"/>
        <v>1.4520547945205511E-2</v>
      </c>
      <c r="D5133">
        <f t="shared" si="179"/>
        <v>1.5004614303041703</v>
      </c>
    </row>
    <row r="5134" spans="1:4">
      <c r="A5134" s="1">
        <v>25759</v>
      </c>
      <c r="B5134">
        <v>74.45</v>
      </c>
      <c r="C5134">
        <f t="shared" si="180"/>
        <v>5.2660005401026274E-3</v>
      </c>
      <c r="D5134">
        <f t="shared" si="179"/>
        <v>0.52318437009881402</v>
      </c>
    </row>
    <row r="5135" spans="1:4">
      <c r="A5135" s="1">
        <v>25762</v>
      </c>
      <c r="B5135">
        <v>74.55</v>
      </c>
      <c r="C5135">
        <f t="shared" si="180"/>
        <v>1.3431833445264514E-3</v>
      </c>
      <c r="D5135">
        <f t="shared" si="179"/>
        <v>0.10893620767632267</v>
      </c>
    </row>
    <row r="5136" spans="1:4">
      <c r="A5136" s="1">
        <v>25763</v>
      </c>
      <c r="B5136">
        <v>74.42</v>
      </c>
      <c r="C5136">
        <f t="shared" si="180"/>
        <v>-1.7437961099932321E-3</v>
      </c>
      <c r="D5136">
        <f t="shared" si="179"/>
        <v>-0.2170477734056557</v>
      </c>
    </row>
    <row r="5137" spans="1:4">
      <c r="A5137" s="1">
        <v>25764</v>
      </c>
      <c r="B5137">
        <v>75.23</v>
      </c>
      <c r="C5137">
        <f t="shared" si="180"/>
        <v>1.0884170921795246E-2</v>
      </c>
      <c r="D5137">
        <f t="shared" si="179"/>
        <v>1.116461252696654</v>
      </c>
    </row>
    <row r="5138" spans="1:4">
      <c r="A5138" s="1">
        <v>25765</v>
      </c>
      <c r="B5138">
        <v>76.34</v>
      </c>
      <c r="C5138">
        <f t="shared" si="180"/>
        <v>1.475475209357968E-2</v>
      </c>
      <c r="D5138">
        <f t="shared" si="179"/>
        <v>1.5251933087626244</v>
      </c>
    </row>
    <row r="5139" spans="1:4">
      <c r="A5139" s="1">
        <v>25766</v>
      </c>
      <c r="B5139">
        <v>77.69</v>
      </c>
      <c r="C5139">
        <f t="shared" si="180"/>
        <v>1.7684045061566601E-2</v>
      </c>
      <c r="D5139">
        <f t="shared" si="179"/>
        <v>1.834525650466984</v>
      </c>
    </row>
    <row r="5140" spans="1:4">
      <c r="A5140" s="1">
        <v>25769</v>
      </c>
      <c r="B5140">
        <v>77.790000000000006</v>
      </c>
      <c r="C5140">
        <f t="shared" si="180"/>
        <v>1.287166945552948E-3</v>
      </c>
      <c r="D5140">
        <f t="shared" si="179"/>
        <v>0.10302089498561987</v>
      </c>
    </row>
    <row r="5141" spans="1:4">
      <c r="A5141" s="1">
        <v>25770</v>
      </c>
      <c r="B5141">
        <v>76.98</v>
      </c>
      <c r="C5141">
        <f t="shared" si="180"/>
        <v>-1.0412649440802188E-2</v>
      </c>
      <c r="D5141">
        <f t="shared" si="179"/>
        <v>-1.132475738452662</v>
      </c>
    </row>
    <row r="5142" spans="1:4">
      <c r="A5142" s="1">
        <v>25771</v>
      </c>
      <c r="B5142">
        <v>77.03</v>
      </c>
      <c r="C5142">
        <f t="shared" si="180"/>
        <v>6.4951935567676223E-4</v>
      </c>
      <c r="D5142">
        <f t="shared" si="179"/>
        <v>3.5685526241641639E-2</v>
      </c>
    </row>
    <row r="5143" spans="1:4">
      <c r="A5143" s="1">
        <v>25772</v>
      </c>
      <c r="B5143">
        <v>78</v>
      </c>
      <c r="C5143">
        <f t="shared" si="180"/>
        <v>1.2592496429962338E-2</v>
      </c>
      <c r="D5143">
        <f t="shared" si="179"/>
        <v>1.2968598456710445</v>
      </c>
    </row>
    <row r="5144" spans="1:4">
      <c r="A5144" s="1">
        <v>25773</v>
      </c>
      <c r="B5144">
        <v>77.819999999999993</v>
      </c>
      <c r="C5144">
        <f t="shared" si="180"/>
        <v>-2.3076923076923951E-3</v>
      </c>
      <c r="D5144">
        <f t="shared" si="179"/>
        <v>-0.27659502020505661</v>
      </c>
    </row>
    <row r="5145" spans="1:4">
      <c r="A5145" s="1">
        <v>25776</v>
      </c>
      <c r="B5145">
        <v>77.650000000000006</v>
      </c>
      <c r="C5145">
        <f t="shared" si="180"/>
        <v>-2.1845283988690249E-3</v>
      </c>
      <c r="D5145">
        <f t="shared" si="179"/>
        <v>-0.26358895329875542</v>
      </c>
    </row>
    <row r="5146" spans="1:4">
      <c r="A5146" s="1">
        <v>25777</v>
      </c>
      <c r="B5146">
        <v>77.77</v>
      </c>
      <c r="C5146">
        <f t="shared" si="180"/>
        <v>1.5453960077268555E-3</v>
      </c>
      <c r="D5146">
        <f t="shared" si="179"/>
        <v>0.13028979617486144</v>
      </c>
    </row>
    <row r="5147" spans="1:4">
      <c r="A5147" s="1">
        <v>25778</v>
      </c>
      <c r="B5147">
        <v>78.040000000000006</v>
      </c>
      <c r="C5147">
        <f t="shared" si="180"/>
        <v>3.4717757490036034E-3</v>
      </c>
      <c r="D5147">
        <f t="shared" si="179"/>
        <v>0.33371484204539648</v>
      </c>
    </row>
    <row r="5148" spans="1:4">
      <c r="A5148" s="1">
        <v>25779</v>
      </c>
      <c r="B5148">
        <v>78.069999999999993</v>
      </c>
      <c r="C5148">
        <f t="shared" si="180"/>
        <v>3.8441824705262589E-4</v>
      </c>
      <c r="D5148">
        <f t="shared" si="179"/>
        <v>7.6909392831779897E-3</v>
      </c>
    </row>
    <row r="5149" spans="1:4">
      <c r="A5149" s="1">
        <v>25780</v>
      </c>
      <c r="B5149">
        <v>78.05</v>
      </c>
      <c r="C5149">
        <f t="shared" si="180"/>
        <v>-2.5618035096702986E-4</v>
      </c>
      <c r="D5149">
        <f t="shared" si="179"/>
        <v>-5.995605491765426E-2</v>
      </c>
    </row>
    <row r="5150" spans="1:4">
      <c r="A5150" s="1">
        <v>25783</v>
      </c>
      <c r="B5150">
        <v>77.02</v>
      </c>
      <c r="C5150">
        <f t="shared" si="180"/>
        <v>-1.3196668802049984E-2</v>
      </c>
      <c r="D5150">
        <f t="shared" si="179"/>
        <v>-1.4264672366662685</v>
      </c>
    </row>
    <row r="5151" spans="1:4">
      <c r="A5151" s="1">
        <v>25784</v>
      </c>
      <c r="B5151">
        <v>77.19</v>
      </c>
      <c r="C5151">
        <f t="shared" si="180"/>
        <v>2.2072189041807545E-3</v>
      </c>
      <c r="D5151">
        <f t="shared" si="179"/>
        <v>0.20017806907586019</v>
      </c>
    </row>
    <row r="5152" spans="1:4">
      <c r="A5152" s="1">
        <v>25785</v>
      </c>
      <c r="B5152">
        <v>77.180000000000007</v>
      </c>
      <c r="C5152">
        <f t="shared" si="180"/>
        <v>-1.2955045990401483E-4</v>
      </c>
      <c r="D5152">
        <f t="shared" si="179"/>
        <v>-4.658398146499123E-2</v>
      </c>
    </row>
    <row r="5153" spans="1:4">
      <c r="A5153" s="1">
        <v>25786</v>
      </c>
      <c r="B5153">
        <v>77.08</v>
      </c>
      <c r="C5153">
        <f t="shared" si="180"/>
        <v>-1.2956724540037383E-3</v>
      </c>
      <c r="D5153">
        <f t="shared" si="179"/>
        <v>-0.16972606765779691</v>
      </c>
    </row>
    <row r="5154" spans="1:4">
      <c r="A5154" s="1">
        <v>25787</v>
      </c>
      <c r="B5154">
        <v>77.28</v>
      </c>
      <c r="C5154">
        <f t="shared" si="180"/>
        <v>2.5947067981318479E-3</v>
      </c>
      <c r="D5154">
        <f t="shared" si="179"/>
        <v>0.24109665896356089</v>
      </c>
    </row>
    <row r="5155" spans="1:4">
      <c r="A5155" s="1">
        <v>25790</v>
      </c>
      <c r="B5155">
        <v>76.2</v>
      </c>
      <c r="C5155">
        <f t="shared" si="180"/>
        <v>-1.3975155279503083E-2</v>
      </c>
      <c r="D5155">
        <f t="shared" si="179"/>
        <v>-1.5086751440649049</v>
      </c>
    </row>
    <row r="5156" spans="1:4">
      <c r="A5156" s="1">
        <v>25791</v>
      </c>
      <c r="B5156">
        <v>75.819999999999993</v>
      </c>
      <c r="C5156">
        <f t="shared" si="180"/>
        <v>-4.9868766404200741E-3</v>
      </c>
      <c r="D5156">
        <f t="shared" si="179"/>
        <v>-0.55951597504209627</v>
      </c>
    </row>
    <row r="5157" spans="1:4">
      <c r="A5157" s="1">
        <v>25792</v>
      </c>
      <c r="B5157">
        <v>75.42</v>
      </c>
      <c r="C5157">
        <f t="shared" si="180"/>
        <v>-5.2756528620415653E-3</v>
      </c>
      <c r="D5157">
        <f t="shared" si="179"/>
        <v>-0.59001064588551866</v>
      </c>
    </row>
    <row r="5158" spans="1:4">
      <c r="A5158" s="1">
        <v>25793</v>
      </c>
      <c r="B5158">
        <v>74.760000000000005</v>
      </c>
      <c r="C5158">
        <f t="shared" si="180"/>
        <v>-8.7509944311853164E-3</v>
      </c>
      <c r="D5158">
        <f t="shared" si="179"/>
        <v>-0.95700553426110169</v>
      </c>
    </row>
    <row r="5159" spans="1:4">
      <c r="A5159" s="1">
        <v>25794</v>
      </c>
      <c r="B5159">
        <v>75.180000000000007</v>
      </c>
      <c r="C5159">
        <f t="shared" si="180"/>
        <v>5.61797752808991E-3</v>
      </c>
      <c r="D5159">
        <f t="shared" si="179"/>
        <v>0.56035302038747969</v>
      </c>
    </row>
    <row r="5160" spans="1:4">
      <c r="A5160" s="1">
        <v>25797</v>
      </c>
      <c r="B5160">
        <v>75.33</v>
      </c>
      <c r="C5160">
        <f t="shared" si="180"/>
        <v>1.9952114924180826E-3</v>
      </c>
      <c r="D5160">
        <f t="shared" si="179"/>
        <v>0.17779015845854276</v>
      </c>
    </row>
    <row r="5161" spans="1:4">
      <c r="A5161" s="1">
        <v>25798</v>
      </c>
      <c r="B5161">
        <v>76.2</v>
      </c>
      <c r="C5161">
        <f t="shared" si="180"/>
        <v>1.1549183592194406E-2</v>
      </c>
      <c r="D5161">
        <f t="shared" si="179"/>
        <v>1.1866863646420154</v>
      </c>
    </row>
    <row r="5162" spans="1:4">
      <c r="A5162" s="1">
        <v>25799</v>
      </c>
      <c r="B5162">
        <v>76.959999999999994</v>
      </c>
      <c r="C5162">
        <f t="shared" si="180"/>
        <v>9.9737532808397752E-3</v>
      </c>
      <c r="D5162">
        <f t="shared" si="179"/>
        <v>1.0203214592777485</v>
      </c>
    </row>
    <row r="5163" spans="1:4">
      <c r="A5163" s="1">
        <v>25800</v>
      </c>
      <c r="B5163">
        <v>77.84</v>
      </c>
      <c r="C5163">
        <f t="shared" si="180"/>
        <v>1.1434511434511562E-2</v>
      </c>
      <c r="D5163">
        <f t="shared" si="179"/>
        <v>1.1745770237696673</v>
      </c>
    </row>
    <row r="5164" spans="1:4">
      <c r="A5164" s="1">
        <v>25801</v>
      </c>
      <c r="B5164">
        <v>79.239999999999995</v>
      </c>
      <c r="C5164">
        <f t="shared" si="180"/>
        <v>1.7985611510791255E-2</v>
      </c>
      <c r="D5164">
        <f t="shared" si="179"/>
        <v>1.866370964997691</v>
      </c>
    </row>
    <row r="5165" spans="1:4">
      <c r="A5165" s="1">
        <v>25804</v>
      </c>
      <c r="B5165">
        <v>80.989999999999995</v>
      </c>
      <c r="C5165">
        <f t="shared" si="180"/>
        <v>2.2084805653710248E-2</v>
      </c>
      <c r="D5165">
        <f t="shared" si="179"/>
        <v>2.2992444731061461</v>
      </c>
    </row>
    <row r="5166" spans="1:4">
      <c r="A5166" s="1">
        <v>25805</v>
      </c>
      <c r="B5166">
        <v>81.12</v>
      </c>
      <c r="C5166">
        <f t="shared" si="180"/>
        <v>1.6051364365972302E-3</v>
      </c>
      <c r="D5166">
        <f t="shared" si="179"/>
        <v>0.13659836515681459</v>
      </c>
    </row>
    <row r="5167" spans="1:4">
      <c r="A5167" s="1">
        <v>25806</v>
      </c>
      <c r="B5167">
        <v>81.209999999999994</v>
      </c>
      <c r="C5167">
        <f t="shared" si="180"/>
        <v>1.1094674556211687E-3</v>
      </c>
      <c r="D5167">
        <f t="shared" si="179"/>
        <v>8.425588925181543E-2</v>
      </c>
    </row>
    <row r="5168" spans="1:4">
      <c r="A5168" s="1">
        <v>25807</v>
      </c>
      <c r="B5168">
        <v>81.08</v>
      </c>
      <c r="C5168">
        <f t="shared" si="180"/>
        <v>-1.6007880802856233E-3</v>
      </c>
      <c r="D5168">
        <f t="shared" si="179"/>
        <v>-0.20194617407932342</v>
      </c>
    </row>
    <row r="5169" spans="1:4">
      <c r="A5169" s="1">
        <v>25808</v>
      </c>
      <c r="B5169">
        <v>81.86</v>
      </c>
      <c r="C5169">
        <f t="shared" si="180"/>
        <v>9.6201282683769252E-3</v>
      </c>
      <c r="D5169">
        <f t="shared" si="179"/>
        <v>0.98297877816465362</v>
      </c>
    </row>
    <row r="5170" spans="1:4">
      <c r="A5170" s="1">
        <v>25811</v>
      </c>
      <c r="B5170">
        <v>81.52</v>
      </c>
      <c r="C5170">
        <f t="shared" si="180"/>
        <v>-4.1534326899585073E-3</v>
      </c>
      <c r="D5170">
        <f t="shared" si="179"/>
        <v>-0.4715045771747185</v>
      </c>
    </row>
    <row r="5171" spans="1:4">
      <c r="A5171" s="1">
        <v>25812</v>
      </c>
      <c r="B5171">
        <v>80.95</v>
      </c>
      <c r="C5171">
        <f t="shared" si="180"/>
        <v>-6.9921491658487883E-3</v>
      </c>
      <c r="D5171">
        <f t="shared" si="179"/>
        <v>-0.77127207210211857</v>
      </c>
    </row>
    <row r="5172" spans="1:4">
      <c r="A5172" s="1">
        <v>25813</v>
      </c>
      <c r="B5172">
        <v>80.959999999999994</v>
      </c>
      <c r="C5172">
        <f t="shared" si="180"/>
        <v>1.235330450894491E-4</v>
      </c>
      <c r="D5172">
        <f t="shared" si="179"/>
        <v>-1.9858449364944634E-2</v>
      </c>
    </row>
    <row r="5173" spans="1:4">
      <c r="A5173" s="1">
        <v>25814</v>
      </c>
      <c r="B5173">
        <v>82.09</v>
      </c>
      <c r="C5173">
        <f t="shared" si="180"/>
        <v>1.3957509881423046E-2</v>
      </c>
      <c r="D5173">
        <f t="shared" si="179"/>
        <v>1.4410048021546789</v>
      </c>
    </row>
    <row r="5174" spans="1:4">
      <c r="A5174" s="1">
        <v>25815</v>
      </c>
      <c r="B5174">
        <v>82.83</v>
      </c>
      <c r="C5174">
        <f t="shared" si="180"/>
        <v>9.0144962845656578E-3</v>
      </c>
      <c r="D5174">
        <f t="shared" si="179"/>
        <v>0.91902424653849757</v>
      </c>
    </row>
    <row r="5175" spans="1:4">
      <c r="A5175" s="1">
        <v>25819</v>
      </c>
      <c r="B5175">
        <v>83.04</v>
      </c>
      <c r="C5175">
        <f t="shared" si="180"/>
        <v>2.5353132922855E-3</v>
      </c>
      <c r="D5175">
        <f t="shared" si="179"/>
        <v>0.2348247249350201</v>
      </c>
    </row>
    <row r="5176" spans="1:4">
      <c r="A5176" s="1">
        <v>25820</v>
      </c>
      <c r="B5176">
        <v>82.79</v>
      </c>
      <c r="C5176">
        <f t="shared" si="180"/>
        <v>-3.0105973025048166E-3</v>
      </c>
      <c r="D5176">
        <f t="shared" si="179"/>
        <v>-0.35082154872823162</v>
      </c>
    </row>
    <row r="5177" spans="1:4">
      <c r="A5177" s="1">
        <v>25821</v>
      </c>
      <c r="B5177">
        <v>82.3</v>
      </c>
      <c r="C5177">
        <f t="shared" si="180"/>
        <v>-5.9185892015945051E-3</v>
      </c>
      <c r="D5177">
        <f t="shared" si="179"/>
        <v>-0.65790450479762874</v>
      </c>
    </row>
    <row r="5178" spans="1:4">
      <c r="A5178" s="1">
        <v>25822</v>
      </c>
      <c r="B5178">
        <v>82.52</v>
      </c>
      <c r="C5178">
        <f t="shared" si="180"/>
        <v>2.6731470230862558E-3</v>
      </c>
      <c r="D5178">
        <f t="shared" si="179"/>
        <v>0.2493799200556184</v>
      </c>
    </row>
    <row r="5179" spans="1:4">
      <c r="A5179" s="1">
        <v>25825</v>
      </c>
      <c r="B5179">
        <v>82.07</v>
      </c>
      <c r="C5179">
        <f t="shared" si="180"/>
        <v>-5.4532234609791915E-3</v>
      </c>
      <c r="D5179">
        <f t="shared" si="179"/>
        <v>-0.60876204077415275</v>
      </c>
    </row>
    <row r="5180" spans="1:4">
      <c r="A5180" s="1">
        <v>25826</v>
      </c>
      <c r="B5180">
        <v>81.36</v>
      </c>
      <c r="C5180">
        <f t="shared" si="180"/>
        <v>-8.6511514560740077E-3</v>
      </c>
      <c r="D5180">
        <f t="shared" si="179"/>
        <v>-0.94646215002762368</v>
      </c>
    </row>
    <row r="5181" spans="1:4">
      <c r="A5181" s="1">
        <v>25827</v>
      </c>
      <c r="B5181">
        <v>81.790000000000006</v>
      </c>
      <c r="C5181">
        <f t="shared" si="180"/>
        <v>5.2851524090462981E-3</v>
      </c>
      <c r="D5181">
        <f t="shared" si="179"/>
        <v>0.525206800949229</v>
      </c>
    </row>
    <row r="5182" spans="1:4">
      <c r="A5182" s="1">
        <v>25828</v>
      </c>
      <c r="B5182">
        <v>82.29</v>
      </c>
      <c r="C5182">
        <f t="shared" si="180"/>
        <v>6.1132167746668293E-3</v>
      </c>
      <c r="D5182">
        <f t="shared" si="179"/>
        <v>0.6126501164860032</v>
      </c>
    </row>
    <row r="5183" spans="1:4">
      <c r="A5183" s="1">
        <v>25829</v>
      </c>
      <c r="B5183">
        <v>82.62</v>
      </c>
      <c r="C5183">
        <f t="shared" si="180"/>
        <v>4.0102078016769748E-3</v>
      </c>
      <c r="D5183">
        <f t="shared" si="179"/>
        <v>0.39057308378575717</v>
      </c>
    </row>
    <row r="5184" spans="1:4">
      <c r="A5184" s="1">
        <v>25832</v>
      </c>
      <c r="B5184">
        <v>81.91</v>
      </c>
      <c r="C5184">
        <f t="shared" si="180"/>
        <v>-8.5935608811426763E-3</v>
      </c>
      <c r="D5184">
        <f t="shared" si="179"/>
        <v>-0.94038060489086261</v>
      </c>
    </row>
    <row r="5185" spans="1:4">
      <c r="A5185" s="1">
        <v>25833</v>
      </c>
      <c r="B5185">
        <v>81.86</v>
      </c>
      <c r="C5185">
        <f t="shared" si="180"/>
        <v>-6.1042607740199189E-4</v>
      </c>
      <c r="D5185">
        <f t="shared" si="179"/>
        <v>-9.7364283215213232E-2</v>
      </c>
    </row>
    <row r="5186" spans="1:4">
      <c r="A5186" s="1">
        <v>25834</v>
      </c>
      <c r="B5186">
        <v>81.91</v>
      </c>
      <c r="C5186">
        <f t="shared" si="180"/>
        <v>6.107989249938573E-4</v>
      </c>
      <c r="D5186">
        <f t="shared" si="179"/>
        <v>3.159666192324076E-2</v>
      </c>
    </row>
    <row r="5187" spans="1:4">
      <c r="A5187" s="1">
        <v>25835</v>
      </c>
      <c r="B5187">
        <v>81.66</v>
      </c>
      <c r="C5187">
        <f t="shared" si="180"/>
        <v>-3.0521303870101333E-3</v>
      </c>
      <c r="D5187">
        <f t="shared" ref="D5187:D5250" si="181">(C5187-avg)/sd</f>
        <v>-0.35520742833421165</v>
      </c>
    </row>
    <row r="5188" spans="1:4">
      <c r="A5188" s="1">
        <v>25836</v>
      </c>
      <c r="B5188">
        <v>82.83</v>
      </c>
      <c r="C5188">
        <f t="shared" ref="C5188:C5251" si="182">(B5188-B5187)/B5187</f>
        <v>1.432770022042618E-2</v>
      </c>
      <c r="D5188">
        <f t="shared" si="181"/>
        <v>1.4800967761195996</v>
      </c>
    </row>
    <row r="5189" spans="1:4">
      <c r="A5189" s="1">
        <v>25839</v>
      </c>
      <c r="B5189">
        <v>83.91</v>
      </c>
      <c r="C5189">
        <f t="shared" si="182"/>
        <v>1.3038754074610628E-2</v>
      </c>
      <c r="D5189">
        <f t="shared" si="181"/>
        <v>1.3439845012555602</v>
      </c>
    </row>
    <row r="5190" spans="1:4">
      <c r="A5190" s="1">
        <v>25840</v>
      </c>
      <c r="B5190">
        <v>83.86</v>
      </c>
      <c r="C5190">
        <f t="shared" si="182"/>
        <v>-5.9587653438204216E-4</v>
      </c>
      <c r="D5190">
        <f t="shared" si="181"/>
        <v>-9.5827856417936508E-2</v>
      </c>
    </row>
    <row r="5191" spans="1:4">
      <c r="A5191" s="1">
        <v>25841</v>
      </c>
      <c r="B5191">
        <v>84.3</v>
      </c>
      <c r="C5191">
        <f t="shared" si="182"/>
        <v>5.2468399713808461E-3</v>
      </c>
      <c r="D5191">
        <f t="shared" si="181"/>
        <v>0.52116102055478764</v>
      </c>
    </row>
    <row r="5192" spans="1:4">
      <c r="A5192" s="1">
        <v>25842</v>
      </c>
      <c r="B5192">
        <v>84.32</v>
      </c>
      <c r="C5192">
        <f t="shared" si="182"/>
        <v>2.3724792408061709E-4</v>
      </c>
      <c r="D5192">
        <f t="shared" si="181"/>
        <v>-7.8501967970427411E-3</v>
      </c>
    </row>
    <row r="5193" spans="1:4">
      <c r="A5193" s="1">
        <v>25843</v>
      </c>
      <c r="B5193">
        <v>85.16</v>
      </c>
      <c r="C5193">
        <f t="shared" si="182"/>
        <v>9.9620493358634193E-3</v>
      </c>
      <c r="D5193">
        <f t="shared" si="181"/>
        <v>1.0190855266666095</v>
      </c>
    </row>
    <row r="5194" spans="1:4">
      <c r="A5194" s="1">
        <v>25846</v>
      </c>
      <c r="B5194">
        <v>86.47</v>
      </c>
      <c r="C5194">
        <f t="shared" si="182"/>
        <v>1.5382808830436853E-2</v>
      </c>
      <c r="D5194">
        <f t="shared" si="181"/>
        <v>1.5915158866878842</v>
      </c>
    </row>
    <row r="5195" spans="1:4">
      <c r="A5195" s="1">
        <v>25847</v>
      </c>
      <c r="B5195">
        <v>86.85</v>
      </c>
      <c r="C5195">
        <f t="shared" si="182"/>
        <v>4.3945877182837451E-3</v>
      </c>
      <c r="D5195">
        <f t="shared" si="181"/>
        <v>0.43116347232235014</v>
      </c>
    </row>
    <row r="5196" spans="1:4">
      <c r="A5196" s="1">
        <v>25848</v>
      </c>
      <c r="B5196">
        <v>86.89</v>
      </c>
      <c r="C5196">
        <f t="shared" si="182"/>
        <v>4.6056419113421133E-4</v>
      </c>
      <c r="D5196">
        <f t="shared" si="181"/>
        <v>1.5731925094929416E-2</v>
      </c>
    </row>
    <row r="5197" spans="1:4">
      <c r="A5197" s="1">
        <v>25849</v>
      </c>
      <c r="B5197">
        <v>85.95</v>
      </c>
      <c r="C5197">
        <f t="shared" si="182"/>
        <v>-1.0818275981125535E-2</v>
      </c>
      <c r="D5197">
        <f t="shared" si="181"/>
        <v>-1.1753097632316474</v>
      </c>
    </row>
    <row r="5198" spans="1:4">
      <c r="A5198" s="1">
        <v>25850</v>
      </c>
      <c r="B5198">
        <v>85.08</v>
      </c>
      <c r="C5198">
        <f t="shared" si="182"/>
        <v>-1.0122164048865671E-2</v>
      </c>
      <c r="D5198">
        <f t="shared" si="181"/>
        <v>-1.1018005798049484</v>
      </c>
    </row>
    <row r="5199" spans="1:4">
      <c r="A5199" s="1">
        <v>25853</v>
      </c>
      <c r="B5199">
        <v>84.17</v>
      </c>
      <c r="C5199">
        <f t="shared" si="182"/>
        <v>-1.069581570286785E-2</v>
      </c>
      <c r="D5199">
        <f t="shared" si="181"/>
        <v>-1.162377999473907</v>
      </c>
    </row>
    <row r="5200" spans="1:4">
      <c r="A5200" s="1">
        <v>25854</v>
      </c>
      <c r="B5200">
        <v>84.06</v>
      </c>
      <c r="C5200">
        <f t="shared" si="182"/>
        <v>-1.3068789354876967E-3</v>
      </c>
      <c r="D5200">
        <f t="shared" si="181"/>
        <v>-0.17090946829323478</v>
      </c>
    </row>
    <row r="5201" spans="1:4">
      <c r="A5201" s="1">
        <v>25855</v>
      </c>
      <c r="B5201">
        <v>84.19</v>
      </c>
      <c r="C5201">
        <f t="shared" si="182"/>
        <v>1.5465143944800792E-3</v>
      </c>
      <c r="D5201">
        <f t="shared" si="181"/>
        <v>0.13040789743584372</v>
      </c>
    </row>
    <row r="5202" spans="1:4">
      <c r="A5202" s="1">
        <v>25856</v>
      </c>
      <c r="B5202">
        <v>84.65</v>
      </c>
      <c r="C5202">
        <f t="shared" si="182"/>
        <v>5.4638318090035392E-3</v>
      </c>
      <c r="D5202">
        <f t="shared" si="181"/>
        <v>0.54407528484863465</v>
      </c>
    </row>
    <row r="5203" spans="1:4">
      <c r="A5203" s="1">
        <v>25857</v>
      </c>
      <c r="B5203">
        <v>84.28</v>
      </c>
      <c r="C5203">
        <f t="shared" si="182"/>
        <v>-4.3709391612522684E-3</v>
      </c>
      <c r="D5203">
        <f t="shared" si="181"/>
        <v>-0.49447318660929779</v>
      </c>
    </row>
    <row r="5204" spans="1:4">
      <c r="A5204" s="1">
        <v>25860</v>
      </c>
      <c r="B5204">
        <v>83.15</v>
      </c>
      <c r="C5204">
        <f t="shared" si="182"/>
        <v>-1.3407688656858038E-2</v>
      </c>
      <c r="D5204">
        <f t="shared" si="181"/>
        <v>-1.4487508616048652</v>
      </c>
    </row>
    <row r="5205" spans="1:4">
      <c r="A5205" s="1">
        <v>25861</v>
      </c>
      <c r="B5205">
        <v>83.64</v>
      </c>
      <c r="C5205">
        <f t="shared" si="182"/>
        <v>5.8929645219482239E-3</v>
      </c>
      <c r="D5205">
        <f t="shared" si="181"/>
        <v>0.58939155346629679</v>
      </c>
    </row>
    <row r="5206" spans="1:4">
      <c r="A5206" s="1">
        <v>25862</v>
      </c>
      <c r="B5206">
        <v>83.66</v>
      </c>
      <c r="C5206">
        <f t="shared" si="182"/>
        <v>2.3912003825915854E-4</v>
      </c>
      <c r="D5206">
        <f t="shared" si="181"/>
        <v>-7.6525021761512935E-3</v>
      </c>
    </row>
    <row r="5207" spans="1:4">
      <c r="A5207" s="1">
        <v>25863</v>
      </c>
      <c r="B5207">
        <v>83.38</v>
      </c>
      <c r="C5207">
        <f t="shared" si="182"/>
        <v>-3.3468802295003723E-3</v>
      </c>
      <c r="D5207">
        <f t="shared" si="181"/>
        <v>-0.38633291151084143</v>
      </c>
    </row>
    <row r="5208" spans="1:4">
      <c r="A5208" s="1">
        <v>25864</v>
      </c>
      <c r="B5208">
        <v>83.77</v>
      </c>
      <c r="C5208">
        <f t="shared" si="182"/>
        <v>4.6773806668265845E-3</v>
      </c>
      <c r="D5208">
        <f t="shared" si="181"/>
        <v>0.46102631156248025</v>
      </c>
    </row>
    <row r="5209" spans="1:4">
      <c r="A5209" s="1">
        <v>25867</v>
      </c>
      <c r="B5209">
        <v>83.31</v>
      </c>
      <c r="C5209">
        <f t="shared" si="182"/>
        <v>-5.4912259758862813E-3</v>
      </c>
      <c r="D5209">
        <f t="shared" si="181"/>
        <v>-0.61277509343065895</v>
      </c>
    </row>
    <row r="5210" spans="1:4">
      <c r="A5210" s="1">
        <v>25868</v>
      </c>
      <c r="B5210">
        <v>83.12</v>
      </c>
      <c r="C5210">
        <f t="shared" si="182"/>
        <v>-2.2806385788020373E-3</v>
      </c>
      <c r="D5210">
        <f t="shared" si="181"/>
        <v>-0.27373815563024406</v>
      </c>
    </row>
    <row r="5211" spans="1:4">
      <c r="A5211" s="1">
        <v>25869</v>
      </c>
      <c r="B5211">
        <v>83.43</v>
      </c>
      <c r="C5211">
        <f t="shared" si="182"/>
        <v>3.7295476419634535E-3</v>
      </c>
      <c r="D5211">
        <f t="shared" si="181"/>
        <v>0.36093546632103291</v>
      </c>
    </row>
    <row r="5212" spans="1:4">
      <c r="A5212" s="1">
        <v>25870</v>
      </c>
      <c r="B5212">
        <v>83.36</v>
      </c>
      <c r="C5212">
        <f t="shared" si="182"/>
        <v>-8.3902672899445507E-4</v>
      </c>
      <c r="D5212">
        <f t="shared" si="181"/>
        <v>-0.12150443431824036</v>
      </c>
    </row>
    <row r="5213" spans="1:4">
      <c r="A5213" s="1">
        <v>25871</v>
      </c>
      <c r="B5213">
        <v>83.25</v>
      </c>
      <c r="C5213">
        <f t="shared" si="182"/>
        <v>-1.3195777351247533E-3</v>
      </c>
      <c r="D5213">
        <f t="shared" si="181"/>
        <v>-0.17225045721837623</v>
      </c>
    </row>
    <row r="5214" spans="1:4">
      <c r="A5214" s="1">
        <v>25874</v>
      </c>
      <c r="B5214">
        <v>83.51</v>
      </c>
      <c r="C5214">
        <f t="shared" si="182"/>
        <v>3.1231231231231846E-3</v>
      </c>
      <c r="D5214">
        <f t="shared" si="181"/>
        <v>0.29689724326521</v>
      </c>
    </row>
    <row r="5215" spans="1:4">
      <c r="A5215" s="1">
        <v>25875</v>
      </c>
      <c r="B5215">
        <v>84.22</v>
      </c>
      <c r="C5215">
        <f t="shared" si="182"/>
        <v>8.5019758112800103E-3</v>
      </c>
      <c r="D5215">
        <f t="shared" si="181"/>
        <v>0.86490225877370663</v>
      </c>
    </row>
    <row r="5216" spans="1:4">
      <c r="A5216" s="1">
        <v>25876</v>
      </c>
      <c r="B5216">
        <v>84.39</v>
      </c>
      <c r="C5216">
        <f t="shared" si="182"/>
        <v>2.0185229161719508E-3</v>
      </c>
      <c r="D5216">
        <f t="shared" si="181"/>
        <v>0.1802518368830133</v>
      </c>
    </row>
    <row r="5217" spans="1:4">
      <c r="A5217" s="1">
        <v>25877</v>
      </c>
      <c r="B5217">
        <v>84.1</v>
      </c>
      <c r="C5217">
        <f t="shared" si="182"/>
        <v>-3.4364261168385621E-3</v>
      </c>
      <c r="D5217">
        <f t="shared" si="181"/>
        <v>-0.39578892677562827</v>
      </c>
    </row>
    <row r="5218" spans="1:4">
      <c r="A5218" s="1">
        <v>25878</v>
      </c>
      <c r="B5218">
        <v>84.22</v>
      </c>
      <c r="C5218">
        <f t="shared" si="182"/>
        <v>1.4268727705113503E-3</v>
      </c>
      <c r="D5218">
        <f t="shared" si="181"/>
        <v>0.11777378261290991</v>
      </c>
    </row>
    <row r="5219" spans="1:4">
      <c r="A5219" s="1">
        <v>25881</v>
      </c>
      <c r="B5219">
        <v>84.67</v>
      </c>
      <c r="C5219">
        <f t="shared" si="182"/>
        <v>5.3431488957492619E-3</v>
      </c>
      <c r="D5219">
        <f t="shared" si="181"/>
        <v>0.53133121023109831</v>
      </c>
    </row>
    <row r="5220" spans="1:4">
      <c r="A5220" s="1">
        <v>25882</v>
      </c>
      <c r="B5220">
        <v>84.79</v>
      </c>
      <c r="C5220">
        <f t="shared" si="182"/>
        <v>1.4172670367308909E-3</v>
      </c>
      <c r="D5220">
        <f t="shared" si="181"/>
        <v>0.11675942039084096</v>
      </c>
    </row>
    <row r="5221" spans="1:4">
      <c r="A5221" s="1">
        <v>25883</v>
      </c>
      <c r="B5221">
        <v>85.03</v>
      </c>
      <c r="C5221">
        <f t="shared" si="182"/>
        <v>2.8305224672720234E-3</v>
      </c>
      <c r="D5221">
        <f t="shared" si="181"/>
        <v>0.26599871346712284</v>
      </c>
    </row>
    <row r="5222" spans="1:4">
      <c r="A5222" s="1">
        <v>25884</v>
      </c>
      <c r="B5222">
        <v>84.15</v>
      </c>
      <c r="C5222">
        <f t="shared" si="182"/>
        <v>-1.0349288486416506E-2</v>
      </c>
      <c r="D5222">
        <f t="shared" si="181"/>
        <v>-1.125784843206969</v>
      </c>
    </row>
    <row r="5223" spans="1:4">
      <c r="A5223" s="1">
        <v>25885</v>
      </c>
      <c r="B5223">
        <v>83.37</v>
      </c>
      <c r="C5223">
        <f t="shared" si="182"/>
        <v>-9.2691622103386936E-3</v>
      </c>
      <c r="D5223">
        <f t="shared" si="181"/>
        <v>-1.0117238756059121</v>
      </c>
    </row>
    <row r="5224" spans="1:4">
      <c r="A5224" s="1">
        <v>25888</v>
      </c>
      <c r="B5224">
        <v>83.24</v>
      </c>
      <c r="C5224">
        <f t="shared" si="182"/>
        <v>-1.5593139018832871E-3</v>
      </c>
      <c r="D5224">
        <f t="shared" si="181"/>
        <v>-0.19756651493779492</v>
      </c>
    </row>
    <row r="5225" spans="1:4">
      <c r="A5225" s="1">
        <v>25889</v>
      </c>
      <c r="B5225">
        <v>83.47</v>
      </c>
      <c r="C5225">
        <f t="shared" si="182"/>
        <v>2.7630946660259972E-3</v>
      </c>
      <c r="D5225">
        <f t="shared" si="181"/>
        <v>0.25887836057536573</v>
      </c>
    </row>
    <row r="5226" spans="1:4">
      <c r="A5226" s="1">
        <v>25890</v>
      </c>
      <c r="B5226">
        <v>82.79</v>
      </c>
      <c r="C5226">
        <f t="shared" si="182"/>
        <v>-8.1466395112015401E-3</v>
      </c>
      <c r="D5226">
        <f t="shared" si="181"/>
        <v>-0.89318586014103352</v>
      </c>
    </row>
    <row r="5227" spans="1:4">
      <c r="A5227" s="1">
        <v>25891</v>
      </c>
      <c r="B5227">
        <v>82.91</v>
      </c>
      <c r="C5227">
        <f t="shared" si="182"/>
        <v>1.4494504167168779E-3</v>
      </c>
      <c r="D5227">
        <f t="shared" si="181"/>
        <v>0.1201579743776988</v>
      </c>
    </row>
    <row r="5228" spans="1:4">
      <c r="A5228" s="1">
        <v>25892</v>
      </c>
      <c r="B5228">
        <v>83.72</v>
      </c>
      <c r="C5228">
        <f t="shared" si="182"/>
        <v>9.7696297189724078E-3</v>
      </c>
      <c r="D5228">
        <f t="shared" si="181"/>
        <v>0.99876608052952442</v>
      </c>
    </row>
    <row r="5229" spans="1:4">
      <c r="A5229" s="1">
        <v>25895</v>
      </c>
      <c r="B5229">
        <v>84.24</v>
      </c>
      <c r="C5229">
        <f t="shared" si="182"/>
        <v>6.2111801242235552E-3</v>
      </c>
      <c r="D5229">
        <f t="shared" si="181"/>
        <v>0.62299501289983306</v>
      </c>
    </row>
    <row r="5230" spans="1:4">
      <c r="A5230" s="1">
        <v>25896</v>
      </c>
      <c r="B5230">
        <v>84.78</v>
      </c>
      <c r="C5230">
        <f t="shared" si="182"/>
        <v>6.4102564102564846E-3</v>
      </c>
      <c r="D5230">
        <f t="shared" si="181"/>
        <v>0.64401740103559291</v>
      </c>
    </row>
    <row r="5231" spans="1:4">
      <c r="A5231" s="1">
        <v>25897</v>
      </c>
      <c r="B5231">
        <v>85.09</v>
      </c>
      <c r="C5231">
        <f t="shared" si="182"/>
        <v>3.6565227648030461E-3</v>
      </c>
      <c r="D5231">
        <f t="shared" si="181"/>
        <v>0.3532240641152557</v>
      </c>
    </row>
    <row r="5232" spans="1:4">
      <c r="A5232" s="1">
        <v>25899</v>
      </c>
      <c r="B5232">
        <v>85.93</v>
      </c>
      <c r="C5232">
        <f t="shared" si="182"/>
        <v>9.871900340815646E-3</v>
      </c>
      <c r="D5232">
        <f t="shared" si="181"/>
        <v>1.009565823432697</v>
      </c>
    </row>
    <row r="5233" spans="1:4">
      <c r="A5233" s="1">
        <v>25902</v>
      </c>
      <c r="B5233">
        <v>87.2</v>
      </c>
      <c r="C5233">
        <f t="shared" si="182"/>
        <v>1.477947166298145E-2</v>
      </c>
      <c r="D5233">
        <f t="shared" si="181"/>
        <v>1.5278036868888616</v>
      </c>
    </row>
    <row r="5234" spans="1:4">
      <c r="A5234" s="1">
        <v>25903</v>
      </c>
      <c r="B5234">
        <v>87.47</v>
      </c>
      <c r="C5234">
        <f t="shared" si="182"/>
        <v>3.096330275229312E-3</v>
      </c>
      <c r="D5234">
        <f t="shared" si="181"/>
        <v>0.29406792763494854</v>
      </c>
    </row>
    <row r="5235" spans="1:4">
      <c r="A5235" s="1">
        <v>25904</v>
      </c>
      <c r="B5235">
        <v>88.48</v>
      </c>
      <c r="C5235">
        <f t="shared" si="182"/>
        <v>1.1546816051217618E-2</v>
      </c>
      <c r="D5235">
        <f t="shared" si="181"/>
        <v>1.1864363531196329</v>
      </c>
    </row>
    <row r="5236" spans="1:4">
      <c r="A5236" s="1">
        <v>25905</v>
      </c>
      <c r="B5236">
        <v>88.9</v>
      </c>
      <c r="C5236">
        <f t="shared" si="182"/>
        <v>4.7468354430379939E-3</v>
      </c>
      <c r="D5236">
        <f t="shared" si="181"/>
        <v>0.46836071232157955</v>
      </c>
    </row>
    <row r="5237" spans="1:4">
      <c r="A5237" s="1">
        <v>25906</v>
      </c>
      <c r="B5237">
        <v>89.46</v>
      </c>
      <c r="C5237">
        <f t="shared" si="182"/>
        <v>6.2992125984250623E-3</v>
      </c>
      <c r="D5237">
        <f t="shared" si="181"/>
        <v>0.63229121225182028</v>
      </c>
    </row>
    <row r="5238" spans="1:4">
      <c r="A5238" s="1">
        <v>25909</v>
      </c>
      <c r="B5238">
        <v>89.94</v>
      </c>
      <c r="C5238">
        <f t="shared" si="182"/>
        <v>5.3655264922871006E-3</v>
      </c>
      <c r="D5238">
        <f t="shared" si="181"/>
        <v>0.53369427681897952</v>
      </c>
    </row>
    <row r="5239" spans="1:4">
      <c r="A5239" s="1">
        <v>25910</v>
      </c>
      <c r="B5239">
        <v>89.47</v>
      </c>
      <c r="C5239">
        <f t="shared" si="182"/>
        <v>-5.2257060262397032E-3</v>
      </c>
      <c r="D5239">
        <f t="shared" si="181"/>
        <v>-0.58473627700259645</v>
      </c>
    </row>
    <row r="5240" spans="1:4">
      <c r="A5240" s="1">
        <v>25911</v>
      </c>
      <c r="B5240">
        <v>89.54</v>
      </c>
      <c r="C5240">
        <f t="shared" si="182"/>
        <v>7.8238515703596054E-4</v>
      </c>
      <c r="D5240">
        <f t="shared" si="181"/>
        <v>4.9716109701892726E-2</v>
      </c>
    </row>
    <row r="5241" spans="1:4">
      <c r="A5241" s="1">
        <v>25912</v>
      </c>
      <c r="B5241">
        <v>89.92</v>
      </c>
      <c r="C5241">
        <f t="shared" si="182"/>
        <v>4.2439133348223749E-3</v>
      </c>
      <c r="D5241">
        <f t="shared" si="181"/>
        <v>0.41525230864554086</v>
      </c>
    </row>
    <row r="5242" spans="1:4">
      <c r="A5242" s="1">
        <v>25913</v>
      </c>
      <c r="B5242">
        <v>90.26</v>
      </c>
      <c r="C5242">
        <f t="shared" si="182"/>
        <v>3.7811387900356249E-3</v>
      </c>
      <c r="D5242">
        <f t="shared" si="181"/>
        <v>0.36638347402077093</v>
      </c>
    </row>
    <row r="5243" spans="1:4">
      <c r="A5243" s="1">
        <v>25916</v>
      </c>
      <c r="B5243">
        <v>89.8</v>
      </c>
      <c r="C5243">
        <f t="shared" si="182"/>
        <v>-5.0963882118325718E-3</v>
      </c>
      <c r="D5243">
        <f t="shared" si="181"/>
        <v>-0.57108035975846427</v>
      </c>
    </row>
    <row r="5244" spans="1:4">
      <c r="A5244" s="1">
        <v>25917</v>
      </c>
      <c r="B5244">
        <v>89.66</v>
      </c>
      <c r="C5244">
        <f t="shared" si="182"/>
        <v>-1.5590200445434362E-3</v>
      </c>
      <c r="D5244">
        <f t="shared" si="181"/>
        <v>-0.19753548370259361</v>
      </c>
    </row>
    <row r="5245" spans="1:4">
      <c r="A5245" s="1">
        <v>25918</v>
      </c>
      <c r="B5245">
        <v>89.72</v>
      </c>
      <c r="C5245">
        <f t="shared" si="182"/>
        <v>6.6919473566810479E-4</v>
      </c>
      <c r="D5245">
        <f t="shared" si="181"/>
        <v>3.7763239680740801E-2</v>
      </c>
    </row>
    <row r="5246" spans="1:4">
      <c r="A5246" s="1">
        <v>25919</v>
      </c>
      <c r="B5246">
        <v>90.04</v>
      </c>
      <c r="C5246">
        <f t="shared" si="182"/>
        <v>3.5666518056175589E-3</v>
      </c>
      <c r="D5246">
        <f t="shared" si="181"/>
        <v>0.34373372137389158</v>
      </c>
    </row>
    <row r="5247" spans="1:4">
      <c r="A5247" s="1">
        <v>25920</v>
      </c>
      <c r="B5247">
        <v>90.22</v>
      </c>
      <c r="C5247">
        <f t="shared" si="182"/>
        <v>1.9991115059972524E-3</v>
      </c>
      <c r="D5247">
        <f t="shared" si="181"/>
        <v>0.17820199856682406</v>
      </c>
    </row>
    <row r="5248" spans="1:4">
      <c r="A5248" s="1">
        <v>25923</v>
      </c>
      <c r="B5248">
        <v>89.94</v>
      </c>
      <c r="C5248">
        <f t="shared" si="182"/>
        <v>-3.1035247173575829E-3</v>
      </c>
      <c r="D5248">
        <f t="shared" si="181"/>
        <v>-0.36063465214912066</v>
      </c>
    </row>
    <row r="5249" spans="1:4">
      <c r="A5249" s="1">
        <v>25924</v>
      </c>
      <c r="B5249">
        <v>90.04</v>
      </c>
      <c r="C5249">
        <f t="shared" si="182"/>
        <v>1.1118523460085449E-3</v>
      </c>
      <c r="D5249">
        <f t="shared" si="181"/>
        <v>8.4507732866058727E-2</v>
      </c>
    </row>
    <row r="5250" spans="1:4">
      <c r="A5250" s="1">
        <v>25925</v>
      </c>
      <c r="B5250">
        <v>90.1</v>
      </c>
      <c r="C5250">
        <f t="shared" si="182"/>
        <v>6.6637050199897885E-4</v>
      </c>
      <c r="D5250">
        <f t="shared" si="181"/>
        <v>3.7465001565284768E-2</v>
      </c>
    </row>
    <row r="5251" spans="1:4">
      <c r="A5251" s="1">
        <v>25926</v>
      </c>
      <c r="B5251">
        <v>90.61</v>
      </c>
      <c r="C5251">
        <f t="shared" si="182"/>
        <v>5.6603773584906229E-3</v>
      </c>
      <c r="D5251">
        <f t="shared" ref="D5251:D5314" si="183">(C5251-avg)/sd</f>
        <v>0.5648304280653923</v>
      </c>
    </row>
    <row r="5252" spans="1:4">
      <c r="A5252" s="1">
        <v>25930</v>
      </c>
      <c r="B5252">
        <v>91.09</v>
      </c>
      <c r="C5252">
        <f t="shared" ref="C5252:C5315" si="184">(B5252-B5251)/B5251</f>
        <v>5.2974285398963029E-3</v>
      </c>
      <c r="D5252">
        <f t="shared" si="183"/>
        <v>0.52650315619412991</v>
      </c>
    </row>
    <row r="5253" spans="1:4">
      <c r="A5253" s="1">
        <v>25931</v>
      </c>
      <c r="B5253">
        <v>92.08</v>
      </c>
      <c r="C5253">
        <f t="shared" si="184"/>
        <v>1.0868371939839663E-2</v>
      </c>
      <c r="D5253">
        <f t="shared" si="183"/>
        <v>1.1147928855724791</v>
      </c>
    </row>
    <row r="5254" spans="1:4">
      <c r="A5254" s="1">
        <v>25932</v>
      </c>
      <c r="B5254">
        <v>92.27</v>
      </c>
      <c r="C5254">
        <f t="shared" si="184"/>
        <v>2.063423110338811E-3</v>
      </c>
      <c r="D5254">
        <f t="shared" si="183"/>
        <v>0.18499328212471619</v>
      </c>
    </row>
    <row r="5255" spans="1:4">
      <c r="A5255" s="1">
        <v>25933</v>
      </c>
      <c r="B5255">
        <v>92.15</v>
      </c>
      <c r="C5255">
        <f t="shared" si="184"/>
        <v>-1.3005310501787183E-3</v>
      </c>
      <c r="D5255">
        <f t="shared" si="183"/>
        <v>-0.17023913376235772</v>
      </c>
    </row>
    <row r="5256" spans="1:4">
      <c r="A5256" s="1">
        <v>25937</v>
      </c>
      <c r="B5256">
        <v>91.15</v>
      </c>
      <c r="C5256">
        <f t="shared" si="184"/>
        <v>-1.0851871947911014E-2</v>
      </c>
      <c r="D5256">
        <f t="shared" si="183"/>
        <v>-1.1788574859043699</v>
      </c>
    </row>
    <row r="5257" spans="1:4">
      <c r="A5257" s="1">
        <v>25938</v>
      </c>
      <c r="B5257">
        <v>91.8</v>
      </c>
      <c r="C5257">
        <f t="shared" si="184"/>
        <v>7.1311025781677613E-3</v>
      </c>
      <c r="D5257">
        <f t="shared" si="183"/>
        <v>0.7201385113395059</v>
      </c>
    </row>
    <row r="5258" spans="1:4">
      <c r="A5258" s="1">
        <v>25939</v>
      </c>
      <c r="B5258">
        <v>92.35</v>
      </c>
      <c r="C5258">
        <f t="shared" si="184"/>
        <v>5.9912854030500784E-3</v>
      </c>
      <c r="D5258">
        <f t="shared" si="183"/>
        <v>0.59977420508976131</v>
      </c>
    </row>
    <row r="5259" spans="1:4">
      <c r="A5259" s="1">
        <v>25940</v>
      </c>
      <c r="B5259">
        <v>92.38</v>
      </c>
      <c r="C5259">
        <f t="shared" si="184"/>
        <v>3.248511099079712E-4</v>
      </c>
      <c r="D5259">
        <f t="shared" si="183"/>
        <v>1.4006698485561624E-3</v>
      </c>
    </row>
    <row r="5260" spans="1:4">
      <c r="A5260" s="1">
        <v>25941</v>
      </c>
      <c r="B5260">
        <v>92.19</v>
      </c>
      <c r="C5260">
        <f t="shared" si="184"/>
        <v>-2.0567222342498131E-3</v>
      </c>
      <c r="D5260">
        <f t="shared" si="183"/>
        <v>-0.25009266575839284</v>
      </c>
    </row>
    <row r="5261" spans="1:4">
      <c r="A5261" s="1">
        <v>25944</v>
      </c>
      <c r="B5261">
        <v>91.98</v>
      </c>
      <c r="C5261">
        <f t="shared" si="184"/>
        <v>-2.2779043280181555E-3</v>
      </c>
      <c r="D5261">
        <f t="shared" si="183"/>
        <v>-0.27344941967688313</v>
      </c>
    </row>
    <row r="5262" spans="1:4">
      <c r="A5262" s="1">
        <v>25945</v>
      </c>
      <c r="B5262">
        <v>92.72</v>
      </c>
      <c r="C5262">
        <f t="shared" si="184"/>
        <v>8.0452272233093591E-3</v>
      </c>
      <c r="D5262">
        <f t="shared" si="183"/>
        <v>0.81666976314039441</v>
      </c>
    </row>
    <row r="5263" spans="1:4">
      <c r="A5263" s="1">
        <v>25946</v>
      </c>
      <c r="B5263">
        <v>92.56</v>
      </c>
      <c r="C5263">
        <f t="shared" si="184"/>
        <v>-1.7256255392579442E-3</v>
      </c>
      <c r="D5263">
        <f t="shared" si="183"/>
        <v>-0.21512896731248643</v>
      </c>
    </row>
    <row r="5264" spans="1:4">
      <c r="A5264" s="1">
        <v>25947</v>
      </c>
      <c r="B5264">
        <v>92.8</v>
      </c>
      <c r="C5264">
        <f t="shared" si="184"/>
        <v>2.5929127052722006E-3</v>
      </c>
      <c r="D5264">
        <f t="shared" si="183"/>
        <v>0.24090720336742391</v>
      </c>
    </row>
    <row r="5265" spans="1:4">
      <c r="A5265" s="1">
        <v>25948</v>
      </c>
      <c r="B5265">
        <v>93.03</v>
      </c>
      <c r="C5265">
        <f t="shared" si="184"/>
        <v>2.4784482758621121E-3</v>
      </c>
      <c r="D5265">
        <f t="shared" si="183"/>
        <v>0.22881979853006859</v>
      </c>
    </row>
    <row r="5266" spans="1:4">
      <c r="A5266" s="1">
        <v>25951</v>
      </c>
      <c r="B5266">
        <v>93.41</v>
      </c>
      <c r="C5266">
        <f t="shared" si="184"/>
        <v>4.0847038589701757E-3</v>
      </c>
      <c r="D5266">
        <f t="shared" si="183"/>
        <v>0.39843984211347899</v>
      </c>
    </row>
    <row r="5267" spans="1:4">
      <c r="A5267" s="1">
        <v>25952</v>
      </c>
      <c r="B5267">
        <v>93.76</v>
      </c>
      <c r="C5267">
        <f t="shared" si="184"/>
        <v>3.7469221710738523E-3</v>
      </c>
      <c r="D5267">
        <f t="shared" si="183"/>
        <v>0.36277021068920162</v>
      </c>
    </row>
    <row r="5268" spans="1:4">
      <c r="A5268" s="1">
        <v>25953</v>
      </c>
      <c r="B5268">
        <v>93.78</v>
      </c>
      <c r="C5268">
        <f t="shared" si="184"/>
        <v>2.1331058020473571E-4</v>
      </c>
      <c r="D5268">
        <f t="shared" si="183"/>
        <v>-1.037797217363729E-2</v>
      </c>
    </row>
    <row r="5269" spans="1:4">
      <c r="A5269" s="1">
        <v>25954</v>
      </c>
      <c r="B5269">
        <v>94.19</v>
      </c>
      <c r="C5269">
        <f t="shared" si="184"/>
        <v>4.3719343143527037E-3</v>
      </c>
      <c r="D5269">
        <f t="shared" si="183"/>
        <v>0.4287712805674983</v>
      </c>
    </row>
    <row r="5270" spans="1:4">
      <c r="A5270" s="1">
        <v>25955</v>
      </c>
      <c r="B5270">
        <v>94.88</v>
      </c>
      <c r="C5270">
        <f t="shared" si="184"/>
        <v>7.3256184308312742E-3</v>
      </c>
      <c r="D5270">
        <f t="shared" si="183"/>
        <v>0.740679319261622</v>
      </c>
    </row>
    <row r="5271" spans="1:4">
      <c r="A5271" s="1">
        <v>25958</v>
      </c>
      <c r="B5271">
        <v>95.28</v>
      </c>
      <c r="C5271">
        <f t="shared" si="184"/>
        <v>4.2158516020236693E-3</v>
      </c>
      <c r="D5271">
        <f t="shared" si="183"/>
        <v>0.41228899920064405</v>
      </c>
    </row>
    <row r="5272" spans="1:4">
      <c r="A5272" s="1">
        <v>25959</v>
      </c>
      <c r="B5272">
        <v>95.59</v>
      </c>
      <c r="C5272">
        <f t="shared" si="184"/>
        <v>3.2535684298908717E-3</v>
      </c>
      <c r="D5272">
        <f t="shared" si="183"/>
        <v>0.31067222331936362</v>
      </c>
    </row>
    <row r="5273" spans="1:4">
      <c r="A5273" s="1">
        <v>25960</v>
      </c>
      <c r="B5273">
        <v>94.89</v>
      </c>
      <c r="C5273">
        <f t="shared" si="184"/>
        <v>-7.3229417303065465E-3</v>
      </c>
      <c r="D5273">
        <f t="shared" si="183"/>
        <v>-0.80620365446700193</v>
      </c>
    </row>
    <row r="5274" spans="1:4">
      <c r="A5274" s="1">
        <v>25961</v>
      </c>
      <c r="B5274">
        <v>95.21</v>
      </c>
      <c r="C5274">
        <f t="shared" si="184"/>
        <v>3.3723258509852794E-3</v>
      </c>
      <c r="D5274">
        <f t="shared" si="183"/>
        <v>0.32321296661932425</v>
      </c>
    </row>
    <row r="5275" spans="1:4">
      <c r="A5275" s="1">
        <v>25962</v>
      </c>
      <c r="B5275">
        <v>95.88</v>
      </c>
      <c r="C5275">
        <f t="shared" si="184"/>
        <v>7.0370759374015516E-3</v>
      </c>
      <c r="D5275">
        <f t="shared" si="183"/>
        <v>0.71020933003580233</v>
      </c>
    </row>
    <row r="5276" spans="1:4">
      <c r="A5276" s="1">
        <v>25965</v>
      </c>
      <c r="B5276">
        <v>96.42</v>
      </c>
      <c r="C5276">
        <f t="shared" si="184"/>
        <v>5.6320400500626438E-3</v>
      </c>
      <c r="D5276">
        <f t="shared" si="183"/>
        <v>0.56183801792771693</v>
      </c>
    </row>
    <row r="5277" spans="1:4">
      <c r="A5277" s="1">
        <v>25966</v>
      </c>
      <c r="B5277">
        <v>96.43</v>
      </c>
      <c r="C5277">
        <f t="shared" si="184"/>
        <v>1.0371292263021278E-4</v>
      </c>
      <c r="D5277">
        <f t="shared" si="183"/>
        <v>-2.1951447559453021E-2</v>
      </c>
    </row>
    <row r="5278" spans="1:4">
      <c r="A5278" s="1">
        <v>25967</v>
      </c>
      <c r="B5278">
        <v>96.63</v>
      </c>
      <c r="C5278">
        <f t="shared" si="184"/>
        <v>2.0740433475058447E-3</v>
      </c>
      <c r="D5278">
        <f t="shared" si="183"/>
        <v>0.18611477555956094</v>
      </c>
    </row>
    <row r="5279" spans="1:4">
      <c r="A5279" s="1">
        <v>25968</v>
      </c>
      <c r="B5279">
        <v>96.62</v>
      </c>
      <c r="C5279">
        <f t="shared" si="184"/>
        <v>-1.0348752975257069E-4</v>
      </c>
      <c r="D5279">
        <f t="shared" si="183"/>
        <v>-4.3831744900219127E-2</v>
      </c>
    </row>
    <row r="5280" spans="1:4">
      <c r="A5280" s="1">
        <v>25969</v>
      </c>
      <c r="B5280">
        <v>96.93</v>
      </c>
      <c r="C5280">
        <f t="shared" si="184"/>
        <v>3.2084454564272639E-3</v>
      </c>
      <c r="D5280">
        <f t="shared" si="183"/>
        <v>0.30590725265965052</v>
      </c>
    </row>
    <row r="5281" spans="1:4">
      <c r="A5281" s="1">
        <v>25972</v>
      </c>
      <c r="B5281">
        <v>97.45</v>
      </c>
      <c r="C5281">
        <f t="shared" si="184"/>
        <v>5.3646961724955738E-3</v>
      </c>
      <c r="D5281">
        <f t="shared" si="183"/>
        <v>0.53360659533123367</v>
      </c>
    </row>
    <row r="5282" spans="1:4">
      <c r="A5282" s="1">
        <v>25973</v>
      </c>
      <c r="B5282">
        <v>97.51</v>
      </c>
      <c r="C5282">
        <f t="shared" si="184"/>
        <v>6.1570035915856612E-4</v>
      </c>
      <c r="D5282">
        <f t="shared" si="183"/>
        <v>3.211425170495559E-2</v>
      </c>
    </row>
    <row r="5283" spans="1:4">
      <c r="A5283" s="1">
        <v>25974</v>
      </c>
      <c r="B5283">
        <v>97.39</v>
      </c>
      <c r="C5283">
        <f t="shared" si="184"/>
        <v>-1.23064301097328E-3</v>
      </c>
      <c r="D5283">
        <f t="shared" si="183"/>
        <v>-0.16285898057836221</v>
      </c>
    </row>
    <row r="5284" spans="1:4">
      <c r="A5284" s="1">
        <v>25975</v>
      </c>
      <c r="B5284">
        <v>97.91</v>
      </c>
      <c r="C5284">
        <f t="shared" si="184"/>
        <v>5.3393572235342027E-3</v>
      </c>
      <c r="D5284">
        <f t="shared" si="183"/>
        <v>0.53093081093404015</v>
      </c>
    </row>
    <row r="5285" spans="1:4">
      <c r="A5285" s="1">
        <v>25976</v>
      </c>
      <c r="B5285">
        <v>98.43</v>
      </c>
      <c r="C5285">
        <f t="shared" si="184"/>
        <v>5.3109998978654914E-3</v>
      </c>
      <c r="D5285">
        <f t="shared" si="183"/>
        <v>0.52793628698254758</v>
      </c>
    </row>
    <row r="5286" spans="1:4">
      <c r="A5286" s="1">
        <v>25980</v>
      </c>
      <c r="B5286">
        <v>98.66</v>
      </c>
      <c r="C5286">
        <f t="shared" si="184"/>
        <v>2.3366859697245734E-3</v>
      </c>
      <c r="D5286">
        <f t="shared" si="183"/>
        <v>0.21384974718929367</v>
      </c>
    </row>
    <row r="5287" spans="1:4">
      <c r="A5287" s="1">
        <v>25981</v>
      </c>
      <c r="B5287">
        <v>98.2</v>
      </c>
      <c r="C5287">
        <f t="shared" si="184"/>
        <v>-4.6624771944049643E-3</v>
      </c>
      <c r="D5287">
        <f t="shared" si="183"/>
        <v>-0.52525950381163</v>
      </c>
    </row>
    <row r="5288" spans="1:4">
      <c r="A5288" s="1">
        <v>25982</v>
      </c>
      <c r="B5288">
        <v>97.56</v>
      </c>
      <c r="C5288">
        <f t="shared" si="184"/>
        <v>-6.5173116089613089E-3</v>
      </c>
      <c r="D5288">
        <f t="shared" si="183"/>
        <v>-0.72112938749992861</v>
      </c>
    </row>
    <row r="5289" spans="1:4">
      <c r="A5289" s="1">
        <v>25983</v>
      </c>
      <c r="B5289">
        <v>96.74</v>
      </c>
      <c r="C5289">
        <f t="shared" si="184"/>
        <v>-8.4050840508405836E-3</v>
      </c>
      <c r="D5289">
        <f t="shared" si="183"/>
        <v>-0.92047751567734915</v>
      </c>
    </row>
    <row r="5290" spans="1:4">
      <c r="A5290" s="1">
        <v>25986</v>
      </c>
      <c r="B5290">
        <v>95.72</v>
      </c>
      <c r="C5290">
        <f t="shared" si="184"/>
        <v>-1.0543725449658838E-2</v>
      </c>
      <c r="D5290">
        <f t="shared" si="183"/>
        <v>-1.1463173204330241</v>
      </c>
    </row>
    <row r="5291" spans="1:4">
      <c r="A5291" s="1">
        <v>25987</v>
      </c>
      <c r="B5291">
        <v>96.09</v>
      </c>
      <c r="C5291">
        <f t="shared" si="184"/>
        <v>3.8654408692018862E-3</v>
      </c>
      <c r="D5291">
        <f t="shared" si="183"/>
        <v>0.37528574492505912</v>
      </c>
    </row>
    <row r="5292" spans="1:4">
      <c r="A5292" s="1">
        <v>25988</v>
      </c>
      <c r="B5292">
        <v>96.73</v>
      </c>
      <c r="C5292">
        <f t="shared" si="184"/>
        <v>6.6604225205536532E-3</v>
      </c>
      <c r="D5292">
        <f t="shared" si="183"/>
        <v>0.67043485724738128</v>
      </c>
    </row>
    <row r="5293" spans="1:4">
      <c r="A5293" s="1">
        <v>25989</v>
      </c>
      <c r="B5293">
        <v>96.96</v>
      </c>
      <c r="C5293">
        <f t="shared" si="184"/>
        <v>2.3777525069780809E-3</v>
      </c>
      <c r="D5293">
        <f t="shared" si="183"/>
        <v>0.21818635956406982</v>
      </c>
    </row>
    <row r="5294" spans="1:4">
      <c r="A5294" s="1">
        <v>25990</v>
      </c>
      <c r="B5294">
        <v>96.75</v>
      </c>
      <c r="C5294">
        <f t="shared" si="184"/>
        <v>-2.1658415841583514E-3</v>
      </c>
      <c r="D5294">
        <f t="shared" si="183"/>
        <v>-0.26161563201726529</v>
      </c>
    </row>
    <row r="5295" spans="1:4">
      <c r="A5295" s="1">
        <v>25993</v>
      </c>
      <c r="B5295">
        <v>97</v>
      </c>
      <c r="C5295">
        <f t="shared" si="184"/>
        <v>2.5839793281653748E-3</v>
      </c>
      <c r="D5295">
        <f t="shared" si="183"/>
        <v>0.23996384178154553</v>
      </c>
    </row>
    <row r="5296" spans="1:4">
      <c r="A5296" s="1">
        <v>25994</v>
      </c>
      <c r="B5296">
        <v>96.98</v>
      </c>
      <c r="C5296">
        <f t="shared" si="184"/>
        <v>-2.0618556701026825E-4</v>
      </c>
      <c r="D5296">
        <f t="shared" si="183"/>
        <v>-5.4676622725872995E-2</v>
      </c>
    </row>
    <row r="5297" spans="1:4">
      <c r="A5297" s="1">
        <v>25995</v>
      </c>
      <c r="B5297">
        <v>96.95</v>
      </c>
      <c r="C5297">
        <f t="shared" si="184"/>
        <v>-3.0934213239844436E-4</v>
      </c>
      <c r="D5297">
        <f t="shared" si="183"/>
        <v>-6.5569920966244116E-2</v>
      </c>
    </row>
    <row r="5298" spans="1:4">
      <c r="A5298" s="1">
        <v>25996</v>
      </c>
      <c r="B5298">
        <v>97.92</v>
      </c>
      <c r="C5298">
        <f t="shared" si="184"/>
        <v>1.0005157297576058E-2</v>
      </c>
      <c r="D5298">
        <f t="shared" si="183"/>
        <v>1.023637712770356</v>
      </c>
    </row>
    <row r="5299" spans="1:4">
      <c r="A5299" s="1">
        <v>25997</v>
      </c>
      <c r="B5299">
        <v>98.96</v>
      </c>
      <c r="C5299">
        <f t="shared" si="184"/>
        <v>1.0620915032679657E-2</v>
      </c>
      <c r="D5299">
        <f t="shared" si="183"/>
        <v>1.0886615202910723</v>
      </c>
    </row>
    <row r="5300" spans="1:4">
      <c r="A5300" s="1">
        <v>26000</v>
      </c>
      <c r="B5300">
        <v>99.38</v>
      </c>
      <c r="C5300">
        <f t="shared" si="184"/>
        <v>4.2441390460792412E-3</v>
      </c>
      <c r="D5300">
        <f t="shared" si="183"/>
        <v>0.41527614367754295</v>
      </c>
    </row>
    <row r="5301" spans="1:4">
      <c r="A5301" s="1">
        <v>26001</v>
      </c>
      <c r="B5301">
        <v>99.46</v>
      </c>
      <c r="C5301">
        <f t="shared" si="184"/>
        <v>8.0499094385186451E-4</v>
      </c>
      <c r="D5301">
        <f t="shared" si="183"/>
        <v>5.2103273105571904E-2</v>
      </c>
    </row>
    <row r="5302" spans="1:4">
      <c r="A5302" s="1">
        <v>26002</v>
      </c>
      <c r="B5302">
        <v>99.3</v>
      </c>
      <c r="C5302">
        <f t="shared" si="184"/>
        <v>-1.6086869093102413E-3</v>
      </c>
      <c r="D5302">
        <f t="shared" si="183"/>
        <v>-0.20278028773938062</v>
      </c>
    </row>
    <row r="5303" spans="1:4">
      <c r="A5303" s="1">
        <v>26003</v>
      </c>
      <c r="B5303">
        <v>99.39</v>
      </c>
      <c r="C5303">
        <f t="shared" si="184"/>
        <v>9.063444108761673E-4</v>
      </c>
      <c r="D5303">
        <f t="shared" si="183"/>
        <v>6.2806164771620904E-2</v>
      </c>
    </row>
    <row r="5304" spans="1:4">
      <c r="A5304" s="1">
        <v>26004</v>
      </c>
      <c r="B5304">
        <v>99.57</v>
      </c>
      <c r="C5304">
        <f t="shared" si="184"/>
        <v>1.811047389073273E-3</v>
      </c>
      <c r="D5304">
        <f t="shared" si="183"/>
        <v>0.15834249174575118</v>
      </c>
    </row>
    <row r="5305" spans="1:4">
      <c r="A5305" s="1">
        <v>26007</v>
      </c>
      <c r="B5305">
        <v>100.71</v>
      </c>
      <c r="C5305">
        <f t="shared" si="184"/>
        <v>1.1449231696294072E-2</v>
      </c>
      <c r="D5305">
        <f t="shared" si="183"/>
        <v>1.1761314784102403</v>
      </c>
    </row>
    <row r="5306" spans="1:4">
      <c r="A5306" s="1">
        <v>26008</v>
      </c>
      <c r="B5306">
        <v>101.21</v>
      </c>
      <c r="C5306">
        <f t="shared" si="184"/>
        <v>4.964750273061265E-3</v>
      </c>
      <c r="D5306">
        <f t="shared" si="183"/>
        <v>0.49137244429918725</v>
      </c>
    </row>
    <row r="5307" spans="1:4">
      <c r="A5307" s="1">
        <v>26009</v>
      </c>
      <c r="B5307">
        <v>101.12</v>
      </c>
      <c r="C5307">
        <f t="shared" si="184"/>
        <v>-8.8924019365664662E-4</v>
      </c>
      <c r="D5307">
        <f t="shared" si="183"/>
        <v>-0.12680695911818182</v>
      </c>
    </row>
    <row r="5308" spans="1:4">
      <c r="A5308" s="1">
        <v>26010</v>
      </c>
      <c r="B5308">
        <v>101.19</v>
      </c>
      <c r="C5308">
        <f t="shared" si="184"/>
        <v>6.9224683544297054E-4</v>
      </c>
      <c r="D5308">
        <f t="shared" si="183"/>
        <v>4.019753358117719E-2</v>
      </c>
    </row>
    <row r="5309" spans="1:4">
      <c r="A5309" s="1">
        <v>26011</v>
      </c>
      <c r="B5309">
        <v>101.01</v>
      </c>
      <c r="C5309">
        <f t="shared" si="184"/>
        <v>-1.7788319003853405E-3</v>
      </c>
      <c r="D5309">
        <f t="shared" si="183"/>
        <v>-0.22074754096181859</v>
      </c>
    </row>
    <row r="5310" spans="1:4">
      <c r="A5310" s="1">
        <v>26014</v>
      </c>
      <c r="B5310">
        <v>100.62</v>
      </c>
      <c r="C5310">
        <f t="shared" si="184"/>
        <v>-3.8610038610038663E-3</v>
      </c>
      <c r="D5310">
        <f t="shared" si="183"/>
        <v>-0.44062419223849703</v>
      </c>
    </row>
    <row r="5311" spans="1:4">
      <c r="A5311" s="1">
        <v>26015</v>
      </c>
      <c r="B5311">
        <v>100.28</v>
      </c>
      <c r="C5311">
        <f t="shared" si="184"/>
        <v>-3.3790498906778313E-3</v>
      </c>
      <c r="D5311">
        <f t="shared" si="183"/>
        <v>-0.38973001679618197</v>
      </c>
    </row>
    <row r="5312" spans="1:4">
      <c r="A5312" s="1">
        <v>26016</v>
      </c>
      <c r="B5312">
        <v>99.62</v>
      </c>
      <c r="C5312">
        <f t="shared" si="184"/>
        <v>-6.5815715995213063E-3</v>
      </c>
      <c r="D5312">
        <f t="shared" si="183"/>
        <v>-0.72791522066003234</v>
      </c>
    </row>
    <row r="5313" spans="1:4">
      <c r="A5313" s="1">
        <v>26017</v>
      </c>
      <c r="B5313">
        <v>99.61</v>
      </c>
      <c r="C5313">
        <f t="shared" si="184"/>
        <v>-1.0038144950818225E-4</v>
      </c>
      <c r="D5313">
        <f t="shared" si="183"/>
        <v>-4.3503743882219684E-2</v>
      </c>
    </row>
    <row r="5314" spans="1:4">
      <c r="A5314" s="1">
        <v>26018</v>
      </c>
      <c r="B5314">
        <v>99.95</v>
      </c>
      <c r="C5314">
        <f t="shared" si="184"/>
        <v>3.4133119164742837E-3</v>
      </c>
      <c r="D5314">
        <f t="shared" si="183"/>
        <v>0.32754108120312253</v>
      </c>
    </row>
    <row r="5315" spans="1:4">
      <c r="A5315" s="1">
        <v>26021</v>
      </c>
      <c r="B5315">
        <v>100.03</v>
      </c>
      <c r="C5315">
        <f t="shared" si="184"/>
        <v>8.0040020010003295E-4</v>
      </c>
      <c r="D5315">
        <f t="shared" ref="D5315:D5378" si="185">(C5315-avg)/sd</f>
        <v>5.1618492125848098E-2</v>
      </c>
    </row>
    <row r="5316" spans="1:4">
      <c r="A5316" s="1">
        <v>26022</v>
      </c>
      <c r="B5316">
        <v>100.26</v>
      </c>
      <c r="C5316">
        <f t="shared" ref="C5316:C5379" si="186">(B5316-B5315)/B5315</f>
        <v>2.2993102069379582E-3</v>
      </c>
      <c r="D5316">
        <f t="shared" si="185"/>
        <v>0.20990287934366617</v>
      </c>
    </row>
    <row r="5317" spans="1:4">
      <c r="A5317" s="1">
        <v>26023</v>
      </c>
      <c r="B5317">
        <v>100.31</v>
      </c>
      <c r="C5317">
        <f t="shared" si="186"/>
        <v>4.9870337123476122E-4</v>
      </c>
      <c r="D5317">
        <f t="shared" si="185"/>
        <v>1.9759409549410273E-2</v>
      </c>
    </row>
    <row r="5318" spans="1:4">
      <c r="A5318" s="1">
        <v>26024</v>
      </c>
      <c r="B5318">
        <v>100.39</v>
      </c>
      <c r="C5318">
        <f t="shared" si="186"/>
        <v>7.9752766424083629E-4</v>
      </c>
      <c r="D5318">
        <f t="shared" si="185"/>
        <v>5.1315153315539319E-2</v>
      </c>
    </row>
    <row r="5319" spans="1:4">
      <c r="A5319" s="1">
        <v>26025</v>
      </c>
      <c r="B5319">
        <v>100.56</v>
      </c>
      <c r="C5319">
        <f t="shared" si="186"/>
        <v>1.693395756549474E-3</v>
      </c>
      <c r="D5319">
        <f t="shared" si="185"/>
        <v>0.14591851934297101</v>
      </c>
    </row>
    <row r="5320" spans="1:4">
      <c r="A5320" s="1">
        <v>26028</v>
      </c>
      <c r="B5320">
        <v>100.79</v>
      </c>
      <c r="C5320">
        <f t="shared" si="186"/>
        <v>2.2871917263325775E-3</v>
      </c>
      <c r="D5320">
        <f t="shared" si="185"/>
        <v>0.20862317191100965</v>
      </c>
    </row>
    <row r="5321" spans="1:4">
      <c r="A5321" s="1">
        <v>26029</v>
      </c>
      <c r="B5321">
        <v>101.51</v>
      </c>
      <c r="C5321">
        <f t="shared" si="186"/>
        <v>7.1435658299434353E-3</v>
      </c>
      <c r="D5321">
        <f t="shared" si="185"/>
        <v>0.72145462649055203</v>
      </c>
    </row>
    <row r="5322" spans="1:4">
      <c r="A5322" s="1">
        <v>26030</v>
      </c>
      <c r="B5322">
        <v>101.98</v>
      </c>
      <c r="C5322">
        <f t="shared" si="186"/>
        <v>4.6300857058417773E-3</v>
      </c>
      <c r="D5322">
        <f t="shared" si="185"/>
        <v>0.45603197975882298</v>
      </c>
    </row>
    <row r="5323" spans="1:4">
      <c r="A5323" s="1">
        <v>26031</v>
      </c>
      <c r="B5323">
        <v>102.1</v>
      </c>
      <c r="C5323">
        <f t="shared" si="186"/>
        <v>1.1767013139830391E-3</v>
      </c>
      <c r="D5323">
        <f t="shared" si="185"/>
        <v>9.1355761840930069E-2</v>
      </c>
    </row>
    <row r="5324" spans="1:4">
      <c r="A5324" s="1">
        <v>26035</v>
      </c>
      <c r="B5324">
        <v>102.88</v>
      </c>
      <c r="C5324">
        <f t="shared" si="186"/>
        <v>7.6395690499510395E-3</v>
      </c>
      <c r="D5324">
        <f t="shared" si="185"/>
        <v>0.77383239792366865</v>
      </c>
    </row>
    <row r="5325" spans="1:4">
      <c r="A5325" s="1">
        <v>26036</v>
      </c>
      <c r="B5325">
        <v>102.98</v>
      </c>
      <c r="C5325">
        <f t="shared" si="186"/>
        <v>9.7200622083989626E-4</v>
      </c>
      <c r="D5325">
        <f t="shared" si="185"/>
        <v>6.9740029584257027E-2</v>
      </c>
    </row>
    <row r="5326" spans="1:4">
      <c r="A5326" s="1">
        <v>26037</v>
      </c>
      <c r="B5326">
        <v>103.37</v>
      </c>
      <c r="C5326">
        <f t="shared" si="186"/>
        <v>3.7871431345892462E-3</v>
      </c>
      <c r="D5326">
        <f t="shared" si="185"/>
        <v>0.36701753076465748</v>
      </c>
    </row>
    <row r="5327" spans="1:4">
      <c r="A5327" s="1">
        <v>26038</v>
      </c>
      <c r="B5327">
        <v>103.52</v>
      </c>
      <c r="C5327">
        <f t="shared" si="186"/>
        <v>1.4510979974846809E-3</v>
      </c>
      <c r="D5327">
        <f t="shared" si="185"/>
        <v>0.12033195834673888</v>
      </c>
    </row>
    <row r="5328" spans="1:4">
      <c r="A5328" s="1">
        <v>26039</v>
      </c>
      <c r="B5328">
        <v>103.49</v>
      </c>
      <c r="C5328">
        <f t="shared" si="186"/>
        <v>-2.8979907264297853E-4</v>
      </c>
      <c r="D5328">
        <f t="shared" si="185"/>
        <v>-6.3506180499075707E-2</v>
      </c>
    </row>
    <row r="5329" spans="1:4">
      <c r="A5329" s="1">
        <v>26042</v>
      </c>
      <c r="B5329">
        <v>104.01</v>
      </c>
      <c r="C5329">
        <f t="shared" si="186"/>
        <v>5.0246400618418228E-3</v>
      </c>
      <c r="D5329">
        <f t="shared" si="185"/>
        <v>0.4976967856368858</v>
      </c>
    </row>
    <row r="5330" spans="1:4">
      <c r="A5330" s="1">
        <v>26043</v>
      </c>
      <c r="B5330">
        <v>103.61</v>
      </c>
      <c r="C5330">
        <f t="shared" si="186"/>
        <v>-3.8457840592251288E-3</v>
      </c>
      <c r="D5330">
        <f t="shared" si="185"/>
        <v>-0.43901698634412434</v>
      </c>
    </row>
    <row r="5331" spans="1:4">
      <c r="A5331" s="1">
        <v>26044</v>
      </c>
      <c r="B5331">
        <v>103.36</v>
      </c>
      <c r="C5331">
        <f t="shared" si="186"/>
        <v>-2.4128945082520993E-3</v>
      </c>
      <c r="D5331">
        <f t="shared" si="185"/>
        <v>-0.28770433682419588</v>
      </c>
    </row>
    <row r="5332" spans="1:4">
      <c r="A5332" s="1">
        <v>26045</v>
      </c>
      <c r="B5332">
        <v>103.56</v>
      </c>
      <c r="C5332">
        <f t="shared" si="186"/>
        <v>1.9349845201238666E-3</v>
      </c>
      <c r="D5332">
        <f t="shared" si="185"/>
        <v>0.17143021065641612</v>
      </c>
    </row>
    <row r="5333" spans="1:4">
      <c r="A5333" s="1">
        <v>26046</v>
      </c>
      <c r="B5333">
        <v>104.05</v>
      </c>
      <c r="C5333">
        <f t="shared" si="186"/>
        <v>4.7315565855542184E-3</v>
      </c>
      <c r="D5333">
        <f t="shared" si="185"/>
        <v>0.46674727016482886</v>
      </c>
    </row>
    <row r="5334" spans="1:4">
      <c r="A5334" s="1">
        <v>26049</v>
      </c>
      <c r="B5334">
        <v>103.94</v>
      </c>
      <c r="C5334">
        <f t="shared" si="186"/>
        <v>-1.0571840461316619E-3</v>
      </c>
      <c r="D5334">
        <f t="shared" si="185"/>
        <v>-0.14454177285265429</v>
      </c>
    </row>
    <row r="5335" spans="1:4">
      <c r="A5335" s="1">
        <v>26050</v>
      </c>
      <c r="B5335">
        <v>104.59</v>
      </c>
      <c r="C5335">
        <f t="shared" si="186"/>
        <v>6.2536078506831416E-3</v>
      </c>
      <c r="D5335">
        <f t="shared" si="185"/>
        <v>0.62747536639208035</v>
      </c>
    </row>
    <row r="5336" spans="1:4">
      <c r="A5336" s="1">
        <v>26051</v>
      </c>
      <c r="B5336">
        <v>104.77</v>
      </c>
      <c r="C5336">
        <f t="shared" si="186"/>
        <v>1.7210058322974721E-3</v>
      </c>
      <c r="D5336">
        <f t="shared" si="185"/>
        <v>0.14883413395683887</v>
      </c>
    </row>
    <row r="5337" spans="1:4">
      <c r="A5337" s="1">
        <v>26052</v>
      </c>
      <c r="B5337">
        <v>104.63</v>
      </c>
      <c r="C5337">
        <f t="shared" si="186"/>
        <v>-1.336260379879742E-3</v>
      </c>
      <c r="D5337">
        <f t="shared" si="185"/>
        <v>-0.17401213883379654</v>
      </c>
    </row>
    <row r="5338" spans="1:4">
      <c r="A5338" s="1">
        <v>26053</v>
      </c>
      <c r="B5338">
        <v>103.95</v>
      </c>
      <c r="C5338">
        <f t="shared" si="186"/>
        <v>-6.4990920386121826E-3</v>
      </c>
      <c r="D5338">
        <f t="shared" si="185"/>
        <v>-0.71920540706419378</v>
      </c>
    </row>
    <row r="5339" spans="1:4">
      <c r="A5339" s="1">
        <v>26056</v>
      </c>
      <c r="B5339">
        <v>103.29</v>
      </c>
      <c r="C5339">
        <f t="shared" si="186"/>
        <v>-6.3492063492063162E-3</v>
      </c>
      <c r="D5339">
        <f t="shared" si="185"/>
        <v>-0.70337752921155561</v>
      </c>
    </row>
    <row r="5340" spans="1:4">
      <c r="A5340" s="1">
        <v>26057</v>
      </c>
      <c r="B5340">
        <v>103.79</v>
      </c>
      <c r="C5340">
        <f t="shared" si="186"/>
        <v>4.8407396650208146E-3</v>
      </c>
      <c r="D5340">
        <f t="shared" si="185"/>
        <v>0.47827696624336946</v>
      </c>
    </row>
    <row r="5341" spans="1:4">
      <c r="A5341" s="1">
        <v>26058</v>
      </c>
      <c r="B5341">
        <v>103.78</v>
      </c>
      <c r="C5341">
        <f t="shared" si="186"/>
        <v>-9.6348395799259232E-5</v>
      </c>
      <c r="D5341">
        <f t="shared" si="185"/>
        <v>-4.307785478145898E-2</v>
      </c>
    </row>
    <row r="5342" spans="1:4">
      <c r="A5342" s="1">
        <v>26059</v>
      </c>
      <c r="B5342">
        <v>103.23</v>
      </c>
      <c r="C5342">
        <f t="shared" si="186"/>
        <v>-5.2996723838889684E-3</v>
      </c>
      <c r="D5342">
        <f t="shared" si="185"/>
        <v>-0.59254709922797222</v>
      </c>
    </row>
    <row r="5343" spans="1:4">
      <c r="A5343" s="1">
        <v>26060</v>
      </c>
      <c r="B5343">
        <v>102.87</v>
      </c>
      <c r="C5343">
        <f t="shared" si="186"/>
        <v>-3.487358326067998E-3</v>
      </c>
      <c r="D5343">
        <f t="shared" si="185"/>
        <v>-0.40116735075755761</v>
      </c>
    </row>
    <row r="5344" spans="1:4">
      <c r="A5344" s="1">
        <v>26063</v>
      </c>
      <c r="B5344">
        <v>102.36</v>
      </c>
      <c r="C5344">
        <f t="shared" si="186"/>
        <v>-4.9577136191309911E-3</v>
      </c>
      <c r="D5344">
        <f t="shared" si="185"/>
        <v>-0.55643636990696166</v>
      </c>
    </row>
    <row r="5345" spans="1:4">
      <c r="A5345" s="1">
        <v>26064</v>
      </c>
      <c r="B5345">
        <v>102.62</v>
      </c>
      <c r="C5345">
        <f t="shared" si="186"/>
        <v>2.5400547088707025E-3</v>
      </c>
      <c r="D5345">
        <f t="shared" si="185"/>
        <v>0.23532541691473169</v>
      </c>
    </row>
    <row r="5346" spans="1:4">
      <c r="A5346" s="1">
        <v>26065</v>
      </c>
      <c r="B5346">
        <v>102.9</v>
      </c>
      <c r="C5346">
        <f t="shared" si="186"/>
        <v>2.7285129604365729E-3</v>
      </c>
      <c r="D5346">
        <f t="shared" si="185"/>
        <v>0.25522654422001539</v>
      </c>
    </row>
    <row r="5347" spans="1:4">
      <c r="A5347" s="1">
        <v>26066</v>
      </c>
      <c r="B5347">
        <v>102.69</v>
      </c>
      <c r="C5347">
        <f t="shared" si="186"/>
        <v>-2.0408163265306896E-3</v>
      </c>
      <c r="D5347">
        <f t="shared" si="185"/>
        <v>-0.24841300730993413</v>
      </c>
    </row>
    <row r="5348" spans="1:4">
      <c r="A5348" s="1">
        <v>26067</v>
      </c>
      <c r="B5348">
        <v>102.21</v>
      </c>
      <c r="C5348">
        <f t="shared" si="186"/>
        <v>-4.6742623429740383E-3</v>
      </c>
      <c r="D5348">
        <f t="shared" si="185"/>
        <v>-0.52650401149455761</v>
      </c>
    </row>
    <row r="5349" spans="1:4">
      <c r="A5349" s="1">
        <v>26070</v>
      </c>
      <c r="B5349">
        <v>100.69</v>
      </c>
      <c r="C5349">
        <f t="shared" si="186"/>
        <v>-1.4871343312787361E-2</v>
      </c>
      <c r="D5349">
        <f t="shared" si="185"/>
        <v>-1.603312295750611</v>
      </c>
    </row>
    <row r="5350" spans="1:4">
      <c r="A5350" s="1">
        <v>26071</v>
      </c>
      <c r="B5350">
        <v>100.83</v>
      </c>
      <c r="C5350">
        <f t="shared" si="186"/>
        <v>1.3904061972390563E-3</v>
      </c>
      <c r="D5350">
        <f t="shared" si="185"/>
        <v>0.11392292487094619</v>
      </c>
    </row>
    <row r="5351" spans="1:4">
      <c r="A5351" s="1">
        <v>26072</v>
      </c>
      <c r="B5351">
        <v>101.07</v>
      </c>
      <c r="C5351">
        <f t="shared" si="186"/>
        <v>2.3802439750073875E-3</v>
      </c>
      <c r="D5351">
        <f t="shared" si="185"/>
        <v>0.21844945774107344</v>
      </c>
    </row>
    <row r="5352" spans="1:4">
      <c r="A5352" s="1">
        <v>26073</v>
      </c>
      <c r="B5352">
        <v>101.31</v>
      </c>
      <c r="C5352">
        <f t="shared" si="186"/>
        <v>2.3745918670229457E-3</v>
      </c>
      <c r="D5352">
        <f t="shared" si="185"/>
        <v>0.21785259705916124</v>
      </c>
    </row>
    <row r="5353" spans="1:4">
      <c r="A5353" s="1">
        <v>26074</v>
      </c>
      <c r="B5353">
        <v>100.99</v>
      </c>
      <c r="C5353">
        <f t="shared" si="186"/>
        <v>-3.1586220511302674E-3</v>
      </c>
      <c r="D5353">
        <f t="shared" si="185"/>
        <v>-0.36645291186702239</v>
      </c>
    </row>
    <row r="5354" spans="1:4">
      <c r="A5354" s="1">
        <v>26077</v>
      </c>
      <c r="B5354">
        <v>100.13</v>
      </c>
      <c r="C5354">
        <f t="shared" si="186"/>
        <v>-8.5156946232300169E-3</v>
      </c>
      <c r="D5354">
        <f t="shared" si="185"/>
        <v>-0.93215795452331285</v>
      </c>
    </row>
    <row r="5355" spans="1:4">
      <c r="A5355" s="1">
        <v>26078</v>
      </c>
      <c r="B5355">
        <v>99.47</v>
      </c>
      <c r="C5355">
        <f t="shared" si="186"/>
        <v>-6.591431139518592E-3</v>
      </c>
      <c r="D5355">
        <f t="shared" si="185"/>
        <v>-0.72895638473232516</v>
      </c>
    </row>
    <row r="5356" spans="1:4">
      <c r="A5356" s="1">
        <v>26079</v>
      </c>
      <c r="B5356">
        <v>99.59</v>
      </c>
      <c r="C5356">
        <f t="shared" si="186"/>
        <v>1.2063938876043486E-3</v>
      </c>
      <c r="D5356">
        <f t="shared" si="185"/>
        <v>9.4491287522344189E-2</v>
      </c>
    </row>
    <row r="5357" spans="1:4">
      <c r="A5357" s="1">
        <v>26080</v>
      </c>
      <c r="B5357">
        <v>99.4</v>
      </c>
      <c r="C5357">
        <f t="shared" si="186"/>
        <v>-1.907822070488982E-3</v>
      </c>
      <c r="D5357">
        <f t="shared" si="185"/>
        <v>-0.23436885907887395</v>
      </c>
    </row>
    <row r="5358" spans="1:4">
      <c r="A5358" s="1">
        <v>26081</v>
      </c>
      <c r="B5358">
        <v>99.63</v>
      </c>
      <c r="C5358">
        <f t="shared" si="186"/>
        <v>2.3138832997986899E-3</v>
      </c>
      <c r="D5358">
        <f t="shared" si="185"/>
        <v>0.21144179299612448</v>
      </c>
    </row>
    <row r="5359" spans="1:4">
      <c r="A5359" s="1">
        <v>26085</v>
      </c>
      <c r="B5359">
        <v>100.2</v>
      </c>
      <c r="C5359">
        <f t="shared" si="186"/>
        <v>5.7211683227944132E-3</v>
      </c>
      <c r="D5359">
        <f t="shared" si="185"/>
        <v>0.57124993323201978</v>
      </c>
    </row>
    <row r="5360" spans="1:4">
      <c r="A5360" s="1">
        <v>26086</v>
      </c>
      <c r="B5360">
        <v>100.96</v>
      </c>
      <c r="C5360">
        <f t="shared" si="186"/>
        <v>7.5848303393212663E-3</v>
      </c>
      <c r="D5360">
        <f t="shared" si="185"/>
        <v>0.76805200868775636</v>
      </c>
    </row>
    <row r="5361" spans="1:4">
      <c r="A5361" s="1">
        <v>26087</v>
      </c>
      <c r="B5361">
        <v>101.01</v>
      </c>
      <c r="C5361">
        <f t="shared" si="186"/>
        <v>4.9524564183846449E-4</v>
      </c>
      <c r="D5361">
        <f t="shared" si="185"/>
        <v>1.9394274500500665E-2</v>
      </c>
    </row>
    <row r="5362" spans="1:4">
      <c r="A5362" s="1">
        <v>26088</v>
      </c>
      <c r="B5362">
        <v>101.3</v>
      </c>
      <c r="C5362">
        <f t="shared" si="186"/>
        <v>2.8710028710027921E-3</v>
      </c>
      <c r="D5362">
        <f t="shared" si="185"/>
        <v>0.27027343034113421</v>
      </c>
    </row>
    <row r="5363" spans="1:4">
      <c r="A5363" s="1">
        <v>26091</v>
      </c>
      <c r="B5363">
        <v>101.09</v>
      </c>
      <c r="C5363">
        <f t="shared" si="186"/>
        <v>-2.0730503455083293E-3</v>
      </c>
      <c r="D5363">
        <f t="shared" si="185"/>
        <v>-0.25181690875709745</v>
      </c>
    </row>
    <row r="5364" spans="1:4">
      <c r="A5364" s="1">
        <v>26092</v>
      </c>
      <c r="B5364">
        <v>100.32</v>
      </c>
      <c r="C5364">
        <f t="shared" si="186"/>
        <v>-7.6169749727966187E-3</v>
      </c>
      <c r="D5364">
        <f t="shared" si="185"/>
        <v>-0.83725346492719832</v>
      </c>
    </row>
    <row r="5365" spans="1:4">
      <c r="A5365" s="1">
        <v>26093</v>
      </c>
      <c r="B5365">
        <v>100.29</v>
      </c>
      <c r="C5365">
        <f t="shared" si="186"/>
        <v>-2.9904306220082666E-4</v>
      </c>
      <c r="D5365">
        <f t="shared" si="185"/>
        <v>-6.4482342654199748E-2</v>
      </c>
    </row>
    <row r="5366" spans="1:4">
      <c r="A5366" s="1">
        <v>26094</v>
      </c>
      <c r="B5366">
        <v>100.64</v>
      </c>
      <c r="C5366">
        <f t="shared" si="186"/>
        <v>3.4898793498852757E-3</v>
      </c>
      <c r="D5366">
        <f t="shared" si="185"/>
        <v>0.33562657614478814</v>
      </c>
    </row>
    <row r="5367" spans="1:4">
      <c r="A5367" s="1">
        <v>26095</v>
      </c>
      <c r="B5367">
        <v>101.07</v>
      </c>
      <c r="C5367">
        <f t="shared" si="186"/>
        <v>4.2726550079490522E-3</v>
      </c>
      <c r="D5367">
        <f t="shared" si="185"/>
        <v>0.41828741955794863</v>
      </c>
    </row>
    <row r="5368" spans="1:4">
      <c r="A5368" s="1">
        <v>26098</v>
      </c>
      <c r="B5368">
        <v>100.22</v>
      </c>
      <c r="C5368">
        <f t="shared" si="186"/>
        <v>-8.4100128623725567E-3</v>
      </c>
      <c r="D5368">
        <f t="shared" si="185"/>
        <v>-0.92099799649974101</v>
      </c>
    </row>
    <row r="5369" spans="1:4">
      <c r="A5369" s="1">
        <v>26099</v>
      </c>
      <c r="B5369">
        <v>100.32</v>
      </c>
      <c r="C5369">
        <f t="shared" si="186"/>
        <v>9.9780482937531748E-4</v>
      </c>
      <c r="D5369">
        <f t="shared" si="185"/>
        <v>7.2464353876224394E-2</v>
      </c>
    </row>
    <row r="5370" spans="1:4">
      <c r="A5370" s="1">
        <v>26100</v>
      </c>
      <c r="B5370">
        <v>100.52</v>
      </c>
      <c r="C5370">
        <f t="shared" si="186"/>
        <v>1.9936204146730747E-3</v>
      </c>
      <c r="D5370">
        <f t="shared" si="185"/>
        <v>0.17762214118950354</v>
      </c>
    </row>
    <row r="5371" spans="1:4">
      <c r="A5371" s="1">
        <v>26101</v>
      </c>
      <c r="B5371">
        <v>100.5</v>
      </c>
      <c r="C5371">
        <f t="shared" si="186"/>
        <v>-1.9896538002383627E-4</v>
      </c>
      <c r="D5371">
        <f t="shared" si="185"/>
        <v>-5.3914173434366587E-2</v>
      </c>
    </row>
    <row r="5372" spans="1:4">
      <c r="A5372" s="1">
        <v>26102</v>
      </c>
      <c r="B5372">
        <v>98.97</v>
      </c>
      <c r="C5372">
        <f t="shared" si="186"/>
        <v>-1.5223880597014936E-2</v>
      </c>
      <c r="D5372">
        <f t="shared" si="185"/>
        <v>-1.6405401131317976</v>
      </c>
    </row>
    <row r="5373" spans="1:4">
      <c r="A5373" s="1">
        <v>26105</v>
      </c>
      <c r="B5373">
        <v>97.87</v>
      </c>
      <c r="C5373">
        <f t="shared" si="186"/>
        <v>-1.1114479135091384E-2</v>
      </c>
      <c r="D5373">
        <f t="shared" si="185"/>
        <v>-1.206588715606097</v>
      </c>
    </row>
    <row r="5374" spans="1:4">
      <c r="A5374" s="1">
        <v>26106</v>
      </c>
      <c r="B5374">
        <v>97.59</v>
      </c>
      <c r="C5374">
        <f t="shared" si="186"/>
        <v>-2.8609379789516819E-3</v>
      </c>
      <c r="D5374">
        <f t="shared" si="185"/>
        <v>-0.33501757503269636</v>
      </c>
    </row>
    <row r="5375" spans="1:4">
      <c r="A5375" s="1">
        <v>26107</v>
      </c>
      <c r="B5375">
        <v>98.41</v>
      </c>
      <c r="C5375">
        <f t="shared" si="186"/>
        <v>8.4025002561737179E-3</v>
      </c>
      <c r="D5375">
        <f t="shared" si="185"/>
        <v>0.85439767396786626</v>
      </c>
    </row>
    <row r="5376" spans="1:4">
      <c r="A5376" s="1">
        <v>26108</v>
      </c>
      <c r="B5376">
        <v>98.13</v>
      </c>
      <c r="C5376">
        <f t="shared" si="186"/>
        <v>-2.8452393049486959E-3</v>
      </c>
      <c r="D5376">
        <f t="shared" si="185"/>
        <v>-0.33335980039421964</v>
      </c>
    </row>
    <row r="5377" spans="1:4">
      <c r="A5377" s="1">
        <v>26109</v>
      </c>
      <c r="B5377">
        <v>97.99</v>
      </c>
      <c r="C5377">
        <f t="shared" si="186"/>
        <v>-1.4266788953429183E-3</v>
      </c>
      <c r="D5377">
        <f t="shared" si="185"/>
        <v>-0.18356030333196124</v>
      </c>
    </row>
    <row r="5378" spans="1:4">
      <c r="A5378" s="1">
        <v>26112</v>
      </c>
      <c r="B5378">
        <v>97.74</v>
      </c>
      <c r="C5378">
        <f t="shared" si="186"/>
        <v>-2.5512807429329525E-3</v>
      </c>
      <c r="D5378">
        <f t="shared" si="185"/>
        <v>-0.30231787616672728</v>
      </c>
    </row>
    <row r="5379" spans="1:4">
      <c r="A5379" s="1">
        <v>26113</v>
      </c>
      <c r="B5379">
        <v>98.82</v>
      </c>
      <c r="C5379">
        <f t="shared" si="186"/>
        <v>1.1049723756906061E-2</v>
      </c>
      <c r="D5379">
        <f t="shared" ref="D5379:D5442" si="187">(C5379-avg)/sd</f>
        <v>1.1339435758102132</v>
      </c>
    </row>
    <row r="5380" spans="1:4">
      <c r="A5380" s="1">
        <v>26114</v>
      </c>
      <c r="B5380">
        <v>98.7</v>
      </c>
      <c r="C5380">
        <f t="shared" ref="C5380:C5443" si="188">(B5380-B5379)/B5379</f>
        <v>-1.2143290831814445E-3</v>
      </c>
      <c r="D5380">
        <f t="shared" si="187"/>
        <v>-0.16113623534891786</v>
      </c>
    </row>
    <row r="5381" spans="1:4">
      <c r="A5381" s="1">
        <v>26115</v>
      </c>
      <c r="B5381">
        <v>99.78</v>
      </c>
      <c r="C5381">
        <f t="shared" si="188"/>
        <v>1.0942249240121563E-2</v>
      </c>
      <c r="D5381">
        <f t="shared" si="187"/>
        <v>1.1225943033701333</v>
      </c>
    </row>
    <row r="5382" spans="1:4">
      <c r="A5382" s="1">
        <v>26116</v>
      </c>
      <c r="B5382">
        <v>99.78</v>
      </c>
      <c r="C5382">
        <f t="shared" si="188"/>
        <v>0</v>
      </c>
      <c r="D5382">
        <f t="shared" si="187"/>
        <v>-3.29034969354682E-2</v>
      </c>
    </row>
    <row r="5383" spans="1:4">
      <c r="A5383" s="1">
        <v>26120</v>
      </c>
      <c r="B5383">
        <v>99.76</v>
      </c>
      <c r="C5383">
        <f t="shared" si="188"/>
        <v>-2.0044097013425556E-4</v>
      </c>
      <c r="D5383">
        <f t="shared" si="187"/>
        <v>-5.406999524844941E-2</v>
      </c>
    </row>
    <row r="5384" spans="1:4">
      <c r="A5384" s="1">
        <v>26121</v>
      </c>
      <c r="B5384">
        <v>100.04</v>
      </c>
      <c r="C5384">
        <f t="shared" si="188"/>
        <v>2.806736166800332E-3</v>
      </c>
      <c r="D5384">
        <f t="shared" si="187"/>
        <v>0.26348688822266858</v>
      </c>
    </row>
    <row r="5385" spans="1:4">
      <c r="A5385" s="1">
        <v>26122</v>
      </c>
      <c r="B5385">
        <v>100.34</v>
      </c>
      <c r="C5385">
        <f t="shared" si="188"/>
        <v>2.9988004798080481E-3</v>
      </c>
      <c r="D5385">
        <f t="shared" si="187"/>
        <v>0.28376881439045132</v>
      </c>
    </row>
    <row r="5386" spans="1:4">
      <c r="A5386" s="1">
        <v>26123</v>
      </c>
      <c r="B5386">
        <v>100.69</v>
      </c>
      <c r="C5386">
        <f t="shared" si="188"/>
        <v>3.488140322902076E-3</v>
      </c>
      <c r="D5386">
        <f t="shared" si="187"/>
        <v>0.33544293548648624</v>
      </c>
    </row>
    <row r="5387" spans="1:4">
      <c r="A5387" s="1">
        <v>26126</v>
      </c>
      <c r="B5387">
        <v>100.82</v>
      </c>
      <c r="C5387">
        <f t="shared" si="188"/>
        <v>1.2910914688647876E-3</v>
      </c>
      <c r="D5387">
        <f t="shared" si="187"/>
        <v>0.10343532331333984</v>
      </c>
    </row>
    <row r="5388" spans="1:4">
      <c r="A5388" s="1">
        <v>26127</v>
      </c>
      <c r="B5388">
        <v>99.5</v>
      </c>
      <c r="C5388">
        <f t="shared" si="188"/>
        <v>-1.3092640349137008E-2</v>
      </c>
      <c r="D5388">
        <f t="shared" si="187"/>
        <v>-1.4154818673996474</v>
      </c>
    </row>
    <row r="5389" spans="1:4">
      <c r="A5389" s="1">
        <v>26128</v>
      </c>
      <c r="B5389">
        <v>99.22</v>
      </c>
      <c r="C5389">
        <f t="shared" si="188"/>
        <v>-2.8140703517588054E-3</v>
      </c>
      <c r="D5389">
        <f t="shared" si="187"/>
        <v>-0.33006836953220914</v>
      </c>
    </row>
    <row r="5390" spans="1:4">
      <c r="A5390" s="1">
        <v>26129</v>
      </c>
      <c r="B5390">
        <v>99.28</v>
      </c>
      <c r="C5390">
        <f t="shared" si="188"/>
        <v>6.0471679096958555E-4</v>
      </c>
      <c r="D5390">
        <f t="shared" si="187"/>
        <v>3.0954390637695468E-2</v>
      </c>
    </row>
    <row r="5391" spans="1:4">
      <c r="A5391" s="1">
        <v>26130</v>
      </c>
      <c r="B5391">
        <v>99.11</v>
      </c>
      <c r="C5391">
        <f t="shared" si="188"/>
        <v>-1.7123287671233049E-3</v>
      </c>
      <c r="D5391">
        <f t="shared" si="187"/>
        <v>-0.21372483269486095</v>
      </c>
    </row>
    <row r="5392" spans="1:4">
      <c r="A5392" s="1">
        <v>26133</v>
      </c>
      <c r="B5392">
        <v>98.93</v>
      </c>
      <c r="C5392">
        <f t="shared" si="188"/>
        <v>-1.8161638583391445E-3</v>
      </c>
      <c r="D5392">
        <f t="shared" si="187"/>
        <v>-0.22468978303199119</v>
      </c>
    </row>
    <row r="5393" spans="1:4">
      <c r="A5393" s="1">
        <v>26134</v>
      </c>
      <c r="B5393">
        <v>99.32</v>
      </c>
      <c r="C5393">
        <f t="shared" si="188"/>
        <v>3.9421813403415175E-3</v>
      </c>
      <c r="D5393">
        <f t="shared" si="187"/>
        <v>0.38338951259205062</v>
      </c>
    </row>
    <row r="5394" spans="1:4">
      <c r="A5394" s="1">
        <v>26135</v>
      </c>
      <c r="B5394">
        <v>99.28</v>
      </c>
      <c r="C5394">
        <f t="shared" si="188"/>
        <v>-4.0273862263383049E-4</v>
      </c>
      <c r="D5394">
        <f t="shared" si="187"/>
        <v>-7.543255858809135E-2</v>
      </c>
    </row>
    <row r="5395" spans="1:4">
      <c r="A5395" s="1">
        <v>26136</v>
      </c>
      <c r="B5395">
        <v>99.11</v>
      </c>
      <c r="C5395">
        <f t="shared" si="188"/>
        <v>-1.7123287671233049E-3</v>
      </c>
      <c r="D5395">
        <f t="shared" si="187"/>
        <v>-0.21372483269486095</v>
      </c>
    </row>
    <row r="5396" spans="1:4">
      <c r="A5396" s="1">
        <v>26137</v>
      </c>
      <c r="B5396">
        <v>98.94</v>
      </c>
      <c r="C5396">
        <f t="shared" si="188"/>
        <v>-1.7152658662092798E-3</v>
      </c>
      <c r="D5396">
        <f t="shared" si="187"/>
        <v>-0.21403498935997139</v>
      </c>
    </row>
    <row r="5397" spans="1:4">
      <c r="A5397" s="1">
        <v>26140</v>
      </c>
      <c r="B5397">
        <v>98.14</v>
      </c>
      <c r="C5397">
        <f t="shared" si="188"/>
        <v>-8.0857085102081783E-3</v>
      </c>
      <c r="D5397">
        <f t="shared" si="187"/>
        <v>-0.88675156714758807</v>
      </c>
    </row>
    <row r="5398" spans="1:4">
      <c r="A5398" s="1">
        <v>26141</v>
      </c>
      <c r="B5398">
        <v>97.78</v>
      </c>
      <c r="C5398">
        <f t="shared" si="188"/>
        <v>-3.6682290605257735E-3</v>
      </c>
      <c r="D5398">
        <f t="shared" si="187"/>
        <v>-0.42026723883534883</v>
      </c>
    </row>
    <row r="5399" spans="1:4">
      <c r="A5399" s="1">
        <v>26142</v>
      </c>
      <c r="B5399">
        <v>97.07</v>
      </c>
      <c r="C5399">
        <f t="shared" si="188"/>
        <v>-7.2611986091226013E-3</v>
      </c>
      <c r="D5399">
        <f t="shared" si="187"/>
        <v>-0.79968360185748399</v>
      </c>
    </row>
    <row r="5400" spans="1:4">
      <c r="A5400" s="1">
        <v>26143</v>
      </c>
      <c r="B5400">
        <v>96.02</v>
      </c>
      <c r="C5400">
        <f t="shared" si="188"/>
        <v>-1.0816936231585425E-2</v>
      </c>
      <c r="D5400">
        <f t="shared" si="187"/>
        <v>-1.1751682861356147</v>
      </c>
    </row>
    <row r="5401" spans="1:4">
      <c r="A5401" s="1">
        <v>26144</v>
      </c>
      <c r="B5401">
        <v>95.58</v>
      </c>
      <c r="C5401">
        <f t="shared" si="188"/>
        <v>-4.582378671110162E-3</v>
      </c>
      <c r="D5401">
        <f t="shared" si="187"/>
        <v>-0.51680112697850988</v>
      </c>
    </row>
    <row r="5402" spans="1:4">
      <c r="A5402" s="1">
        <v>26147</v>
      </c>
      <c r="B5402">
        <v>95.96</v>
      </c>
      <c r="C5402">
        <f t="shared" si="188"/>
        <v>3.9757271395688999E-3</v>
      </c>
      <c r="D5402">
        <f t="shared" si="187"/>
        <v>0.38693193758769101</v>
      </c>
    </row>
    <row r="5403" spans="1:4">
      <c r="A5403" s="1">
        <v>26148</v>
      </c>
      <c r="B5403">
        <v>94.51</v>
      </c>
      <c r="C5403">
        <f t="shared" si="188"/>
        <v>-1.5110462692788545E-2</v>
      </c>
      <c r="D5403">
        <f t="shared" si="187"/>
        <v>-1.6285632209981096</v>
      </c>
    </row>
    <row r="5404" spans="1:4">
      <c r="A5404" s="1">
        <v>26149</v>
      </c>
      <c r="B5404">
        <v>93.89</v>
      </c>
      <c r="C5404">
        <f t="shared" si="188"/>
        <v>-6.5601523648291665E-3</v>
      </c>
      <c r="D5404">
        <f t="shared" si="187"/>
        <v>-0.72565335675729392</v>
      </c>
    </row>
    <row r="5405" spans="1:4">
      <c r="A5405" s="1">
        <v>26150</v>
      </c>
      <c r="B5405">
        <v>94.09</v>
      </c>
      <c r="C5405">
        <f t="shared" si="188"/>
        <v>2.1301523058899013E-3</v>
      </c>
      <c r="D5405">
        <f t="shared" si="187"/>
        <v>0.19203986249255567</v>
      </c>
    </row>
    <row r="5406" spans="1:4">
      <c r="A5406" s="1">
        <v>26151</v>
      </c>
      <c r="B5406">
        <v>94.25</v>
      </c>
      <c r="C5406">
        <f t="shared" si="188"/>
        <v>1.7004995217344732E-3</v>
      </c>
      <c r="D5406">
        <f t="shared" si="187"/>
        <v>0.14666867453181981</v>
      </c>
    </row>
    <row r="5407" spans="1:4">
      <c r="A5407" s="1">
        <v>26154</v>
      </c>
      <c r="B5407">
        <v>93.53</v>
      </c>
      <c r="C5407">
        <f t="shared" si="188"/>
        <v>-7.6392572944296959E-3</v>
      </c>
      <c r="D5407">
        <f t="shared" si="187"/>
        <v>-0.83960647051752202</v>
      </c>
    </row>
    <row r="5408" spans="1:4">
      <c r="A5408" s="1">
        <v>26155</v>
      </c>
      <c r="B5408">
        <v>93.54</v>
      </c>
      <c r="C5408">
        <f t="shared" si="188"/>
        <v>1.0691756655623988E-4</v>
      </c>
      <c r="D5408">
        <f t="shared" si="187"/>
        <v>-2.1613038250175957E-2</v>
      </c>
    </row>
    <row r="5409" spans="1:4">
      <c r="A5409" s="1">
        <v>26156</v>
      </c>
      <c r="B5409">
        <v>94.66</v>
      </c>
      <c r="C5409">
        <f t="shared" si="188"/>
        <v>1.1973487278169662E-2</v>
      </c>
      <c r="D5409">
        <f t="shared" si="187"/>
        <v>1.2314926896531719</v>
      </c>
    </row>
    <row r="5410" spans="1:4">
      <c r="A5410" s="1">
        <v>26157</v>
      </c>
      <c r="B5410">
        <v>96</v>
      </c>
      <c r="C5410">
        <f t="shared" si="188"/>
        <v>1.4155926473695367E-2</v>
      </c>
      <c r="D5410">
        <f t="shared" si="187"/>
        <v>1.4619575268535592</v>
      </c>
    </row>
    <row r="5411" spans="1:4">
      <c r="A5411" s="1">
        <v>26158</v>
      </c>
      <c r="B5411">
        <v>95.69</v>
      </c>
      <c r="C5411">
        <f t="shared" si="188"/>
        <v>-3.2291666666666905E-3</v>
      </c>
      <c r="D5411">
        <f t="shared" si="187"/>
        <v>-0.37390239928838881</v>
      </c>
    </row>
    <row r="5412" spans="1:4">
      <c r="A5412" s="1">
        <v>26161</v>
      </c>
      <c r="B5412">
        <v>98.76</v>
      </c>
      <c r="C5412">
        <f t="shared" si="188"/>
        <v>3.2082767269307214E-2</v>
      </c>
      <c r="D5412">
        <f t="shared" si="187"/>
        <v>3.3550258212409099</v>
      </c>
    </row>
    <row r="5413" spans="1:4">
      <c r="A5413" s="1">
        <v>26162</v>
      </c>
      <c r="B5413">
        <v>99.99</v>
      </c>
      <c r="C5413">
        <f t="shared" si="188"/>
        <v>1.2454434993924561E-2</v>
      </c>
      <c r="D5413">
        <f t="shared" si="187"/>
        <v>1.2822806049548174</v>
      </c>
    </row>
    <row r="5414" spans="1:4">
      <c r="A5414" s="1">
        <v>26163</v>
      </c>
      <c r="B5414">
        <v>98.6</v>
      </c>
      <c r="C5414">
        <f t="shared" si="188"/>
        <v>-1.3901390139013908E-2</v>
      </c>
      <c r="D5414">
        <f t="shared" si="187"/>
        <v>-1.5008855703032375</v>
      </c>
    </row>
    <row r="5415" spans="1:4">
      <c r="A5415" s="1">
        <v>26164</v>
      </c>
      <c r="B5415">
        <v>98.16</v>
      </c>
      <c r="C5415">
        <f t="shared" si="188"/>
        <v>-4.4624746450304034E-3</v>
      </c>
      <c r="D5415">
        <f t="shared" si="187"/>
        <v>-0.50413930258184614</v>
      </c>
    </row>
    <row r="5416" spans="1:4">
      <c r="A5416" s="1">
        <v>26165</v>
      </c>
      <c r="B5416">
        <v>98.33</v>
      </c>
      <c r="C5416">
        <f t="shared" si="188"/>
        <v>1.7318663406683142E-3</v>
      </c>
      <c r="D5416">
        <f t="shared" si="187"/>
        <v>0.14998099994913361</v>
      </c>
    </row>
    <row r="5417" spans="1:4">
      <c r="A5417" s="1">
        <v>26168</v>
      </c>
      <c r="B5417">
        <v>99.25</v>
      </c>
      <c r="C5417">
        <f t="shared" si="188"/>
        <v>9.3562493643852516E-3</v>
      </c>
      <c r="D5417">
        <f t="shared" si="187"/>
        <v>0.95511325559993054</v>
      </c>
    </row>
    <row r="5418" spans="1:4">
      <c r="A5418" s="1">
        <v>26169</v>
      </c>
      <c r="B5418">
        <v>100.4</v>
      </c>
      <c r="C5418">
        <f t="shared" si="188"/>
        <v>1.1586901763224239E-2</v>
      </c>
      <c r="D5418">
        <f t="shared" si="187"/>
        <v>1.1906693906817365</v>
      </c>
    </row>
    <row r="5419" spans="1:4">
      <c r="A5419" s="1">
        <v>26170</v>
      </c>
      <c r="B5419">
        <v>100.41</v>
      </c>
      <c r="C5419">
        <f t="shared" si="188"/>
        <v>9.9601593625407413E-5</v>
      </c>
      <c r="D5419">
        <f t="shared" si="187"/>
        <v>-2.2385602504851838E-2</v>
      </c>
    </row>
    <row r="5420" spans="1:4">
      <c r="A5420" s="1">
        <v>26171</v>
      </c>
      <c r="B5420">
        <v>100.24</v>
      </c>
      <c r="C5420">
        <f t="shared" si="188"/>
        <v>-1.6930584603127349E-3</v>
      </c>
      <c r="D5420">
        <f t="shared" si="187"/>
        <v>-0.21168989484596029</v>
      </c>
    </row>
    <row r="5421" spans="1:4">
      <c r="A5421" s="1">
        <v>26172</v>
      </c>
      <c r="B5421">
        <v>100.48</v>
      </c>
      <c r="C5421">
        <f t="shared" si="188"/>
        <v>2.3942537909019262E-3</v>
      </c>
      <c r="D5421">
        <f t="shared" si="187"/>
        <v>0.21992888953736894</v>
      </c>
    </row>
    <row r="5422" spans="1:4">
      <c r="A5422" s="1">
        <v>26175</v>
      </c>
      <c r="B5422">
        <v>99.52</v>
      </c>
      <c r="C5422">
        <f t="shared" si="188"/>
        <v>-9.5541401273886144E-3</v>
      </c>
      <c r="D5422">
        <f t="shared" si="187"/>
        <v>-1.0418174467776833</v>
      </c>
    </row>
    <row r="5423" spans="1:4">
      <c r="A5423" s="1">
        <v>26176</v>
      </c>
      <c r="B5423">
        <v>99.03</v>
      </c>
      <c r="C5423">
        <f t="shared" si="188"/>
        <v>-4.9236334405144185E-3</v>
      </c>
      <c r="D5423">
        <f t="shared" si="187"/>
        <v>-0.55283751462946717</v>
      </c>
    </row>
    <row r="5424" spans="1:4">
      <c r="A5424" s="1">
        <v>26177</v>
      </c>
      <c r="B5424">
        <v>99.07</v>
      </c>
      <c r="C5424">
        <f t="shared" si="188"/>
        <v>4.039180046449767E-4</v>
      </c>
      <c r="D5424">
        <f t="shared" si="187"/>
        <v>9.7501070566405768E-3</v>
      </c>
    </row>
    <row r="5425" spans="1:4">
      <c r="A5425" s="1">
        <v>26178</v>
      </c>
      <c r="B5425">
        <v>99.29</v>
      </c>
      <c r="C5425">
        <f t="shared" si="188"/>
        <v>2.2206520641971646E-3</v>
      </c>
      <c r="D5425">
        <f t="shared" si="187"/>
        <v>0.20159660620744016</v>
      </c>
    </row>
    <row r="5426" spans="1:4">
      <c r="A5426" s="1">
        <v>26179</v>
      </c>
      <c r="B5426">
        <v>100.69</v>
      </c>
      <c r="C5426">
        <f t="shared" si="188"/>
        <v>1.4100110786584664E-2</v>
      </c>
      <c r="D5426">
        <f t="shared" si="187"/>
        <v>1.456063409267343</v>
      </c>
    </row>
    <row r="5427" spans="1:4">
      <c r="A5427" s="1">
        <v>26183</v>
      </c>
      <c r="B5427">
        <v>101.15</v>
      </c>
      <c r="C5427">
        <f t="shared" si="188"/>
        <v>4.5684775052141028E-3</v>
      </c>
      <c r="D5427">
        <f t="shared" si="187"/>
        <v>0.44952617471418543</v>
      </c>
    </row>
    <row r="5428" spans="1:4">
      <c r="A5428" s="1">
        <v>26184</v>
      </c>
      <c r="B5428">
        <v>101.34</v>
      </c>
      <c r="C5428">
        <f t="shared" si="188"/>
        <v>1.8783984181907831E-3</v>
      </c>
      <c r="D5428">
        <f t="shared" si="187"/>
        <v>0.1654547375268331</v>
      </c>
    </row>
    <row r="5429" spans="1:4">
      <c r="A5429" s="1">
        <v>26185</v>
      </c>
      <c r="B5429">
        <v>100.8</v>
      </c>
      <c r="C5429">
        <f t="shared" si="188"/>
        <v>-5.3285968028419801E-3</v>
      </c>
      <c r="D5429">
        <f t="shared" si="187"/>
        <v>-0.59560150803752254</v>
      </c>
    </row>
    <row r="5430" spans="1:4">
      <c r="A5430" s="1">
        <v>26186</v>
      </c>
      <c r="B5430">
        <v>100.42</v>
      </c>
      <c r="C5430">
        <f t="shared" si="188"/>
        <v>-3.7698412698412248E-3</v>
      </c>
      <c r="D5430">
        <f t="shared" si="187"/>
        <v>-0.43099745359939234</v>
      </c>
    </row>
    <row r="5431" spans="1:4">
      <c r="A5431" s="1">
        <v>26189</v>
      </c>
      <c r="B5431">
        <v>100.07</v>
      </c>
      <c r="C5431">
        <f t="shared" si="188"/>
        <v>-3.4853614817766236E-3</v>
      </c>
      <c r="D5431">
        <f t="shared" si="187"/>
        <v>-0.40095648467914885</v>
      </c>
    </row>
    <row r="5432" spans="1:4">
      <c r="A5432" s="1">
        <v>26190</v>
      </c>
      <c r="B5432">
        <v>99.34</v>
      </c>
      <c r="C5432">
        <f t="shared" si="188"/>
        <v>-7.2948935744977499E-3</v>
      </c>
      <c r="D5432">
        <f t="shared" si="187"/>
        <v>-0.80324177874762448</v>
      </c>
    </row>
    <row r="5433" spans="1:4">
      <c r="A5433" s="1">
        <v>26191</v>
      </c>
      <c r="B5433">
        <v>99.77</v>
      </c>
      <c r="C5433">
        <f t="shared" si="188"/>
        <v>4.3285685524460703E-3</v>
      </c>
      <c r="D5433">
        <f t="shared" si="187"/>
        <v>0.42419187085089649</v>
      </c>
    </row>
    <row r="5434" spans="1:4">
      <c r="A5434" s="1">
        <v>26192</v>
      </c>
      <c r="B5434">
        <v>99.66</v>
      </c>
      <c r="C5434">
        <f t="shared" si="188"/>
        <v>-1.1025358324145479E-3</v>
      </c>
      <c r="D5434">
        <f t="shared" si="187"/>
        <v>-0.14933090606830587</v>
      </c>
    </row>
    <row r="5435" spans="1:4">
      <c r="A5435" s="1">
        <v>26193</v>
      </c>
      <c r="B5435">
        <v>99.96</v>
      </c>
      <c r="C5435">
        <f t="shared" si="188"/>
        <v>3.0102347983142399E-3</v>
      </c>
      <c r="D5435">
        <f t="shared" si="187"/>
        <v>0.28497627453799146</v>
      </c>
    </row>
    <row r="5436" spans="1:4">
      <c r="A5436" s="1">
        <v>26196</v>
      </c>
      <c r="B5436">
        <v>99.68</v>
      </c>
      <c r="C5436">
        <f t="shared" si="188"/>
        <v>-2.8011204481791412E-3</v>
      </c>
      <c r="D5436">
        <f t="shared" si="187"/>
        <v>-0.32870086411608274</v>
      </c>
    </row>
    <row r="5437" spans="1:4">
      <c r="A5437" s="1">
        <v>26197</v>
      </c>
      <c r="B5437">
        <v>99.34</v>
      </c>
      <c r="C5437">
        <f t="shared" si="188"/>
        <v>-3.4109149277688944E-3</v>
      </c>
      <c r="D5437">
        <f t="shared" si="187"/>
        <v>-0.39309495388154586</v>
      </c>
    </row>
    <row r="5438" spans="1:4">
      <c r="A5438" s="1">
        <v>26198</v>
      </c>
      <c r="B5438">
        <v>98.47</v>
      </c>
      <c r="C5438">
        <f t="shared" si="188"/>
        <v>-8.7578014898329424E-3</v>
      </c>
      <c r="D5438">
        <f t="shared" si="187"/>
        <v>-0.95772435734045935</v>
      </c>
    </row>
    <row r="5439" spans="1:4">
      <c r="A5439" s="1">
        <v>26199</v>
      </c>
      <c r="B5439">
        <v>98.38</v>
      </c>
      <c r="C5439">
        <f t="shared" si="188"/>
        <v>-9.1398395450394446E-4</v>
      </c>
      <c r="D5439">
        <f t="shared" si="187"/>
        <v>-0.12941989185284353</v>
      </c>
    </row>
    <row r="5440" spans="1:4">
      <c r="A5440" s="1">
        <v>26200</v>
      </c>
      <c r="B5440">
        <v>98.15</v>
      </c>
      <c r="C5440">
        <f t="shared" si="188"/>
        <v>-2.3378735515347609E-3</v>
      </c>
      <c r="D5440">
        <f t="shared" si="187"/>
        <v>-0.27978214929570716</v>
      </c>
    </row>
    <row r="5441" spans="1:4">
      <c r="A5441" s="1">
        <v>26203</v>
      </c>
      <c r="B5441">
        <v>97.62</v>
      </c>
      <c r="C5441">
        <f t="shared" si="188"/>
        <v>-5.3998981151299145E-3</v>
      </c>
      <c r="D5441">
        <f t="shared" si="187"/>
        <v>-0.60313090237863476</v>
      </c>
    </row>
    <row r="5442" spans="1:4">
      <c r="A5442" s="1">
        <v>26204</v>
      </c>
      <c r="B5442">
        <v>97.88</v>
      </c>
      <c r="C5442">
        <f t="shared" si="188"/>
        <v>2.6633886498667373E-3</v>
      </c>
      <c r="D5442">
        <f t="shared" si="187"/>
        <v>0.24834943916066946</v>
      </c>
    </row>
    <row r="5443" spans="1:4">
      <c r="A5443" s="1">
        <v>26205</v>
      </c>
      <c r="B5443">
        <v>97.9</v>
      </c>
      <c r="C5443">
        <f t="shared" si="188"/>
        <v>2.0433183489998195E-4</v>
      </c>
      <c r="D5443">
        <f t="shared" ref="D5443:D5506" si="189">(C5443-avg)/sd</f>
        <v>-1.1326124625795469E-2</v>
      </c>
    </row>
    <row r="5444" spans="1:4">
      <c r="A5444" s="1">
        <v>26206</v>
      </c>
      <c r="B5444">
        <v>98.34</v>
      </c>
      <c r="C5444">
        <f t="shared" ref="C5444:C5507" si="190">(B5444-B5443)/B5443</f>
        <v>4.4943820224718862E-3</v>
      </c>
      <c r="D5444">
        <f t="shared" si="189"/>
        <v>0.44170171692288568</v>
      </c>
    </row>
    <row r="5445" spans="1:4">
      <c r="A5445" s="1">
        <v>26207</v>
      </c>
      <c r="B5445">
        <v>98.93</v>
      </c>
      <c r="C5445">
        <f t="shared" si="190"/>
        <v>5.9995932479154296E-3</v>
      </c>
      <c r="D5445">
        <f t="shared" si="189"/>
        <v>0.6006515106835687</v>
      </c>
    </row>
    <row r="5446" spans="1:4">
      <c r="A5446" s="1">
        <v>26210</v>
      </c>
      <c r="B5446">
        <v>99.21</v>
      </c>
      <c r="C5446">
        <f t="shared" si="190"/>
        <v>2.830284039219518E-3</v>
      </c>
      <c r="D5446">
        <f t="shared" si="189"/>
        <v>0.26597353554582387</v>
      </c>
    </row>
    <row r="5447" spans="1:4">
      <c r="A5447" s="1">
        <v>26211</v>
      </c>
      <c r="B5447">
        <v>99.11</v>
      </c>
      <c r="C5447">
        <f t="shared" si="190"/>
        <v>-1.0079629069649665E-3</v>
      </c>
      <c r="D5447">
        <f t="shared" si="189"/>
        <v>-0.13934403728772937</v>
      </c>
    </row>
    <row r="5448" spans="1:4">
      <c r="A5448" s="1">
        <v>26212</v>
      </c>
      <c r="B5448">
        <v>99.82</v>
      </c>
      <c r="C5448">
        <f t="shared" si="190"/>
        <v>7.1637574412268569E-3</v>
      </c>
      <c r="D5448">
        <f t="shared" si="189"/>
        <v>0.7235868537786192</v>
      </c>
    </row>
    <row r="5449" spans="1:4">
      <c r="A5449" s="1">
        <v>26213</v>
      </c>
      <c r="B5449">
        <v>100.02</v>
      </c>
      <c r="C5449">
        <f t="shared" si="190"/>
        <v>2.0036064916850618E-3</v>
      </c>
      <c r="D5449">
        <f t="shared" si="189"/>
        <v>0.17867666752753686</v>
      </c>
    </row>
    <row r="5450" spans="1:4">
      <c r="A5450" s="1">
        <v>26214</v>
      </c>
      <c r="B5450">
        <v>99.36</v>
      </c>
      <c r="C5450">
        <f t="shared" si="190"/>
        <v>-6.5986802639471766E-3</v>
      </c>
      <c r="D5450">
        <f t="shared" si="189"/>
        <v>-0.72972188980788655</v>
      </c>
    </row>
    <row r="5451" spans="1:4">
      <c r="A5451" s="1">
        <v>26217</v>
      </c>
      <c r="B5451">
        <v>99.21</v>
      </c>
      <c r="C5451">
        <f t="shared" si="190"/>
        <v>-1.5096618357488495E-3</v>
      </c>
      <c r="D5451">
        <f t="shared" si="189"/>
        <v>-0.19232327363155563</v>
      </c>
    </row>
    <row r="5452" spans="1:4">
      <c r="A5452" s="1">
        <v>26218</v>
      </c>
      <c r="B5452">
        <v>99.57</v>
      </c>
      <c r="C5452">
        <f t="shared" si="190"/>
        <v>3.62866646507408E-3</v>
      </c>
      <c r="D5452">
        <f t="shared" si="189"/>
        <v>0.35028244833269323</v>
      </c>
    </row>
    <row r="5453" spans="1:4">
      <c r="A5453" s="1">
        <v>26219</v>
      </c>
      <c r="B5453">
        <v>99.03</v>
      </c>
      <c r="C5453">
        <f t="shared" si="190"/>
        <v>-5.4233202771918456E-3</v>
      </c>
      <c r="D5453">
        <f t="shared" si="189"/>
        <v>-0.60560427473079503</v>
      </c>
    </row>
    <row r="5454" spans="1:4">
      <c r="A5454" s="1">
        <v>26220</v>
      </c>
      <c r="B5454">
        <v>98.13</v>
      </c>
      <c r="C5454">
        <f t="shared" si="190"/>
        <v>-9.0881551045138408E-3</v>
      </c>
      <c r="D5454">
        <f t="shared" si="189"/>
        <v>-0.99260958675811251</v>
      </c>
    </row>
    <row r="5455" spans="1:4">
      <c r="A5455" s="1">
        <v>26221</v>
      </c>
      <c r="B5455">
        <v>97.79</v>
      </c>
      <c r="C5455">
        <f t="shared" si="190"/>
        <v>-3.4647916029755346E-3</v>
      </c>
      <c r="D5455">
        <f t="shared" si="189"/>
        <v>-0.39878431246979534</v>
      </c>
    </row>
    <row r="5456" spans="1:4">
      <c r="A5456" s="1">
        <v>26224</v>
      </c>
      <c r="B5456">
        <v>97.35</v>
      </c>
      <c r="C5456">
        <f t="shared" si="190"/>
        <v>-4.4994375703038339E-3</v>
      </c>
      <c r="D5456">
        <f t="shared" si="189"/>
        <v>-0.50804257492641158</v>
      </c>
    </row>
    <row r="5457" spans="1:4">
      <c r="A5457" s="1">
        <v>26225</v>
      </c>
      <c r="B5457">
        <v>97</v>
      </c>
      <c r="C5457">
        <f t="shared" si="190"/>
        <v>-3.5952747817154015E-3</v>
      </c>
      <c r="D5457">
        <f t="shared" si="189"/>
        <v>-0.41256329179133788</v>
      </c>
    </row>
    <row r="5458" spans="1:4">
      <c r="A5458" s="1">
        <v>26226</v>
      </c>
      <c r="B5458">
        <v>95.65</v>
      </c>
      <c r="C5458">
        <f t="shared" si="190"/>
        <v>-1.3917525773195818E-2</v>
      </c>
      <c r="D5458">
        <f t="shared" si="189"/>
        <v>-1.5025894877880785</v>
      </c>
    </row>
    <row r="5459" spans="1:4">
      <c r="A5459" s="1">
        <v>26227</v>
      </c>
      <c r="B5459">
        <v>95.6</v>
      </c>
      <c r="C5459">
        <f t="shared" si="190"/>
        <v>-5.2273915316269068E-4</v>
      </c>
      <c r="D5459">
        <f t="shared" si="189"/>
        <v>-8.8104573821776777E-2</v>
      </c>
    </row>
    <row r="5460" spans="1:4">
      <c r="A5460" s="1">
        <v>26228</v>
      </c>
      <c r="B5460">
        <v>95.57</v>
      </c>
      <c r="C5460">
        <f t="shared" si="190"/>
        <v>-3.1380753138076506E-4</v>
      </c>
      <c r="D5460">
        <f t="shared" si="189"/>
        <v>-6.604146558091431E-2</v>
      </c>
    </row>
    <row r="5461" spans="1:4">
      <c r="A5461" s="1">
        <v>26231</v>
      </c>
      <c r="B5461">
        <v>95.1</v>
      </c>
      <c r="C5461">
        <f t="shared" si="190"/>
        <v>-4.917861253531431E-3</v>
      </c>
      <c r="D5461">
        <f t="shared" si="189"/>
        <v>-0.55222797364612541</v>
      </c>
    </row>
    <row r="5462" spans="1:4">
      <c r="A5462" s="1">
        <v>26232</v>
      </c>
      <c r="B5462">
        <v>94.74</v>
      </c>
      <c r="C5462">
        <f t="shared" si="190"/>
        <v>-3.7854889589905307E-3</v>
      </c>
      <c r="D5462">
        <f t="shared" si="189"/>
        <v>-0.43264984425465108</v>
      </c>
    </row>
    <row r="5463" spans="1:4">
      <c r="A5463" s="1">
        <v>26233</v>
      </c>
      <c r="B5463">
        <v>93.79</v>
      </c>
      <c r="C5463">
        <f t="shared" si="190"/>
        <v>-1.0027443529660004E-2</v>
      </c>
      <c r="D5463">
        <f t="shared" si="189"/>
        <v>-1.0917981251738986</v>
      </c>
    </row>
    <row r="5464" spans="1:4">
      <c r="A5464" s="1">
        <v>26234</v>
      </c>
      <c r="B5464">
        <v>93.96</v>
      </c>
      <c r="C5464">
        <f t="shared" si="190"/>
        <v>1.8125599744107845E-3</v>
      </c>
      <c r="D5464">
        <f t="shared" si="189"/>
        <v>0.15850222024323968</v>
      </c>
    </row>
    <row r="5465" spans="1:4">
      <c r="A5465" s="1">
        <v>26235</v>
      </c>
      <c r="B5465">
        <v>94.23</v>
      </c>
      <c r="C5465">
        <f t="shared" si="190"/>
        <v>2.8735632183909138E-3</v>
      </c>
      <c r="D5465">
        <f t="shared" si="189"/>
        <v>0.2705438021550155</v>
      </c>
    </row>
    <row r="5466" spans="1:4">
      <c r="A5466" s="1">
        <v>26238</v>
      </c>
      <c r="B5466">
        <v>92.8</v>
      </c>
      <c r="C5466">
        <f t="shared" si="190"/>
        <v>-1.5175634086808944E-2</v>
      </c>
      <c r="D5466">
        <f t="shared" si="189"/>
        <v>-1.6354452980538303</v>
      </c>
    </row>
    <row r="5467" spans="1:4">
      <c r="A5467" s="1">
        <v>26239</v>
      </c>
      <c r="B5467">
        <v>93.18</v>
      </c>
      <c r="C5467">
        <f t="shared" si="190"/>
        <v>4.094827586207001E-3</v>
      </c>
      <c r="D5467">
        <f t="shared" si="189"/>
        <v>0.39950890426846564</v>
      </c>
    </row>
    <row r="5468" spans="1:4">
      <c r="A5468" s="1">
        <v>26240</v>
      </c>
      <c r="B5468">
        <v>94.91</v>
      </c>
      <c r="C5468">
        <f t="shared" si="190"/>
        <v>1.8566215926164302E-2</v>
      </c>
      <c r="D5468">
        <f t="shared" si="189"/>
        <v>1.9276825939040547</v>
      </c>
    </row>
    <row r="5469" spans="1:4">
      <c r="A5469" s="1">
        <v>26241</v>
      </c>
      <c r="B5469">
        <v>94.79</v>
      </c>
      <c r="C5469">
        <f t="shared" si="190"/>
        <v>-1.2643557054050189E-3</v>
      </c>
      <c r="D5469">
        <f t="shared" si="189"/>
        <v>-0.1664190296508522</v>
      </c>
    </row>
    <row r="5470" spans="1:4">
      <c r="A5470" s="1">
        <v>26242</v>
      </c>
      <c r="B5470">
        <v>94.46</v>
      </c>
      <c r="C5470">
        <f t="shared" si="190"/>
        <v>-3.4813798923938443E-3</v>
      </c>
      <c r="D5470">
        <f t="shared" si="189"/>
        <v>-0.40053603019373535</v>
      </c>
    </row>
    <row r="5471" spans="1:4">
      <c r="A5471" s="1">
        <v>26245</v>
      </c>
      <c r="B5471">
        <v>94.39</v>
      </c>
      <c r="C5471">
        <f t="shared" si="190"/>
        <v>-7.4105441456694034E-4</v>
      </c>
      <c r="D5471">
        <f t="shared" si="189"/>
        <v>-0.11115859121710256</v>
      </c>
    </row>
    <row r="5472" spans="1:4">
      <c r="A5472" s="1">
        <v>26246</v>
      </c>
      <c r="B5472">
        <v>94.46</v>
      </c>
      <c r="C5472">
        <f t="shared" si="190"/>
        <v>7.4160398347275329E-4</v>
      </c>
      <c r="D5472">
        <f t="shared" si="189"/>
        <v>4.5409631635812464E-2</v>
      </c>
    </row>
    <row r="5473" spans="1:4">
      <c r="A5473" s="1">
        <v>26247</v>
      </c>
      <c r="B5473">
        <v>93.41</v>
      </c>
      <c r="C5473">
        <f t="shared" si="190"/>
        <v>-1.1115816218505157E-2</v>
      </c>
      <c r="D5473">
        <f t="shared" si="189"/>
        <v>-1.2067299111600946</v>
      </c>
    </row>
    <row r="5474" spans="1:4">
      <c r="A5474" s="1">
        <v>26248</v>
      </c>
      <c r="B5474">
        <v>92.12</v>
      </c>
      <c r="C5474">
        <f t="shared" si="190"/>
        <v>-1.3810084573386063E-2</v>
      </c>
      <c r="D5474">
        <f t="shared" si="189"/>
        <v>-1.4912437336092068</v>
      </c>
    </row>
    <row r="5475" spans="1:4">
      <c r="A5475" s="1">
        <v>26249</v>
      </c>
      <c r="B5475">
        <v>92.12</v>
      </c>
      <c r="C5475">
        <f t="shared" si="190"/>
        <v>0</v>
      </c>
      <c r="D5475">
        <f t="shared" si="189"/>
        <v>-3.29034969354682E-2</v>
      </c>
    </row>
    <row r="5476" spans="1:4">
      <c r="A5476" s="1">
        <v>26252</v>
      </c>
      <c r="B5476">
        <v>91.81</v>
      </c>
      <c r="C5476">
        <f t="shared" si="190"/>
        <v>-3.3651758575770981E-3</v>
      </c>
      <c r="D5476">
        <f t="shared" si="189"/>
        <v>-0.38826492361675757</v>
      </c>
    </row>
    <row r="5477" spans="1:4">
      <c r="A5477" s="1">
        <v>26253</v>
      </c>
      <c r="B5477">
        <v>92.71</v>
      </c>
      <c r="C5477">
        <f t="shared" si="190"/>
        <v>9.8028537196382902E-3</v>
      </c>
      <c r="D5477">
        <f t="shared" si="189"/>
        <v>1.002274523706455</v>
      </c>
    </row>
    <row r="5478" spans="1:4">
      <c r="A5478" s="1">
        <v>26254</v>
      </c>
      <c r="B5478">
        <v>92.85</v>
      </c>
      <c r="C5478">
        <f t="shared" si="190"/>
        <v>1.5100852119512521E-3</v>
      </c>
      <c r="D5478">
        <f t="shared" si="189"/>
        <v>0.12656098814368039</v>
      </c>
    </row>
    <row r="5479" spans="1:4">
      <c r="A5479" s="1">
        <v>26255</v>
      </c>
      <c r="B5479">
        <v>92.13</v>
      </c>
      <c r="C5479">
        <f t="shared" si="190"/>
        <v>-7.7544426494345602E-3</v>
      </c>
      <c r="D5479">
        <f t="shared" si="189"/>
        <v>-0.85177000485263121</v>
      </c>
    </row>
    <row r="5480" spans="1:4">
      <c r="A5480" s="1">
        <v>26256</v>
      </c>
      <c r="B5480">
        <v>91.61</v>
      </c>
      <c r="C5480">
        <f t="shared" si="190"/>
        <v>-5.6441984152827097E-3</v>
      </c>
      <c r="D5480">
        <f t="shared" si="189"/>
        <v>-0.62892893103306313</v>
      </c>
    </row>
    <row r="5481" spans="1:4">
      <c r="A5481" s="1">
        <v>26259</v>
      </c>
      <c r="B5481">
        <v>90.79</v>
      </c>
      <c r="C5481">
        <f t="shared" si="190"/>
        <v>-8.9509878834187658E-3</v>
      </c>
      <c r="D5481">
        <f t="shared" si="189"/>
        <v>-0.97812477483587645</v>
      </c>
    </row>
    <row r="5482" spans="1:4">
      <c r="A5482" s="1">
        <v>26260</v>
      </c>
      <c r="B5482">
        <v>90.16</v>
      </c>
      <c r="C5482">
        <f t="shared" si="190"/>
        <v>-6.9390902081728125E-3</v>
      </c>
      <c r="D5482">
        <f t="shared" si="189"/>
        <v>-0.76566906420715164</v>
      </c>
    </row>
    <row r="5483" spans="1:4">
      <c r="A5483" s="1">
        <v>26261</v>
      </c>
      <c r="B5483">
        <v>90.33</v>
      </c>
      <c r="C5483">
        <f t="shared" si="190"/>
        <v>1.8855368234250412E-3</v>
      </c>
      <c r="D5483">
        <f t="shared" si="189"/>
        <v>0.16620855069310894</v>
      </c>
    </row>
    <row r="5484" spans="1:4">
      <c r="A5484" s="1">
        <v>26263</v>
      </c>
      <c r="B5484">
        <v>91.94</v>
      </c>
      <c r="C5484">
        <f t="shared" si="190"/>
        <v>1.7823535923834823E-2</v>
      </c>
      <c r="D5484">
        <f t="shared" si="189"/>
        <v>1.8492558381072604</v>
      </c>
    </row>
    <row r="5485" spans="1:4">
      <c r="A5485" s="1">
        <v>26266</v>
      </c>
      <c r="B5485">
        <v>93.41</v>
      </c>
      <c r="C5485">
        <f t="shared" si="190"/>
        <v>1.5988688274961919E-2</v>
      </c>
      <c r="D5485">
        <f t="shared" si="189"/>
        <v>1.6554965500813013</v>
      </c>
    </row>
    <row r="5486" spans="1:4">
      <c r="A5486" s="1">
        <v>26267</v>
      </c>
      <c r="B5486">
        <v>93.99</v>
      </c>
      <c r="C5486">
        <f t="shared" si="190"/>
        <v>6.2091853120650716E-3</v>
      </c>
      <c r="D5486">
        <f t="shared" si="189"/>
        <v>0.62278436141396676</v>
      </c>
    </row>
    <row r="5487" spans="1:4">
      <c r="A5487" s="1">
        <v>26268</v>
      </c>
      <c r="B5487">
        <v>95.44</v>
      </c>
      <c r="C5487">
        <f t="shared" si="190"/>
        <v>1.5427173103521683E-2</v>
      </c>
      <c r="D5487">
        <f t="shared" si="189"/>
        <v>1.5962007388454933</v>
      </c>
    </row>
    <row r="5488" spans="1:4">
      <c r="A5488" s="1">
        <v>26269</v>
      </c>
      <c r="B5488">
        <v>95.84</v>
      </c>
      <c r="C5488">
        <f t="shared" si="190"/>
        <v>4.1911148365465813E-3</v>
      </c>
      <c r="D5488">
        <f t="shared" si="189"/>
        <v>0.40967680517469868</v>
      </c>
    </row>
    <row r="5489" spans="1:4">
      <c r="A5489" s="1">
        <v>26270</v>
      </c>
      <c r="B5489">
        <v>97.06</v>
      </c>
      <c r="C5489">
        <f t="shared" si="190"/>
        <v>1.27295492487479E-2</v>
      </c>
      <c r="D5489">
        <f t="shared" si="189"/>
        <v>1.3113325767482831</v>
      </c>
    </row>
    <row r="5490" spans="1:4">
      <c r="A5490" s="1">
        <v>26273</v>
      </c>
      <c r="B5490">
        <v>96.51</v>
      </c>
      <c r="C5490">
        <f t="shared" si="190"/>
        <v>-5.666597980630508E-3</v>
      </c>
      <c r="D5490">
        <f t="shared" si="189"/>
        <v>-0.63129431751980847</v>
      </c>
    </row>
    <row r="5491" spans="1:4">
      <c r="A5491" s="1">
        <v>26274</v>
      </c>
      <c r="B5491">
        <v>96.87</v>
      </c>
      <c r="C5491">
        <f t="shared" si="190"/>
        <v>3.7301834006838609E-3</v>
      </c>
      <c r="D5491">
        <f t="shared" si="189"/>
        <v>0.36100260222580305</v>
      </c>
    </row>
    <row r="5492" spans="1:4">
      <c r="A5492" s="1">
        <v>26275</v>
      </c>
      <c r="B5492">
        <v>96.92</v>
      </c>
      <c r="C5492">
        <f t="shared" si="190"/>
        <v>5.1615567255081194E-4</v>
      </c>
      <c r="D5492">
        <f t="shared" si="189"/>
        <v>2.1602366636059776E-2</v>
      </c>
    </row>
    <row r="5493" spans="1:4">
      <c r="A5493" s="1">
        <v>26276</v>
      </c>
      <c r="B5493">
        <v>96.96</v>
      </c>
      <c r="C5493">
        <f t="shared" si="190"/>
        <v>4.1271151465117667E-4</v>
      </c>
      <c r="D5493">
        <f t="shared" si="189"/>
        <v>1.0678698724236012E-2</v>
      </c>
    </row>
    <row r="5494" spans="1:4">
      <c r="A5494" s="1">
        <v>26277</v>
      </c>
      <c r="B5494">
        <v>97.69</v>
      </c>
      <c r="C5494">
        <f t="shared" si="190"/>
        <v>7.5288778877888205E-3</v>
      </c>
      <c r="D5494">
        <f t="shared" si="189"/>
        <v>0.76214344882509255</v>
      </c>
    </row>
    <row r="5495" spans="1:4">
      <c r="A5495" s="1">
        <v>26280</v>
      </c>
      <c r="B5495">
        <v>97.97</v>
      </c>
      <c r="C5495">
        <f t="shared" si="190"/>
        <v>2.8662094380182326E-3</v>
      </c>
      <c r="D5495">
        <f t="shared" si="189"/>
        <v>0.26976724544733177</v>
      </c>
    </row>
    <row r="5496" spans="1:4">
      <c r="A5496" s="1">
        <v>26281</v>
      </c>
      <c r="B5496">
        <v>97.67</v>
      </c>
      <c r="C5496">
        <f t="shared" si="190"/>
        <v>-3.0621618862916931E-3</v>
      </c>
      <c r="D5496">
        <f t="shared" si="189"/>
        <v>-0.35626675124847212</v>
      </c>
    </row>
    <row r="5497" spans="1:4">
      <c r="A5497" s="1">
        <v>26282</v>
      </c>
      <c r="B5497">
        <v>98.54</v>
      </c>
      <c r="C5497">
        <f t="shared" si="190"/>
        <v>8.9075458175489359E-3</v>
      </c>
      <c r="D5497">
        <f t="shared" si="189"/>
        <v>0.90773031357576184</v>
      </c>
    </row>
    <row r="5498" spans="1:4">
      <c r="A5498" s="1">
        <v>26283</v>
      </c>
      <c r="B5498">
        <v>99.74</v>
      </c>
      <c r="C5498">
        <f t="shared" si="190"/>
        <v>1.2177795818956652E-2</v>
      </c>
      <c r="D5498">
        <f t="shared" si="189"/>
        <v>1.2530676021124307</v>
      </c>
    </row>
    <row r="5499" spans="1:4">
      <c r="A5499" s="1">
        <v>26284</v>
      </c>
      <c r="B5499">
        <v>100.26</v>
      </c>
      <c r="C5499">
        <f t="shared" si="190"/>
        <v>5.2135552436335499E-3</v>
      </c>
      <c r="D5499">
        <f t="shared" si="189"/>
        <v>0.51764616461870183</v>
      </c>
    </row>
    <row r="5500" spans="1:4">
      <c r="A5500" s="1">
        <v>26287</v>
      </c>
      <c r="B5500">
        <v>101.55</v>
      </c>
      <c r="C5500">
        <f t="shared" si="190"/>
        <v>1.2866546977857491E-2</v>
      </c>
      <c r="D5500">
        <f t="shared" si="189"/>
        <v>1.3257994903744652</v>
      </c>
    </row>
    <row r="5501" spans="1:4">
      <c r="A5501" s="1">
        <v>26288</v>
      </c>
      <c r="B5501">
        <v>101.8</v>
      </c>
      <c r="C5501">
        <f t="shared" si="190"/>
        <v>2.461841457410143E-3</v>
      </c>
      <c r="D5501">
        <f t="shared" si="189"/>
        <v>0.22706612414647251</v>
      </c>
    </row>
    <row r="5502" spans="1:4">
      <c r="A5502" s="1">
        <v>26289</v>
      </c>
      <c r="B5502">
        <v>101.18</v>
      </c>
      <c r="C5502">
        <f t="shared" si="190"/>
        <v>-6.0903732809429309E-3</v>
      </c>
      <c r="D5502">
        <f t="shared" si="189"/>
        <v>-0.67604484518457686</v>
      </c>
    </row>
    <row r="5503" spans="1:4">
      <c r="A5503" s="1">
        <v>26290</v>
      </c>
      <c r="B5503">
        <v>100.74</v>
      </c>
      <c r="C5503">
        <f t="shared" si="190"/>
        <v>-4.3486855109706657E-3</v>
      </c>
      <c r="D5503">
        <f t="shared" si="189"/>
        <v>-0.49212320870394377</v>
      </c>
    </row>
    <row r="5504" spans="1:4">
      <c r="A5504" s="1">
        <v>26294</v>
      </c>
      <c r="B5504">
        <v>100.95</v>
      </c>
      <c r="C5504">
        <f t="shared" si="190"/>
        <v>2.0845741512806031E-3</v>
      </c>
      <c r="D5504">
        <f t="shared" si="189"/>
        <v>0.1872268248585813</v>
      </c>
    </row>
    <row r="5505" spans="1:4">
      <c r="A5505" s="1">
        <v>26295</v>
      </c>
      <c r="B5505">
        <v>101.95</v>
      </c>
      <c r="C5505">
        <f t="shared" si="190"/>
        <v>9.9058940069341253E-3</v>
      </c>
      <c r="D5505">
        <f t="shared" si="189"/>
        <v>1.0131555430197998</v>
      </c>
    </row>
    <row r="5506" spans="1:4">
      <c r="A5506" s="1">
        <v>26296</v>
      </c>
      <c r="B5506">
        <v>102.21</v>
      </c>
      <c r="C5506">
        <f t="shared" si="190"/>
        <v>2.5502697400685719E-3</v>
      </c>
      <c r="D5506">
        <f t="shared" si="189"/>
        <v>0.23640412073696887</v>
      </c>
    </row>
    <row r="5507" spans="1:4">
      <c r="A5507" s="1">
        <v>26297</v>
      </c>
      <c r="B5507">
        <v>101.78</v>
      </c>
      <c r="C5507">
        <f t="shared" si="190"/>
        <v>-4.2070247529595213E-3</v>
      </c>
      <c r="D5507">
        <f t="shared" ref="D5507:D5570" si="191">(C5507-avg)/sd</f>
        <v>-0.47716388081079825</v>
      </c>
    </row>
    <row r="5508" spans="1:4">
      <c r="A5508" s="1">
        <v>26298</v>
      </c>
      <c r="B5508">
        <v>102.09</v>
      </c>
      <c r="C5508">
        <f t="shared" ref="C5508:C5571" si="192">(B5508-B5507)/B5507</f>
        <v>3.0457850265278273E-3</v>
      </c>
      <c r="D5508">
        <f t="shared" si="191"/>
        <v>0.28873036655323658</v>
      </c>
    </row>
    <row r="5509" spans="1:4">
      <c r="A5509" s="1">
        <v>26301</v>
      </c>
      <c r="B5509">
        <v>101.67</v>
      </c>
      <c r="C5509">
        <f t="shared" si="192"/>
        <v>-4.1140170437849125E-3</v>
      </c>
      <c r="D5509">
        <f t="shared" si="191"/>
        <v>-0.46734229833681595</v>
      </c>
    </row>
    <row r="5510" spans="1:4">
      <c r="A5510" s="1">
        <v>26302</v>
      </c>
      <c r="B5510">
        <v>102.09</v>
      </c>
      <c r="C5510">
        <f t="shared" si="192"/>
        <v>4.1310120979640179E-3</v>
      </c>
      <c r="D5510">
        <f t="shared" si="191"/>
        <v>0.40332997641029344</v>
      </c>
    </row>
    <row r="5511" spans="1:4">
      <c r="A5511" s="1">
        <v>26303</v>
      </c>
      <c r="B5511">
        <v>103.06</v>
      </c>
      <c r="C5511">
        <f t="shared" si="192"/>
        <v>9.5014203154079619E-3</v>
      </c>
      <c r="D5511">
        <f t="shared" si="191"/>
        <v>0.97044325868192494</v>
      </c>
    </row>
    <row r="5512" spans="1:4">
      <c r="A5512" s="1">
        <v>26304</v>
      </c>
      <c r="B5512">
        <v>103.51</v>
      </c>
      <c r="C5512">
        <f t="shared" si="192"/>
        <v>4.3663885115466997E-3</v>
      </c>
      <c r="D5512">
        <f t="shared" si="191"/>
        <v>0.42818564567629425</v>
      </c>
    </row>
    <row r="5513" spans="1:4">
      <c r="A5513" s="1">
        <v>26305</v>
      </c>
      <c r="B5513">
        <v>103.47</v>
      </c>
      <c r="C5513">
        <f t="shared" si="192"/>
        <v>-3.8643609313115886E-4</v>
      </c>
      <c r="D5513">
        <f t="shared" si="191"/>
        <v>-7.371101701410826E-2</v>
      </c>
    </row>
    <row r="5514" spans="1:4">
      <c r="A5514" s="1">
        <v>26308</v>
      </c>
      <c r="B5514">
        <v>103.32</v>
      </c>
      <c r="C5514">
        <f t="shared" si="192"/>
        <v>-1.4496955639316292E-3</v>
      </c>
      <c r="D5514">
        <f t="shared" si="191"/>
        <v>-0.18599085571118334</v>
      </c>
    </row>
    <row r="5515" spans="1:4">
      <c r="A5515" s="1">
        <v>26309</v>
      </c>
      <c r="B5515">
        <v>103.65</v>
      </c>
      <c r="C5515">
        <f t="shared" si="192"/>
        <v>3.193960511033803E-3</v>
      </c>
      <c r="D5515">
        <f t="shared" si="191"/>
        <v>0.30437764734977324</v>
      </c>
    </row>
    <row r="5516" spans="1:4">
      <c r="A5516" s="1">
        <v>26310</v>
      </c>
      <c r="B5516">
        <v>103.59</v>
      </c>
      <c r="C5516">
        <f t="shared" si="192"/>
        <v>-5.7887120115776428E-4</v>
      </c>
      <c r="D5516">
        <f t="shared" si="191"/>
        <v>-9.4032099009846382E-2</v>
      </c>
    </row>
    <row r="5517" spans="1:4">
      <c r="A5517" s="1">
        <v>26311</v>
      </c>
      <c r="B5517">
        <v>102.99</v>
      </c>
      <c r="C5517">
        <f t="shared" si="192"/>
        <v>-5.7920648711266391E-3</v>
      </c>
      <c r="D5517">
        <f t="shared" si="191"/>
        <v>-0.64454357850793165</v>
      </c>
    </row>
    <row r="5518" spans="1:4">
      <c r="A5518" s="1">
        <v>26312</v>
      </c>
      <c r="B5518">
        <v>103.39</v>
      </c>
      <c r="C5518">
        <f t="shared" si="192"/>
        <v>3.8838722206039973E-3</v>
      </c>
      <c r="D5518">
        <f t="shared" si="191"/>
        <v>0.37723208936800129</v>
      </c>
    </row>
    <row r="5519" spans="1:4">
      <c r="A5519" s="1">
        <v>26315</v>
      </c>
      <c r="B5519">
        <v>103.7</v>
      </c>
      <c r="C5519">
        <f t="shared" si="192"/>
        <v>2.9983557404004474E-3</v>
      </c>
      <c r="D5519">
        <f t="shared" si="191"/>
        <v>0.28372185006018297</v>
      </c>
    </row>
    <row r="5520" spans="1:4">
      <c r="A5520" s="1">
        <v>26316</v>
      </c>
      <c r="B5520">
        <v>104.05</v>
      </c>
      <c r="C5520">
        <f t="shared" si="192"/>
        <v>3.3751205400192317E-3</v>
      </c>
      <c r="D5520">
        <f t="shared" si="191"/>
        <v>0.32350808483134869</v>
      </c>
    </row>
    <row r="5521" spans="1:4">
      <c r="A5521" s="1">
        <v>26317</v>
      </c>
      <c r="B5521">
        <v>103.88</v>
      </c>
      <c r="C5521">
        <f t="shared" si="192"/>
        <v>-1.6338298894762297E-3</v>
      </c>
      <c r="D5521">
        <f t="shared" si="191"/>
        <v>-0.20543537789839478</v>
      </c>
    </row>
    <row r="5522" spans="1:4">
      <c r="A5522" s="1">
        <v>26318</v>
      </c>
      <c r="B5522">
        <v>103.88</v>
      </c>
      <c r="C5522">
        <f t="shared" si="192"/>
        <v>0</v>
      </c>
      <c r="D5522">
        <f t="shared" si="191"/>
        <v>-3.29034969354682E-2</v>
      </c>
    </row>
    <row r="5523" spans="1:4">
      <c r="A5523" s="1">
        <v>26319</v>
      </c>
      <c r="B5523">
        <v>103.65</v>
      </c>
      <c r="C5523">
        <f t="shared" si="192"/>
        <v>-2.2140931844434903E-3</v>
      </c>
      <c r="D5523">
        <f t="shared" si="191"/>
        <v>-0.26671098460586007</v>
      </c>
    </row>
    <row r="5524" spans="1:4">
      <c r="A5524" s="1">
        <v>26322</v>
      </c>
      <c r="B5524">
        <v>102.57</v>
      </c>
      <c r="C5524">
        <f t="shared" si="192"/>
        <v>-1.0419681620839484E-2</v>
      </c>
      <c r="D5524">
        <f t="shared" si="191"/>
        <v>-1.1332183342742466</v>
      </c>
    </row>
    <row r="5525" spans="1:4">
      <c r="A5525" s="1">
        <v>26323</v>
      </c>
      <c r="B5525">
        <v>102.7</v>
      </c>
      <c r="C5525">
        <f t="shared" si="192"/>
        <v>1.2674271229405252E-3</v>
      </c>
      <c r="D5525">
        <f t="shared" si="191"/>
        <v>0.10093637642763974</v>
      </c>
    </row>
    <row r="5526" spans="1:4">
      <c r="A5526" s="1">
        <v>26324</v>
      </c>
      <c r="B5526">
        <v>102.5</v>
      </c>
      <c r="C5526">
        <f t="shared" si="192"/>
        <v>-1.9474196689386839E-3</v>
      </c>
      <c r="D5526">
        <f t="shared" si="191"/>
        <v>-0.23855035201528477</v>
      </c>
    </row>
    <row r="5527" spans="1:4">
      <c r="A5527" s="1">
        <v>26325</v>
      </c>
      <c r="B5527">
        <v>103.5</v>
      </c>
      <c r="C5527">
        <f t="shared" si="192"/>
        <v>9.7560975609756097E-3</v>
      </c>
      <c r="D5527">
        <f t="shared" si="191"/>
        <v>0.99733708924486653</v>
      </c>
    </row>
    <row r="5528" spans="1:4">
      <c r="A5528" s="1">
        <v>26326</v>
      </c>
      <c r="B5528">
        <v>104.16</v>
      </c>
      <c r="C5528">
        <f t="shared" si="192"/>
        <v>6.3768115942028653E-3</v>
      </c>
      <c r="D5528">
        <f t="shared" si="191"/>
        <v>0.64048563982877604</v>
      </c>
    </row>
    <row r="5529" spans="1:4">
      <c r="A5529" s="1">
        <v>26329</v>
      </c>
      <c r="B5529">
        <v>103.94</v>
      </c>
      <c r="C5529">
        <f t="shared" si="192"/>
        <v>-2.1121351766512949E-3</v>
      </c>
      <c r="D5529">
        <f t="shared" si="191"/>
        <v>-0.255944253640215</v>
      </c>
    </row>
    <row r="5530" spans="1:4">
      <c r="A5530" s="1">
        <v>26330</v>
      </c>
      <c r="B5530">
        <v>104.01</v>
      </c>
      <c r="C5530">
        <f t="shared" si="192"/>
        <v>6.73465460842865E-4</v>
      </c>
      <c r="D5530">
        <f t="shared" si="191"/>
        <v>3.8214226807505455E-2</v>
      </c>
    </row>
    <row r="5531" spans="1:4">
      <c r="A5531" s="1">
        <v>26331</v>
      </c>
      <c r="B5531">
        <v>104.68</v>
      </c>
      <c r="C5531">
        <f t="shared" si="192"/>
        <v>6.4416882992020157E-3</v>
      </c>
      <c r="D5531">
        <f t="shared" si="191"/>
        <v>0.64733659782402275</v>
      </c>
    </row>
    <row r="5532" spans="1:4">
      <c r="A5532" s="1">
        <v>26332</v>
      </c>
      <c r="B5532">
        <v>104.64</v>
      </c>
      <c r="C5532">
        <f t="shared" si="192"/>
        <v>-3.8211692777996033E-4</v>
      </c>
      <c r="D5532">
        <f t="shared" si="191"/>
        <v>-7.3254914621177322E-2</v>
      </c>
    </row>
    <row r="5533" spans="1:4">
      <c r="A5533" s="1">
        <v>26333</v>
      </c>
      <c r="B5533">
        <v>104.86</v>
      </c>
      <c r="C5533">
        <f t="shared" si="192"/>
        <v>2.1024464831804171E-3</v>
      </c>
      <c r="D5533">
        <f t="shared" si="191"/>
        <v>0.18911413703210087</v>
      </c>
    </row>
    <row r="5534" spans="1:4">
      <c r="A5534" s="1">
        <v>26336</v>
      </c>
      <c r="B5534">
        <v>104.54</v>
      </c>
      <c r="C5534">
        <f t="shared" si="192"/>
        <v>-3.0516879649055235E-3</v>
      </c>
      <c r="D5534">
        <f t="shared" si="191"/>
        <v>-0.35516070871035144</v>
      </c>
    </row>
    <row r="5535" spans="1:4">
      <c r="A5535" s="1">
        <v>26337</v>
      </c>
      <c r="B5535">
        <v>104.74</v>
      </c>
      <c r="C5535">
        <f t="shared" si="192"/>
        <v>1.9131432944326442E-3</v>
      </c>
      <c r="D5535">
        <f t="shared" si="191"/>
        <v>0.16912378464761638</v>
      </c>
    </row>
    <row r="5536" spans="1:4">
      <c r="A5536" s="1">
        <v>26338</v>
      </c>
      <c r="B5536">
        <v>105.55</v>
      </c>
      <c r="C5536">
        <f t="shared" si="192"/>
        <v>7.7334351728088821E-3</v>
      </c>
      <c r="D5536">
        <f t="shared" si="191"/>
        <v>0.7837446285908114</v>
      </c>
    </row>
    <row r="5537" spans="1:4">
      <c r="A5537" s="1">
        <v>26339</v>
      </c>
      <c r="B5537">
        <v>105.59</v>
      </c>
      <c r="C5537">
        <f t="shared" si="192"/>
        <v>3.7896731406922079E-4</v>
      </c>
      <c r="D5537">
        <f t="shared" si="191"/>
        <v>7.1153226129925581E-3</v>
      </c>
    </row>
    <row r="5538" spans="1:4">
      <c r="A5538" s="1">
        <v>26340</v>
      </c>
      <c r="B5538">
        <v>105.08</v>
      </c>
      <c r="C5538">
        <f t="shared" si="192"/>
        <v>-4.8300028411781904E-3</v>
      </c>
      <c r="D5538">
        <f t="shared" si="191"/>
        <v>-0.54295015516614853</v>
      </c>
    </row>
    <row r="5539" spans="1:4">
      <c r="A5539" s="1">
        <v>26343</v>
      </c>
      <c r="B5539">
        <v>104.59</v>
      </c>
      <c r="C5539">
        <f t="shared" si="192"/>
        <v>-4.6631138180433466E-3</v>
      </c>
      <c r="D5539">
        <f t="shared" si="191"/>
        <v>-0.52532673105144434</v>
      </c>
    </row>
    <row r="5540" spans="1:4">
      <c r="A5540" s="1">
        <v>26344</v>
      </c>
      <c r="B5540">
        <v>105.03</v>
      </c>
      <c r="C5540">
        <f t="shared" si="192"/>
        <v>4.2069031456161941E-3</v>
      </c>
      <c r="D5540">
        <f t="shared" si="191"/>
        <v>0.41134404524574281</v>
      </c>
    </row>
    <row r="5541" spans="1:4">
      <c r="A5541" s="1">
        <v>26345</v>
      </c>
      <c r="B5541">
        <v>105.62</v>
      </c>
      <c r="C5541">
        <f t="shared" si="192"/>
        <v>5.6174426354375267E-3</v>
      </c>
      <c r="D5541">
        <f t="shared" si="191"/>
        <v>0.56029653590520678</v>
      </c>
    </row>
    <row r="5542" spans="1:4">
      <c r="A5542" s="1">
        <v>26346</v>
      </c>
      <c r="B5542">
        <v>105.59</v>
      </c>
      <c r="C5542">
        <f t="shared" si="192"/>
        <v>-2.8403711418293064E-4</v>
      </c>
      <c r="D5542">
        <f t="shared" si="191"/>
        <v>-6.2897719644279496E-2</v>
      </c>
    </row>
    <row r="5543" spans="1:4">
      <c r="A5543" s="1">
        <v>26347</v>
      </c>
      <c r="B5543">
        <v>105.28</v>
      </c>
      <c r="C5543">
        <f t="shared" si="192"/>
        <v>-2.935884079931833E-3</v>
      </c>
      <c r="D5543">
        <f t="shared" si="191"/>
        <v>-0.34293185782078284</v>
      </c>
    </row>
    <row r="5544" spans="1:4">
      <c r="A5544" s="1">
        <v>26351</v>
      </c>
      <c r="B5544">
        <v>105.29</v>
      </c>
      <c r="C5544">
        <f t="shared" si="192"/>
        <v>9.4984802431659541E-5</v>
      </c>
      <c r="D5544">
        <f t="shared" si="191"/>
        <v>-2.2873134085588036E-2</v>
      </c>
    </row>
    <row r="5545" spans="1:4">
      <c r="A5545" s="1">
        <v>26352</v>
      </c>
      <c r="B5545">
        <v>105.38</v>
      </c>
      <c r="C5545">
        <f t="shared" si="192"/>
        <v>8.5478203058209892E-4</v>
      </c>
      <c r="D5545">
        <f t="shared" si="191"/>
        <v>5.7361194939471928E-2</v>
      </c>
    </row>
    <row r="5546" spans="1:4">
      <c r="A5546" s="1">
        <v>26353</v>
      </c>
      <c r="B5546">
        <v>105.45</v>
      </c>
      <c r="C5546">
        <f t="shared" si="192"/>
        <v>6.642626684381039E-4</v>
      </c>
      <c r="D5546">
        <f t="shared" si="191"/>
        <v>3.7242415057743811E-2</v>
      </c>
    </row>
    <row r="5547" spans="1:4">
      <c r="A5547" s="1">
        <v>26354</v>
      </c>
      <c r="B5547">
        <v>106.18</v>
      </c>
      <c r="C5547">
        <f t="shared" si="192"/>
        <v>6.922712185870118E-3</v>
      </c>
      <c r="D5547">
        <f t="shared" si="191"/>
        <v>0.69813255674821084</v>
      </c>
    </row>
    <row r="5548" spans="1:4">
      <c r="A5548" s="1">
        <v>26357</v>
      </c>
      <c r="B5548">
        <v>106.19</v>
      </c>
      <c r="C5548">
        <f t="shared" si="192"/>
        <v>9.4179694857703E-5</v>
      </c>
      <c r="D5548">
        <f t="shared" si="191"/>
        <v>-2.2958153171728484E-2</v>
      </c>
    </row>
    <row r="5549" spans="1:4">
      <c r="A5549" s="1">
        <v>26358</v>
      </c>
      <c r="B5549">
        <v>106.57</v>
      </c>
      <c r="C5549">
        <f t="shared" si="192"/>
        <v>3.5784913833693892E-3</v>
      </c>
      <c r="D5549">
        <f t="shared" si="191"/>
        <v>0.34498397676001685</v>
      </c>
    </row>
    <row r="5550" spans="1:4">
      <c r="A5550" s="1">
        <v>26359</v>
      </c>
      <c r="B5550">
        <v>107.35</v>
      </c>
      <c r="C5550">
        <f t="shared" si="192"/>
        <v>7.3191329642488621E-3</v>
      </c>
      <c r="D5550">
        <f t="shared" si="191"/>
        <v>0.73999445619503645</v>
      </c>
    </row>
    <row r="5551" spans="1:4">
      <c r="A5551" s="1">
        <v>26360</v>
      </c>
      <c r="B5551">
        <v>107.32</v>
      </c>
      <c r="C5551">
        <f t="shared" si="192"/>
        <v>-2.7945971122497569E-4</v>
      </c>
      <c r="D5551">
        <f t="shared" si="191"/>
        <v>-6.2414347447854318E-2</v>
      </c>
    </row>
    <row r="5552" spans="1:4">
      <c r="A5552" s="1">
        <v>26361</v>
      </c>
      <c r="B5552">
        <v>107.94</v>
      </c>
      <c r="C5552">
        <f t="shared" si="192"/>
        <v>5.777115169586327E-3</v>
      </c>
      <c r="D5552">
        <f t="shared" si="191"/>
        <v>0.57715790123598865</v>
      </c>
    </row>
    <row r="5553" spans="1:4">
      <c r="A5553" s="1">
        <v>26364</v>
      </c>
      <c r="B5553">
        <v>108.77</v>
      </c>
      <c r="C5553">
        <f t="shared" si="192"/>
        <v>7.6894571057995022E-3</v>
      </c>
      <c r="D5553">
        <f t="shared" si="191"/>
        <v>0.77910055966349223</v>
      </c>
    </row>
    <row r="5554" spans="1:4">
      <c r="A5554" s="1">
        <v>26365</v>
      </c>
      <c r="B5554">
        <v>108.87</v>
      </c>
      <c r="C5554">
        <f t="shared" si="192"/>
        <v>9.1937115013338727E-4</v>
      </c>
      <c r="D5554">
        <f t="shared" si="191"/>
        <v>6.4181784009179524E-2</v>
      </c>
    </row>
    <row r="5555" spans="1:4">
      <c r="A5555" s="1">
        <v>26366</v>
      </c>
      <c r="B5555">
        <v>108.96</v>
      </c>
      <c r="C5555">
        <f t="shared" si="192"/>
        <v>8.2667401488003298E-4</v>
      </c>
      <c r="D5555">
        <f t="shared" si="191"/>
        <v>5.4392998035712528E-2</v>
      </c>
    </row>
    <row r="5556" spans="1:4">
      <c r="A5556" s="1">
        <v>26367</v>
      </c>
      <c r="B5556">
        <v>108.94</v>
      </c>
      <c r="C5556">
        <f t="shared" si="192"/>
        <v>-1.8355359765047743E-4</v>
      </c>
      <c r="D5556">
        <f t="shared" si="191"/>
        <v>-5.228669445445925E-2</v>
      </c>
    </row>
    <row r="5557" spans="1:4">
      <c r="A5557" s="1">
        <v>26368</v>
      </c>
      <c r="B5557">
        <v>108.38</v>
      </c>
      <c r="C5557">
        <f t="shared" si="192"/>
        <v>-5.1404442812557584E-3</v>
      </c>
      <c r="D5557">
        <f t="shared" si="191"/>
        <v>-0.57573266571416715</v>
      </c>
    </row>
    <row r="5558" spans="1:4">
      <c r="A5558" s="1">
        <v>26371</v>
      </c>
      <c r="B5558">
        <v>107.33</v>
      </c>
      <c r="C5558">
        <f t="shared" si="192"/>
        <v>-9.6881343421295184E-3</v>
      </c>
      <c r="D5558">
        <f t="shared" si="191"/>
        <v>-1.0559671903074761</v>
      </c>
    </row>
    <row r="5559" spans="1:4">
      <c r="A5559" s="1">
        <v>26372</v>
      </c>
      <c r="B5559">
        <v>107.61</v>
      </c>
      <c r="C5559">
        <f t="shared" si="192"/>
        <v>2.6087766700829324E-3</v>
      </c>
      <c r="D5559">
        <f t="shared" si="191"/>
        <v>0.24258243265901355</v>
      </c>
    </row>
    <row r="5560" spans="1:4">
      <c r="A5560" s="1">
        <v>26373</v>
      </c>
      <c r="B5560">
        <v>107.75</v>
      </c>
      <c r="C5560">
        <f t="shared" si="192"/>
        <v>1.3009943313818471E-3</v>
      </c>
      <c r="D5560">
        <f t="shared" si="191"/>
        <v>0.10448106222899479</v>
      </c>
    </row>
    <row r="5561" spans="1:4">
      <c r="A5561" s="1">
        <v>26374</v>
      </c>
      <c r="B5561">
        <v>107.5</v>
      </c>
      <c r="C5561">
        <f t="shared" si="192"/>
        <v>-2.3201856148491878E-3</v>
      </c>
      <c r="D5561">
        <f t="shared" si="191"/>
        <v>-0.27791430919413246</v>
      </c>
    </row>
    <row r="5562" spans="1:4">
      <c r="A5562" s="1">
        <v>26375</v>
      </c>
      <c r="B5562">
        <v>107.92</v>
      </c>
      <c r="C5562">
        <f t="shared" si="192"/>
        <v>3.9069767441860621E-3</v>
      </c>
      <c r="D5562">
        <f t="shared" si="191"/>
        <v>0.3796719192046582</v>
      </c>
    </row>
    <row r="5563" spans="1:4">
      <c r="A5563" s="1">
        <v>26378</v>
      </c>
      <c r="B5563">
        <v>107.59</v>
      </c>
      <c r="C5563">
        <f t="shared" si="192"/>
        <v>-3.0578206078576563E-3</v>
      </c>
      <c r="D5563">
        <f t="shared" si="191"/>
        <v>-0.35580831372151006</v>
      </c>
    </row>
    <row r="5564" spans="1:4">
      <c r="A5564" s="1">
        <v>26379</v>
      </c>
      <c r="B5564">
        <v>106.69</v>
      </c>
      <c r="C5564">
        <f t="shared" si="192"/>
        <v>-8.365089692350643E-3</v>
      </c>
      <c r="D5564">
        <f t="shared" si="191"/>
        <v>-0.91625412501555437</v>
      </c>
    </row>
    <row r="5565" spans="1:4">
      <c r="A5565" s="1">
        <v>26380</v>
      </c>
      <c r="B5565">
        <v>106.84</v>
      </c>
      <c r="C5565">
        <f t="shared" si="192"/>
        <v>1.4059424500890963E-3</v>
      </c>
      <c r="D5565">
        <f t="shared" si="191"/>
        <v>0.11556354789088148</v>
      </c>
    </row>
    <row r="5566" spans="1:4">
      <c r="A5566" s="1">
        <v>26381</v>
      </c>
      <c r="B5566">
        <v>107.75</v>
      </c>
      <c r="C5566">
        <f t="shared" si="192"/>
        <v>8.5174092100336624E-3</v>
      </c>
      <c r="D5566">
        <f t="shared" si="191"/>
        <v>0.86653202043602517</v>
      </c>
    </row>
    <row r="5567" spans="1:4">
      <c r="A5567" s="1">
        <v>26382</v>
      </c>
      <c r="B5567">
        <v>107.52</v>
      </c>
      <c r="C5567">
        <f t="shared" si="192"/>
        <v>-2.1345707656612897E-3</v>
      </c>
      <c r="D5567">
        <f t="shared" si="191"/>
        <v>-0.25831344421344321</v>
      </c>
    </row>
    <row r="5568" spans="1:4">
      <c r="A5568" s="1">
        <v>26385</v>
      </c>
      <c r="B5568">
        <v>107.3</v>
      </c>
      <c r="C5568">
        <f t="shared" si="192"/>
        <v>-2.0461309523809421E-3</v>
      </c>
      <c r="D5568">
        <f t="shared" si="191"/>
        <v>-0.24897422999319169</v>
      </c>
    </row>
    <row r="5569" spans="1:4">
      <c r="A5569" s="1">
        <v>26386</v>
      </c>
      <c r="B5569">
        <v>107.17</v>
      </c>
      <c r="C5569">
        <f t="shared" si="192"/>
        <v>-1.2115563839701347E-3</v>
      </c>
      <c r="D5569">
        <f t="shared" si="191"/>
        <v>-0.1608434392546898</v>
      </c>
    </row>
    <row r="5570" spans="1:4">
      <c r="A5570" s="1">
        <v>26387</v>
      </c>
      <c r="B5570">
        <v>106.49</v>
      </c>
      <c r="C5570">
        <f t="shared" si="192"/>
        <v>-6.3450592516563105E-3</v>
      </c>
      <c r="D5570">
        <f t="shared" si="191"/>
        <v>-0.70293959711994192</v>
      </c>
    </row>
    <row r="5571" spans="1:4">
      <c r="A5571" s="1">
        <v>26388</v>
      </c>
      <c r="B5571">
        <v>107.2</v>
      </c>
      <c r="C5571">
        <f t="shared" si="192"/>
        <v>6.6672927035403137E-3</v>
      </c>
      <c r="D5571">
        <f t="shared" ref="D5571:D5634" si="193">(C5571-avg)/sd</f>
        <v>0.67116034623548404</v>
      </c>
    </row>
    <row r="5572" spans="1:4">
      <c r="A5572" s="1">
        <v>26392</v>
      </c>
      <c r="B5572">
        <v>107.48</v>
      </c>
      <c r="C5572">
        <f t="shared" ref="C5572:C5635" si="194">(B5572-B5571)/B5571</f>
        <v>2.6119402985074732E-3</v>
      </c>
      <c r="D5572">
        <f t="shared" si="193"/>
        <v>0.24291651074527551</v>
      </c>
    </row>
    <row r="5573" spans="1:4">
      <c r="A5573" s="1">
        <v>26393</v>
      </c>
      <c r="B5573">
        <v>108.12</v>
      </c>
      <c r="C5573">
        <f t="shared" si="194"/>
        <v>5.9545962039449247E-3</v>
      </c>
      <c r="D5573">
        <f t="shared" si="193"/>
        <v>0.59589983813552183</v>
      </c>
    </row>
    <row r="5574" spans="1:4">
      <c r="A5574" s="1">
        <v>26394</v>
      </c>
      <c r="B5574">
        <v>109</v>
      </c>
      <c r="C5574">
        <f t="shared" si="194"/>
        <v>8.1391046984831249E-3</v>
      </c>
      <c r="D5574">
        <f t="shared" si="193"/>
        <v>0.82658319260823987</v>
      </c>
    </row>
    <row r="5575" spans="1:4">
      <c r="A5575" s="1">
        <v>26395</v>
      </c>
      <c r="B5575">
        <v>109.53</v>
      </c>
      <c r="C5575">
        <f t="shared" si="194"/>
        <v>4.8623853211009283E-3</v>
      </c>
      <c r="D5575">
        <f t="shared" si="193"/>
        <v>0.4805627401677135</v>
      </c>
    </row>
    <row r="5576" spans="1:4">
      <c r="A5576" s="1">
        <v>26396</v>
      </c>
      <c r="B5576">
        <v>109.62</v>
      </c>
      <c r="C5576">
        <f t="shared" si="194"/>
        <v>8.2169268693511736E-4</v>
      </c>
      <c r="D5576">
        <f t="shared" si="193"/>
        <v>5.3866971497965078E-2</v>
      </c>
    </row>
    <row r="5577" spans="1:4">
      <c r="A5577" s="1">
        <v>26399</v>
      </c>
      <c r="B5577">
        <v>109.45</v>
      </c>
      <c r="C5577">
        <f t="shared" si="194"/>
        <v>-1.5508118956394973E-3</v>
      </c>
      <c r="D5577">
        <f t="shared" si="193"/>
        <v>-0.19666870596842304</v>
      </c>
    </row>
    <row r="5578" spans="1:4">
      <c r="A5578" s="1">
        <v>26400</v>
      </c>
      <c r="B5578">
        <v>109.76</v>
      </c>
      <c r="C5578">
        <f t="shared" si="194"/>
        <v>2.8323435358611447E-3</v>
      </c>
      <c r="D5578">
        <f t="shared" si="193"/>
        <v>0.26619101769112274</v>
      </c>
    </row>
    <row r="5579" spans="1:4">
      <c r="A5579" s="1">
        <v>26401</v>
      </c>
      <c r="B5579">
        <v>110.18</v>
      </c>
      <c r="C5579">
        <f t="shared" si="194"/>
        <v>3.8265306122449135E-3</v>
      </c>
      <c r="D5579">
        <f t="shared" si="193"/>
        <v>0.37117683501664178</v>
      </c>
    </row>
    <row r="5580" spans="1:4">
      <c r="A5580" s="1">
        <v>26402</v>
      </c>
      <c r="B5580">
        <v>109.91</v>
      </c>
      <c r="C5580">
        <f t="shared" si="194"/>
        <v>-2.4505354873843731E-3</v>
      </c>
      <c r="D5580">
        <f t="shared" si="193"/>
        <v>-0.29167921142577352</v>
      </c>
    </row>
    <row r="5581" spans="1:4">
      <c r="A5581" s="1">
        <v>26403</v>
      </c>
      <c r="B5581">
        <v>109.84</v>
      </c>
      <c r="C5581">
        <f t="shared" si="194"/>
        <v>-6.3688472386491841E-4</v>
      </c>
      <c r="D5581">
        <f t="shared" si="193"/>
        <v>-0.10015830728796735</v>
      </c>
    </row>
    <row r="5582" spans="1:4">
      <c r="A5582" s="1">
        <v>26406</v>
      </c>
      <c r="B5582">
        <v>109.51</v>
      </c>
      <c r="C5582">
        <f t="shared" si="194"/>
        <v>-3.004369992716663E-3</v>
      </c>
      <c r="D5582">
        <f t="shared" si="193"/>
        <v>-0.35016394693136804</v>
      </c>
    </row>
    <row r="5583" spans="1:4">
      <c r="A5583" s="1">
        <v>26407</v>
      </c>
      <c r="B5583">
        <v>109.77</v>
      </c>
      <c r="C5583">
        <f t="shared" si="194"/>
        <v>2.3742124006939174E-3</v>
      </c>
      <c r="D5583">
        <f t="shared" si="193"/>
        <v>0.21781252554380273</v>
      </c>
    </row>
    <row r="5584" spans="1:4">
      <c r="A5584" s="1">
        <v>26408</v>
      </c>
      <c r="B5584">
        <v>109.2</v>
      </c>
      <c r="C5584">
        <f t="shared" si="194"/>
        <v>-5.192675594424644E-3</v>
      </c>
      <c r="D5584">
        <f t="shared" si="193"/>
        <v>-0.58124827463051543</v>
      </c>
    </row>
    <row r="5585" spans="1:4">
      <c r="A5585" s="1">
        <v>26409</v>
      </c>
      <c r="B5585">
        <v>109.04</v>
      </c>
      <c r="C5585">
        <f t="shared" si="194"/>
        <v>-1.465201465201434E-3</v>
      </c>
      <c r="D5585">
        <f t="shared" si="193"/>
        <v>-0.18762827361456277</v>
      </c>
    </row>
    <row r="5586" spans="1:4">
      <c r="A5586" s="1">
        <v>26410</v>
      </c>
      <c r="B5586">
        <v>108.89</v>
      </c>
      <c r="C5586">
        <f t="shared" si="194"/>
        <v>-1.3756419662509691E-3</v>
      </c>
      <c r="D5586">
        <f t="shared" si="193"/>
        <v>-0.17817082096814651</v>
      </c>
    </row>
    <row r="5587" spans="1:4">
      <c r="A5587" s="1">
        <v>26413</v>
      </c>
      <c r="B5587">
        <v>108.19</v>
      </c>
      <c r="C5587">
        <f t="shared" si="194"/>
        <v>-6.4285058315731733E-3</v>
      </c>
      <c r="D5587">
        <f t="shared" si="193"/>
        <v>-0.71175152759429194</v>
      </c>
    </row>
    <row r="5588" spans="1:4">
      <c r="A5588" s="1">
        <v>26414</v>
      </c>
      <c r="B5588">
        <v>107.12</v>
      </c>
      <c r="C5588">
        <f t="shared" si="194"/>
        <v>-9.8900083186985229E-3</v>
      </c>
      <c r="D5588">
        <f t="shared" si="193"/>
        <v>-1.0772850136128642</v>
      </c>
    </row>
    <row r="5589" spans="1:4">
      <c r="A5589" s="1">
        <v>26415</v>
      </c>
      <c r="B5589">
        <v>106.89</v>
      </c>
      <c r="C5589">
        <f t="shared" si="194"/>
        <v>-2.1471247199402908E-3</v>
      </c>
      <c r="D5589">
        <f t="shared" si="193"/>
        <v>-0.25963913751800932</v>
      </c>
    </row>
    <row r="5590" spans="1:4">
      <c r="A5590" s="1">
        <v>26416</v>
      </c>
      <c r="B5590">
        <v>107.05</v>
      </c>
      <c r="C5590">
        <f t="shared" si="194"/>
        <v>1.4968659369444905E-3</v>
      </c>
      <c r="D5590">
        <f t="shared" si="193"/>
        <v>0.12516503719641625</v>
      </c>
    </row>
    <row r="5591" spans="1:4">
      <c r="A5591" s="1">
        <v>26417</v>
      </c>
      <c r="B5591">
        <v>107.67</v>
      </c>
      <c r="C5591">
        <f t="shared" si="194"/>
        <v>5.7916861279776232E-3</v>
      </c>
      <c r="D5591">
        <f t="shared" si="193"/>
        <v>0.57869658948920011</v>
      </c>
    </row>
    <row r="5592" spans="1:4">
      <c r="A5592" s="1">
        <v>26420</v>
      </c>
      <c r="B5592">
        <v>106.69</v>
      </c>
      <c r="C5592">
        <f t="shared" si="194"/>
        <v>-9.1018853905452217E-3</v>
      </c>
      <c r="D5592">
        <f t="shared" si="193"/>
        <v>-0.99405950029587542</v>
      </c>
    </row>
    <row r="5593" spans="1:4">
      <c r="A5593" s="1">
        <v>26421</v>
      </c>
      <c r="B5593">
        <v>106.08</v>
      </c>
      <c r="C5593">
        <f t="shared" si="194"/>
        <v>-5.7174992970287697E-3</v>
      </c>
      <c r="D5593">
        <f t="shared" si="193"/>
        <v>-0.63666947922926675</v>
      </c>
    </row>
    <row r="5594" spans="1:4">
      <c r="A5594" s="1">
        <v>26422</v>
      </c>
      <c r="B5594">
        <v>105.99</v>
      </c>
      <c r="C5594">
        <f t="shared" si="194"/>
        <v>-8.4841628959279229E-4</v>
      </c>
      <c r="D5594">
        <f t="shared" si="193"/>
        <v>-0.12249596872575805</v>
      </c>
    </row>
    <row r="5595" spans="1:4">
      <c r="A5595" s="1">
        <v>26423</v>
      </c>
      <c r="B5595">
        <v>106.25</v>
      </c>
      <c r="C5595">
        <f t="shared" si="194"/>
        <v>2.4530616095858582E-3</v>
      </c>
      <c r="D5595">
        <f t="shared" si="193"/>
        <v>0.22613897520064333</v>
      </c>
    </row>
    <row r="5596" spans="1:4">
      <c r="A5596" s="1">
        <v>26424</v>
      </c>
      <c r="B5596">
        <v>106.63</v>
      </c>
      <c r="C5596">
        <f t="shared" si="194"/>
        <v>3.5764705882352513E-3</v>
      </c>
      <c r="D5596">
        <f t="shared" si="193"/>
        <v>0.34477058148075351</v>
      </c>
    </row>
    <row r="5597" spans="1:4">
      <c r="A5597" s="1">
        <v>26427</v>
      </c>
      <c r="B5597">
        <v>106.14</v>
      </c>
      <c r="C5597">
        <f t="shared" si="194"/>
        <v>-4.5953296445652714E-3</v>
      </c>
      <c r="D5597">
        <f t="shared" si="193"/>
        <v>-0.51816874537311963</v>
      </c>
    </row>
    <row r="5598" spans="1:4">
      <c r="A5598" s="1">
        <v>26428</v>
      </c>
      <c r="B5598">
        <v>104.74</v>
      </c>
      <c r="C5598">
        <f t="shared" si="194"/>
        <v>-1.3190126248351287E-2</v>
      </c>
      <c r="D5598">
        <f t="shared" si="193"/>
        <v>-1.4257763452196082</v>
      </c>
    </row>
    <row r="5599" spans="1:4">
      <c r="A5599" s="1">
        <v>26429</v>
      </c>
      <c r="B5599">
        <v>105.42</v>
      </c>
      <c r="C5599">
        <f t="shared" si="194"/>
        <v>6.4922665648272562E-3</v>
      </c>
      <c r="D5599">
        <f t="shared" si="193"/>
        <v>0.6526776454816603</v>
      </c>
    </row>
    <row r="5600" spans="1:4">
      <c r="A5600" s="1">
        <v>26430</v>
      </c>
      <c r="B5600">
        <v>105.77</v>
      </c>
      <c r="C5600">
        <f t="shared" si="194"/>
        <v>3.3200531208498795E-3</v>
      </c>
      <c r="D5600">
        <f t="shared" si="193"/>
        <v>0.31769298408539032</v>
      </c>
    </row>
    <row r="5601" spans="1:4">
      <c r="A5601" s="1">
        <v>26431</v>
      </c>
      <c r="B5601">
        <v>106.38</v>
      </c>
      <c r="C5601">
        <f t="shared" si="194"/>
        <v>5.7672307837761125E-3</v>
      </c>
      <c r="D5601">
        <f t="shared" si="193"/>
        <v>0.57611411345429597</v>
      </c>
    </row>
    <row r="5602" spans="1:4">
      <c r="A5602" s="1">
        <v>26434</v>
      </c>
      <c r="B5602">
        <v>106.86</v>
      </c>
      <c r="C5602">
        <f t="shared" si="194"/>
        <v>4.5121263395375448E-3</v>
      </c>
      <c r="D5602">
        <f t="shared" si="193"/>
        <v>0.44357551077343277</v>
      </c>
    </row>
    <row r="5603" spans="1:4">
      <c r="A5603" s="1">
        <v>26435</v>
      </c>
      <c r="B5603">
        <v>106.66</v>
      </c>
      <c r="C5603">
        <f t="shared" si="194"/>
        <v>-1.871607711023796E-3</v>
      </c>
      <c r="D5603">
        <f t="shared" si="193"/>
        <v>-0.23054463502920919</v>
      </c>
    </row>
    <row r="5604" spans="1:4">
      <c r="A5604" s="1">
        <v>26436</v>
      </c>
      <c r="B5604">
        <v>106.89</v>
      </c>
      <c r="C5604">
        <f t="shared" si="194"/>
        <v>2.1563847740484155E-3</v>
      </c>
      <c r="D5604">
        <f t="shared" si="193"/>
        <v>0.1948100022132456</v>
      </c>
    </row>
    <row r="5605" spans="1:4">
      <c r="A5605" s="1">
        <v>26437</v>
      </c>
      <c r="B5605">
        <v>107.94</v>
      </c>
      <c r="C5605">
        <f t="shared" si="194"/>
        <v>9.823182711198402E-3</v>
      </c>
      <c r="D5605">
        <f t="shared" si="193"/>
        <v>1.0044212583050429</v>
      </c>
    </row>
    <row r="5606" spans="1:4">
      <c r="A5606" s="1">
        <v>26438</v>
      </c>
      <c r="B5606">
        <v>108.98</v>
      </c>
      <c r="C5606">
        <f t="shared" si="194"/>
        <v>9.6349823976283697E-3</v>
      </c>
      <c r="D5606">
        <f t="shared" si="193"/>
        <v>0.9845473691644423</v>
      </c>
    </row>
    <row r="5607" spans="1:4">
      <c r="A5607" s="1">
        <v>26441</v>
      </c>
      <c r="B5607">
        <v>109.69</v>
      </c>
      <c r="C5607">
        <f t="shared" si="194"/>
        <v>6.5149568728206436E-3</v>
      </c>
      <c r="D5607">
        <f t="shared" si="193"/>
        <v>0.65507373429295157</v>
      </c>
    </row>
    <row r="5608" spans="1:4">
      <c r="A5608" s="1">
        <v>26442</v>
      </c>
      <c r="B5608">
        <v>109.78</v>
      </c>
      <c r="C5608">
        <f t="shared" si="194"/>
        <v>8.2049411979217256E-4</v>
      </c>
      <c r="D5608">
        <f t="shared" si="193"/>
        <v>5.3740403215082874E-2</v>
      </c>
    </row>
    <row r="5609" spans="1:4">
      <c r="A5609" s="1">
        <v>26443</v>
      </c>
      <c r="B5609">
        <v>110.31</v>
      </c>
      <c r="C5609">
        <f t="shared" si="194"/>
        <v>4.8278374931681649E-3</v>
      </c>
      <c r="D5609">
        <f t="shared" si="193"/>
        <v>0.47691450128139096</v>
      </c>
    </row>
    <row r="5610" spans="1:4">
      <c r="A5610" s="1">
        <v>26444</v>
      </c>
      <c r="B5610">
        <v>110.46</v>
      </c>
      <c r="C5610">
        <f t="shared" si="194"/>
        <v>1.3598041881968223E-3</v>
      </c>
      <c r="D5610">
        <f t="shared" si="193"/>
        <v>0.11069136311821456</v>
      </c>
    </row>
    <row r="5611" spans="1:4">
      <c r="A5611" s="1">
        <v>26445</v>
      </c>
      <c r="B5611">
        <v>110.66</v>
      </c>
      <c r="C5611">
        <f t="shared" si="194"/>
        <v>1.8106101756292128E-3</v>
      </c>
      <c r="D5611">
        <f t="shared" si="193"/>
        <v>0.15829632215467451</v>
      </c>
    </row>
    <row r="5612" spans="1:4">
      <c r="A5612" s="1">
        <v>26449</v>
      </c>
      <c r="B5612">
        <v>110.35</v>
      </c>
      <c r="C5612">
        <f t="shared" si="194"/>
        <v>-2.8013735767215098E-3</v>
      </c>
      <c r="D5612">
        <f t="shared" si="193"/>
        <v>-0.32872759440411425</v>
      </c>
    </row>
    <row r="5613" spans="1:4">
      <c r="A5613" s="1">
        <v>26450</v>
      </c>
      <c r="B5613">
        <v>109.53</v>
      </c>
      <c r="C5613">
        <f t="shared" si="194"/>
        <v>-7.4309016764838535E-3</v>
      </c>
      <c r="D5613">
        <f t="shared" si="193"/>
        <v>-0.81760418808595681</v>
      </c>
    </row>
    <row r="5614" spans="1:4">
      <c r="A5614" s="1">
        <v>26451</v>
      </c>
      <c r="B5614">
        <v>109.69</v>
      </c>
      <c r="C5614">
        <f t="shared" si="194"/>
        <v>1.4607869989956778E-3</v>
      </c>
      <c r="D5614">
        <f t="shared" si="193"/>
        <v>0.12135511361284851</v>
      </c>
    </row>
    <row r="5615" spans="1:4">
      <c r="A5615" s="1">
        <v>26452</v>
      </c>
      <c r="B5615">
        <v>109.73</v>
      </c>
      <c r="C5615">
        <f t="shared" si="194"/>
        <v>3.6466405324100877E-4</v>
      </c>
      <c r="D5615">
        <f t="shared" si="193"/>
        <v>5.6049031314479528E-3</v>
      </c>
    </row>
    <row r="5616" spans="1:4">
      <c r="A5616" s="1">
        <v>26455</v>
      </c>
      <c r="B5616">
        <v>108.82</v>
      </c>
      <c r="C5616">
        <f t="shared" si="194"/>
        <v>-8.2930830219630977E-3</v>
      </c>
      <c r="D5616">
        <f t="shared" si="193"/>
        <v>-0.90865024509888603</v>
      </c>
    </row>
    <row r="5617" spans="1:4">
      <c r="A5617" s="1">
        <v>26456</v>
      </c>
      <c r="B5617">
        <v>108.21</v>
      </c>
      <c r="C5617">
        <f t="shared" si="194"/>
        <v>-5.6055872082337753E-3</v>
      </c>
      <c r="D5617">
        <f t="shared" si="193"/>
        <v>-0.62485160069328272</v>
      </c>
    </row>
    <row r="5618" spans="1:4">
      <c r="A5618" s="1">
        <v>26457</v>
      </c>
      <c r="B5618">
        <v>107.65</v>
      </c>
      <c r="C5618">
        <f t="shared" si="194"/>
        <v>-5.1751224470935045E-3</v>
      </c>
      <c r="D5618">
        <f t="shared" si="193"/>
        <v>-0.5793946682389518</v>
      </c>
    </row>
    <row r="5619" spans="1:4">
      <c r="A5619" s="1">
        <v>26458</v>
      </c>
      <c r="B5619">
        <v>107.28</v>
      </c>
      <c r="C5619">
        <f t="shared" si="194"/>
        <v>-3.4370645610776081E-3</v>
      </c>
      <c r="D5619">
        <f t="shared" si="193"/>
        <v>-0.39585634627025379</v>
      </c>
    </row>
    <row r="5620" spans="1:4">
      <c r="A5620" s="1">
        <v>26459</v>
      </c>
      <c r="B5620">
        <v>106.86</v>
      </c>
      <c r="C5620">
        <f t="shared" si="194"/>
        <v>-3.9149888143176891E-3</v>
      </c>
      <c r="D5620">
        <f t="shared" si="193"/>
        <v>-0.44632498495805945</v>
      </c>
    </row>
    <row r="5621" spans="1:4">
      <c r="A5621" s="1">
        <v>26462</v>
      </c>
      <c r="B5621">
        <v>107.01</v>
      </c>
      <c r="C5621">
        <f t="shared" si="194"/>
        <v>1.4037057832678803E-3</v>
      </c>
      <c r="D5621">
        <f t="shared" si="193"/>
        <v>0.11532735663484106</v>
      </c>
    </row>
    <row r="5622" spans="1:4">
      <c r="A5622" s="1">
        <v>26463</v>
      </c>
      <c r="B5622">
        <v>107.55</v>
      </c>
      <c r="C5622">
        <f t="shared" si="194"/>
        <v>5.046257359125241E-3</v>
      </c>
      <c r="D5622">
        <f t="shared" si="193"/>
        <v>0.4999795648819384</v>
      </c>
    </row>
    <row r="5623" spans="1:4">
      <c r="A5623" s="1">
        <v>26464</v>
      </c>
      <c r="B5623">
        <v>108.39</v>
      </c>
      <c r="C5623">
        <f t="shared" si="194"/>
        <v>7.8103207810321105E-3</v>
      </c>
      <c r="D5623">
        <f t="shared" si="193"/>
        <v>0.79186372268449634</v>
      </c>
    </row>
    <row r="5624" spans="1:4">
      <c r="A5624" s="1">
        <v>26465</v>
      </c>
      <c r="B5624">
        <v>108.44</v>
      </c>
      <c r="C5624">
        <f t="shared" si="194"/>
        <v>4.6129716763536452E-4</v>
      </c>
      <c r="D5624">
        <f t="shared" si="193"/>
        <v>1.5809327164300373E-2</v>
      </c>
    </row>
    <row r="5625" spans="1:4">
      <c r="A5625" s="1">
        <v>26466</v>
      </c>
      <c r="B5625">
        <v>108.36</v>
      </c>
      <c r="C5625">
        <f t="shared" si="194"/>
        <v>-7.3773515308002858E-4</v>
      </c>
      <c r="D5625">
        <f t="shared" si="193"/>
        <v>-0.11080807833235648</v>
      </c>
    </row>
    <row r="5626" spans="1:4">
      <c r="A5626" s="1">
        <v>26469</v>
      </c>
      <c r="B5626">
        <v>108.11</v>
      </c>
      <c r="C5626">
        <f t="shared" si="194"/>
        <v>-2.3071244001476561E-3</v>
      </c>
      <c r="D5626">
        <f t="shared" si="193"/>
        <v>-0.2765350493613733</v>
      </c>
    </row>
    <row r="5627" spans="1:4">
      <c r="A5627" s="1">
        <v>26470</v>
      </c>
      <c r="B5627">
        <v>108.56</v>
      </c>
      <c r="C5627">
        <f t="shared" si="194"/>
        <v>4.1624271575247699E-3</v>
      </c>
      <c r="D5627">
        <f t="shared" si="193"/>
        <v>0.40664739602141131</v>
      </c>
    </row>
    <row r="5628" spans="1:4">
      <c r="A5628" s="1">
        <v>26471</v>
      </c>
      <c r="B5628">
        <v>108.79</v>
      </c>
      <c r="C5628">
        <f t="shared" si="194"/>
        <v>2.1186440677966466E-3</v>
      </c>
      <c r="D5628">
        <f t="shared" si="193"/>
        <v>0.19082459646174818</v>
      </c>
    </row>
    <row r="5629" spans="1:4">
      <c r="A5629" s="1">
        <v>26472</v>
      </c>
      <c r="B5629">
        <v>108.68</v>
      </c>
      <c r="C5629">
        <f t="shared" si="194"/>
        <v>-1.0111223458038369E-3</v>
      </c>
      <c r="D5629">
        <f t="shared" si="193"/>
        <v>-0.13967767295516864</v>
      </c>
    </row>
    <row r="5630" spans="1:4">
      <c r="A5630" s="1">
        <v>26473</v>
      </c>
      <c r="B5630">
        <v>108.27</v>
      </c>
      <c r="C5630">
        <f t="shared" si="194"/>
        <v>-3.7725432462275559E-3</v>
      </c>
      <c r="D5630">
        <f t="shared" si="193"/>
        <v>-0.43128278138734255</v>
      </c>
    </row>
    <row r="5631" spans="1:4">
      <c r="A5631" s="1">
        <v>26476</v>
      </c>
      <c r="B5631">
        <v>107.48</v>
      </c>
      <c r="C5631">
        <f t="shared" si="194"/>
        <v>-7.2965733813613381E-3</v>
      </c>
      <c r="D5631">
        <f t="shared" si="193"/>
        <v>-0.80341916578142525</v>
      </c>
    </row>
    <row r="5632" spans="1:4">
      <c r="A5632" s="1">
        <v>26477</v>
      </c>
      <c r="B5632">
        <v>107.37</v>
      </c>
      <c r="C5632">
        <f t="shared" si="194"/>
        <v>-1.0234462225530278E-3</v>
      </c>
      <c r="D5632">
        <f t="shared" si="193"/>
        <v>-0.14097907015079394</v>
      </c>
    </row>
    <row r="5633" spans="1:4">
      <c r="A5633" s="1">
        <v>26478</v>
      </c>
      <c r="B5633">
        <v>107.02</v>
      </c>
      <c r="C5633">
        <f t="shared" si="194"/>
        <v>-3.2597559839807068E-3</v>
      </c>
      <c r="D5633">
        <f t="shared" si="193"/>
        <v>-0.37713262079893473</v>
      </c>
    </row>
    <row r="5634" spans="1:4">
      <c r="A5634" s="1">
        <v>26479</v>
      </c>
      <c r="B5634">
        <v>106.82</v>
      </c>
      <c r="C5634">
        <f t="shared" si="194"/>
        <v>-1.8688095683050162E-3</v>
      </c>
      <c r="D5634">
        <f t="shared" si="193"/>
        <v>-0.23024915210924096</v>
      </c>
    </row>
    <row r="5635" spans="1:4">
      <c r="A5635" s="1">
        <v>26480</v>
      </c>
      <c r="B5635">
        <v>107.14</v>
      </c>
      <c r="C5635">
        <f t="shared" si="194"/>
        <v>2.9956936903202339E-3</v>
      </c>
      <c r="D5635">
        <f t="shared" ref="D5635:D5698" si="195">(C5635-avg)/sd</f>
        <v>0.28344073847658724</v>
      </c>
    </row>
    <row r="5636" spans="1:4">
      <c r="A5636" s="1">
        <v>26483</v>
      </c>
      <c r="B5636">
        <v>107.49</v>
      </c>
      <c r="C5636">
        <f t="shared" ref="C5636:C5699" si="196">(B5636-B5635)/B5635</f>
        <v>3.2667537801007495E-3</v>
      </c>
      <c r="D5636">
        <f t="shared" si="195"/>
        <v>0.31206459181960838</v>
      </c>
    </row>
    <row r="5637" spans="1:4">
      <c r="A5637" s="1">
        <v>26485</v>
      </c>
      <c r="B5637">
        <v>108.1</v>
      </c>
      <c r="C5637">
        <f t="shared" si="196"/>
        <v>5.6749465066517762E-3</v>
      </c>
      <c r="D5637">
        <f t="shared" si="195"/>
        <v>0.56636892515891601</v>
      </c>
    </row>
    <row r="5638" spans="1:4">
      <c r="A5638" s="1">
        <v>26486</v>
      </c>
      <c r="B5638">
        <v>109.04</v>
      </c>
      <c r="C5638">
        <f t="shared" si="196"/>
        <v>8.6956521739131546E-3</v>
      </c>
      <c r="D5638">
        <f t="shared" si="195"/>
        <v>0.88535441683397231</v>
      </c>
    </row>
    <row r="5639" spans="1:4">
      <c r="A5639" s="1">
        <v>26487</v>
      </c>
      <c r="B5639">
        <v>108.69</v>
      </c>
      <c r="C5639">
        <f t="shared" si="196"/>
        <v>-3.2098312545855512E-3</v>
      </c>
      <c r="D5639">
        <f t="shared" si="195"/>
        <v>-0.37186058634504637</v>
      </c>
    </row>
    <row r="5640" spans="1:4">
      <c r="A5640" s="1">
        <v>26490</v>
      </c>
      <c r="B5640">
        <v>108.11</v>
      </c>
      <c r="C5640">
        <f t="shared" si="196"/>
        <v>-5.3362774864292783E-3</v>
      </c>
      <c r="D5640">
        <f t="shared" si="195"/>
        <v>-0.59641258561355004</v>
      </c>
    </row>
    <row r="5641" spans="1:4">
      <c r="A5641" s="1">
        <v>26491</v>
      </c>
      <c r="B5641">
        <v>107.32</v>
      </c>
      <c r="C5641">
        <f t="shared" si="196"/>
        <v>-7.3073721209879405E-3</v>
      </c>
      <c r="D5641">
        <f t="shared" si="195"/>
        <v>-0.80455950901532447</v>
      </c>
    </row>
    <row r="5642" spans="1:4">
      <c r="A5642" s="1">
        <v>26492</v>
      </c>
      <c r="B5642">
        <v>106.89</v>
      </c>
      <c r="C5642">
        <f t="shared" si="196"/>
        <v>-4.0067089079388061E-3</v>
      </c>
      <c r="D5642">
        <f t="shared" si="195"/>
        <v>-0.45601059566727475</v>
      </c>
    </row>
    <row r="5643" spans="1:4">
      <c r="A5643" s="1">
        <v>26493</v>
      </c>
      <c r="B5643">
        <v>106.28</v>
      </c>
      <c r="C5643">
        <f t="shared" si="196"/>
        <v>-5.7068013846009865E-3</v>
      </c>
      <c r="D5643">
        <f t="shared" si="195"/>
        <v>-0.63553978331328997</v>
      </c>
    </row>
    <row r="5644" spans="1:4">
      <c r="A5644" s="1">
        <v>26494</v>
      </c>
      <c r="B5644">
        <v>106.8</v>
      </c>
      <c r="C5644">
        <f t="shared" si="196"/>
        <v>4.8927361686111779E-3</v>
      </c>
      <c r="D5644">
        <f t="shared" si="195"/>
        <v>0.48376777934804149</v>
      </c>
    </row>
    <row r="5645" spans="1:4">
      <c r="A5645" s="1">
        <v>26497</v>
      </c>
      <c r="B5645">
        <v>105.88</v>
      </c>
      <c r="C5645">
        <f t="shared" si="196"/>
        <v>-8.6142322097378446E-3</v>
      </c>
      <c r="D5645">
        <f t="shared" si="195"/>
        <v>-0.94256349016398644</v>
      </c>
    </row>
    <row r="5646" spans="1:4">
      <c r="A5646" s="1">
        <v>26498</v>
      </c>
      <c r="B5646">
        <v>105.83</v>
      </c>
      <c r="C5646">
        <f t="shared" si="196"/>
        <v>-4.7223271628255725E-4</v>
      </c>
      <c r="D5646">
        <f t="shared" si="195"/>
        <v>-8.2771111255206725E-2</v>
      </c>
    </row>
    <row r="5647" spans="1:4">
      <c r="A5647" s="1">
        <v>26499</v>
      </c>
      <c r="B5647">
        <v>106.14</v>
      </c>
      <c r="C5647">
        <f t="shared" si="196"/>
        <v>2.9292261173580487E-3</v>
      </c>
      <c r="D5647">
        <f t="shared" si="195"/>
        <v>0.27642178536520629</v>
      </c>
    </row>
    <row r="5648" spans="1:4">
      <c r="A5648" s="1">
        <v>26500</v>
      </c>
      <c r="B5648">
        <v>105.81</v>
      </c>
      <c r="C5648">
        <f t="shared" si="196"/>
        <v>-3.1091011871113463E-3</v>
      </c>
      <c r="D5648">
        <f t="shared" si="195"/>
        <v>-0.36122352545958392</v>
      </c>
    </row>
    <row r="5649" spans="1:4">
      <c r="A5649" s="1">
        <v>26501</v>
      </c>
      <c r="B5649">
        <v>106.66</v>
      </c>
      <c r="C5649">
        <f t="shared" si="196"/>
        <v>8.0332671770153505E-3</v>
      </c>
      <c r="D5649">
        <f t="shared" si="195"/>
        <v>0.81540678631716434</v>
      </c>
    </row>
    <row r="5650" spans="1:4">
      <c r="A5650" s="1">
        <v>26504</v>
      </c>
      <c r="B5650">
        <v>107.92</v>
      </c>
      <c r="C5650">
        <f t="shared" si="196"/>
        <v>1.181323832739551E-2</v>
      </c>
      <c r="D5650">
        <f t="shared" si="195"/>
        <v>1.2145704549226863</v>
      </c>
    </row>
    <row r="5651" spans="1:4">
      <c r="A5651" s="1">
        <v>26505</v>
      </c>
      <c r="B5651">
        <v>107.6</v>
      </c>
      <c r="C5651">
        <f t="shared" si="196"/>
        <v>-2.9651593773165992E-3</v>
      </c>
      <c r="D5651">
        <f t="shared" si="195"/>
        <v>-0.34602331927345703</v>
      </c>
    </row>
    <row r="5652" spans="1:4">
      <c r="A5652" s="1">
        <v>26506</v>
      </c>
      <c r="B5652">
        <v>107.53</v>
      </c>
      <c r="C5652">
        <f t="shared" si="196"/>
        <v>-6.505576208177805E-4</v>
      </c>
      <c r="D5652">
        <f t="shared" si="195"/>
        <v>-0.1016021605585461</v>
      </c>
    </row>
    <row r="5653" spans="1:4">
      <c r="A5653" s="1">
        <v>26507</v>
      </c>
      <c r="B5653">
        <v>107.28</v>
      </c>
      <c r="C5653">
        <f t="shared" si="196"/>
        <v>-2.3249325769552683E-3</v>
      </c>
      <c r="D5653">
        <f t="shared" si="195"/>
        <v>-0.27841558677896372</v>
      </c>
    </row>
    <row r="5654" spans="1:4">
      <c r="A5654" s="1">
        <v>26508</v>
      </c>
      <c r="B5654">
        <v>107.38</v>
      </c>
      <c r="C5654">
        <f t="shared" si="196"/>
        <v>9.3214019388510733E-4</v>
      </c>
      <c r="D5654">
        <f t="shared" si="195"/>
        <v>6.55301906889523E-2</v>
      </c>
    </row>
    <row r="5655" spans="1:4">
      <c r="A5655" s="1">
        <v>26511</v>
      </c>
      <c r="B5655">
        <v>107.39</v>
      </c>
      <c r="C5655">
        <f t="shared" si="196"/>
        <v>9.3127211771327218E-5</v>
      </c>
      <c r="D5655">
        <f t="shared" si="195"/>
        <v>-2.3069295027893382E-2</v>
      </c>
    </row>
    <row r="5656" spans="1:4">
      <c r="A5656" s="1">
        <v>26512</v>
      </c>
      <c r="B5656">
        <v>108.4</v>
      </c>
      <c r="C5656">
        <f t="shared" si="196"/>
        <v>9.4049725300307772E-3</v>
      </c>
      <c r="D5656">
        <f t="shared" si="195"/>
        <v>0.96025840533028928</v>
      </c>
    </row>
    <row r="5657" spans="1:4">
      <c r="A5657" s="1">
        <v>26513</v>
      </c>
      <c r="B5657">
        <v>109.29</v>
      </c>
      <c r="C5657">
        <f t="shared" si="196"/>
        <v>8.2103321033210382E-3</v>
      </c>
      <c r="D5657">
        <f t="shared" si="195"/>
        <v>0.8341047823477522</v>
      </c>
    </row>
    <row r="5658" spans="1:4">
      <c r="A5658" s="1">
        <v>26514</v>
      </c>
      <c r="B5658">
        <v>110.14</v>
      </c>
      <c r="C5658">
        <f t="shared" si="196"/>
        <v>7.7774727788452215E-3</v>
      </c>
      <c r="D5658">
        <f t="shared" si="195"/>
        <v>0.78839498481913928</v>
      </c>
    </row>
    <row r="5659" spans="1:4">
      <c r="A5659" s="1">
        <v>26515</v>
      </c>
      <c r="B5659">
        <v>110.43</v>
      </c>
      <c r="C5659">
        <f t="shared" si="196"/>
        <v>2.6330125295079558E-3</v>
      </c>
      <c r="D5659">
        <f t="shared" si="195"/>
        <v>0.24514173117612714</v>
      </c>
    </row>
    <row r="5660" spans="1:4">
      <c r="A5660" s="1">
        <v>26518</v>
      </c>
      <c r="B5660">
        <v>110.61</v>
      </c>
      <c r="C5660">
        <f t="shared" si="196"/>
        <v>1.6299918500406827E-3</v>
      </c>
      <c r="D5660">
        <f t="shared" si="195"/>
        <v>0.13922308836767763</v>
      </c>
    </row>
    <row r="5661" spans="1:4">
      <c r="A5661" s="1">
        <v>26519</v>
      </c>
      <c r="B5661">
        <v>110.69</v>
      </c>
      <c r="C5661">
        <f t="shared" si="196"/>
        <v>7.2326191121958503E-4</v>
      </c>
      <c r="D5661">
        <f t="shared" si="195"/>
        <v>4.3472715040651186E-2</v>
      </c>
    </row>
    <row r="5662" spans="1:4">
      <c r="A5662" s="1">
        <v>26520</v>
      </c>
      <c r="B5662">
        <v>110.86</v>
      </c>
      <c r="C5662">
        <f t="shared" si="196"/>
        <v>1.535820760683004E-3</v>
      </c>
      <c r="D5662">
        <f t="shared" si="195"/>
        <v>0.12927865334181532</v>
      </c>
    </row>
    <row r="5663" spans="1:4">
      <c r="A5663" s="1">
        <v>26521</v>
      </c>
      <c r="B5663">
        <v>111.05</v>
      </c>
      <c r="C5663">
        <f t="shared" si="196"/>
        <v>1.7138733537795212E-3</v>
      </c>
      <c r="D5663">
        <f t="shared" si="195"/>
        <v>0.14808094664979049</v>
      </c>
    </row>
    <row r="5664" spans="1:4">
      <c r="A5664" s="1">
        <v>26522</v>
      </c>
      <c r="B5664">
        <v>111.95</v>
      </c>
      <c r="C5664">
        <f t="shared" si="196"/>
        <v>8.1044574515984312E-3</v>
      </c>
      <c r="D5664">
        <f t="shared" si="195"/>
        <v>0.82292445511438761</v>
      </c>
    </row>
    <row r="5665" spans="1:4">
      <c r="A5665" s="1">
        <v>26525</v>
      </c>
      <c r="B5665">
        <v>112.55</v>
      </c>
      <c r="C5665">
        <f t="shared" si="196"/>
        <v>5.3595355069226821E-3</v>
      </c>
      <c r="D5665">
        <f t="shared" si="195"/>
        <v>0.53306163080093172</v>
      </c>
    </row>
    <row r="5666" spans="1:4">
      <c r="A5666" s="1">
        <v>26526</v>
      </c>
      <c r="B5666">
        <v>112.06</v>
      </c>
      <c r="C5666">
        <f t="shared" si="196"/>
        <v>-4.3536206130608164E-3</v>
      </c>
      <c r="D5666">
        <f t="shared" si="195"/>
        <v>-0.492644353807141</v>
      </c>
    </row>
    <row r="5667" spans="1:4">
      <c r="A5667" s="1">
        <v>26527</v>
      </c>
      <c r="B5667">
        <v>111.66</v>
      </c>
      <c r="C5667">
        <f t="shared" si="196"/>
        <v>-3.5695163305372629E-3</v>
      </c>
      <c r="D5667">
        <f t="shared" si="195"/>
        <v>-0.40984320810264935</v>
      </c>
    </row>
    <row r="5668" spans="1:4">
      <c r="A5668" s="1">
        <v>26528</v>
      </c>
      <c r="B5668">
        <v>111.34</v>
      </c>
      <c r="C5668">
        <f t="shared" si="196"/>
        <v>-2.8658427368797529E-3</v>
      </c>
      <c r="D5668">
        <f t="shared" si="195"/>
        <v>-0.33553551580269247</v>
      </c>
    </row>
    <row r="5669" spans="1:4">
      <c r="A5669" s="1">
        <v>26529</v>
      </c>
      <c r="B5669">
        <v>111.76</v>
      </c>
      <c r="C5669">
        <f t="shared" si="196"/>
        <v>3.7722292078318817E-3</v>
      </c>
      <c r="D5669">
        <f t="shared" si="195"/>
        <v>0.36544262516856979</v>
      </c>
    </row>
    <row r="5670" spans="1:4">
      <c r="A5670" s="1">
        <v>26532</v>
      </c>
      <c r="B5670">
        <v>111.72</v>
      </c>
      <c r="C5670">
        <f t="shared" si="196"/>
        <v>-3.579098067287603E-4</v>
      </c>
      <c r="D5670">
        <f t="shared" si="195"/>
        <v>-7.0698650866570859E-2</v>
      </c>
    </row>
    <row r="5671" spans="1:4">
      <c r="A5671" s="1">
        <v>26533</v>
      </c>
      <c r="B5671">
        <v>112.41</v>
      </c>
      <c r="C5671">
        <f t="shared" si="196"/>
        <v>6.1761546723952537E-3</v>
      </c>
      <c r="D5671">
        <f t="shared" si="195"/>
        <v>0.61929633709249399</v>
      </c>
    </row>
    <row r="5672" spans="1:4">
      <c r="A5672" s="1">
        <v>26534</v>
      </c>
      <c r="B5672">
        <v>112.26</v>
      </c>
      <c r="C5672">
        <f t="shared" si="196"/>
        <v>-1.3344008540164707E-3</v>
      </c>
      <c r="D5672">
        <f t="shared" si="195"/>
        <v>-0.17381577353471866</v>
      </c>
    </row>
    <row r="5673" spans="1:4">
      <c r="A5673" s="1">
        <v>26535</v>
      </c>
      <c r="B5673">
        <v>111.02</v>
      </c>
      <c r="C5673">
        <f t="shared" si="196"/>
        <v>-1.1045786566898353E-2</v>
      </c>
      <c r="D5673">
        <f t="shared" si="195"/>
        <v>-1.1993348037546514</v>
      </c>
    </row>
    <row r="5674" spans="1:4">
      <c r="A5674" s="1">
        <v>26536</v>
      </c>
      <c r="B5674">
        <v>110.67</v>
      </c>
      <c r="C5674">
        <f t="shared" si="196"/>
        <v>-3.1525851197981834E-3</v>
      </c>
      <c r="D5674">
        <f t="shared" si="195"/>
        <v>-0.36581541397040701</v>
      </c>
    </row>
    <row r="5675" spans="1:4">
      <c r="A5675" s="1">
        <v>26539</v>
      </c>
      <c r="B5675">
        <v>110.23</v>
      </c>
      <c r="C5675">
        <f t="shared" si="196"/>
        <v>-3.9757838619318489E-3</v>
      </c>
      <c r="D5675">
        <f t="shared" si="195"/>
        <v>-0.45274492132087396</v>
      </c>
    </row>
    <row r="5676" spans="1:4">
      <c r="A5676" s="1">
        <v>26540</v>
      </c>
      <c r="B5676">
        <v>110.41</v>
      </c>
      <c r="C5676">
        <f t="shared" si="196"/>
        <v>1.6329492878526047E-3</v>
      </c>
      <c r="D5676">
        <f t="shared" si="195"/>
        <v>0.13953539279533464</v>
      </c>
    </row>
    <row r="5677" spans="1:4">
      <c r="A5677" s="1">
        <v>26541</v>
      </c>
      <c r="B5677">
        <v>110.57</v>
      </c>
      <c r="C5677">
        <f t="shared" si="196"/>
        <v>1.44914409926634E-3</v>
      </c>
      <c r="D5677">
        <f t="shared" si="195"/>
        <v>0.12012562735904435</v>
      </c>
    </row>
    <row r="5678" spans="1:4">
      <c r="A5678" s="1">
        <v>26542</v>
      </c>
      <c r="B5678">
        <v>111.09</v>
      </c>
      <c r="C5678">
        <f t="shared" si="196"/>
        <v>4.7029031382835335E-3</v>
      </c>
      <c r="D5678">
        <f t="shared" si="195"/>
        <v>0.46372147587282447</v>
      </c>
    </row>
    <row r="5679" spans="1:4">
      <c r="A5679" s="1">
        <v>26543</v>
      </c>
      <c r="B5679">
        <v>111.51</v>
      </c>
      <c r="C5679">
        <f t="shared" si="196"/>
        <v>3.7807183364839472E-3</v>
      </c>
      <c r="D5679">
        <f t="shared" si="195"/>
        <v>0.36633907426863288</v>
      </c>
    </row>
    <row r="5680" spans="1:4">
      <c r="A5680" s="1">
        <v>26547</v>
      </c>
      <c r="B5680">
        <v>111.23</v>
      </c>
      <c r="C5680">
        <f t="shared" si="196"/>
        <v>-2.5109855618330296E-3</v>
      </c>
      <c r="D5680">
        <f t="shared" si="195"/>
        <v>-0.29806271873957296</v>
      </c>
    </row>
    <row r="5681" spans="1:4">
      <c r="A5681" s="1">
        <v>26548</v>
      </c>
      <c r="B5681">
        <v>110.55</v>
      </c>
      <c r="C5681">
        <f t="shared" si="196"/>
        <v>-6.1134585992988115E-3</v>
      </c>
      <c r="D5681">
        <f t="shared" si="195"/>
        <v>-0.67848264695587679</v>
      </c>
    </row>
    <row r="5682" spans="1:4">
      <c r="A5682" s="1">
        <v>26549</v>
      </c>
      <c r="B5682">
        <v>110.29</v>
      </c>
      <c r="C5682">
        <f t="shared" si="196"/>
        <v>-2.351876978742568E-3</v>
      </c>
      <c r="D5682">
        <f t="shared" si="195"/>
        <v>-0.28126090644885543</v>
      </c>
    </row>
    <row r="5683" spans="1:4">
      <c r="A5683" s="1">
        <v>26550</v>
      </c>
      <c r="B5683">
        <v>110.15</v>
      </c>
      <c r="C5683">
        <f t="shared" si="196"/>
        <v>-1.2693807235470175E-3</v>
      </c>
      <c r="D5683">
        <f t="shared" si="195"/>
        <v>-0.16694966985856061</v>
      </c>
    </row>
    <row r="5684" spans="1:4">
      <c r="A5684" s="1">
        <v>26553</v>
      </c>
      <c r="B5684">
        <v>109.51</v>
      </c>
      <c r="C5684">
        <f t="shared" si="196"/>
        <v>-5.8102587380844352E-3</v>
      </c>
      <c r="D5684">
        <f t="shared" si="195"/>
        <v>-0.64646484467427912</v>
      </c>
    </row>
    <row r="5685" spans="1:4">
      <c r="A5685" s="1">
        <v>26554</v>
      </c>
      <c r="B5685">
        <v>108.47</v>
      </c>
      <c r="C5685">
        <f t="shared" si="196"/>
        <v>-9.4968496027760581E-3</v>
      </c>
      <c r="D5685">
        <f t="shared" si="195"/>
        <v>-1.0357675868525928</v>
      </c>
    </row>
    <row r="5686" spans="1:4">
      <c r="A5686" s="1">
        <v>26555</v>
      </c>
      <c r="B5686">
        <v>108.9</v>
      </c>
      <c r="C5686">
        <f t="shared" si="196"/>
        <v>3.9642297409422586E-3</v>
      </c>
      <c r="D5686">
        <f t="shared" si="195"/>
        <v>0.38571781620087336</v>
      </c>
    </row>
    <row r="5687" spans="1:4">
      <c r="A5687" s="1">
        <v>26556</v>
      </c>
      <c r="B5687">
        <v>108.93</v>
      </c>
      <c r="C5687">
        <f t="shared" si="196"/>
        <v>2.7548209366392228E-4</v>
      </c>
      <c r="D5687">
        <f t="shared" si="195"/>
        <v>-3.8126814854714188E-3</v>
      </c>
    </row>
    <row r="5688" spans="1:4">
      <c r="A5688" s="1">
        <v>26557</v>
      </c>
      <c r="B5688">
        <v>108.81</v>
      </c>
      <c r="C5688">
        <f t="shared" si="196"/>
        <v>-1.1016248967227076E-3</v>
      </c>
      <c r="D5688">
        <f t="shared" si="195"/>
        <v>-0.14923471156888962</v>
      </c>
    </row>
    <row r="5689" spans="1:4">
      <c r="A5689" s="1">
        <v>26560</v>
      </c>
      <c r="B5689">
        <v>108.61</v>
      </c>
      <c r="C5689">
        <f t="shared" si="196"/>
        <v>-1.8380663541954125E-3</v>
      </c>
      <c r="D5689">
        <f t="shared" si="195"/>
        <v>-0.22700267914939304</v>
      </c>
    </row>
    <row r="5690" spans="1:4">
      <c r="A5690" s="1">
        <v>26561</v>
      </c>
      <c r="B5690">
        <v>108.55</v>
      </c>
      <c r="C5690">
        <f t="shared" si="196"/>
        <v>-5.524353190314177E-4</v>
      </c>
      <c r="D5690">
        <f t="shared" si="195"/>
        <v>-9.1240478843297126E-2</v>
      </c>
    </row>
    <row r="5691" spans="1:4">
      <c r="A5691" s="1">
        <v>26562</v>
      </c>
      <c r="B5691">
        <v>108.6</v>
      </c>
      <c r="C5691">
        <f t="shared" si="196"/>
        <v>4.6061722708426678E-4</v>
      </c>
      <c r="D5691">
        <f t="shared" si="195"/>
        <v>1.5737525673227476E-2</v>
      </c>
    </row>
    <row r="5692" spans="1:4">
      <c r="A5692" s="1">
        <v>26563</v>
      </c>
      <c r="B5692">
        <v>108.43</v>
      </c>
      <c r="C5692">
        <f t="shared" si="196"/>
        <v>-1.5653775322282458E-3</v>
      </c>
      <c r="D5692">
        <f t="shared" si="195"/>
        <v>-0.19820683224109445</v>
      </c>
    </row>
    <row r="5693" spans="1:4">
      <c r="A5693" s="1">
        <v>26564</v>
      </c>
      <c r="B5693">
        <v>108.52</v>
      </c>
      <c r="C5693">
        <f t="shared" si="196"/>
        <v>8.300285898735515E-4</v>
      </c>
      <c r="D5693">
        <f t="shared" si="195"/>
        <v>5.4747240014752653E-2</v>
      </c>
    </row>
    <row r="5694" spans="1:4">
      <c r="A5694" s="1">
        <v>26567</v>
      </c>
      <c r="B5694">
        <v>108.05</v>
      </c>
      <c r="C5694">
        <f t="shared" si="196"/>
        <v>-4.3309988942130378E-3</v>
      </c>
      <c r="D5694">
        <f t="shared" si="195"/>
        <v>-0.49025550798631146</v>
      </c>
    </row>
    <row r="5695" spans="1:4">
      <c r="A5695" s="1">
        <v>26568</v>
      </c>
      <c r="B5695">
        <v>108.12</v>
      </c>
      <c r="C5695">
        <f t="shared" si="196"/>
        <v>6.4784821841746773E-4</v>
      </c>
      <c r="D5695">
        <f t="shared" si="195"/>
        <v>3.5509054715107291E-2</v>
      </c>
    </row>
    <row r="5696" spans="1:4">
      <c r="A5696" s="1">
        <v>26569</v>
      </c>
      <c r="B5696">
        <v>109.66</v>
      </c>
      <c r="C5696">
        <f t="shared" si="196"/>
        <v>1.4243433222345468E-2</v>
      </c>
      <c r="D5696">
        <f t="shared" si="195"/>
        <v>1.4711982097660208</v>
      </c>
    </row>
    <row r="5697" spans="1:4">
      <c r="A5697" s="1">
        <v>26570</v>
      </c>
      <c r="B5697">
        <v>110.35</v>
      </c>
      <c r="C5697">
        <f t="shared" si="196"/>
        <v>6.2921758161590168E-3</v>
      </c>
      <c r="D5697">
        <f t="shared" si="195"/>
        <v>0.63154813043644442</v>
      </c>
    </row>
    <row r="5698" spans="1:4">
      <c r="A5698" s="1">
        <v>26571</v>
      </c>
      <c r="B5698">
        <v>110.55</v>
      </c>
      <c r="C5698">
        <f t="shared" si="196"/>
        <v>1.8124150430448831E-3</v>
      </c>
      <c r="D5698">
        <f t="shared" si="195"/>
        <v>0.15848691554026503</v>
      </c>
    </row>
    <row r="5699" spans="1:4">
      <c r="A5699" s="1">
        <v>26574</v>
      </c>
      <c r="B5699">
        <v>110.16</v>
      </c>
      <c r="C5699">
        <f t="shared" si="196"/>
        <v>-3.5278154681139809E-3</v>
      </c>
      <c r="D5699">
        <f t="shared" ref="D5699:D5762" si="197">(C5699-avg)/sd</f>
        <v>-0.40543961120556266</v>
      </c>
    </row>
    <row r="5700" spans="1:4">
      <c r="A5700" s="1">
        <v>26575</v>
      </c>
      <c r="B5700">
        <v>110.3</v>
      </c>
      <c r="C5700">
        <f t="shared" ref="C5700:C5763" si="198">(B5700-B5699)/B5699</f>
        <v>1.2708787218591192E-3</v>
      </c>
      <c r="D5700">
        <f t="shared" si="197"/>
        <v>0.10130086410018779</v>
      </c>
    </row>
    <row r="5701" spans="1:4">
      <c r="A5701" s="1">
        <v>26576</v>
      </c>
      <c r="B5701">
        <v>110.09</v>
      </c>
      <c r="C5701">
        <f t="shared" si="198"/>
        <v>-1.90389845874881E-3</v>
      </c>
      <c r="D5701">
        <f t="shared" si="197"/>
        <v>-0.23395452701281219</v>
      </c>
    </row>
    <row r="5702" spans="1:4">
      <c r="A5702" s="1">
        <v>26577</v>
      </c>
      <c r="B5702">
        <v>108.89</v>
      </c>
      <c r="C5702">
        <f t="shared" si="198"/>
        <v>-1.0900172586065971E-2</v>
      </c>
      <c r="D5702">
        <f t="shared" si="197"/>
        <v>-1.1839580168753487</v>
      </c>
    </row>
    <row r="5703" spans="1:4">
      <c r="A5703" s="1">
        <v>26578</v>
      </c>
      <c r="B5703">
        <v>109.62</v>
      </c>
      <c r="C5703">
        <f t="shared" si="198"/>
        <v>6.7040132243548897E-3</v>
      </c>
      <c r="D5703">
        <f t="shared" si="197"/>
        <v>0.67503802075159169</v>
      </c>
    </row>
    <row r="5704" spans="1:4">
      <c r="A5704" s="1">
        <v>26581</v>
      </c>
      <c r="B5704">
        <v>109.9</v>
      </c>
      <c r="C5704">
        <f t="shared" si="198"/>
        <v>2.554278416347392E-3</v>
      </c>
      <c r="D5704">
        <f t="shared" si="197"/>
        <v>0.23682743558939701</v>
      </c>
    </row>
    <row r="5705" spans="1:4">
      <c r="A5705" s="1">
        <v>26582</v>
      </c>
      <c r="B5705">
        <v>109.99</v>
      </c>
      <c r="C5705">
        <f t="shared" si="198"/>
        <v>8.1892629663320464E-4</v>
      </c>
      <c r="D5705">
        <f t="shared" si="197"/>
        <v>5.3574841622424846E-2</v>
      </c>
    </row>
    <row r="5706" spans="1:4">
      <c r="A5706" s="1">
        <v>26583</v>
      </c>
      <c r="B5706">
        <v>109.5</v>
      </c>
      <c r="C5706">
        <f t="shared" si="198"/>
        <v>-4.4549504500408666E-3</v>
      </c>
      <c r="D5706">
        <f t="shared" si="197"/>
        <v>-0.50334475014854918</v>
      </c>
    </row>
    <row r="5707" spans="1:4">
      <c r="A5707" s="1">
        <v>26584</v>
      </c>
      <c r="B5707">
        <v>108.6</v>
      </c>
      <c r="C5707">
        <f t="shared" si="198"/>
        <v>-8.2191780821918321E-3</v>
      </c>
      <c r="D5707">
        <f t="shared" si="197"/>
        <v>-0.90084590858055003</v>
      </c>
    </row>
    <row r="5708" spans="1:4">
      <c r="A5708" s="1">
        <v>26585</v>
      </c>
      <c r="B5708">
        <v>107.92</v>
      </c>
      <c r="C5708">
        <f t="shared" si="198"/>
        <v>-6.2615101289133761E-3</v>
      </c>
      <c r="D5708">
        <f t="shared" si="197"/>
        <v>-0.69411683815801473</v>
      </c>
    </row>
    <row r="5709" spans="1:4">
      <c r="A5709" s="1">
        <v>26588</v>
      </c>
      <c r="B5709">
        <v>106.77</v>
      </c>
      <c r="C5709">
        <f t="shared" si="198"/>
        <v>-1.0656041512231335E-2</v>
      </c>
      <c r="D5709">
        <f t="shared" si="197"/>
        <v>-1.1581778584625952</v>
      </c>
    </row>
    <row r="5710" spans="1:4">
      <c r="A5710" s="1">
        <v>26589</v>
      </c>
      <c r="B5710">
        <v>107.5</v>
      </c>
      <c r="C5710">
        <f t="shared" si="198"/>
        <v>6.8371265336705442E-3</v>
      </c>
      <c r="D5710">
        <f t="shared" si="197"/>
        <v>0.68909474096791257</v>
      </c>
    </row>
    <row r="5711" spans="1:4">
      <c r="A5711" s="1">
        <v>26590</v>
      </c>
      <c r="B5711">
        <v>108.19</v>
      </c>
      <c r="C5711">
        <f t="shared" si="198"/>
        <v>6.4186046511627692E-3</v>
      </c>
      <c r="D5711">
        <f t="shared" si="197"/>
        <v>0.64489897243759153</v>
      </c>
    </row>
    <row r="5712" spans="1:4">
      <c r="A5712" s="1">
        <v>26591</v>
      </c>
      <c r="B5712">
        <v>108.05</v>
      </c>
      <c r="C5712">
        <f t="shared" si="198"/>
        <v>-1.2940197800166426E-3</v>
      </c>
      <c r="D5712">
        <f t="shared" si="197"/>
        <v>-0.16955154584653079</v>
      </c>
    </row>
    <row r="5713" spans="1:4">
      <c r="A5713" s="1">
        <v>26592</v>
      </c>
      <c r="B5713">
        <v>109.24</v>
      </c>
      <c r="C5713">
        <f t="shared" si="198"/>
        <v>1.1013419713095768E-2</v>
      </c>
      <c r="D5713">
        <f t="shared" si="197"/>
        <v>1.1301098811241903</v>
      </c>
    </row>
    <row r="5714" spans="1:4">
      <c r="A5714" s="1">
        <v>26595</v>
      </c>
      <c r="B5714">
        <v>110.35</v>
      </c>
      <c r="C5714">
        <f t="shared" si="198"/>
        <v>1.0161113145367993E-2</v>
      </c>
      <c r="D5714">
        <f t="shared" si="197"/>
        <v>1.0401065972852159</v>
      </c>
    </row>
    <row r="5715" spans="1:4">
      <c r="A5715" s="1">
        <v>26596</v>
      </c>
      <c r="B5715">
        <v>110.81</v>
      </c>
      <c r="C5715">
        <f t="shared" si="198"/>
        <v>4.1685545990032442E-3</v>
      </c>
      <c r="D5715">
        <f t="shared" si="197"/>
        <v>0.40729445175871964</v>
      </c>
    </row>
    <row r="5716" spans="1:4">
      <c r="A5716" s="1">
        <v>26597</v>
      </c>
      <c r="B5716">
        <v>110.72</v>
      </c>
      <c r="C5716">
        <f t="shared" si="198"/>
        <v>-8.1220106488587144E-4</v>
      </c>
      <c r="D5716">
        <f t="shared" si="197"/>
        <v>-0.11867165330686019</v>
      </c>
    </row>
    <row r="5717" spans="1:4">
      <c r="A5717" s="1">
        <v>26598</v>
      </c>
      <c r="B5717">
        <v>110.99</v>
      </c>
      <c r="C5717">
        <f t="shared" si="198"/>
        <v>2.4385838150288658E-3</v>
      </c>
      <c r="D5717">
        <f t="shared" si="197"/>
        <v>0.22461012501666641</v>
      </c>
    </row>
    <row r="5718" spans="1:4">
      <c r="A5718" s="1">
        <v>26599</v>
      </c>
      <c r="B5718">
        <v>110.62</v>
      </c>
      <c r="C5718">
        <f t="shared" si="198"/>
        <v>-3.3336336606900655E-3</v>
      </c>
      <c r="D5718">
        <f t="shared" si="197"/>
        <v>-0.38493407834720056</v>
      </c>
    </row>
    <row r="5719" spans="1:4">
      <c r="A5719" s="1">
        <v>26602</v>
      </c>
      <c r="B5719">
        <v>110.59</v>
      </c>
      <c r="C5719">
        <f t="shared" si="198"/>
        <v>-2.7119869824625867E-4</v>
      </c>
      <c r="D5719">
        <f t="shared" si="197"/>
        <v>-6.1541987285356543E-2</v>
      </c>
    </row>
    <row r="5720" spans="1:4">
      <c r="A5720" s="1">
        <v>26603</v>
      </c>
      <c r="B5720">
        <v>111.58</v>
      </c>
      <c r="C5720">
        <f t="shared" si="198"/>
        <v>8.9519848087530052E-3</v>
      </c>
      <c r="D5720">
        <f t="shared" si="197"/>
        <v>0.91242305594136452</v>
      </c>
    </row>
    <row r="5721" spans="1:4">
      <c r="A5721" s="1">
        <v>26604</v>
      </c>
      <c r="B5721">
        <v>112.67</v>
      </c>
      <c r="C5721">
        <f t="shared" si="198"/>
        <v>9.7687757662663875E-3</v>
      </c>
      <c r="D5721">
        <f t="shared" si="197"/>
        <v>0.99867590341404133</v>
      </c>
    </row>
    <row r="5722" spans="1:4">
      <c r="A5722" s="1">
        <v>26605</v>
      </c>
      <c r="B5722">
        <v>113.23</v>
      </c>
      <c r="C5722">
        <f t="shared" si="198"/>
        <v>4.9702671518594326E-3</v>
      </c>
      <c r="D5722">
        <f t="shared" si="197"/>
        <v>0.49195502482499553</v>
      </c>
    </row>
    <row r="5723" spans="1:4">
      <c r="A5723" s="1">
        <v>26606</v>
      </c>
      <c r="B5723">
        <v>114.22</v>
      </c>
      <c r="C5723">
        <f t="shared" si="198"/>
        <v>8.7432659189260343E-3</v>
      </c>
      <c r="D5723">
        <f t="shared" si="197"/>
        <v>0.89038241212263414</v>
      </c>
    </row>
    <row r="5724" spans="1:4">
      <c r="A5724" s="1">
        <v>26609</v>
      </c>
      <c r="B5724">
        <v>113.98</v>
      </c>
      <c r="C5724">
        <f t="shared" si="198"/>
        <v>-2.1012081947119148E-3</v>
      </c>
      <c r="D5724">
        <f t="shared" si="197"/>
        <v>-0.2547903680616781</v>
      </c>
    </row>
    <row r="5725" spans="1:4">
      <c r="A5725" s="1">
        <v>26611</v>
      </c>
      <c r="B5725">
        <v>113.35</v>
      </c>
      <c r="C5725">
        <f t="shared" si="198"/>
        <v>-5.5272854886823097E-3</v>
      </c>
      <c r="D5725">
        <f t="shared" si="197"/>
        <v>-0.61658296572469562</v>
      </c>
    </row>
    <row r="5726" spans="1:4">
      <c r="A5726" s="1">
        <v>26612</v>
      </c>
      <c r="B5726">
        <v>113.5</v>
      </c>
      <c r="C5726">
        <f t="shared" si="198"/>
        <v>1.3233348037053876E-3</v>
      </c>
      <c r="D5726">
        <f t="shared" si="197"/>
        <v>0.10684020851246517</v>
      </c>
    </row>
    <row r="5727" spans="1:4">
      <c r="A5727" s="1">
        <v>26613</v>
      </c>
      <c r="B5727">
        <v>113.73</v>
      </c>
      <c r="C5727">
        <f t="shared" si="198"/>
        <v>2.026431718061709E-3</v>
      </c>
      <c r="D5727">
        <f t="shared" si="197"/>
        <v>0.18108700367423938</v>
      </c>
    </row>
    <row r="5728" spans="1:4">
      <c r="A5728" s="1">
        <v>26616</v>
      </c>
      <c r="B5728">
        <v>113.9</v>
      </c>
      <c r="C5728">
        <f t="shared" si="198"/>
        <v>1.4947683109118237E-3</v>
      </c>
      <c r="D5728">
        <f t="shared" si="197"/>
        <v>0.12494352860038438</v>
      </c>
    </row>
    <row r="5729" spans="1:4">
      <c r="A5729" s="1">
        <v>26617</v>
      </c>
      <c r="B5729">
        <v>114.95</v>
      </c>
      <c r="C5729">
        <f t="shared" si="198"/>
        <v>9.2186128182616071E-3</v>
      </c>
      <c r="D5729">
        <f t="shared" si="197"/>
        <v>0.9405788831142089</v>
      </c>
    </row>
    <row r="5730" spans="1:4">
      <c r="A5730" s="1">
        <v>26618</v>
      </c>
      <c r="B5730">
        <v>114.5</v>
      </c>
      <c r="C5730">
        <f t="shared" si="198"/>
        <v>-3.9147455415398241E-3</v>
      </c>
      <c r="D5730">
        <f t="shared" si="197"/>
        <v>-0.44629929543540936</v>
      </c>
    </row>
    <row r="5731" spans="1:4">
      <c r="A5731" s="1">
        <v>26619</v>
      </c>
      <c r="B5731">
        <v>115.13</v>
      </c>
      <c r="C5731">
        <f t="shared" si="198"/>
        <v>5.5021834061134978E-3</v>
      </c>
      <c r="D5731">
        <f t="shared" si="197"/>
        <v>0.548125200467105</v>
      </c>
    </row>
    <row r="5732" spans="1:4">
      <c r="A5732" s="1">
        <v>26620</v>
      </c>
      <c r="B5732">
        <v>115.49</v>
      </c>
      <c r="C5732">
        <f t="shared" si="198"/>
        <v>3.1269000260574953E-3</v>
      </c>
      <c r="D5732">
        <f t="shared" si="197"/>
        <v>0.29729608293124155</v>
      </c>
    </row>
    <row r="5733" spans="1:4">
      <c r="A5733" s="1">
        <v>26623</v>
      </c>
      <c r="B5733">
        <v>115.53</v>
      </c>
      <c r="C5733">
        <f t="shared" si="198"/>
        <v>3.4635033336225001E-4</v>
      </c>
      <c r="D5733">
        <f t="shared" si="197"/>
        <v>3.670980537386878E-3</v>
      </c>
    </row>
    <row r="5734" spans="1:4">
      <c r="A5734" s="1">
        <v>26624</v>
      </c>
      <c r="B5734">
        <v>116.21</v>
      </c>
      <c r="C5734">
        <f t="shared" si="198"/>
        <v>5.8859170778152222E-3</v>
      </c>
      <c r="D5734">
        <f t="shared" si="197"/>
        <v>0.58864734576139444</v>
      </c>
    </row>
    <row r="5735" spans="1:4">
      <c r="A5735" s="1">
        <v>26625</v>
      </c>
      <c r="B5735">
        <v>116.9</v>
      </c>
      <c r="C5735">
        <f t="shared" si="198"/>
        <v>5.9375268909733414E-3</v>
      </c>
      <c r="D5735">
        <f t="shared" si="197"/>
        <v>0.59409732448786401</v>
      </c>
    </row>
    <row r="5736" spans="1:4">
      <c r="A5736" s="1">
        <v>26627</v>
      </c>
      <c r="B5736">
        <v>117.27</v>
      </c>
      <c r="C5736">
        <f t="shared" si="198"/>
        <v>3.16509837467913E-3</v>
      </c>
      <c r="D5736">
        <f t="shared" si="197"/>
        <v>0.30132981556143662</v>
      </c>
    </row>
    <row r="5737" spans="1:4">
      <c r="A5737" s="1">
        <v>26630</v>
      </c>
      <c r="B5737">
        <v>116.72</v>
      </c>
      <c r="C5737">
        <f t="shared" si="198"/>
        <v>-4.6900315511213195E-3</v>
      </c>
      <c r="D5737">
        <f t="shared" si="197"/>
        <v>-0.52816923451469622</v>
      </c>
    </row>
    <row r="5738" spans="1:4">
      <c r="A5738" s="1">
        <v>26631</v>
      </c>
      <c r="B5738">
        <v>116.47</v>
      </c>
      <c r="C5738">
        <f t="shared" si="198"/>
        <v>-2.1418779986291979E-3</v>
      </c>
      <c r="D5738">
        <f t="shared" si="197"/>
        <v>-0.25908508553100518</v>
      </c>
    </row>
    <row r="5739" spans="1:4">
      <c r="A5739" s="1">
        <v>26632</v>
      </c>
      <c r="B5739">
        <v>116.52</v>
      </c>
      <c r="C5739">
        <f t="shared" si="198"/>
        <v>4.2929509744996271E-4</v>
      </c>
      <c r="D5739">
        <f t="shared" si="197"/>
        <v>1.2429919430754135E-2</v>
      </c>
    </row>
    <row r="5740" spans="1:4">
      <c r="A5740" s="1">
        <v>26633</v>
      </c>
      <c r="B5740">
        <v>116.67</v>
      </c>
      <c r="C5740">
        <f t="shared" si="198"/>
        <v>1.2873326467559706E-3</v>
      </c>
      <c r="D5740">
        <f t="shared" si="197"/>
        <v>0.10303839297633448</v>
      </c>
    </row>
    <row r="5741" spans="1:4">
      <c r="A5741" s="1">
        <v>26634</v>
      </c>
      <c r="B5741">
        <v>117.38</v>
      </c>
      <c r="C5741">
        <f t="shared" si="198"/>
        <v>6.0855404131309994E-3</v>
      </c>
      <c r="D5741">
        <f t="shared" si="197"/>
        <v>0.609727502115472</v>
      </c>
    </row>
    <row r="5742" spans="1:4">
      <c r="A5742" s="1">
        <v>26637</v>
      </c>
      <c r="B5742">
        <v>117.77</v>
      </c>
      <c r="C5742">
        <f t="shared" si="198"/>
        <v>3.3225421707275566E-3</v>
      </c>
      <c r="D5742">
        <f t="shared" si="197"/>
        <v>0.31795582690640389</v>
      </c>
    </row>
    <row r="5743" spans="1:4">
      <c r="A5743" s="1">
        <v>26638</v>
      </c>
      <c r="B5743">
        <v>117.58</v>
      </c>
      <c r="C5743">
        <f t="shared" si="198"/>
        <v>-1.6133140867792964E-3</v>
      </c>
      <c r="D5743">
        <f t="shared" si="197"/>
        <v>-0.20326891610725881</v>
      </c>
    </row>
    <row r="5744" spans="1:4">
      <c r="A5744" s="1">
        <v>26639</v>
      </c>
      <c r="B5744">
        <v>118.01</v>
      </c>
      <c r="C5744">
        <f t="shared" si="198"/>
        <v>3.6570845381868246E-3</v>
      </c>
      <c r="D5744">
        <f t="shared" si="197"/>
        <v>0.35328338719362667</v>
      </c>
    </row>
    <row r="5745" spans="1:4">
      <c r="A5745" s="1">
        <v>26640</v>
      </c>
      <c r="B5745">
        <v>118.6</v>
      </c>
      <c r="C5745">
        <f t="shared" si="198"/>
        <v>4.9995763070925271E-3</v>
      </c>
      <c r="D5745">
        <f t="shared" si="197"/>
        <v>0.49505006165494436</v>
      </c>
    </row>
    <row r="5746" spans="1:4">
      <c r="A5746" s="1">
        <v>26641</v>
      </c>
      <c r="B5746">
        <v>118.86</v>
      </c>
      <c r="C5746">
        <f t="shared" si="198"/>
        <v>2.1922428330523199E-3</v>
      </c>
      <c r="D5746">
        <f t="shared" si="197"/>
        <v>0.19859660105531143</v>
      </c>
    </row>
    <row r="5747" spans="1:4">
      <c r="A5747" s="1">
        <v>26644</v>
      </c>
      <c r="B5747">
        <v>119.12</v>
      </c>
      <c r="C5747">
        <f t="shared" si="198"/>
        <v>2.187447417129439E-3</v>
      </c>
      <c r="D5747">
        <f t="shared" si="197"/>
        <v>0.19809020676389627</v>
      </c>
    </row>
    <row r="5748" spans="1:4">
      <c r="A5748" s="1">
        <v>26645</v>
      </c>
      <c r="B5748">
        <v>118.66</v>
      </c>
      <c r="C5748">
        <f t="shared" si="198"/>
        <v>-3.8616521155138343E-3</v>
      </c>
      <c r="D5748">
        <f t="shared" si="197"/>
        <v>-0.44069264769439714</v>
      </c>
    </row>
    <row r="5749" spans="1:4">
      <c r="A5749" s="1">
        <v>26646</v>
      </c>
      <c r="B5749">
        <v>118.56</v>
      </c>
      <c r="C5749">
        <f t="shared" si="198"/>
        <v>-8.4274397438053531E-4</v>
      </c>
      <c r="D5749">
        <f t="shared" si="197"/>
        <v>-0.12189697416745734</v>
      </c>
    </row>
    <row r="5750" spans="1:4">
      <c r="A5750" s="1">
        <v>26647</v>
      </c>
      <c r="B5750">
        <v>118.24</v>
      </c>
      <c r="C5750">
        <f t="shared" si="198"/>
        <v>-2.6990553306343403E-3</v>
      </c>
      <c r="D5750">
        <f t="shared" si="197"/>
        <v>-0.31792282239697089</v>
      </c>
    </row>
    <row r="5751" spans="1:4">
      <c r="A5751" s="1">
        <v>26648</v>
      </c>
      <c r="B5751">
        <v>118.26</v>
      </c>
      <c r="C5751">
        <f t="shared" si="198"/>
        <v>1.691474966171366E-4</v>
      </c>
      <c r="D5751">
        <f t="shared" si="197"/>
        <v>-1.5041578788726261E-2</v>
      </c>
    </row>
    <row r="5752" spans="1:4">
      <c r="A5752" s="1">
        <v>26651</v>
      </c>
      <c r="B5752">
        <v>116.9</v>
      </c>
      <c r="C5752">
        <f t="shared" si="198"/>
        <v>-1.1500084559445284E-2</v>
      </c>
      <c r="D5752">
        <f t="shared" si="197"/>
        <v>-1.2473085173442164</v>
      </c>
    </row>
    <row r="5753" spans="1:4">
      <c r="A5753" s="1">
        <v>26652</v>
      </c>
      <c r="B5753">
        <v>116.34</v>
      </c>
      <c r="C5753">
        <f t="shared" si="198"/>
        <v>-4.7904191616766657E-3</v>
      </c>
      <c r="D5753">
        <f t="shared" si="197"/>
        <v>-0.53877013206593394</v>
      </c>
    </row>
    <row r="5754" spans="1:4">
      <c r="A5754" s="1">
        <v>26653</v>
      </c>
      <c r="B5754">
        <v>115.95</v>
      </c>
      <c r="C5754">
        <f t="shared" si="198"/>
        <v>-3.3522434244455954E-3</v>
      </c>
      <c r="D5754">
        <f t="shared" si="197"/>
        <v>-0.38689926307401845</v>
      </c>
    </row>
    <row r="5755" spans="1:4">
      <c r="A5755" s="1">
        <v>26654</v>
      </c>
      <c r="B5755">
        <v>115.11</v>
      </c>
      <c r="C5755">
        <f t="shared" si="198"/>
        <v>-7.2445019404916208E-3</v>
      </c>
      <c r="D5755">
        <f t="shared" si="197"/>
        <v>-0.79792043932552581</v>
      </c>
    </row>
    <row r="5756" spans="1:4">
      <c r="A5756" s="1">
        <v>26655</v>
      </c>
      <c r="B5756">
        <v>115.83</v>
      </c>
      <c r="C5756">
        <f t="shared" si="198"/>
        <v>6.2548866301798184E-3</v>
      </c>
      <c r="D5756">
        <f t="shared" si="197"/>
        <v>0.62761040507225119</v>
      </c>
    </row>
    <row r="5757" spans="1:4">
      <c r="A5757" s="1">
        <v>26659</v>
      </c>
      <c r="B5757">
        <v>116.3</v>
      </c>
      <c r="C5757">
        <f t="shared" si="198"/>
        <v>4.0576707243373811E-3</v>
      </c>
      <c r="D5757">
        <f t="shared" si="197"/>
        <v>0.39558515228526481</v>
      </c>
    </row>
    <row r="5758" spans="1:4">
      <c r="A5758" s="1">
        <v>26660</v>
      </c>
      <c r="B5758">
        <v>116.93</v>
      </c>
      <c r="C5758">
        <f t="shared" si="198"/>
        <v>5.417024935511691E-3</v>
      </c>
      <c r="D5758">
        <f t="shared" si="197"/>
        <v>0.53913249491832482</v>
      </c>
    </row>
    <row r="5759" spans="1:4">
      <c r="A5759" s="1">
        <v>26662</v>
      </c>
      <c r="B5759">
        <v>118.05</v>
      </c>
      <c r="C5759">
        <f t="shared" si="198"/>
        <v>9.5783802274864473E-3</v>
      </c>
      <c r="D5759">
        <f t="shared" si="197"/>
        <v>0.9785701992374678</v>
      </c>
    </row>
    <row r="5760" spans="1:4">
      <c r="A5760" s="1">
        <v>26666</v>
      </c>
      <c r="B5760">
        <v>119.1</v>
      </c>
      <c r="C5760">
        <f t="shared" si="198"/>
        <v>8.8945362134688448E-3</v>
      </c>
      <c r="D5760">
        <f t="shared" si="197"/>
        <v>0.90635650380708344</v>
      </c>
    </row>
    <row r="5761" spans="1:4">
      <c r="A5761" s="1">
        <v>26667</v>
      </c>
      <c r="B5761">
        <v>119.57</v>
      </c>
      <c r="C5761">
        <f t="shared" si="198"/>
        <v>3.9462636439966323E-3</v>
      </c>
      <c r="D5761">
        <f t="shared" si="197"/>
        <v>0.38382060247038829</v>
      </c>
    </row>
    <row r="5762" spans="1:4">
      <c r="A5762" s="1">
        <v>26668</v>
      </c>
      <c r="B5762">
        <v>119.4</v>
      </c>
      <c r="C5762">
        <f t="shared" si="198"/>
        <v>-1.4217613113656226E-3</v>
      </c>
      <c r="D5762">
        <f t="shared" si="197"/>
        <v>-0.18304100813552684</v>
      </c>
    </row>
    <row r="5763" spans="1:4">
      <c r="A5763" s="1">
        <v>26669</v>
      </c>
      <c r="B5763">
        <v>119.87</v>
      </c>
      <c r="C5763">
        <f t="shared" si="198"/>
        <v>3.9363484087102081E-3</v>
      </c>
      <c r="D5763">
        <f t="shared" ref="D5763:D5826" si="199">(C5763-avg)/sd</f>
        <v>0.38277355699449417</v>
      </c>
    </row>
    <row r="5764" spans="1:4">
      <c r="A5764" s="1">
        <v>26672</v>
      </c>
      <c r="B5764">
        <v>119.85</v>
      </c>
      <c r="C5764">
        <f t="shared" ref="C5764:C5827" si="200">(B5764-B5763)/B5763</f>
        <v>-1.6684741803629124E-4</v>
      </c>
      <c r="D5764">
        <f t="shared" si="199"/>
        <v>-5.0522527565907561E-2</v>
      </c>
    </row>
    <row r="5765" spans="1:4">
      <c r="A5765" s="1">
        <v>26673</v>
      </c>
      <c r="B5765">
        <v>119.73</v>
      </c>
      <c r="C5765">
        <f t="shared" si="200"/>
        <v>-1.001251564455489E-3</v>
      </c>
      <c r="D5765">
        <f t="shared" si="199"/>
        <v>-0.13863532180002469</v>
      </c>
    </row>
    <row r="5766" spans="1:4">
      <c r="A5766" s="1">
        <v>26674</v>
      </c>
      <c r="B5766">
        <v>119.43</v>
      </c>
      <c r="C5766">
        <f t="shared" si="200"/>
        <v>-2.5056376847907556E-3</v>
      </c>
      <c r="D5766">
        <f t="shared" si="199"/>
        <v>-0.29749798474174055</v>
      </c>
    </row>
    <row r="5767" spans="1:4">
      <c r="A5767" s="1">
        <v>26675</v>
      </c>
      <c r="B5767">
        <v>120.24</v>
      </c>
      <c r="C5767">
        <f t="shared" si="200"/>
        <v>6.7822155237376542E-3</v>
      </c>
      <c r="D5767">
        <f t="shared" si="199"/>
        <v>0.68329615698415858</v>
      </c>
    </row>
    <row r="5768" spans="1:4">
      <c r="A5768" s="1">
        <v>26676</v>
      </c>
      <c r="B5768">
        <v>119.3</v>
      </c>
      <c r="C5768">
        <f t="shared" si="200"/>
        <v>-7.8176979374583976E-3</v>
      </c>
      <c r="D5768">
        <f t="shared" si="199"/>
        <v>-0.8584497417664313</v>
      </c>
    </row>
    <row r="5769" spans="1:4">
      <c r="A5769" s="1">
        <v>26679</v>
      </c>
      <c r="B5769">
        <v>118.44</v>
      </c>
      <c r="C5769">
        <f t="shared" si="200"/>
        <v>-7.2087175188600121E-3</v>
      </c>
      <c r="D5769">
        <f t="shared" si="199"/>
        <v>-0.79414161656494386</v>
      </c>
    </row>
    <row r="5770" spans="1:4">
      <c r="A5770" s="1">
        <v>26680</v>
      </c>
      <c r="B5770">
        <v>118.14</v>
      </c>
      <c r="C5770">
        <f t="shared" si="200"/>
        <v>-2.5329280648429347E-3</v>
      </c>
      <c r="D5770">
        <f t="shared" si="199"/>
        <v>-0.30037983959879977</v>
      </c>
    </row>
    <row r="5771" spans="1:4">
      <c r="A5771" s="1">
        <v>26681</v>
      </c>
      <c r="B5771">
        <v>118.68</v>
      </c>
      <c r="C5771">
        <f t="shared" si="200"/>
        <v>4.5708481462671934E-3</v>
      </c>
      <c r="D5771">
        <f t="shared" si="199"/>
        <v>0.44977651360357174</v>
      </c>
    </row>
    <row r="5772" spans="1:4">
      <c r="A5772" s="1">
        <v>26682</v>
      </c>
      <c r="B5772">
        <v>118.85</v>
      </c>
      <c r="C5772">
        <f t="shared" si="200"/>
        <v>1.4324233232220044E-3</v>
      </c>
      <c r="D5772">
        <f t="shared" si="199"/>
        <v>0.11835991909243045</v>
      </c>
    </row>
    <row r="5773" spans="1:4">
      <c r="A5773" s="1">
        <v>26683</v>
      </c>
      <c r="B5773">
        <v>118.78</v>
      </c>
      <c r="C5773">
        <f t="shared" si="200"/>
        <v>-5.8897770298690097E-4</v>
      </c>
      <c r="D5773">
        <f t="shared" si="199"/>
        <v>-9.5099342167636311E-2</v>
      </c>
    </row>
    <row r="5774" spans="1:4">
      <c r="A5774" s="1">
        <v>26686</v>
      </c>
      <c r="B5774">
        <v>118.21</v>
      </c>
      <c r="C5774">
        <f t="shared" si="200"/>
        <v>-4.7987876746927718E-3</v>
      </c>
      <c r="D5774">
        <f t="shared" si="199"/>
        <v>-0.53965384419583906</v>
      </c>
    </row>
    <row r="5775" spans="1:4">
      <c r="A5775" s="1">
        <v>26687</v>
      </c>
      <c r="B5775">
        <v>118.22</v>
      </c>
      <c r="C5775">
        <f t="shared" si="200"/>
        <v>8.4595211911049119E-5</v>
      </c>
      <c r="D5775">
        <f t="shared" si="199"/>
        <v>-2.3970271312971088E-2</v>
      </c>
    </row>
    <row r="5776" spans="1:4">
      <c r="A5776" s="1">
        <v>26688</v>
      </c>
      <c r="B5776">
        <v>116.73</v>
      </c>
      <c r="C5776">
        <f t="shared" si="200"/>
        <v>-1.2603620368803881E-2</v>
      </c>
      <c r="D5776">
        <f t="shared" si="199"/>
        <v>-1.3638415237024371</v>
      </c>
    </row>
    <row r="5777" spans="1:4">
      <c r="A5777" s="1">
        <v>26690</v>
      </c>
      <c r="B5777">
        <v>116.45</v>
      </c>
      <c r="C5777">
        <f t="shared" si="200"/>
        <v>-2.3986978497387229E-3</v>
      </c>
      <c r="D5777">
        <f t="shared" si="199"/>
        <v>-0.28620517451086203</v>
      </c>
    </row>
    <row r="5778" spans="1:4">
      <c r="A5778" s="1">
        <v>26693</v>
      </c>
      <c r="B5778">
        <v>116.01</v>
      </c>
      <c r="C5778">
        <f t="shared" si="200"/>
        <v>-3.7784456848432607E-3</v>
      </c>
      <c r="D5778">
        <f t="shared" si="199"/>
        <v>-0.4319060768988246</v>
      </c>
    </row>
    <row r="5779" spans="1:4">
      <c r="A5779" s="1">
        <v>26694</v>
      </c>
      <c r="B5779">
        <v>115.83</v>
      </c>
      <c r="C5779">
        <f t="shared" si="200"/>
        <v>-1.5515903801397019E-3</v>
      </c>
      <c r="D5779">
        <f t="shared" si="199"/>
        <v>-0.19675091366702491</v>
      </c>
    </row>
    <row r="5780" spans="1:4">
      <c r="A5780" s="1">
        <v>26695</v>
      </c>
      <c r="B5780">
        <v>116.03</v>
      </c>
      <c r="C5780">
        <f t="shared" si="200"/>
        <v>1.7266683933350846E-3</v>
      </c>
      <c r="D5780">
        <f t="shared" si="199"/>
        <v>0.14943209847761271</v>
      </c>
    </row>
    <row r="5781" spans="1:4">
      <c r="A5781" s="1">
        <v>26696</v>
      </c>
      <c r="B5781">
        <v>114.76</v>
      </c>
      <c r="C5781">
        <f t="shared" si="200"/>
        <v>-1.0945445143497337E-2</v>
      </c>
      <c r="D5781">
        <f t="shared" si="199"/>
        <v>-1.1887387835512111</v>
      </c>
    </row>
    <row r="5782" spans="1:4">
      <c r="A5782" s="1">
        <v>26697</v>
      </c>
      <c r="B5782">
        <v>114.35</v>
      </c>
      <c r="C5782">
        <f t="shared" si="200"/>
        <v>-3.572673405367818E-3</v>
      </c>
      <c r="D5782">
        <f t="shared" si="199"/>
        <v>-0.41017659413161411</v>
      </c>
    </row>
    <row r="5783" spans="1:4">
      <c r="A5783" s="1">
        <v>26700</v>
      </c>
      <c r="B5783">
        <v>114.23</v>
      </c>
      <c r="C5783">
        <f t="shared" si="200"/>
        <v>-1.0494097070397057E-3</v>
      </c>
      <c r="D5783">
        <f t="shared" si="199"/>
        <v>-0.14372080528716996</v>
      </c>
    </row>
    <row r="5784" spans="1:4">
      <c r="A5784" s="1">
        <v>26701</v>
      </c>
      <c r="B5784">
        <v>114.45</v>
      </c>
      <c r="C5784">
        <f t="shared" si="200"/>
        <v>1.9259388952114055E-3</v>
      </c>
      <c r="D5784">
        <f t="shared" si="199"/>
        <v>0.17047499574041752</v>
      </c>
    </row>
    <row r="5785" spans="1:4">
      <c r="A5785" s="1">
        <v>26702</v>
      </c>
      <c r="B5785">
        <v>113.66</v>
      </c>
      <c r="C5785">
        <f t="shared" si="200"/>
        <v>-6.9025775447794343E-3</v>
      </c>
      <c r="D5785">
        <f t="shared" si="199"/>
        <v>-0.76181333936406814</v>
      </c>
    </row>
    <row r="5786" spans="1:4">
      <c r="A5786" s="1">
        <v>26703</v>
      </c>
      <c r="B5786">
        <v>113.16</v>
      </c>
      <c r="C5786">
        <f t="shared" si="200"/>
        <v>-4.3990849903220129E-3</v>
      </c>
      <c r="D5786">
        <f t="shared" si="199"/>
        <v>-0.49744537659183063</v>
      </c>
    </row>
    <row r="5787" spans="1:4">
      <c r="A5787" s="1">
        <v>26704</v>
      </c>
      <c r="B5787">
        <v>114.68</v>
      </c>
      <c r="C5787">
        <f t="shared" si="200"/>
        <v>1.343230823612593E-2</v>
      </c>
      <c r="D5787">
        <f t="shared" si="199"/>
        <v>1.3855436869360167</v>
      </c>
    </row>
    <row r="5788" spans="1:4">
      <c r="A5788" s="1">
        <v>26707</v>
      </c>
      <c r="B5788">
        <v>116.06</v>
      </c>
      <c r="C5788">
        <f t="shared" si="200"/>
        <v>1.2033484478548965E-2</v>
      </c>
      <c r="D5788">
        <f t="shared" si="199"/>
        <v>1.2378283736191869</v>
      </c>
    </row>
    <row r="5789" spans="1:4">
      <c r="A5789" s="1">
        <v>26708</v>
      </c>
      <c r="B5789">
        <v>116.78</v>
      </c>
      <c r="C5789">
        <f t="shared" si="200"/>
        <v>6.2036877477166883E-3</v>
      </c>
      <c r="D5789">
        <f t="shared" si="199"/>
        <v>0.62220382048749034</v>
      </c>
    </row>
    <row r="5790" spans="1:4">
      <c r="A5790" s="1">
        <v>26709</v>
      </c>
      <c r="B5790">
        <v>115.1</v>
      </c>
      <c r="C5790">
        <f t="shared" si="200"/>
        <v>-1.4386025004281613E-2</v>
      </c>
      <c r="D5790">
        <f t="shared" si="199"/>
        <v>-1.5520628473401124</v>
      </c>
    </row>
    <row r="5791" spans="1:4">
      <c r="A5791" s="1">
        <v>26710</v>
      </c>
      <c r="B5791">
        <v>114.45</v>
      </c>
      <c r="C5791">
        <f t="shared" si="200"/>
        <v>-5.6472632493483185E-3</v>
      </c>
      <c r="D5791">
        <f t="shared" si="199"/>
        <v>-0.62925257646860377</v>
      </c>
    </row>
    <row r="5792" spans="1:4">
      <c r="A5792" s="1">
        <v>26711</v>
      </c>
      <c r="B5792">
        <v>114.98</v>
      </c>
      <c r="C5792">
        <f t="shared" si="200"/>
        <v>4.6308431629532645E-3</v>
      </c>
      <c r="D5792">
        <f t="shared" si="199"/>
        <v>0.45611196697232381</v>
      </c>
    </row>
    <row r="5793" spans="1:4">
      <c r="A5793" s="1">
        <v>26715</v>
      </c>
      <c r="B5793">
        <v>115.4</v>
      </c>
      <c r="C5793">
        <f t="shared" si="200"/>
        <v>3.6528091842059638E-3</v>
      </c>
      <c r="D5793">
        <f t="shared" si="199"/>
        <v>0.3528319112665112</v>
      </c>
    </row>
    <row r="5794" spans="1:4">
      <c r="A5794" s="1">
        <v>26716</v>
      </c>
      <c r="B5794">
        <v>114.69</v>
      </c>
      <c r="C5794">
        <f t="shared" si="200"/>
        <v>-6.1525129982669662E-3</v>
      </c>
      <c r="D5794">
        <f t="shared" si="199"/>
        <v>-0.6826067782116787</v>
      </c>
    </row>
    <row r="5795" spans="1:4">
      <c r="A5795" s="1">
        <v>26717</v>
      </c>
      <c r="B5795">
        <v>114.44</v>
      </c>
      <c r="C5795">
        <f t="shared" si="200"/>
        <v>-2.1797889964251462E-3</v>
      </c>
      <c r="D5795">
        <f t="shared" si="199"/>
        <v>-0.263088474011683</v>
      </c>
    </row>
    <row r="5796" spans="1:4">
      <c r="A5796" s="1">
        <v>26718</v>
      </c>
      <c r="B5796">
        <v>113.16</v>
      </c>
      <c r="C5796">
        <f t="shared" si="200"/>
        <v>-1.118490038448096E-2</v>
      </c>
      <c r="D5796">
        <f t="shared" si="199"/>
        <v>-1.2140251756042906</v>
      </c>
    </row>
    <row r="5797" spans="1:4">
      <c r="A5797" s="1">
        <v>26721</v>
      </c>
      <c r="B5797">
        <v>112.19</v>
      </c>
      <c r="C5797">
        <f t="shared" si="200"/>
        <v>-8.5719335454224003E-3</v>
      </c>
      <c r="D5797">
        <f t="shared" si="199"/>
        <v>-0.93809676559029009</v>
      </c>
    </row>
    <row r="5798" spans="1:4">
      <c r="A5798" s="1">
        <v>26722</v>
      </c>
      <c r="B5798">
        <v>110.9</v>
      </c>
      <c r="C5798">
        <f t="shared" si="200"/>
        <v>-1.1498351011676549E-2</v>
      </c>
      <c r="D5798">
        <f t="shared" si="199"/>
        <v>-1.2471254552890996</v>
      </c>
    </row>
    <row r="5799" spans="1:4">
      <c r="A5799" s="1">
        <v>26723</v>
      </c>
      <c r="B5799">
        <v>111.68</v>
      </c>
      <c r="C5799">
        <f t="shared" si="200"/>
        <v>7.0333633904418498E-3</v>
      </c>
      <c r="D5799">
        <f t="shared" si="199"/>
        <v>0.7098172863388138</v>
      </c>
    </row>
    <row r="5800" spans="1:4">
      <c r="A5800" s="1">
        <v>26724</v>
      </c>
      <c r="B5800">
        <v>111.05</v>
      </c>
      <c r="C5800">
        <f t="shared" si="200"/>
        <v>-5.6411174785101145E-3</v>
      </c>
      <c r="D5800">
        <f t="shared" si="199"/>
        <v>-0.62860358515713843</v>
      </c>
    </row>
    <row r="5801" spans="1:4">
      <c r="A5801" s="1">
        <v>26725</v>
      </c>
      <c r="B5801">
        <v>112.28</v>
      </c>
      <c r="C5801">
        <f t="shared" si="200"/>
        <v>1.1076091850517821E-2</v>
      </c>
      <c r="D5801">
        <f t="shared" si="199"/>
        <v>1.1367280375326645</v>
      </c>
    </row>
    <row r="5802" spans="1:4">
      <c r="A5802" s="1">
        <v>26728</v>
      </c>
      <c r="B5802">
        <v>112.68</v>
      </c>
      <c r="C5802">
        <f t="shared" si="200"/>
        <v>3.5625222657642117E-3</v>
      </c>
      <c r="D5802">
        <f t="shared" si="199"/>
        <v>0.34329764336907692</v>
      </c>
    </row>
    <row r="5803" spans="1:4">
      <c r="A5803" s="1">
        <v>26729</v>
      </c>
      <c r="B5803">
        <v>114.1</v>
      </c>
      <c r="C5803">
        <f t="shared" si="200"/>
        <v>1.260205892793741E-2</v>
      </c>
      <c r="D5803">
        <f t="shared" si="199"/>
        <v>1.297869642206761</v>
      </c>
    </row>
    <row r="5804" spans="1:4">
      <c r="A5804" s="1">
        <v>26730</v>
      </c>
      <c r="B5804">
        <v>114.45</v>
      </c>
      <c r="C5804">
        <f t="shared" si="200"/>
        <v>3.0674846625767618E-3</v>
      </c>
      <c r="D5804">
        <f t="shared" si="199"/>
        <v>0.29102184074393939</v>
      </c>
    </row>
    <row r="5805" spans="1:4">
      <c r="A5805" s="1">
        <v>26731</v>
      </c>
      <c r="B5805">
        <v>114.23</v>
      </c>
      <c r="C5805">
        <f t="shared" si="200"/>
        <v>-1.9222367846220957E-3</v>
      </c>
      <c r="D5805">
        <f t="shared" si="199"/>
        <v>-0.23589104799153135</v>
      </c>
    </row>
    <row r="5806" spans="1:4">
      <c r="A5806" s="1">
        <v>26732</v>
      </c>
      <c r="B5806">
        <v>113.79</v>
      </c>
      <c r="C5806">
        <f t="shared" si="200"/>
        <v>-3.851877790422811E-3</v>
      </c>
      <c r="D5806">
        <f t="shared" si="199"/>
        <v>-0.43966048228723964</v>
      </c>
    </row>
    <row r="5807" spans="1:4">
      <c r="A5807" s="1">
        <v>26735</v>
      </c>
      <c r="B5807">
        <v>113.86</v>
      </c>
      <c r="C5807">
        <f t="shared" si="200"/>
        <v>6.1516829246852252E-4</v>
      </c>
      <c r="D5807">
        <f t="shared" si="199"/>
        <v>3.2058065643345242E-2</v>
      </c>
    </row>
    <row r="5808" spans="1:4">
      <c r="A5808" s="1">
        <v>26736</v>
      </c>
      <c r="B5808">
        <v>114.48</v>
      </c>
      <c r="C5808">
        <f t="shared" si="200"/>
        <v>5.4452836817144258E-3</v>
      </c>
      <c r="D5808">
        <f t="shared" si="199"/>
        <v>0.54211660891171909</v>
      </c>
    </row>
    <row r="5809" spans="1:4">
      <c r="A5809" s="1">
        <v>26737</v>
      </c>
      <c r="B5809">
        <v>114.98</v>
      </c>
      <c r="C5809">
        <f t="shared" si="200"/>
        <v>4.3675751222921029E-3</v>
      </c>
      <c r="D5809">
        <f t="shared" si="199"/>
        <v>0.42831095136766023</v>
      </c>
    </row>
    <row r="5810" spans="1:4">
      <c r="A5810" s="1">
        <v>26738</v>
      </c>
      <c r="B5810">
        <v>114.12</v>
      </c>
      <c r="C5810">
        <f t="shared" si="200"/>
        <v>-7.4795616628978902E-3</v>
      </c>
      <c r="D5810">
        <f t="shared" si="199"/>
        <v>-0.82274266611094604</v>
      </c>
    </row>
    <row r="5811" spans="1:4">
      <c r="A5811" s="1">
        <v>26739</v>
      </c>
      <c r="B5811">
        <v>113.54</v>
      </c>
      <c r="C5811">
        <f t="shared" si="200"/>
        <v>-5.0823694356817231E-3</v>
      </c>
      <c r="D5811">
        <f t="shared" si="199"/>
        <v>-0.56959998176214821</v>
      </c>
    </row>
    <row r="5812" spans="1:4">
      <c r="A5812" s="1">
        <v>26742</v>
      </c>
      <c r="B5812">
        <v>112.17</v>
      </c>
      <c r="C5812">
        <f t="shared" si="200"/>
        <v>-1.2066232164875854E-2</v>
      </c>
      <c r="D5812">
        <f t="shared" si="199"/>
        <v>-1.3070935120347633</v>
      </c>
    </row>
    <row r="5813" spans="1:4">
      <c r="A5813" s="1">
        <v>26743</v>
      </c>
      <c r="B5813">
        <v>111.95</v>
      </c>
      <c r="C5813">
        <f t="shared" si="200"/>
        <v>-1.9613087278238287E-3</v>
      </c>
      <c r="D5813">
        <f t="shared" si="199"/>
        <v>-0.24001703191243554</v>
      </c>
    </row>
    <row r="5814" spans="1:4">
      <c r="A5814" s="1">
        <v>26744</v>
      </c>
      <c r="B5814">
        <v>110.49</v>
      </c>
      <c r="C5814">
        <f t="shared" si="200"/>
        <v>-1.3041536400178721E-2</v>
      </c>
      <c r="D5814">
        <f t="shared" si="199"/>
        <v>-1.4100853077607287</v>
      </c>
    </row>
    <row r="5815" spans="1:4">
      <c r="A5815" s="1">
        <v>26745</v>
      </c>
      <c r="B5815">
        <v>108.84</v>
      </c>
      <c r="C5815">
        <f t="shared" si="200"/>
        <v>-1.4933478142818278E-2</v>
      </c>
      <c r="D5815">
        <f t="shared" si="199"/>
        <v>-1.6098737126812208</v>
      </c>
    </row>
    <row r="5816" spans="1:4">
      <c r="A5816" s="1">
        <v>26746</v>
      </c>
      <c r="B5816">
        <v>108.88</v>
      </c>
      <c r="C5816">
        <f t="shared" si="200"/>
        <v>3.6751194413811139E-4</v>
      </c>
      <c r="D5816">
        <f t="shared" si="199"/>
        <v>5.9056394421368374E-3</v>
      </c>
    </row>
    <row r="5817" spans="1:4">
      <c r="A5817" s="1">
        <v>26749</v>
      </c>
      <c r="B5817">
        <v>109.84</v>
      </c>
      <c r="C5817">
        <f t="shared" si="200"/>
        <v>8.817046289493093E-3</v>
      </c>
      <c r="D5817">
        <f t="shared" si="199"/>
        <v>0.89817359417534903</v>
      </c>
    </row>
    <row r="5818" spans="1:4">
      <c r="A5818" s="1">
        <v>26750</v>
      </c>
      <c r="B5818">
        <v>111.56</v>
      </c>
      <c r="C5818">
        <f t="shared" si="200"/>
        <v>1.5659140568099042E-2</v>
      </c>
      <c r="D5818">
        <f t="shared" si="199"/>
        <v>1.6206964242552899</v>
      </c>
    </row>
    <row r="5819" spans="1:4">
      <c r="A5819" s="1">
        <v>26751</v>
      </c>
      <c r="B5819">
        <v>111.62</v>
      </c>
      <c r="C5819">
        <f t="shared" si="200"/>
        <v>5.3782717820009211E-4</v>
      </c>
      <c r="D5819">
        <f t="shared" si="199"/>
        <v>2.3890870266121071E-2</v>
      </c>
    </row>
    <row r="5820" spans="1:4">
      <c r="A5820" s="1">
        <v>26752</v>
      </c>
      <c r="B5820">
        <v>112.71</v>
      </c>
      <c r="C5820">
        <f t="shared" si="200"/>
        <v>9.7652750403152584E-3</v>
      </c>
      <c r="D5820">
        <f t="shared" si="199"/>
        <v>0.99830622794355661</v>
      </c>
    </row>
    <row r="5821" spans="1:4">
      <c r="A5821" s="1">
        <v>26753</v>
      </c>
      <c r="B5821">
        <v>111.52</v>
      </c>
      <c r="C5821">
        <f t="shared" si="200"/>
        <v>-1.0558069381598773E-2</v>
      </c>
      <c r="D5821">
        <f t="shared" si="199"/>
        <v>-1.1478320347701421</v>
      </c>
    </row>
    <row r="5822" spans="1:4">
      <c r="A5822" s="1">
        <v>26756</v>
      </c>
      <c r="B5822">
        <v>110.18</v>
      </c>
      <c r="C5822">
        <f t="shared" si="200"/>
        <v>-1.2015781922525011E-2</v>
      </c>
      <c r="D5822">
        <f t="shared" si="199"/>
        <v>-1.3017659835913848</v>
      </c>
    </row>
    <row r="5823" spans="1:4">
      <c r="A5823" s="1">
        <v>26757</v>
      </c>
      <c r="B5823">
        <v>109.24</v>
      </c>
      <c r="C5823">
        <f t="shared" si="200"/>
        <v>-8.5314939190416755E-3</v>
      </c>
      <c r="D5823">
        <f t="shared" si="199"/>
        <v>-0.9338263547905824</v>
      </c>
    </row>
    <row r="5824" spans="1:4">
      <c r="A5824" s="1">
        <v>26758</v>
      </c>
      <c r="B5824">
        <v>108.77</v>
      </c>
      <c r="C5824">
        <f t="shared" si="200"/>
        <v>-4.3024533138044567E-3</v>
      </c>
      <c r="D5824">
        <f t="shared" si="199"/>
        <v>-0.4872411043982795</v>
      </c>
    </row>
    <row r="5825" spans="1:4">
      <c r="A5825" s="1">
        <v>26759</v>
      </c>
      <c r="B5825">
        <v>108.52</v>
      </c>
      <c r="C5825">
        <f t="shared" si="200"/>
        <v>-2.298427875333272E-3</v>
      </c>
      <c r="D5825">
        <f t="shared" si="199"/>
        <v>-0.27561669929706678</v>
      </c>
    </row>
    <row r="5826" spans="1:4">
      <c r="A5826" s="1">
        <v>26760</v>
      </c>
      <c r="B5826">
        <v>109.28</v>
      </c>
      <c r="C5826">
        <f t="shared" si="200"/>
        <v>7.0033173608551897E-3</v>
      </c>
      <c r="D5826">
        <f t="shared" si="199"/>
        <v>0.70664443582760417</v>
      </c>
    </row>
    <row r="5827" spans="1:4">
      <c r="A5827" s="1">
        <v>26763</v>
      </c>
      <c r="B5827">
        <v>110.86</v>
      </c>
      <c r="C5827">
        <f t="shared" si="200"/>
        <v>1.4458272327964846E-2</v>
      </c>
      <c r="D5827">
        <f t="shared" ref="D5827:D5890" si="201">(C5827-avg)/sd</f>
        <v>1.4938851462920668</v>
      </c>
    </row>
    <row r="5828" spans="1:4">
      <c r="A5828" s="1">
        <v>26764</v>
      </c>
      <c r="B5828">
        <v>112.21</v>
      </c>
      <c r="C5828">
        <f t="shared" ref="C5828:C5891" si="202">(B5828-B5827)/B5827</f>
        <v>1.2177521197907219E-2</v>
      </c>
      <c r="D5828">
        <f t="shared" si="201"/>
        <v>1.2530386022229587</v>
      </c>
    </row>
    <row r="5829" spans="1:4">
      <c r="A5829" s="1">
        <v>26765</v>
      </c>
      <c r="B5829">
        <v>112.68</v>
      </c>
      <c r="C5829">
        <f t="shared" si="202"/>
        <v>4.1885749933162205E-3</v>
      </c>
      <c r="D5829">
        <f t="shared" si="201"/>
        <v>0.40940859859290724</v>
      </c>
    </row>
    <row r="5830" spans="1:4">
      <c r="A5830" s="1">
        <v>26766</v>
      </c>
      <c r="B5830">
        <v>112.58</v>
      </c>
      <c r="C5830">
        <f t="shared" si="202"/>
        <v>-8.8746893858722507E-4</v>
      </c>
      <c r="D5830">
        <f t="shared" si="201"/>
        <v>-0.12661991518492977</v>
      </c>
    </row>
    <row r="5831" spans="1:4">
      <c r="A5831" s="1">
        <v>26767</v>
      </c>
      <c r="B5831">
        <v>112.08</v>
      </c>
      <c r="C5831">
        <f t="shared" si="202"/>
        <v>-4.4412861964825013E-3</v>
      </c>
      <c r="D5831">
        <f t="shared" si="201"/>
        <v>-0.50190180961749131</v>
      </c>
    </row>
    <row r="5832" spans="1:4">
      <c r="A5832" s="1">
        <v>26770</v>
      </c>
      <c r="B5832">
        <v>111.44</v>
      </c>
      <c r="C5832">
        <f t="shared" si="202"/>
        <v>-5.7102069950035741E-3</v>
      </c>
      <c r="D5832">
        <f t="shared" si="201"/>
        <v>-0.63589941461418009</v>
      </c>
    </row>
    <row r="5833" spans="1:4">
      <c r="A5833" s="1">
        <v>26771</v>
      </c>
      <c r="B5833">
        <v>110.94</v>
      </c>
      <c r="C5833">
        <f t="shared" si="202"/>
        <v>-4.4867193108399138E-3</v>
      </c>
      <c r="D5833">
        <f t="shared" si="201"/>
        <v>-0.50669953105016807</v>
      </c>
    </row>
    <row r="5834" spans="1:4">
      <c r="A5834" s="1">
        <v>26772</v>
      </c>
      <c r="B5834">
        <v>111.54</v>
      </c>
      <c r="C5834">
        <f t="shared" si="202"/>
        <v>5.4083288263927221E-3</v>
      </c>
      <c r="D5834">
        <f t="shared" si="201"/>
        <v>0.53821418875131277</v>
      </c>
    </row>
    <row r="5835" spans="1:4">
      <c r="A5835" s="1">
        <v>26773</v>
      </c>
      <c r="B5835">
        <v>112.17</v>
      </c>
      <c r="C5835">
        <f t="shared" si="202"/>
        <v>5.6481979558902226E-3</v>
      </c>
      <c r="D5835">
        <f t="shared" si="201"/>
        <v>0.56354428729077011</v>
      </c>
    </row>
    <row r="5836" spans="1:4">
      <c r="A5836" s="1">
        <v>26777</v>
      </c>
      <c r="B5836">
        <v>111.57</v>
      </c>
      <c r="C5836">
        <f t="shared" si="202"/>
        <v>-5.3490238031559997E-3</v>
      </c>
      <c r="D5836">
        <f t="shared" si="201"/>
        <v>-0.59775859232720829</v>
      </c>
    </row>
    <row r="5837" spans="1:4">
      <c r="A5837" s="1">
        <v>26778</v>
      </c>
      <c r="B5837">
        <v>109.99</v>
      </c>
      <c r="C5837">
        <f t="shared" si="202"/>
        <v>-1.4161512951510248E-2</v>
      </c>
      <c r="D5837">
        <f t="shared" si="201"/>
        <v>-1.5283544508828109</v>
      </c>
    </row>
    <row r="5838" spans="1:4">
      <c r="A5838" s="1">
        <v>26779</v>
      </c>
      <c r="B5838">
        <v>108.34</v>
      </c>
      <c r="C5838">
        <f t="shared" si="202"/>
        <v>-1.5001363760341772E-2</v>
      </c>
      <c r="D5838">
        <f t="shared" si="201"/>
        <v>-1.6170424108162593</v>
      </c>
    </row>
    <row r="5839" spans="1:4">
      <c r="A5839" s="1">
        <v>26780</v>
      </c>
      <c r="B5839">
        <v>108.89</v>
      </c>
      <c r="C5839">
        <f t="shared" si="202"/>
        <v>5.0766106701125822E-3</v>
      </c>
      <c r="D5839">
        <f t="shared" si="201"/>
        <v>0.50318486420460995</v>
      </c>
    </row>
    <row r="5840" spans="1:4">
      <c r="A5840" s="1">
        <v>26781</v>
      </c>
      <c r="B5840">
        <v>107.23</v>
      </c>
      <c r="C5840">
        <f t="shared" si="202"/>
        <v>-1.5244742400587718E-2</v>
      </c>
      <c r="D5840">
        <f t="shared" si="201"/>
        <v>-1.6427431124978118</v>
      </c>
    </row>
    <row r="5841" spans="1:4">
      <c r="A5841" s="1">
        <v>26784</v>
      </c>
      <c r="B5841">
        <v>106.97</v>
      </c>
      <c r="C5841">
        <f t="shared" si="202"/>
        <v>-2.4246945817402322E-3</v>
      </c>
      <c r="D5841">
        <f t="shared" si="201"/>
        <v>-0.28895042057350284</v>
      </c>
    </row>
    <row r="5842" spans="1:4">
      <c r="A5842" s="1">
        <v>26785</v>
      </c>
      <c r="B5842">
        <v>107.1</v>
      </c>
      <c r="C5842">
        <f t="shared" si="202"/>
        <v>1.2152940076656583E-3</v>
      </c>
      <c r="D5842">
        <f t="shared" si="201"/>
        <v>9.5431137175520694E-2</v>
      </c>
    </row>
    <row r="5843" spans="1:4">
      <c r="A5843" s="1">
        <v>26786</v>
      </c>
      <c r="B5843">
        <v>108.43</v>
      </c>
      <c r="C5843">
        <f t="shared" si="202"/>
        <v>1.2418300653594888E-2</v>
      </c>
      <c r="D5843">
        <f t="shared" si="201"/>
        <v>1.278464830898663</v>
      </c>
    </row>
    <row r="5844" spans="1:4">
      <c r="A5844" s="1">
        <v>26787</v>
      </c>
      <c r="B5844">
        <v>110.22</v>
      </c>
      <c r="C5844">
        <f t="shared" si="202"/>
        <v>1.6508346398598099E-2</v>
      </c>
      <c r="D5844">
        <f t="shared" si="201"/>
        <v>1.7103722712969032</v>
      </c>
    </row>
    <row r="5845" spans="1:4">
      <c r="A5845" s="1">
        <v>26788</v>
      </c>
      <c r="B5845">
        <v>111</v>
      </c>
      <c r="C5845">
        <f t="shared" si="202"/>
        <v>7.0767555797496022E-3</v>
      </c>
      <c r="D5845">
        <f t="shared" si="201"/>
        <v>0.71439948677999066</v>
      </c>
    </row>
    <row r="5846" spans="1:4">
      <c r="A5846" s="1">
        <v>26791</v>
      </c>
      <c r="B5846">
        <v>110.53</v>
      </c>
      <c r="C5846">
        <f t="shared" si="202"/>
        <v>-4.2342342342342239E-3</v>
      </c>
      <c r="D5846">
        <f t="shared" si="201"/>
        <v>-0.48003719278445478</v>
      </c>
    </row>
    <row r="5847" spans="1:4">
      <c r="A5847" s="1">
        <v>26792</v>
      </c>
      <c r="B5847">
        <v>111.25</v>
      </c>
      <c r="C5847">
        <f t="shared" si="202"/>
        <v>6.5140685786664147E-3</v>
      </c>
      <c r="D5847">
        <f t="shared" si="201"/>
        <v>0.65497993073221095</v>
      </c>
    </row>
    <row r="5848" spans="1:4">
      <c r="A5848" s="1">
        <v>26793</v>
      </c>
      <c r="B5848">
        <v>110.44</v>
      </c>
      <c r="C5848">
        <f t="shared" si="202"/>
        <v>-7.280898876404515E-3</v>
      </c>
      <c r="D5848">
        <f t="shared" si="201"/>
        <v>-0.80176394338600787</v>
      </c>
    </row>
    <row r="5849" spans="1:4">
      <c r="A5849" s="1">
        <v>26794</v>
      </c>
      <c r="B5849">
        <v>109.54</v>
      </c>
      <c r="C5849">
        <f t="shared" si="202"/>
        <v>-8.1492212966315786E-3</v>
      </c>
      <c r="D5849">
        <f t="shared" si="201"/>
        <v>-0.89345849580485404</v>
      </c>
    </row>
    <row r="5850" spans="1:4">
      <c r="A5850" s="1">
        <v>26795</v>
      </c>
      <c r="B5850">
        <v>108.17</v>
      </c>
      <c r="C5850">
        <f t="shared" si="202"/>
        <v>-1.2506846813949283E-2</v>
      </c>
      <c r="D5850">
        <f t="shared" si="201"/>
        <v>-1.3536222692047211</v>
      </c>
    </row>
    <row r="5851" spans="1:4">
      <c r="A5851" s="1">
        <v>26798</v>
      </c>
      <c r="B5851">
        <v>105.9</v>
      </c>
      <c r="C5851">
        <f t="shared" si="202"/>
        <v>-2.0985485809374097E-2</v>
      </c>
      <c r="D5851">
        <f t="shared" si="201"/>
        <v>-2.2489636650921567</v>
      </c>
    </row>
    <row r="5852" spans="1:4">
      <c r="A5852" s="1">
        <v>26799</v>
      </c>
      <c r="B5852">
        <v>106.57</v>
      </c>
      <c r="C5852">
        <f t="shared" si="202"/>
        <v>6.3267233238903445E-3</v>
      </c>
      <c r="D5852">
        <f t="shared" si="201"/>
        <v>0.63519633550960408</v>
      </c>
    </row>
    <row r="5853" spans="1:4">
      <c r="A5853" s="1">
        <v>26800</v>
      </c>
      <c r="B5853">
        <v>106.43</v>
      </c>
      <c r="C5853">
        <f t="shared" si="202"/>
        <v>-1.3136905320445375E-3</v>
      </c>
      <c r="D5853">
        <f t="shared" si="201"/>
        <v>-0.17162877057426301</v>
      </c>
    </row>
    <row r="5854" spans="1:4">
      <c r="A5854" s="1">
        <v>26801</v>
      </c>
      <c r="B5854">
        <v>105.56</v>
      </c>
      <c r="C5854">
        <f t="shared" si="202"/>
        <v>-8.1743869209809691E-3</v>
      </c>
      <c r="D5854">
        <f t="shared" si="201"/>
        <v>-0.89611597718193836</v>
      </c>
    </row>
    <row r="5855" spans="1:4">
      <c r="A5855" s="1">
        <v>26802</v>
      </c>
      <c r="B5855">
        <v>103.86</v>
      </c>
      <c r="C5855">
        <f t="shared" si="202"/>
        <v>-1.6104585070102338E-2</v>
      </c>
      <c r="D5855">
        <f t="shared" si="201"/>
        <v>-1.7335422061238315</v>
      </c>
    </row>
    <row r="5856" spans="1:4">
      <c r="A5856" s="1">
        <v>26805</v>
      </c>
      <c r="B5856">
        <v>102.73</v>
      </c>
      <c r="C5856">
        <f t="shared" si="202"/>
        <v>-1.0880030810706676E-2</v>
      </c>
      <c r="D5856">
        <f t="shared" si="201"/>
        <v>-1.1818310522439293</v>
      </c>
    </row>
    <row r="5857" spans="1:4">
      <c r="A5857" s="1">
        <v>26806</v>
      </c>
      <c r="B5857">
        <v>103.58</v>
      </c>
      <c r="C5857">
        <f t="shared" si="202"/>
        <v>8.2741166163729611E-3</v>
      </c>
      <c r="D5857">
        <f t="shared" si="201"/>
        <v>0.84084040524462589</v>
      </c>
    </row>
    <row r="5858" spans="1:4">
      <c r="A5858" s="1">
        <v>26807</v>
      </c>
      <c r="B5858">
        <v>104.07</v>
      </c>
      <c r="C5858">
        <f t="shared" si="202"/>
        <v>4.7306429812704661E-3</v>
      </c>
      <c r="D5858">
        <f t="shared" si="201"/>
        <v>0.46665079386301378</v>
      </c>
    </row>
    <row r="5859" spans="1:4">
      <c r="A5859" s="1">
        <v>26808</v>
      </c>
      <c r="B5859">
        <v>107.14</v>
      </c>
      <c r="C5859">
        <f t="shared" si="202"/>
        <v>2.9499375420390196E-2</v>
      </c>
      <c r="D5859">
        <f t="shared" si="201"/>
        <v>3.0822205201328283</v>
      </c>
    </row>
    <row r="5860" spans="1:4">
      <c r="A5860" s="1">
        <v>26809</v>
      </c>
      <c r="B5860">
        <v>107.94</v>
      </c>
      <c r="C5860">
        <f t="shared" si="202"/>
        <v>7.4668657830875224E-3</v>
      </c>
      <c r="D5860">
        <f t="shared" si="201"/>
        <v>0.75559499164757404</v>
      </c>
    </row>
    <row r="5861" spans="1:4">
      <c r="A5861" s="1">
        <v>26813</v>
      </c>
      <c r="B5861">
        <v>107.51</v>
      </c>
      <c r="C5861">
        <f t="shared" si="202"/>
        <v>-3.9836946451731756E-3</v>
      </c>
      <c r="D5861">
        <f t="shared" si="201"/>
        <v>-0.45358029734215222</v>
      </c>
    </row>
    <row r="5862" spans="1:4">
      <c r="A5862" s="1">
        <v>26814</v>
      </c>
      <c r="B5862">
        <v>105.91</v>
      </c>
      <c r="C5862">
        <f t="shared" si="202"/>
        <v>-1.4882336526834792E-2</v>
      </c>
      <c r="D5862">
        <f t="shared" si="201"/>
        <v>-1.6044731754172445</v>
      </c>
    </row>
    <row r="5863" spans="1:4">
      <c r="A5863" s="1">
        <v>26815</v>
      </c>
      <c r="B5863">
        <v>104.95</v>
      </c>
      <c r="C5863">
        <f t="shared" si="202"/>
        <v>-9.0642998772542133E-3</v>
      </c>
      <c r="D5863">
        <f t="shared" si="201"/>
        <v>-0.99009048286828161</v>
      </c>
    </row>
    <row r="5864" spans="1:4">
      <c r="A5864" s="1">
        <v>26816</v>
      </c>
      <c r="B5864">
        <v>103.93</v>
      </c>
      <c r="C5864">
        <f t="shared" si="202"/>
        <v>-9.7189137684611342E-3</v>
      </c>
      <c r="D5864">
        <f t="shared" si="201"/>
        <v>-1.0592174872656595</v>
      </c>
    </row>
    <row r="5865" spans="1:4">
      <c r="A5865" s="1">
        <v>26819</v>
      </c>
      <c r="B5865">
        <v>102.97</v>
      </c>
      <c r="C5865">
        <f t="shared" si="202"/>
        <v>-9.2369864331762527E-3</v>
      </c>
      <c r="D5865">
        <f t="shared" si="201"/>
        <v>-1.0083261244746367</v>
      </c>
    </row>
    <row r="5866" spans="1:4">
      <c r="A5866" s="1">
        <v>26820</v>
      </c>
      <c r="B5866">
        <v>104.62</v>
      </c>
      <c r="C5866">
        <f t="shared" si="202"/>
        <v>1.6024084684859722E-2</v>
      </c>
      <c r="D5866">
        <f t="shared" si="201"/>
        <v>1.6592343989346852</v>
      </c>
    </row>
    <row r="5867" spans="1:4">
      <c r="A5867" s="1">
        <v>26821</v>
      </c>
      <c r="B5867">
        <v>104.31</v>
      </c>
      <c r="C5867">
        <f t="shared" si="202"/>
        <v>-2.963104568916099E-3</v>
      </c>
      <c r="D5867">
        <f t="shared" si="201"/>
        <v>-0.34580633220482754</v>
      </c>
    </row>
    <row r="5868" spans="1:4">
      <c r="A5868" s="1">
        <v>26822</v>
      </c>
      <c r="B5868">
        <v>105.84</v>
      </c>
      <c r="C5868">
        <f t="shared" si="202"/>
        <v>1.4667817083692849E-2</v>
      </c>
      <c r="D5868">
        <f t="shared" si="201"/>
        <v>1.5160130012692208</v>
      </c>
    </row>
    <row r="5869" spans="1:4">
      <c r="A5869" s="1">
        <v>26823</v>
      </c>
      <c r="B5869">
        <v>107.03</v>
      </c>
      <c r="C5869">
        <f t="shared" si="202"/>
        <v>1.1243386243386222E-2</v>
      </c>
      <c r="D5869">
        <f t="shared" si="201"/>
        <v>1.1543942685534405</v>
      </c>
    </row>
    <row r="5870" spans="1:4">
      <c r="A5870" s="1">
        <v>26826</v>
      </c>
      <c r="B5870">
        <v>106.7</v>
      </c>
      <c r="C5870">
        <f t="shared" si="202"/>
        <v>-3.0832476875642186E-3</v>
      </c>
      <c r="D5870">
        <f t="shared" si="201"/>
        <v>-0.35849340469543872</v>
      </c>
    </row>
    <row r="5871" spans="1:4">
      <c r="A5871" s="1">
        <v>26827</v>
      </c>
      <c r="B5871">
        <v>108.29</v>
      </c>
      <c r="C5871">
        <f t="shared" si="202"/>
        <v>1.4901593252108748E-2</v>
      </c>
      <c r="D5871">
        <f t="shared" si="201"/>
        <v>1.5406996851895591</v>
      </c>
    </row>
    <row r="5872" spans="1:4">
      <c r="A5872" s="1">
        <v>26828</v>
      </c>
      <c r="B5872">
        <v>107.6</v>
      </c>
      <c r="C5872">
        <f t="shared" si="202"/>
        <v>-6.3717794810232882E-3</v>
      </c>
      <c r="D5872">
        <f t="shared" si="201"/>
        <v>-0.70576124425844755</v>
      </c>
    </row>
    <row r="5873" spans="1:4">
      <c r="A5873" s="1">
        <v>26829</v>
      </c>
      <c r="B5873">
        <v>106.4</v>
      </c>
      <c r="C5873">
        <f t="shared" si="202"/>
        <v>-1.1152416356877219E-2</v>
      </c>
      <c r="D5873">
        <f t="shared" si="201"/>
        <v>-1.2105948733311929</v>
      </c>
    </row>
    <row r="5874" spans="1:4">
      <c r="A5874" s="1">
        <v>26830</v>
      </c>
      <c r="B5874">
        <v>105.1</v>
      </c>
      <c r="C5874">
        <f t="shared" si="202"/>
        <v>-1.2218045112782062E-2</v>
      </c>
      <c r="D5874">
        <f t="shared" si="201"/>
        <v>-1.3231249077299305</v>
      </c>
    </row>
    <row r="5875" spans="1:4">
      <c r="A5875" s="1">
        <v>26833</v>
      </c>
      <c r="B5875">
        <v>103.6</v>
      </c>
      <c r="C5875">
        <f t="shared" si="202"/>
        <v>-1.4272121788772598E-2</v>
      </c>
      <c r="D5875">
        <f t="shared" si="201"/>
        <v>-1.5400347064999445</v>
      </c>
    </row>
    <row r="5876" spans="1:4">
      <c r="A5876" s="1">
        <v>26834</v>
      </c>
      <c r="B5876">
        <v>103.99</v>
      </c>
      <c r="C5876">
        <f t="shared" si="202"/>
        <v>3.7644787644787701E-3</v>
      </c>
      <c r="D5876">
        <f t="shared" si="201"/>
        <v>0.36462418098498489</v>
      </c>
    </row>
    <row r="5877" spans="1:4">
      <c r="A5877" s="1">
        <v>26835</v>
      </c>
      <c r="B5877">
        <v>104.44</v>
      </c>
      <c r="C5877">
        <f t="shared" si="202"/>
        <v>4.3273391672276453E-3</v>
      </c>
      <c r="D5877">
        <f t="shared" si="201"/>
        <v>0.42406204818971915</v>
      </c>
    </row>
    <row r="5878" spans="1:4">
      <c r="A5878" s="1">
        <v>26836</v>
      </c>
      <c r="B5878">
        <v>103.21</v>
      </c>
      <c r="C5878">
        <f t="shared" si="202"/>
        <v>-1.1777096897740367E-2</v>
      </c>
      <c r="D5878">
        <f t="shared" si="201"/>
        <v>-1.2765609261071085</v>
      </c>
    </row>
    <row r="5879" spans="1:4">
      <c r="A5879" s="1">
        <v>26837</v>
      </c>
      <c r="B5879">
        <v>103.7</v>
      </c>
      <c r="C5879">
        <f t="shared" si="202"/>
        <v>4.7476019765527481E-3</v>
      </c>
      <c r="D5879">
        <f t="shared" si="201"/>
        <v>0.46844165800018017</v>
      </c>
    </row>
    <row r="5880" spans="1:4">
      <c r="A5880" s="1">
        <v>26840</v>
      </c>
      <c r="B5880">
        <v>102.25</v>
      </c>
      <c r="C5880">
        <f t="shared" si="202"/>
        <v>-1.3982642237222785E-2</v>
      </c>
      <c r="D5880">
        <f t="shared" si="201"/>
        <v>-1.5094657642551648</v>
      </c>
    </row>
    <row r="5881" spans="1:4">
      <c r="A5881" s="1">
        <v>26841</v>
      </c>
      <c r="B5881">
        <v>103.3</v>
      </c>
      <c r="C5881">
        <f t="shared" si="202"/>
        <v>1.0268948655256696E-2</v>
      </c>
      <c r="D5881">
        <f t="shared" si="201"/>
        <v>1.0514939904743923</v>
      </c>
    </row>
    <row r="5882" spans="1:4">
      <c r="A5882" s="1">
        <v>26842</v>
      </c>
      <c r="B5882">
        <v>103.62</v>
      </c>
      <c r="C5882">
        <f t="shared" si="202"/>
        <v>3.0977734753146894E-3</v>
      </c>
      <c r="D5882">
        <f t="shared" si="201"/>
        <v>0.29422032907339685</v>
      </c>
    </row>
    <row r="5883" spans="1:4">
      <c r="A5883" s="1">
        <v>26843</v>
      </c>
      <c r="B5883">
        <v>104.69</v>
      </c>
      <c r="C5883">
        <f t="shared" si="202"/>
        <v>1.0326191854854208E-2</v>
      </c>
      <c r="D5883">
        <f t="shared" si="201"/>
        <v>1.0575388528939806</v>
      </c>
    </row>
    <row r="5884" spans="1:4">
      <c r="A5884" s="1">
        <v>26844</v>
      </c>
      <c r="B5884">
        <v>104.26</v>
      </c>
      <c r="C5884">
        <f t="shared" si="202"/>
        <v>-4.1073646002482821E-3</v>
      </c>
      <c r="D5884">
        <f t="shared" si="201"/>
        <v>-0.46663980256062321</v>
      </c>
    </row>
    <row r="5885" spans="1:4">
      <c r="A5885" s="1">
        <v>26847</v>
      </c>
      <c r="B5885">
        <v>102.9</v>
      </c>
      <c r="C5885">
        <f t="shared" si="202"/>
        <v>-1.3044312296182614E-2</v>
      </c>
      <c r="D5885">
        <f t="shared" si="201"/>
        <v>-1.4103784414351668</v>
      </c>
    </row>
    <row r="5886" spans="1:4">
      <c r="A5886" s="1">
        <v>26848</v>
      </c>
      <c r="B5886">
        <v>101.87</v>
      </c>
      <c r="C5886">
        <f t="shared" si="202"/>
        <v>-1.0009718172983489E-2</v>
      </c>
      <c r="D5886">
        <f t="shared" si="201"/>
        <v>-1.0899263335340001</v>
      </c>
    </row>
    <row r="5887" spans="1:4">
      <c r="A5887" s="1">
        <v>26850</v>
      </c>
      <c r="B5887">
        <v>101.78</v>
      </c>
      <c r="C5887">
        <f t="shared" si="202"/>
        <v>-8.83478943751874E-4</v>
      </c>
      <c r="D5887">
        <f t="shared" si="201"/>
        <v>-0.12619857308658183</v>
      </c>
    </row>
    <row r="5888" spans="1:4">
      <c r="A5888" s="1">
        <v>26851</v>
      </c>
      <c r="B5888">
        <v>101.28</v>
      </c>
      <c r="C5888">
        <f t="shared" si="202"/>
        <v>-4.9125564943996855E-3</v>
      </c>
      <c r="D5888">
        <f t="shared" si="201"/>
        <v>-0.55166779288498835</v>
      </c>
    </row>
    <row r="5889" spans="1:4">
      <c r="A5889" s="1">
        <v>26854</v>
      </c>
      <c r="B5889">
        <v>102.14</v>
      </c>
      <c r="C5889">
        <f t="shared" si="202"/>
        <v>8.491311216429695E-3</v>
      </c>
      <c r="D5889">
        <f t="shared" si="201"/>
        <v>0.86377608118258531</v>
      </c>
    </row>
    <row r="5890" spans="1:4">
      <c r="A5890" s="1">
        <v>26855</v>
      </c>
      <c r="B5890">
        <v>103.52</v>
      </c>
      <c r="C5890">
        <f t="shared" si="202"/>
        <v>1.3510867436851336E-2</v>
      </c>
      <c r="D5890">
        <f t="shared" si="201"/>
        <v>1.3938395118290499</v>
      </c>
    </row>
    <row r="5891" spans="1:4">
      <c r="A5891" s="1">
        <v>26856</v>
      </c>
      <c r="B5891">
        <v>105.8</v>
      </c>
      <c r="C5891">
        <f t="shared" si="202"/>
        <v>2.2024729520865545E-2</v>
      </c>
      <c r="D5891">
        <f t="shared" ref="D5891:D5954" si="203">(C5891-avg)/sd</f>
        <v>2.2929004538986155</v>
      </c>
    </row>
    <row r="5892" spans="1:4">
      <c r="A5892" s="1">
        <v>26857</v>
      </c>
      <c r="B5892">
        <v>105.5</v>
      </c>
      <c r="C5892">
        <f t="shared" ref="C5892:C5955" si="204">(B5892-B5891)/B5891</f>
        <v>-2.8355387523629223E-3</v>
      </c>
      <c r="D5892">
        <f t="shared" si="203"/>
        <v>-0.33233542533853999</v>
      </c>
    </row>
    <row r="5893" spans="1:4">
      <c r="A5893" s="1">
        <v>26858</v>
      </c>
      <c r="B5893">
        <v>104.09</v>
      </c>
      <c r="C5893">
        <f t="shared" si="204"/>
        <v>-1.3364928909952575E-2</v>
      </c>
      <c r="D5893">
        <f t="shared" si="203"/>
        <v>-1.4442354468663925</v>
      </c>
    </row>
    <row r="5894" spans="1:4">
      <c r="A5894" s="1">
        <v>26861</v>
      </c>
      <c r="B5894">
        <v>105.67</v>
      </c>
      <c r="C5894">
        <f t="shared" si="204"/>
        <v>1.517917187049667E-2</v>
      </c>
      <c r="D5894">
        <f t="shared" si="203"/>
        <v>1.5700118929377669</v>
      </c>
    </row>
    <row r="5895" spans="1:4">
      <c r="A5895" s="1">
        <v>26862</v>
      </c>
      <c r="B5895">
        <v>105.72</v>
      </c>
      <c r="C5895">
        <f t="shared" si="204"/>
        <v>4.7317119333772272E-4</v>
      </c>
      <c r="D5895">
        <f t="shared" si="203"/>
        <v>1.7063220242291954E-2</v>
      </c>
    </row>
    <row r="5896" spans="1:4">
      <c r="A5896" s="1">
        <v>26863</v>
      </c>
      <c r="B5896">
        <v>106.35</v>
      </c>
      <c r="C5896">
        <f t="shared" si="204"/>
        <v>5.9591373439273126E-3</v>
      </c>
      <c r="D5896">
        <f t="shared" si="203"/>
        <v>0.59637938097405352</v>
      </c>
    </row>
    <row r="5897" spans="1:4">
      <c r="A5897" s="1">
        <v>26864</v>
      </c>
      <c r="B5897">
        <v>106.55</v>
      </c>
      <c r="C5897">
        <f t="shared" si="204"/>
        <v>1.8805829807240512E-3</v>
      </c>
      <c r="D5897">
        <f t="shared" si="203"/>
        <v>0.16568542658777735</v>
      </c>
    </row>
    <row r="5898" spans="1:4">
      <c r="A5898" s="1">
        <v>26865</v>
      </c>
      <c r="B5898">
        <v>107.14</v>
      </c>
      <c r="C5898">
        <f t="shared" si="204"/>
        <v>5.5373064289066486E-3</v>
      </c>
      <c r="D5898">
        <f t="shared" si="203"/>
        <v>0.55183417973516624</v>
      </c>
    </row>
    <row r="5899" spans="1:4">
      <c r="A5899" s="1">
        <v>26868</v>
      </c>
      <c r="B5899">
        <v>107.52</v>
      </c>
      <c r="C5899">
        <f t="shared" si="204"/>
        <v>3.5467612469665434E-3</v>
      </c>
      <c r="D5899">
        <f t="shared" si="203"/>
        <v>0.34163328514147373</v>
      </c>
    </row>
    <row r="5900" spans="1:4">
      <c r="A5900" s="1">
        <v>26869</v>
      </c>
      <c r="B5900">
        <v>108.14</v>
      </c>
      <c r="C5900">
        <f t="shared" si="204"/>
        <v>5.7663690476190905E-3</v>
      </c>
      <c r="D5900">
        <f t="shared" si="203"/>
        <v>0.57602311440903287</v>
      </c>
    </row>
    <row r="5901" spans="1:4">
      <c r="A5901" s="1">
        <v>26870</v>
      </c>
      <c r="B5901">
        <v>109.64</v>
      </c>
      <c r="C5901">
        <f t="shared" si="204"/>
        <v>1.3870908082115775E-2</v>
      </c>
      <c r="D5901">
        <f t="shared" si="203"/>
        <v>1.4318596815852129</v>
      </c>
    </row>
    <row r="5902" spans="1:4">
      <c r="A5902" s="1">
        <v>26871</v>
      </c>
      <c r="B5902">
        <v>109.85</v>
      </c>
      <c r="C5902">
        <f t="shared" si="204"/>
        <v>1.9153593578985202E-3</v>
      </c>
      <c r="D5902">
        <f t="shared" si="203"/>
        <v>0.16935780019633631</v>
      </c>
    </row>
    <row r="5903" spans="1:4">
      <c r="A5903" s="1">
        <v>26872</v>
      </c>
      <c r="B5903">
        <v>109.59</v>
      </c>
      <c r="C5903">
        <f t="shared" si="204"/>
        <v>-2.366863905325361E-3</v>
      </c>
      <c r="D5903">
        <f t="shared" si="203"/>
        <v>-0.2828435208016945</v>
      </c>
    </row>
    <row r="5904" spans="1:4">
      <c r="A5904" s="1">
        <v>26875</v>
      </c>
      <c r="B5904">
        <v>109.25</v>
      </c>
      <c r="C5904">
        <f t="shared" si="204"/>
        <v>-3.102472853362564E-3</v>
      </c>
      <c r="D5904">
        <f t="shared" si="203"/>
        <v>-0.36052357566879262</v>
      </c>
    </row>
    <row r="5905" spans="1:4">
      <c r="A5905" s="1">
        <v>26876</v>
      </c>
      <c r="B5905">
        <v>108.22</v>
      </c>
      <c r="C5905">
        <f t="shared" si="204"/>
        <v>-9.4279176201373105E-3</v>
      </c>
      <c r="D5905">
        <f t="shared" si="203"/>
        <v>-1.0284883929170605</v>
      </c>
    </row>
    <row r="5906" spans="1:4">
      <c r="A5906" s="1">
        <v>26877</v>
      </c>
      <c r="B5906">
        <v>106.83</v>
      </c>
      <c r="C5906">
        <f t="shared" si="204"/>
        <v>-1.2844206246534842E-2</v>
      </c>
      <c r="D5906">
        <f t="shared" si="203"/>
        <v>-1.3892473106117131</v>
      </c>
    </row>
    <row r="5907" spans="1:4">
      <c r="A5907" s="1">
        <v>26878</v>
      </c>
      <c r="B5907">
        <v>106.67</v>
      </c>
      <c r="C5907">
        <f t="shared" si="204"/>
        <v>-1.4977066367125021E-3</v>
      </c>
      <c r="D5907">
        <f t="shared" si="203"/>
        <v>-0.19106080867708694</v>
      </c>
    </row>
    <row r="5908" spans="1:4">
      <c r="A5908" s="1">
        <v>26879</v>
      </c>
      <c r="B5908">
        <v>106.49</v>
      </c>
      <c r="C5908">
        <f t="shared" si="204"/>
        <v>-1.6874472672729617E-3</v>
      </c>
      <c r="D5908">
        <f t="shared" si="203"/>
        <v>-0.21109735476829747</v>
      </c>
    </row>
    <row r="5909" spans="1:4">
      <c r="A5909" s="1">
        <v>26882</v>
      </c>
      <c r="B5909">
        <v>106.73</v>
      </c>
      <c r="C5909">
        <f t="shared" si="204"/>
        <v>2.2537327448587576E-3</v>
      </c>
      <c r="D5909">
        <f t="shared" si="203"/>
        <v>0.20508991484063469</v>
      </c>
    </row>
    <row r="5910" spans="1:4">
      <c r="A5910" s="1">
        <v>26883</v>
      </c>
      <c r="B5910">
        <v>106.55</v>
      </c>
      <c r="C5910">
        <f t="shared" si="204"/>
        <v>-1.6864986414317138E-3</v>
      </c>
      <c r="D5910">
        <f t="shared" si="203"/>
        <v>-0.21099718020191527</v>
      </c>
    </row>
    <row r="5911" spans="1:4">
      <c r="A5911" s="1">
        <v>26884</v>
      </c>
      <c r="B5911">
        <v>105.55</v>
      </c>
      <c r="C5911">
        <f t="shared" si="204"/>
        <v>-9.385265133740028E-3</v>
      </c>
      <c r="D5911">
        <f t="shared" si="203"/>
        <v>-1.023984304851792</v>
      </c>
    </row>
    <row r="5912" spans="1:4">
      <c r="A5912" s="1">
        <v>26885</v>
      </c>
      <c r="B5912">
        <v>105.61</v>
      </c>
      <c r="C5912">
        <f t="shared" si="204"/>
        <v>5.6845097110376388E-4</v>
      </c>
      <c r="D5912">
        <f t="shared" si="203"/>
        <v>2.7124732387215827E-2</v>
      </c>
    </row>
    <row r="5913" spans="1:4">
      <c r="A5913" s="1">
        <v>26886</v>
      </c>
      <c r="B5913">
        <v>104.77</v>
      </c>
      <c r="C5913">
        <f t="shared" si="204"/>
        <v>-7.9537922545213843E-3</v>
      </c>
      <c r="D5913">
        <f t="shared" si="203"/>
        <v>-0.8728212553875766</v>
      </c>
    </row>
    <row r="5914" spans="1:4">
      <c r="A5914" s="1">
        <v>26889</v>
      </c>
      <c r="B5914">
        <v>103.71</v>
      </c>
      <c r="C5914">
        <f t="shared" si="204"/>
        <v>-1.0117400019089456E-2</v>
      </c>
      <c r="D5914">
        <f t="shared" si="203"/>
        <v>-1.1012974998799523</v>
      </c>
    </row>
    <row r="5915" spans="1:4">
      <c r="A5915" s="1">
        <v>26890</v>
      </c>
      <c r="B5915">
        <v>102.71</v>
      </c>
      <c r="C5915">
        <f t="shared" si="204"/>
        <v>-9.6422717192170479E-3</v>
      </c>
      <c r="D5915">
        <f t="shared" si="203"/>
        <v>-1.0511241129173823</v>
      </c>
    </row>
    <row r="5916" spans="1:4">
      <c r="A5916" s="1">
        <v>26891</v>
      </c>
      <c r="B5916">
        <v>103.01</v>
      </c>
      <c r="C5916">
        <f t="shared" si="204"/>
        <v>2.9208450978484217E-3</v>
      </c>
      <c r="D5916">
        <f t="shared" si="203"/>
        <v>0.27553675255383658</v>
      </c>
    </row>
    <row r="5917" spans="1:4">
      <c r="A5917" s="1">
        <v>26892</v>
      </c>
      <c r="B5917">
        <v>102.29</v>
      </c>
      <c r="C5917">
        <f t="shared" si="204"/>
        <v>-6.9896126589651377E-3</v>
      </c>
      <c r="D5917">
        <f t="shared" si="203"/>
        <v>-0.77100421783740569</v>
      </c>
    </row>
    <row r="5918" spans="1:4">
      <c r="A5918" s="1">
        <v>26893</v>
      </c>
      <c r="B5918">
        <v>102.31</v>
      </c>
      <c r="C5918">
        <f t="shared" si="204"/>
        <v>1.9552253397200136E-4</v>
      </c>
      <c r="D5918">
        <f t="shared" si="203"/>
        <v>-1.2256383809363341E-2</v>
      </c>
    </row>
    <row r="5919" spans="1:4">
      <c r="A5919" s="1">
        <v>26896</v>
      </c>
      <c r="B5919">
        <v>101.61</v>
      </c>
      <c r="C5919">
        <f t="shared" si="204"/>
        <v>-6.8419509334376192E-3</v>
      </c>
      <c r="D5919">
        <f t="shared" si="203"/>
        <v>-0.75541118981435895</v>
      </c>
    </row>
    <row r="5920" spans="1:4">
      <c r="A5920" s="1">
        <v>26897</v>
      </c>
      <c r="B5920">
        <v>100.89</v>
      </c>
      <c r="C5920">
        <f t="shared" si="204"/>
        <v>-7.0859167404782883E-3</v>
      </c>
      <c r="D5920">
        <f t="shared" si="203"/>
        <v>-0.78117389610984656</v>
      </c>
    </row>
    <row r="5921" spans="1:4">
      <c r="A5921" s="1">
        <v>26898</v>
      </c>
      <c r="B5921">
        <v>100.53</v>
      </c>
      <c r="C5921">
        <f t="shared" si="204"/>
        <v>-3.5682426404995485E-3</v>
      </c>
      <c r="D5921">
        <f t="shared" si="203"/>
        <v>-0.40970870686761501</v>
      </c>
    </row>
    <row r="5922" spans="1:4">
      <c r="A5922" s="1">
        <v>26899</v>
      </c>
      <c r="B5922">
        <v>101.91</v>
      </c>
      <c r="C5922">
        <f t="shared" si="204"/>
        <v>1.3727245598328811E-2</v>
      </c>
      <c r="D5922">
        <f t="shared" si="203"/>
        <v>1.4166889721305604</v>
      </c>
    </row>
    <row r="5923" spans="1:4">
      <c r="A5923" s="1">
        <v>26900</v>
      </c>
      <c r="B5923">
        <v>101.62</v>
      </c>
      <c r="C5923">
        <f t="shared" si="204"/>
        <v>-2.8456481208909042E-3</v>
      </c>
      <c r="D5923">
        <f t="shared" si="203"/>
        <v>-0.33340297121875351</v>
      </c>
    </row>
    <row r="5924" spans="1:4">
      <c r="A5924" s="1">
        <v>26903</v>
      </c>
      <c r="B5924">
        <v>102.42</v>
      </c>
      <c r="C5924">
        <f t="shared" si="204"/>
        <v>7.8724660499901317E-3</v>
      </c>
      <c r="D5924">
        <f t="shared" si="203"/>
        <v>0.79842624196226009</v>
      </c>
    </row>
    <row r="5925" spans="1:4">
      <c r="A5925" s="1">
        <v>26904</v>
      </c>
      <c r="B5925">
        <v>103.02</v>
      </c>
      <c r="C5925">
        <f t="shared" si="204"/>
        <v>5.8582308142940279E-3</v>
      </c>
      <c r="D5925">
        <f t="shared" si="203"/>
        <v>0.58572368574457456</v>
      </c>
    </row>
    <row r="5926" spans="1:4">
      <c r="A5926" s="1">
        <v>26905</v>
      </c>
      <c r="B5926">
        <v>104.03</v>
      </c>
      <c r="C5926">
        <f t="shared" si="204"/>
        <v>9.8039215686275012E-3</v>
      </c>
      <c r="D5926">
        <f t="shared" si="203"/>
        <v>1.0023872881967362</v>
      </c>
    </row>
    <row r="5927" spans="1:4">
      <c r="A5927" s="1">
        <v>26906</v>
      </c>
      <c r="B5927">
        <v>103.88</v>
      </c>
      <c r="C5927">
        <f t="shared" si="204"/>
        <v>-1.4418917619917879E-3</v>
      </c>
      <c r="D5927">
        <f t="shared" si="203"/>
        <v>-0.18516677687897726</v>
      </c>
    </row>
    <row r="5928" spans="1:4">
      <c r="A5928" s="1">
        <v>26907</v>
      </c>
      <c r="B5928">
        <v>104.25</v>
      </c>
      <c r="C5928">
        <f t="shared" si="204"/>
        <v>3.5618020793223388E-3</v>
      </c>
      <c r="D5928">
        <f t="shared" si="203"/>
        <v>0.34322159192561841</v>
      </c>
    </row>
    <row r="5929" spans="1:4">
      <c r="A5929" s="1">
        <v>26911</v>
      </c>
      <c r="B5929">
        <v>104.51</v>
      </c>
      <c r="C5929">
        <f t="shared" si="204"/>
        <v>2.4940047961631187E-3</v>
      </c>
      <c r="D5929">
        <f t="shared" si="203"/>
        <v>0.23046256178593671</v>
      </c>
    </row>
    <row r="5930" spans="1:4">
      <c r="A5930" s="1">
        <v>26912</v>
      </c>
      <c r="B5930">
        <v>104.64</v>
      </c>
      <c r="C5930">
        <f t="shared" si="204"/>
        <v>1.2439001052530422E-3</v>
      </c>
      <c r="D5930">
        <f t="shared" si="203"/>
        <v>9.8451931357063413E-2</v>
      </c>
    </row>
    <row r="5931" spans="1:4">
      <c r="A5931" s="1">
        <v>26913</v>
      </c>
      <c r="B5931">
        <v>105.15</v>
      </c>
      <c r="C5931">
        <f t="shared" si="204"/>
        <v>4.8738532110092232E-3</v>
      </c>
      <c r="D5931">
        <f t="shared" si="203"/>
        <v>0.48177374544390422</v>
      </c>
    </row>
    <row r="5932" spans="1:4">
      <c r="A5932" s="1">
        <v>26914</v>
      </c>
      <c r="B5932">
        <v>104.76</v>
      </c>
      <c r="C5932">
        <f t="shared" si="204"/>
        <v>-3.7089871611982934E-3</v>
      </c>
      <c r="D5932">
        <f t="shared" si="203"/>
        <v>-0.42457128041201536</v>
      </c>
    </row>
    <row r="5933" spans="1:4">
      <c r="A5933" s="1">
        <v>26917</v>
      </c>
      <c r="B5933">
        <v>103.85</v>
      </c>
      <c r="C5933">
        <f t="shared" si="204"/>
        <v>-8.6865215731196134E-3</v>
      </c>
      <c r="D5933">
        <f t="shared" si="203"/>
        <v>-0.95019722236475268</v>
      </c>
    </row>
    <row r="5934" spans="1:4">
      <c r="A5934" s="1">
        <v>26918</v>
      </c>
      <c r="B5934">
        <v>103.22</v>
      </c>
      <c r="C5934">
        <f t="shared" si="204"/>
        <v>-6.0664419836301926E-3</v>
      </c>
      <c r="D5934">
        <f t="shared" si="203"/>
        <v>-0.67351770832299485</v>
      </c>
    </row>
    <row r="5935" spans="1:4">
      <c r="A5935" s="1">
        <v>26919</v>
      </c>
      <c r="B5935">
        <v>103.06</v>
      </c>
      <c r="C5935">
        <f t="shared" si="204"/>
        <v>-1.5500871924045397E-3</v>
      </c>
      <c r="D5935">
        <f t="shared" si="203"/>
        <v>-0.19659217755315012</v>
      </c>
    </row>
    <row r="5936" spans="1:4">
      <c r="A5936" s="1">
        <v>26920</v>
      </c>
      <c r="B5936">
        <v>103.36</v>
      </c>
      <c r="C5936">
        <f t="shared" si="204"/>
        <v>2.9109256743644202E-3</v>
      </c>
      <c r="D5936">
        <f t="shared" si="203"/>
        <v>0.2744892648057019</v>
      </c>
    </row>
    <row r="5937" spans="1:4">
      <c r="A5937" s="1">
        <v>26921</v>
      </c>
      <c r="B5937">
        <v>104.44</v>
      </c>
      <c r="C5937">
        <f t="shared" si="204"/>
        <v>1.0448916408668714E-2</v>
      </c>
      <c r="D5937">
        <f t="shared" si="203"/>
        <v>1.0704985240606897</v>
      </c>
    </row>
    <row r="5938" spans="1:4">
      <c r="A5938" s="1">
        <v>26924</v>
      </c>
      <c r="B5938">
        <v>104.15</v>
      </c>
      <c r="C5938">
        <f t="shared" si="204"/>
        <v>-2.7767139027191886E-3</v>
      </c>
      <c r="D5938">
        <f t="shared" si="203"/>
        <v>-0.32612354121169962</v>
      </c>
    </row>
    <row r="5939" spans="1:4">
      <c r="A5939" s="1">
        <v>26925</v>
      </c>
      <c r="B5939">
        <v>103.77</v>
      </c>
      <c r="C5939">
        <f t="shared" si="204"/>
        <v>-3.648583773403837E-3</v>
      </c>
      <c r="D5939">
        <f t="shared" si="203"/>
        <v>-0.41819270319302998</v>
      </c>
    </row>
    <row r="5940" spans="1:4">
      <c r="A5940" s="1">
        <v>26926</v>
      </c>
      <c r="B5940">
        <v>105.88</v>
      </c>
      <c r="C5940">
        <f t="shared" si="204"/>
        <v>2.0333429700298732E-2</v>
      </c>
      <c r="D5940">
        <f t="shared" si="203"/>
        <v>2.1142997677475019</v>
      </c>
    </row>
    <row r="5941" spans="1:4">
      <c r="A5941" s="1">
        <v>26927</v>
      </c>
      <c r="B5941">
        <v>106.76</v>
      </c>
      <c r="C5941">
        <f t="shared" si="204"/>
        <v>8.3112958065735716E-3</v>
      </c>
      <c r="D5941">
        <f t="shared" si="203"/>
        <v>0.84476651509198952</v>
      </c>
    </row>
    <row r="5942" spans="1:4">
      <c r="A5942" s="1">
        <v>26928</v>
      </c>
      <c r="B5942">
        <v>107.2</v>
      </c>
      <c r="C5942">
        <f t="shared" si="204"/>
        <v>4.1213937804420913E-3</v>
      </c>
      <c r="D5942">
        <f t="shared" si="203"/>
        <v>0.402314285349403</v>
      </c>
    </row>
    <row r="5943" spans="1:4">
      <c r="A5943" s="1">
        <v>26931</v>
      </c>
      <c r="B5943">
        <v>107.36</v>
      </c>
      <c r="C5943">
        <f t="shared" si="204"/>
        <v>1.492537313432804E-3</v>
      </c>
      <c r="D5943">
        <f t="shared" si="203"/>
        <v>0.12470793602495278</v>
      </c>
    </row>
    <row r="5944" spans="1:4">
      <c r="A5944" s="1">
        <v>26932</v>
      </c>
      <c r="B5944">
        <v>108.05</v>
      </c>
      <c r="C5944">
        <f t="shared" si="204"/>
        <v>6.4269746646795616E-3</v>
      </c>
      <c r="D5944">
        <f t="shared" si="203"/>
        <v>0.645782843019859</v>
      </c>
    </row>
    <row r="5945" spans="1:4">
      <c r="A5945" s="1">
        <v>26933</v>
      </c>
      <c r="B5945">
        <v>108.83</v>
      </c>
      <c r="C5945">
        <f t="shared" si="204"/>
        <v>7.2188801480796037E-3</v>
      </c>
      <c r="D5945">
        <f t="shared" si="203"/>
        <v>0.72940779288515079</v>
      </c>
    </row>
    <row r="5946" spans="1:4">
      <c r="A5946" s="1">
        <v>26934</v>
      </c>
      <c r="B5946">
        <v>109.08</v>
      </c>
      <c r="C5946">
        <f t="shared" si="204"/>
        <v>2.2971607093632269E-3</v>
      </c>
      <c r="D5946">
        <f t="shared" si="203"/>
        <v>0.20967589313042426</v>
      </c>
    </row>
    <row r="5947" spans="1:4">
      <c r="A5947" s="1">
        <v>26935</v>
      </c>
      <c r="B5947">
        <v>108.43</v>
      </c>
      <c r="C5947">
        <f t="shared" si="204"/>
        <v>-5.9589292262558812E-3</v>
      </c>
      <c r="D5947">
        <f t="shared" si="203"/>
        <v>-0.66216439768962942</v>
      </c>
    </row>
    <row r="5948" spans="1:4">
      <c r="A5948" s="1">
        <v>26938</v>
      </c>
      <c r="B5948">
        <v>108.21</v>
      </c>
      <c r="C5948">
        <f t="shared" si="204"/>
        <v>-2.0289587752468233E-3</v>
      </c>
      <c r="D5948">
        <f t="shared" si="203"/>
        <v>-0.24716085392493536</v>
      </c>
    </row>
    <row r="5949" spans="1:4">
      <c r="A5949" s="1">
        <v>26939</v>
      </c>
      <c r="B5949">
        <v>108.79</v>
      </c>
      <c r="C5949">
        <f t="shared" si="204"/>
        <v>5.3599482487756448E-3</v>
      </c>
      <c r="D5949">
        <f t="shared" si="203"/>
        <v>0.53310521620030682</v>
      </c>
    </row>
    <row r="5950" spans="1:4">
      <c r="A5950" s="1">
        <v>26940</v>
      </c>
      <c r="B5950">
        <v>108.78</v>
      </c>
      <c r="C5950">
        <f t="shared" si="204"/>
        <v>-9.1920213254941769E-5</v>
      </c>
      <c r="D5950">
        <f t="shared" si="203"/>
        <v>-4.2610240209991435E-2</v>
      </c>
    </row>
    <row r="5951" spans="1:4">
      <c r="A5951" s="1">
        <v>26941</v>
      </c>
      <c r="B5951">
        <v>108.41</v>
      </c>
      <c r="C5951">
        <f t="shared" si="204"/>
        <v>-3.401360544217729E-3</v>
      </c>
      <c r="D5951">
        <f t="shared" si="203"/>
        <v>-0.39208601422623557</v>
      </c>
    </row>
    <row r="5952" spans="1:4">
      <c r="A5952" s="1">
        <v>26942</v>
      </c>
      <c r="B5952">
        <v>109.85</v>
      </c>
      <c r="C5952">
        <f t="shared" si="204"/>
        <v>1.3282907480859679E-2</v>
      </c>
      <c r="D5952">
        <f t="shared" si="203"/>
        <v>1.3697670179636847</v>
      </c>
    </row>
    <row r="5953" spans="1:4">
      <c r="A5953" s="1">
        <v>26945</v>
      </c>
      <c r="B5953">
        <v>110.23</v>
      </c>
      <c r="C5953">
        <f t="shared" si="204"/>
        <v>3.4592626308603521E-3</v>
      </c>
      <c r="D5953">
        <f t="shared" si="203"/>
        <v>0.33239346102288464</v>
      </c>
    </row>
    <row r="5954" spans="1:4">
      <c r="A5954" s="1">
        <v>26946</v>
      </c>
      <c r="B5954">
        <v>110.13</v>
      </c>
      <c r="C5954">
        <f t="shared" si="204"/>
        <v>-9.0719404880711715E-4</v>
      </c>
      <c r="D5954">
        <f t="shared" si="203"/>
        <v>-0.12870288011925965</v>
      </c>
    </row>
    <row r="5955" spans="1:4">
      <c r="A5955" s="1">
        <v>26947</v>
      </c>
      <c r="B5955">
        <v>109.22</v>
      </c>
      <c r="C5955">
        <f t="shared" si="204"/>
        <v>-8.2629619540542688E-3</v>
      </c>
      <c r="D5955">
        <f t="shared" ref="D5955:D6018" si="205">(C5955-avg)/sd</f>
        <v>-0.90546947056636218</v>
      </c>
    </row>
    <row r="5956" spans="1:4">
      <c r="A5956" s="1">
        <v>26948</v>
      </c>
      <c r="B5956">
        <v>111.09</v>
      </c>
      <c r="C5956">
        <f t="shared" ref="C5956:C6019" si="206">(B5956-B5955)/B5955</f>
        <v>1.7121406335835969E-2</v>
      </c>
      <c r="D5956">
        <f t="shared" si="205"/>
        <v>1.7751111922800245</v>
      </c>
    </row>
    <row r="5957" spans="1:4">
      <c r="A5957" s="1">
        <v>26949</v>
      </c>
      <c r="B5957">
        <v>111.44</v>
      </c>
      <c r="C5957">
        <f t="shared" si="206"/>
        <v>3.1505986137365587E-3</v>
      </c>
      <c r="D5957">
        <f t="shared" si="205"/>
        <v>0.29979864573460929</v>
      </c>
    </row>
    <row r="5958" spans="1:4">
      <c r="A5958" s="1">
        <v>26952</v>
      </c>
      <c r="B5958">
        <v>110.05</v>
      </c>
      <c r="C5958">
        <f t="shared" si="206"/>
        <v>-1.2473079684134965E-2</v>
      </c>
      <c r="D5958">
        <f t="shared" si="205"/>
        <v>-1.3500564717743344</v>
      </c>
    </row>
    <row r="5959" spans="1:4">
      <c r="A5959" s="1">
        <v>26953</v>
      </c>
      <c r="B5959">
        <v>110.19</v>
      </c>
      <c r="C5959">
        <f t="shared" si="206"/>
        <v>1.272149023171291E-3</v>
      </c>
      <c r="D5959">
        <f t="shared" si="205"/>
        <v>0.10143500748695675</v>
      </c>
    </row>
    <row r="5960" spans="1:4">
      <c r="A5960" s="1">
        <v>26954</v>
      </c>
      <c r="B5960">
        <v>109.97</v>
      </c>
      <c r="C5960">
        <f t="shared" si="206"/>
        <v>-1.9965514111988281E-3</v>
      </c>
      <c r="D5960">
        <f t="shared" si="205"/>
        <v>-0.24373864729726535</v>
      </c>
    </row>
    <row r="5961" spans="1:4">
      <c r="A5961" s="1">
        <v>26955</v>
      </c>
      <c r="B5961">
        <v>110.01</v>
      </c>
      <c r="C5961">
        <f t="shared" si="206"/>
        <v>3.6373556424485089E-4</v>
      </c>
      <c r="D5961">
        <f t="shared" si="205"/>
        <v>5.5068550090624242E-3</v>
      </c>
    </row>
    <row r="5962" spans="1:4">
      <c r="A5962" s="1">
        <v>26956</v>
      </c>
      <c r="B5962">
        <v>110.22</v>
      </c>
      <c r="C5962">
        <f t="shared" si="206"/>
        <v>1.9089173711480205E-3</v>
      </c>
      <c r="D5962">
        <f t="shared" si="205"/>
        <v>0.16867752858522123</v>
      </c>
    </row>
    <row r="5963" spans="1:4">
      <c r="A5963" s="1">
        <v>26959</v>
      </c>
      <c r="B5963">
        <v>109.16</v>
      </c>
      <c r="C5963">
        <f t="shared" si="206"/>
        <v>-9.6171293776084396E-3</v>
      </c>
      <c r="D5963">
        <f t="shared" si="205"/>
        <v>-1.0484690901898104</v>
      </c>
    </row>
    <row r="5964" spans="1:4">
      <c r="A5964" s="1">
        <v>26960</v>
      </c>
      <c r="B5964">
        <v>109.75</v>
      </c>
      <c r="C5964">
        <f t="shared" si="206"/>
        <v>5.4049102235251322E-3</v>
      </c>
      <c r="D5964">
        <f t="shared" si="205"/>
        <v>0.53785318545053495</v>
      </c>
    </row>
    <row r="5965" spans="1:4">
      <c r="A5965" s="1">
        <v>26961</v>
      </c>
      <c r="B5965">
        <v>110.27</v>
      </c>
      <c r="C5965">
        <f t="shared" si="206"/>
        <v>4.7380410022778681E-3</v>
      </c>
      <c r="D5965">
        <f t="shared" si="205"/>
        <v>0.46743202236668591</v>
      </c>
    </row>
    <row r="5966" spans="1:4">
      <c r="A5966" s="1">
        <v>26962</v>
      </c>
      <c r="B5966">
        <v>110.5</v>
      </c>
      <c r="C5966">
        <f t="shared" si="206"/>
        <v>2.0857894259545115E-3</v>
      </c>
      <c r="D5966">
        <f t="shared" si="205"/>
        <v>0.18735515745105408</v>
      </c>
    </row>
    <row r="5967" spans="1:4">
      <c r="A5967" s="1">
        <v>26963</v>
      </c>
      <c r="B5967">
        <v>111.38</v>
      </c>
      <c r="C5967">
        <f t="shared" si="206"/>
        <v>7.9638009049773344E-3</v>
      </c>
      <c r="D5967">
        <f t="shared" si="205"/>
        <v>0.80807117160268294</v>
      </c>
    </row>
    <row r="5968" spans="1:4">
      <c r="A5968" s="1">
        <v>26966</v>
      </c>
      <c r="B5968">
        <v>111.15</v>
      </c>
      <c r="C5968">
        <f t="shared" si="206"/>
        <v>-2.0650026934816825E-3</v>
      </c>
      <c r="D5968">
        <f t="shared" si="205"/>
        <v>-0.25096707943861341</v>
      </c>
    </row>
    <row r="5969" spans="1:4">
      <c r="A5969" s="1">
        <v>26967</v>
      </c>
      <c r="B5969">
        <v>109.33</v>
      </c>
      <c r="C5969">
        <f t="shared" si="206"/>
        <v>-1.637426900584802E-2</v>
      </c>
      <c r="D5969">
        <f t="shared" si="205"/>
        <v>-1.7620207380685518</v>
      </c>
    </row>
    <row r="5970" spans="1:4">
      <c r="A5970" s="1">
        <v>26968</v>
      </c>
      <c r="B5970">
        <v>108.29</v>
      </c>
      <c r="C5970">
        <f t="shared" si="206"/>
        <v>-9.5124851367419019E-3</v>
      </c>
      <c r="D5970">
        <f t="shared" si="205"/>
        <v>-1.0374186939246097</v>
      </c>
    </row>
    <row r="5971" spans="1:4">
      <c r="A5971" s="1">
        <v>26969</v>
      </c>
      <c r="B5971">
        <v>107.69</v>
      </c>
      <c r="C5971">
        <f t="shared" si="206"/>
        <v>-5.5406778095854507E-3</v>
      </c>
      <c r="D5971">
        <f t="shared" si="205"/>
        <v>-0.61799719025979627</v>
      </c>
    </row>
    <row r="5972" spans="1:4">
      <c r="A5972" s="1">
        <v>26970</v>
      </c>
      <c r="B5972">
        <v>107.07</v>
      </c>
      <c r="C5972">
        <f t="shared" si="206"/>
        <v>-5.7572662271334809E-3</v>
      </c>
      <c r="D5972">
        <f t="shared" si="205"/>
        <v>-0.64086885353088796</v>
      </c>
    </row>
    <row r="5973" spans="1:4">
      <c r="A5973" s="1">
        <v>26973</v>
      </c>
      <c r="B5973">
        <v>105.52</v>
      </c>
      <c r="C5973">
        <f t="shared" si="206"/>
        <v>-1.4476510693938519E-2</v>
      </c>
      <c r="D5973">
        <f t="shared" si="205"/>
        <v>-1.5616181054103013</v>
      </c>
    </row>
    <row r="5974" spans="1:4">
      <c r="A5974" s="1">
        <v>26974</v>
      </c>
      <c r="B5974">
        <v>104.96</v>
      </c>
      <c r="C5974">
        <f t="shared" si="206"/>
        <v>-5.3070507960576415E-3</v>
      </c>
      <c r="D5974">
        <f t="shared" si="205"/>
        <v>-0.59332625704494002</v>
      </c>
    </row>
    <row r="5975" spans="1:4">
      <c r="A5975" s="1">
        <v>26975</v>
      </c>
      <c r="B5975">
        <v>105.8</v>
      </c>
      <c r="C5975">
        <f t="shared" si="206"/>
        <v>8.003048780487838E-3</v>
      </c>
      <c r="D5975">
        <f t="shared" si="205"/>
        <v>0.8122157339155911</v>
      </c>
    </row>
    <row r="5976" spans="1:4">
      <c r="A5976" s="1">
        <v>26976</v>
      </c>
      <c r="B5976">
        <v>107.02</v>
      </c>
      <c r="C5976">
        <f t="shared" si="206"/>
        <v>1.1531190926275981E-2</v>
      </c>
      <c r="D5976">
        <f t="shared" si="205"/>
        <v>1.184786345237034</v>
      </c>
    </row>
    <row r="5977" spans="1:4">
      <c r="A5977" s="1">
        <v>26977</v>
      </c>
      <c r="B5977">
        <v>105.3</v>
      </c>
      <c r="C5977">
        <f t="shared" si="206"/>
        <v>-1.6071762287422901E-2</v>
      </c>
      <c r="D5977">
        <f t="shared" si="205"/>
        <v>-1.7300761314298889</v>
      </c>
    </row>
    <row r="5978" spans="1:4">
      <c r="A5978" s="1">
        <v>26980</v>
      </c>
      <c r="B5978">
        <v>104.44</v>
      </c>
      <c r="C5978">
        <f t="shared" si="206"/>
        <v>-8.1671415004748293E-3</v>
      </c>
      <c r="D5978">
        <f t="shared" si="205"/>
        <v>-0.89535086323932811</v>
      </c>
    </row>
    <row r="5979" spans="1:4">
      <c r="A5979" s="1">
        <v>26981</v>
      </c>
      <c r="B5979">
        <v>104.36</v>
      </c>
      <c r="C5979">
        <f t="shared" si="206"/>
        <v>-7.6599004212943604E-4</v>
      </c>
      <c r="D5979">
        <f t="shared" si="205"/>
        <v>-0.11379178501167046</v>
      </c>
    </row>
    <row r="5980" spans="1:4">
      <c r="A5980" s="1">
        <v>26982</v>
      </c>
      <c r="B5980">
        <v>102.45</v>
      </c>
      <c r="C5980">
        <f t="shared" si="206"/>
        <v>-1.8302031429666507E-2</v>
      </c>
      <c r="D5980">
        <f t="shared" si="205"/>
        <v>-1.9655917947454977</v>
      </c>
    </row>
    <row r="5981" spans="1:4">
      <c r="A5981" s="1">
        <v>26983</v>
      </c>
      <c r="B5981">
        <v>102.43</v>
      </c>
      <c r="C5981">
        <f t="shared" si="206"/>
        <v>-1.9521717911172298E-4</v>
      </c>
      <c r="D5981">
        <f t="shared" si="205"/>
        <v>-5.3518364692122809E-2</v>
      </c>
    </row>
    <row r="5982" spans="1:4">
      <c r="A5982" s="1">
        <v>26984</v>
      </c>
      <c r="B5982">
        <v>103.88</v>
      </c>
      <c r="C5982">
        <f t="shared" si="206"/>
        <v>1.4156008981743518E-2</v>
      </c>
      <c r="D5982">
        <f t="shared" si="205"/>
        <v>1.4619662396753981</v>
      </c>
    </row>
    <row r="5983" spans="1:4">
      <c r="A5983" s="1">
        <v>26987</v>
      </c>
      <c r="B5983">
        <v>100.71</v>
      </c>
      <c r="C5983">
        <f t="shared" si="206"/>
        <v>-3.0515979976896437E-2</v>
      </c>
      <c r="D5983">
        <f t="shared" si="205"/>
        <v>-3.2553806096101452</v>
      </c>
    </row>
    <row r="5984" spans="1:4">
      <c r="A5984" s="1">
        <v>26988</v>
      </c>
      <c r="B5984">
        <v>98.66</v>
      </c>
      <c r="C5984">
        <f t="shared" si="206"/>
        <v>-2.0355476119551158E-2</v>
      </c>
      <c r="D5984">
        <f t="shared" si="205"/>
        <v>-2.1824348559975526</v>
      </c>
    </row>
    <row r="5985" spans="1:4">
      <c r="A5985" s="1">
        <v>26989</v>
      </c>
      <c r="B5985">
        <v>99.76</v>
      </c>
      <c r="C5985">
        <f t="shared" si="206"/>
        <v>1.1149401986620804E-2</v>
      </c>
      <c r="D5985">
        <f t="shared" si="205"/>
        <v>1.1444695629858135</v>
      </c>
    </row>
    <row r="5986" spans="1:4">
      <c r="A5986" s="1">
        <v>26991</v>
      </c>
      <c r="B5986">
        <v>99.44</v>
      </c>
      <c r="C5986">
        <f t="shared" si="206"/>
        <v>-3.2076984763432979E-3</v>
      </c>
      <c r="D5986">
        <f t="shared" si="205"/>
        <v>-0.37163536568763095</v>
      </c>
    </row>
    <row r="5987" spans="1:4">
      <c r="A5987" s="1">
        <v>26994</v>
      </c>
      <c r="B5987">
        <v>96.58</v>
      </c>
      <c r="C5987">
        <f t="shared" si="206"/>
        <v>-2.8761061946902651E-2</v>
      </c>
      <c r="D5987">
        <f t="shared" si="205"/>
        <v>-3.0700618621684237</v>
      </c>
    </row>
    <row r="5988" spans="1:4">
      <c r="A5988" s="1">
        <v>26995</v>
      </c>
      <c r="B5988">
        <v>95.7</v>
      </c>
      <c r="C5988">
        <f t="shared" si="206"/>
        <v>-9.1116173120728457E-3</v>
      </c>
      <c r="D5988">
        <f t="shared" si="205"/>
        <v>-0.99508718790115158</v>
      </c>
    </row>
    <row r="5989" spans="1:4">
      <c r="A5989" s="1">
        <v>26996</v>
      </c>
      <c r="B5989">
        <v>97.65</v>
      </c>
      <c r="C5989">
        <f t="shared" si="206"/>
        <v>2.0376175548589372E-2</v>
      </c>
      <c r="D5989">
        <f t="shared" si="205"/>
        <v>2.1188137147969739</v>
      </c>
    </row>
    <row r="5990" spans="1:4">
      <c r="A5990" s="1">
        <v>26997</v>
      </c>
      <c r="B5990">
        <v>97.31</v>
      </c>
      <c r="C5990">
        <f t="shared" si="206"/>
        <v>-3.481822836661581E-3</v>
      </c>
      <c r="D5990">
        <f t="shared" si="205"/>
        <v>-0.40058280495784426</v>
      </c>
    </row>
    <row r="5991" spans="1:4">
      <c r="A5991" s="1">
        <v>26998</v>
      </c>
      <c r="B5991">
        <v>95.96</v>
      </c>
      <c r="C5991">
        <f t="shared" si="206"/>
        <v>-1.3873188778131831E-2</v>
      </c>
      <c r="D5991">
        <f t="shared" si="205"/>
        <v>-1.4979075161801985</v>
      </c>
    </row>
    <row r="5992" spans="1:4">
      <c r="A5992" s="1">
        <v>27001</v>
      </c>
      <c r="B5992">
        <v>93.9</v>
      </c>
      <c r="C5992">
        <f t="shared" si="206"/>
        <v>-2.1467278032513425E-2</v>
      </c>
      <c r="D5992">
        <f t="shared" si="205"/>
        <v>-2.299840760086536</v>
      </c>
    </row>
    <row r="5993" spans="1:4">
      <c r="A5993" s="1">
        <v>27002</v>
      </c>
      <c r="B5993">
        <v>93.59</v>
      </c>
      <c r="C5993">
        <f t="shared" si="206"/>
        <v>-3.3013844515442201E-3</v>
      </c>
      <c r="D5993">
        <f t="shared" si="205"/>
        <v>-0.38152857282343811</v>
      </c>
    </row>
    <row r="5994" spans="1:4">
      <c r="A5994" s="1">
        <v>27003</v>
      </c>
      <c r="B5994">
        <v>92.16</v>
      </c>
      <c r="C5994">
        <f t="shared" si="206"/>
        <v>-1.5279410193396802E-2</v>
      </c>
      <c r="D5994">
        <f t="shared" si="205"/>
        <v>-1.6464040196342957</v>
      </c>
    </row>
    <row r="5995" spans="1:4">
      <c r="A5995" s="1">
        <v>27004</v>
      </c>
      <c r="B5995">
        <v>94.42</v>
      </c>
      <c r="C5995">
        <f t="shared" si="206"/>
        <v>2.45225694444445E-2</v>
      </c>
      <c r="D5995">
        <f t="shared" si="205"/>
        <v>2.5566715007715093</v>
      </c>
    </row>
    <row r="5996" spans="1:4">
      <c r="A5996" s="1">
        <v>27005</v>
      </c>
      <c r="B5996">
        <v>96.51</v>
      </c>
      <c r="C5996">
        <f t="shared" si="206"/>
        <v>2.2135140859987325E-2</v>
      </c>
      <c r="D5996">
        <f t="shared" si="205"/>
        <v>2.3045598537792378</v>
      </c>
    </row>
    <row r="5997" spans="1:4">
      <c r="A5997" s="1">
        <v>27008</v>
      </c>
      <c r="B5997">
        <v>97.95</v>
      </c>
      <c r="C5997">
        <f t="shared" si="206"/>
        <v>1.4920733602735443E-2</v>
      </c>
      <c r="D5997">
        <f t="shared" si="205"/>
        <v>1.5427208997096169</v>
      </c>
    </row>
    <row r="5998" spans="1:4">
      <c r="A5998" s="1">
        <v>27009</v>
      </c>
      <c r="B5998">
        <v>96.04</v>
      </c>
      <c r="C5998">
        <f t="shared" si="206"/>
        <v>-1.9499744767738608E-2</v>
      </c>
      <c r="D5998">
        <f t="shared" si="205"/>
        <v>-2.0920699161233669</v>
      </c>
    </row>
    <row r="5999" spans="1:4">
      <c r="A5999" s="1">
        <v>27010</v>
      </c>
      <c r="B5999">
        <v>93.57</v>
      </c>
      <c r="C5999">
        <f t="shared" si="206"/>
        <v>-2.5718450645564484E-2</v>
      </c>
      <c r="D5999">
        <f t="shared" si="205"/>
        <v>-2.7487631429809456</v>
      </c>
    </row>
    <row r="6000" spans="1:4">
      <c r="A6000" s="1">
        <v>27011</v>
      </c>
      <c r="B6000">
        <v>92.38</v>
      </c>
      <c r="C6000">
        <f t="shared" si="206"/>
        <v>-1.271775141605213E-2</v>
      </c>
      <c r="D6000">
        <f t="shared" si="205"/>
        <v>-1.3758937234968243</v>
      </c>
    </row>
    <row r="6001" spans="1:4">
      <c r="A6001" s="1">
        <v>27012</v>
      </c>
      <c r="B6001">
        <v>93.29</v>
      </c>
      <c r="C6001">
        <f t="shared" si="206"/>
        <v>9.8506170166703915E-3</v>
      </c>
      <c r="D6001">
        <f t="shared" si="205"/>
        <v>1.0073183116375115</v>
      </c>
    </row>
    <row r="6002" spans="1:4">
      <c r="A6002" s="1">
        <v>27015</v>
      </c>
      <c r="B6002">
        <v>92.75</v>
      </c>
      <c r="C6002">
        <f t="shared" si="206"/>
        <v>-5.7884017579591194E-3</v>
      </c>
      <c r="D6002">
        <f t="shared" si="205"/>
        <v>-0.64415675500259428</v>
      </c>
    </row>
    <row r="6003" spans="1:4">
      <c r="A6003" s="1">
        <v>27016</v>
      </c>
      <c r="B6003">
        <v>94.74</v>
      </c>
      <c r="C6003">
        <f t="shared" si="206"/>
        <v>2.1455525606468948E-2</v>
      </c>
      <c r="D6003">
        <f t="shared" si="205"/>
        <v>2.232792714020146</v>
      </c>
    </row>
    <row r="6004" spans="1:4">
      <c r="A6004" s="1">
        <v>27017</v>
      </c>
      <c r="B6004">
        <v>94.82</v>
      </c>
      <c r="C6004">
        <f t="shared" si="206"/>
        <v>8.4441629723451864E-4</v>
      </c>
      <c r="D6004">
        <f t="shared" si="205"/>
        <v>5.6266577021451429E-2</v>
      </c>
    </row>
    <row r="6005" spans="1:4">
      <c r="A6005" s="1">
        <v>27018</v>
      </c>
      <c r="B6005">
        <v>94.55</v>
      </c>
      <c r="C6005">
        <f t="shared" si="206"/>
        <v>-2.8475005273148708E-3</v>
      </c>
      <c r="D6005">
        <f t="shared" si="205"/>
        <v>-0.33359858470746084</v>
      </c>
    </row>
    <row r="6006" spans="1:4">
      <c r="A6006" s="1">
        <v>27019</v>
      </c>
      <c r="B6006">
        <v>93.54</v>
      </c>
      <c r="C6006">
        <f t="shared" si="206"/>
        <v>-1.0682178741406567E-2</v>
      </c>
      <c r="D6006">
        <f t="shared" si="205"/>
        <v>-1.1609379409790239</v>
      </c>
    </row>
    <row r="6007" spans="1:4">
      <c r="A6007" s="1">
        <v>27022</v>
      </c>
      <c r="B6007">
        <v>92.9</v>
      </c>
      <c r="C6007">
        <f t="shared" si="206"/>
        <v>-6.8419927303827299E-3</v>
      </c>
      <c r="D6007">
        <f t="shared" si="205"/>
        <v>-0.75541560355755522</v>
      </c>
    </row>
    <row r="6008" spans="1:4">
      <c r="A6008" s="1">
        <v>27024</v>
      </c>
      <c r="B6008">
        <v>95.74</v>
      </c>
      <c r="C6008">
        <f t="shared" si="206"/>
        <v>3.0570505920344337E-2</v>
      </c>
      <c r="D6008">
        <f t="shared" si="205"/>
        <v>3.1953315368330384</v>
      </c>
    </row>
    <row r="6009" spans="1:4">
      <c r="A6009" s="1">
        <v>27025</v>
      </c>
      <c r="B6009">
        <v>97.74</v>
      </c>
      <c r="C6009">
        <f t="shared" si="206"/>
        <v>2.0889910173386254E-2</v>
      </c>
      <c r="D6009">
        <f t="shared" si="205"/>
        <v>2.173063916548641</v>
      </c>
    </row>
    <row r="6010" spans="1:4">
      <c r="A6010" s="1">
        <v>27026</v>
      </c>
      <c r="B6010">
        <v>97.54</v>
      </c>
      <c r="C6010">
        <f t="shared" si="206"/>
        <v>-2.046245140167676E-3</v>
      </c>
      <c r="D6010">
        <f t="shared" si="205"/>
        <v>-0.24898628818465648</v>
      </c>
    </row>
    <row r="6011" spans="1:4">
      <c r="A6011" s="1">
        <v>27029</v>
      </c>
      <c r="B6011">
        <v>97.55</v>
      </c>
      <c r="C6011">
        <f t="shared" si="206"/>
        <v>1.0252204223898815E-4</v>
      </c>
      <c r="D6011">
        <f t="shared" si="205"/>
        <v>-2.207720412396643E-2</v>
      </c>
    </row>
    <row r="6012" spans="1:4">
      <c r="A6012" s="1">
        <v>27031</v>
      </c>
      <c r="B6012">
        <v>97.68</v>
      </c>
      <c r="C6012">
        <f t="shared" si="206"/>
        <v>1.3326499231164496E-3</v>
      </c>
      <c r="D6012">
        <f t="shared" si="205"/>
        <v>0.10782388195591038</v>
      </c>
    </row>
    <row r="6013" spans="1:4">
      <c r="A6013" s="1">
        <v>27032</v>
      </c>
      <c r="B6013">
        <v>99.8</v>
      </c>
      <c r="C6013">
        <f t="shared" si="206"/>
        <v>2.1703521703521602E-2</v>
      </c>
      <c r="D6013">
        <f t="shared" si="205"/>
        <v>2.2589810175709371</v>
      </c>
    </row>
    <row r="6014" spans="1:4">
      <c r="A6014" s="1">
        <v>27033</v>
      </c>
      <c r="B6014">
        <v>98.9</v>
      </c>
      <c r="C6014">
        <f t="shared" si="206"/>
        <v>-9.0180360721442039E-3</v>
      </c>
      <c r="D6014">
        <f t="shared" si="205"/>
        <v>-0.985205040774496</v>
      </c>
    </row>
    <row r="6015" spans="1:4">
      <c r="A6015" s="1">
        <v>27036</v>
      </c>
      <c r="B6015">
        <v>98.07</v>
      </c>
      <c r="C6015">
        <f t="shared" si="206"/>
        <v>-8.3923154701720168E-3</v>
      </c>
      <c r="D6015">
        <f t="shared" si="205"/>
        <v>-0.91912915789899985</v>
      </c>
    </row>
    <row r="6016" spans="1:4">
      <c r="A6016" s="1">
        <v>27037</v>
      </c>
      <c r="B6016">
        <v>96.12</v>
      </c>
      <c r="C6016">
        <f t="shared" si="206"/>
        <v>-1.9883756500458743E-2</v>
      </c>
      <c r="D6016">
        <f t="shared" si="205"/>
        <v>-2.132621424566683</v>
      </c>
    </row>
    <row r="6017" spans="1:4">
      <c r="A6017" s="1">
        <v>27038</v>
      </c>
      <c r="B6017">
        <v>93.42</v>
      </c>
      <c r="C6017">
        <f t="shared" si="206"/>
        <v>-2.8089887640449465E-2</v>
      </c>
      <c r="D6017">
        <f t="shared" si="205"/>
        <v>-2.9991860835501991</v>
      </c>
    </row>
    <row r="6018" spans="1:4">
      <c r="A6018" s="1">
        <v>27039</v>
      </c>
      <c r="B6018">
        <v>92.39</v>
      </c>
      <c r="C6018">
        <f t="shared" si="206"/>
        <v>-1.1025476343395431E-2</v>
      </c>
      <c r="D6018">
        <f t="shared" si="205"/>
        <v>-1.1971900510565232</v>
      </c>
    </row>
    <row r="6019" spans="1:4">
      <c r="A6019" s="1">
        <v>27040</v>
      </c>
      <c r="B6019">
        <v>93.66</v>
      </c>
      <c r="C6019">
        <f t="shared" si="206"/>
        <v>1.3746076415196406E-2</v>
      </c>
      <c r="D6019">
        <f t="shared" ref="D6019:D6082" si="207">(C6019-avg)/sd</f>
        <v>1.4186774999908729</v>
      </c>
    </row>
    <row r="6020" spans="1:4">
      <c r="A6020" s="1">
        <v>27043</v>
      </c>
      <c r="B6020">
        <v>93.42</v>
      </c>
      <c r="C6020">
        <f t="shared" ref="C6020:C6083" si="208">(B6020-B6019)/B6019</f>
        <v>-2.5624599615630462E-3</v>
      </c>
      <c r="D6020">
        <f t="shared" si="207"/>
        <v>-0.30349839785406413</v>
      </c>
    </row>
    <row r="6021" spans="1:4">
      <c r="A6021" s="1">
        <v>27044</v>
      </c>
      <c r="B6021">
        <v>94.23</v>
      </c>
      <c r="C6021">
        <f t="shared" si="208"/>
        <v>8.6705202312138963E-3</v>
      </c>
      <c r="D6021">
        <f t="shared" si="207"/>
        <v>0.88270049222769309</v>
      </c>
    </row>
    <row r="6022" spans="1:4">
      <c r="A6022" s="1">
        <v>27045</v>
      </c>
      <c r="B6022">
        <v>95.67</v>
      </c>
      <c r="C6022">
        <f t="shared" si="208"/>
        <v>1.5281757402101217E-2</v>
      </c>
      <c r="D6022">
        <f t="shared" si="207"/>
        <v>1.5808448902046905</v>
      </c>
    </row>
    <row r="6023" spans="1:4">
      <c r="A6023" s="1">
        <v>27046</v>
      </c>
      <c r="B6023">
        <v>97.3</v>
      </c>
      <c r="C6023">
        <f t="shared" si="208"/>
        <v>1.7037733876868355E-2</v>
      </c>
      <c r="D6023">
        <f t="shared" si="207"/>
        <v>1.7662754090546953</v>
      </c>
    </row>
    <row r="6024" spans="1:4">
      <c r="A6024" s="1">
        <v>27047</v>
      </c>
      <c r="B6024">
        <v>95.56</v>
      </c>
      <c r="C6024">
        <f t="shared" si="208"/>
        <v>-1.7882836587872507E-2</v>
      </c>
      <c r="D6024">
        <f t="shared" si="207"/>
        <v>-1.9213249619433015</v>
      </c>
    </row>
    <row r="6025" spans="1:4">
      <c r="A6025" s="1">
        <v>27050</v>
      </c>
      <c r="B6025">
        <v>95.4</v>
      </c>
      <c r="C6025">
        <f t="shared" si="208"/>
        <v>-1.6743407283381811E-3</v>
      </c>
      <c r="D6025">
        <f t="shared" si="207"/>
        <v>-0.20971330871191368</v>
      </c>
    </row>
    <row r="6026" spans="1:4">
      <c r="A6026" s="1">
        <v>27051</v>
      </c>
      <c r="B6026">
        <v>96.55</v>
      </c>
      <c r="C6026">
        <f t="shared" si="208"/>
        <v>1.2054507337526115E-2</v>
      </c>
      <c r="D6026">
        <f t="shared" si="207"/>
        <v>1.2400483803811571</v>
      </c>
    </row>
    <row r="6027" spans="1:4">
      <c r="A6027" s="1">
        <v>27052</v>
      </c>
      <c r="B6027">
        <v>97.07</v>
      </c>
      <c r="C6027">
        <f t="shared" si="208"/>
        <v>5.3858104609010461E-3</v>
      </c>
      <c r="D6027">
        <f t="shared" si="207"/>
        <v>0.53583625700975612</v>
      </c>
    </row>
    <row r="6028" spans="1:4">
      <c r="A6028" s="1">
        <v>27053</v>
      </c>
      <c r="B6028">
        <v>96.82</v>
      </c>
      <c r="C6028">
        <f t="shared" si="208"/>
        <v>-2.5754610075203461E-3</v>
      </c>
      <c r="D6028">
        <f t="shared" si="207"/>
        <v>-0.30487130388788475</v>
      </c>
    </row>
    <row r="6029" spans="1:4">
      <c r="A6029" s="1">
        <v>27054</v>
      </c>
      <c r="B6029">
        <v>96.63</v>
      </c>
      <c r="C6029">
        <f t="shared" si="208"/>
        <v>-1.9624044618880162E-3</v>
      </c>
      <c r="D6029">
        <f t="shared" si="207"/>
        <v>-0.24013274105715562</v>
      </c>
    </row>
    <row r="6030" spans="1:4">
      <c r="A6030" s="1">
        <v>27057</v>
      </c>
      <c r="B6030">
        <v>96.09</v>
      </c>
      <c r="C6030">
        <f t="shared" si="208"/>
        <v>-5.588326606643817E-3</v>
      </c>
      <c r="D6030">
        <f t="shared" si="207"/>
        <v>-0.62302888703254666</v>
      </c>
    </row>
    <row r="6031" spans="1:4">
      <c r="A6031" s="1">
        <v>27058</v>
      </c>
      <c r="B6031">
        <v>96.01</v>
      </c>
      <c r="C6031">
        <f t="shared" si="208"/>
        <v>-8.3255281506918822E-4</v>
      </c>
      <c r="D6031">
        <f t="shared" si="207"/>
        <v>-0.12082079120832244</v>
      </c>
    </row>
    <row r="6032" spans="1:4">
      <c r="A6032" s="1">
        <v>27059</v>
      </c>
      <c r="B6032">
        <v>97.06</v>
      </c>
      <c r="C6032">
        <f t="shared" si="208"/>
        <v>1.0936360795750413E-2</v>
      </c>
      <c r="D6032">
        <f t="shared" si="207"/>
        <v>1.1219724856461193</v>
      </c>
    </row>
    <row r="6033" spans="1:4">
      <c r="A6033" s="1">
        <v>27060</v>
      </c>
      <c r="B6033">
        <v>96.57</v>
      </c>
      <c r="C6033">
        <f t="shared" si="208"/>
        <v>-5.048423655470936E-3</v>
      </c>
      <c r="D6033">
        <f t="shared" si="207"/>
        <v>-0.5660153189106204</v>
      </c>
    </row>
    <row r="6034" spans="1:4">
      <c r="A6034" s="1">
        <v>27061</v>
      </c>
      <c r="B6034">
        <v>95.32</v>
      </c>
      <c r="C6034">
        <f t="shared" si="208"/>
        <v>-1.2943978461219842E-2</v>
      </c>
      <c r="D6034">
        <f t="shared" si="207"/>
        <v>-1.3997832225682256</v>
      </c>
    </row>
    <row r="6035" spans="1:4">
      <c r="A6035" s="1">
        <v>27064</v>
      </c>
      <c r="B6035">
        <v>93.29</v>
      </c>
      <c r="C6035">
        <f t="shared" si="208"/>
        <v>-2.129668485102798E-2</v>
      </c>
      <c r="D6035">
        <f t="shared" si="207"/>
        <v>-2.2818261781091125</v>
      </c>
    </row>
    <row r="6036" spans="1:4">
      <c r="A6036" s="1">
        <v>27065</v>
      </c>
      <c r="B6036">
        <v>93</v>
      </c>
      <c r="C6036">
        <f t="shared" si="208"/>
        <v>-3.1085861292743729E-3</v>
      </c>
      <c r="D6036">
        <f t="shared" si="207"/>
        <v>-0.36116913552707619</v>
      </c>
    </row>
    <row r="6037" spans="1:4">
      <c r="A6037" s="1">
        <v>27066</v>
      </c>
      <c r="B6037">
        <v>93.26</v>
      </c>
      <c r="C6037">
        <f t="shared" si="208"/>
        <v>2.7956989247312379E-3</v>
      </c>
      <c r="D6037">
        <f t="shared" si="207"/>
        <v>0.26232135921191313</v>
      </c>
    </row>
    <row r="6038" spans="1:4">
      <c r="A6038" s="1">
        <v>27067</v>
      </c>
      <c r="B6038">
        <v>93.3</v>
      </c>
      <c r="C6038">
        <f t="shared" si="208"/>
        <v>4.2890842805052583E-4</v>
      </c>
      <c r="D6038">
        <f t="shared" si="207"/>
        <v>1.2389087273608915E-2</v>
      </c>
    </row>
    <row r="6039" spans="1:4">
      <c r="A6039" s="1">
        <v>27068</v>
      </c>
      <c r="B6039">
        <v>92.33</v>
      </c>
      <c r="C6039">
        <f t="shared" si="208"/>
        <v>-1.0396570203644147E-2</v>
      </c>
      <c r="D6039">
        <f t="shared" si="207"/>
        <v>-1.1307777764743714</v>
      </c>
    </row>
    <row r="6040" spans="1:4">
      <c r="A6040" s="1">
        <v>27071</v>
      </c>
      <c r="B6040">
        <v>90.66</v>
      </c>
      <c r="C6040">
        <f t="shared" si="208"/>
        <v>-1.8087295570237211E-2</v>
      </c>
      <c r="D6040">
        <f t="shared" si="207"/>
        <v>-1.9429157609820293</v>
      </c>
    </row>
    <row r="6041" spans="1:4">
      <c r="A6041" s="1">
        <v>27072</v>
      </c>
      <c r="B6041">
        <v>90.94</v>
      </c>
      <c r="C6041">
        <f t="shared" si="208"/>
        <v>3.0884623869402287E-3</v>
      </c>
      <c r="D6041">
        <f t="shared" si="207"/>
        <v>0.29323708130604653</v>
      </c>
    </row>
    <row r="6042" spans="1:4">
      <c r="A6042" s="1">
        <v>27073</v>
      </c>
      <c r="B6042">
        <v>90.98</v>
      </c>
      <c r="C6042">
        <f t="shared" si="208"/>
        <v>4.398504508467809E-4</v>
      </c>
      <c r="D6042">
        <f t="shared" si="207"/>
        <v>1.3544561161519187E-2</v>
      </c>
    </row>
    <row r="6043" spans="1:4">
      <c r="A6043" s="1">
        <v>27074</v>
      </c>
      <c r="B6043">
        <v>90.95</v>
      </c>
      <c r="C6043">
        <f t="shared" si="208"/>
        <v>-3.2974280061553237E-4</v>
      </c>
      <c r="D6043">
        <f t="shared" si="207"/>
        <v>-6.7724224595444568E-2</v>
      </c>
    </row>
    <row r="6044" spans="1:4">
      <c r="A6044" s="1">
        <v>27075</v>
      </c>
      <c r="B6044">
        <v>92.27</v>
      </c>
      <c r="C6044">
        <f t="shared" si="208"/>
        <v>1.4513468938977385E-2</v>
      </c>
      <c r="D6044">
        <f t="shared" si="207"/>
        <v>1.4997138896527513</v>
      </c>
    </row>
    <row r="6045" spans="1:4">
      <c r="A6045" s="1">
        <v>27079</v>
      </c>
      <c r="B6045">
        <v>92.12</v>
      </c>
      <c r="C6045">
        <f t="shared" si="208"/>
        <v>-1.6256638127234364E-3</v>
      </c>
      <c r="D6045">
        <f t="shared" si="207"/>
        <v>-0.20457304296908416</v>
      </c>
    </row>
    <row r="6046" spans="1:4">
      <c r="A6046" s="1">
        <v>27080</v>
      </c>
      <c r="B6046">
        <v>93.44</v>
      </c>
      <c r="C6046">
        <f t="shared" si="208"/>
        <v>1.4329135909682947E-2</v>
      </c>
      <c r="D6046">
        <f t="shared" si="207"/>
        <v>1.4802483844170997</v>
      </c>
    </row>
    <row r="6047" spans="1:4">
      <c r="A6047" s="1">
        <v>27081</v>
      </c>
      <c r="B6047">
        <v>94.71</v>
      </c>
      <c r="C6047">
        <f t="shared" si="208"/>
        <v>1.3591609589041053E-2</v>
      </c>
      <c r="D6047">
        <f t="shared" si="207"/>
        <v>1.402365855654693</v>
      </c>
    </row>
    <row r="6048" spans="1:4">
      <c r="A6048" s="1">
        <v>27082</v>
      </c>
      <c r="B6048">
        <v>95.39</v>
      </c>
      <c r="C6048">
        <f t="shared" si="208"/>
        <v>7.1798120578609112E-3</v>
      </c>
      <c r="D6048">
        <f t="shared" si="207"/>
        <v>0.72528221583794594</v>
      </c>
    </row>
    <row r="6049" spans="1:4">
      <c r="A6049" s="1">
        <v>27085</v>
      </c>
      <c r="B6049">
        <v>95.03</v>
      </c>
      <c r="C6049">
        <f t="shared" si="208"/>
        <v>-3.7739805011007383E-3</v>
      </c>
      <c r="D6049">
        <f t="shared" si="207"/>
        <v>-0.43143455501340394</v>
      </c>
    </row>
    <row r="6050" spans="1:4">
      <c r="A6050" s="1">
        <v>27086</v>
      </c>
      <c r="B6050">
        <v>96</v>
      </c>
      <c r="C6050">
        <f t="shared" si="208"/>
        <v>1.0207302956960948E-2</v>
      </c>
      <c r="D6050">
        <f t="shared" si="207"/>
        <v>1.0449842256887523</v>
      </c>
    </row>
    <row r="6051" spans="1:4">
      <c r="A6051" s="1">
        <v>27087</v>
      </c>
      <c r="B6051">
        <v>96.4</v>
      </c>
      <c r="C6051">
        <f t="shared" si="208"/>
        <v>4.1666666666667256E-3</v>
      </c>
      <c r="D6051">
        <f t="shared" si="207"/>
        <v>0.40709508674572265</v>
      </c>
    </row>
    <row r="6052" spans="1:4">
      <c r="A6052" s="1">
        <v>27088</v>
      </c>
      <c r="B6052">
        <v>96.22</v>
      </c>
      <c r="C6052">
        <f t="shared" si="208"/>
        <v>-1.8672199170125187E-3</v>
      </c>
      <c r="D6052">
        <f t="shared" si="207"/>
        <v>-0.23008128547310194</v>
      </c>
    </row>
    <row r="6053" spans="1:4">
      <c r="A6053" s="1">
        <v>27089</v>
      </c>
      <c r="B6053">
        <v>95.53</v>
      </c>
      <c r="C6053">
        <f t="shared" si="208"/>
        <v>-7.1710663063811863E-3</v>
      </c>
      <c r="D6053">
        <f t="shared" si="207"/>
        <v>-0.79016566132544885</v>
      </c>
    </row>
    <row r="6054" spans="1:4">
      <c r="A6054" s="1">
        <v>27092</v>
      </c>
      <c r="B6054">
        <v>95.53</v>
      </c>
      <c r="C6054">
        <f t="shared" si="208"/>
        <v>0</v>
      </c>
      <c r="D6054">
        <f t="shared" si="207"/>
        <v>-3.29034969354682E-2</v>
      </c>
    </row>
    <row r="6055" spans="1:4">
      <c r="A6055" s="1">
        <v>27093</v>
      </c>
      <c r="B6055">
        <v>97.32</v>
      </c>
      <c r="C6055">
        <f t="shared" si="208"/>
        <v>1.8737569349942342E-2</v>
      </c>
      <c r="D6055">
        <f t="shared" si="207"/>
        <v>1.9457774572091568</v>
      </c>
    </row>
    <row r="6056" spans="1:4">
      <c r="A6056" s="1">
        <v>27094</v>
      </c>
      <c r="B6056">
        <v>97.98</v>
      </c>
      <c r="C6056">
        <f t="shared" si="208"/>
        <v>6.7817509247843286E-3</v>
      </c>
      <c r="D6056">
        <f t="shared" si="207"/>
        <v>0.6832470954926122</v>
      </c>
    </row>
    <row r="6057" spans="1:4">
      <c r="A6057" s="1">
        <v>27095</v>
      </c>
      <c r="B6057">
        <v>96.94</v>
      </c>
      <c r="C6057">
        <f t="shared" si="208"/>
        <v>-1.0614411104307065E-2</v>
      </c>
      <c r="D6057">
        <f t="shared" si="207"/>
        <v>-1.1537817015366556</v>
      </c>
    </row>
    <row r="6058" spans="1:4">
      <c r="A6058" s="1">
        <v>27096</v>
      </c>
      <c r="B6058">
        <v>97.78</v>
      </c>
      <c r="C6058">
        <f t="shared" si="208"/>
        <v>8.665153703321677E-3</v>
      </c>
      <c r="D6058">
        <f t="shared" si="207"/>
        <v>0.88213378870644621</v>
      </c>
    </row>
    <row r="6059" spans="1:4">
      <c r="A6059" s="1">
        <v>27099</v>
      </c>
      <c r="B6059">
        <v>98.88</v>
      </c>
      <c r="C6059">
        <f t="shared" si="208"/>
        <v>1.1249744323992578E-2</v>
      </c>
      <c r="D6059">
        <f t="shared" si="207"/>
        <v>1.1550656797042551</v>
      </c>
    </row>
    <row r="6060" spans="1:4">
      <c r="A6060" s="1">
        <v>27100</v>
      </c>
      <c r="B6060">
        <v>99.15</v>
      </c>
      <c r="C6060">
        <f t="shared" si="208"/>
        <v>2.7305825242719484E-3</v>
      </c>
      <c r="D6060">
        <f t="shared" si="207"/>
        <v>0.25544508945755212</v>
      </c>
    </row>
    <row r="6061" spans="1:4">
      <c r="A6061" s="1">
        <v>27101</v>
      </c>
      <c r="B6061">
        <v>99.74</v>
      </c>
      <c r="C6061">
        <f t="shared" si="208"/>
        <v>5.9505799293997899E-3</v>
      </c>
      <c r="D6061">
        <f t="shared" si="207"/>
        <v>0.59547572090875367</v>
      </c>
    </row>
    <row r="6062" spans="1:4">
      <c r="A6062" s="1">
        <v>27102</v>
      </c>
      <c r="B6062">
        <v>99.65</v>
      </c>
      <c r="C6062">
        <f t="shared" si="208"/>
        <v>-9.0234609985952684E-4</v>
      </c>
      <c r="D6062">
        <f t="shared" si="207"/>
        <v>-0.12819093835829201</v>
      </c>
    </row>
    <row r="6063" spans="1:4">
      <c r="A6063" s="1">
        <v>27103</v>
      </c>
      <c r="B6063">
        <v>99.28</v>
      </c>
      <c r="C6063">
        <f t="shared" si="208"/>
        <v>-3.7129954841947266E-3</v>
      </c>
      <c r="D6063">
        <f t="shared" si="207"/>
        <v>-0.42499455795794355</v>
      </c>
    </row>
    <row r="6064" spans="1:4">
      <c r="A6064" s="1">
        <v>27106</v>
      </c>
      <c r="B6064">
        <v>98.05</v>
      </c>
      <c r="C6064">
        <f t="shared" si="208"/>
        <v>-1.2389202256245003E-2</v>
      </c>
      <c r="D6064">
        <f t="shared" si="207"/>
        <v>-1.3411990439004773</v>
      </c>
    </row>
    <row r="6065" spans="1:4">
      <c r="A6065" s="1">
        <v>27107</v>
      </c>
      <c r="B6065">
        <v>97.23</v>
      </c>
      <c r="C6065">
        <f t="shared" si="208"/>
        <v>-8.3630800611932E-3</v>
      </c>
      <c r="D6065">
        <f t="shared" si="207"/>
        <v>-0.91604190864843515</v>
      </c>
    </row>
    <row r="6066" spans="1:4">
      <c r="A6066" s="1">
        <v>27108</v>
      </c>
      <c r="B6066">
        <v>97.57</v>
      </c>
      <c r="C6066">
        <f t="shared" si="208"/>
        <v>3.4968631080940986E-3</v>
      </c>
      <c r="D6066">
        <f t="shared" si="207"/>
        <v>0.33636405863774504</v>
      </c>
    </row>
    <row r="6067" spans="1:4">
      <c r="A6067" s="1">
        <v>27109</v>
      </c>
      <c r="B6067">
        <v>97.34</v>
      </c>
      <c r="C6067">
        <f t="shared" si="208"/>
        <v>-2.3572819514193892E-3</v>
      </c>
      <c r="D6067">
        <f t="shared" si="207"/>
        <v>-0.28183166972628826</v>
      </c>
    </row>
    <row r="6068" spans="1:4">
      <c r="A6068" s="1">
        <v>27110</v>
      </c>
      <c r="B6068">
        <v>97.27</v>
      </c>
      <c r="C6068">
        <f t="shared" si="208"/>
        <v>-7.1912882679276129E-4</v>
      </c>
      <c r="D6068">
        <f t="shared" si="207"/>
        <v>-0.10884325660101865</v>
      </c>
    </row>
    <row r="6069" spans="1:4">
      <c r="A6069" s="1">
        <v>27113</v>
      </c>
      <c r="B6069">
        <v>97.64</v>
      </c>
      <c r="C6069">
        <f t="shared" si="208"/>
        <v>3.8038449676159615E-3</v>
      </c>
      <c r="D6069">
        <f t="shared" si="207"/>
        <v>0.36878123865504969</v>
      </c>
    </row>
    <row r="6070" spans="1:4">
      <c r="A6070" s="1">
        <v>27114</v>
      </c>
      <c r="B6070">
        <v>97.95</v>
      </c>
      <c r="C6070">
        <f t="shared" si="208"/>
        <v>3.1749283080704863E-3</v>
      </c>
      <c r="D6070">
        <f t="shared" si="207"/>
        <v>0.30236785318620713</v>
      </c>
    </row>
    <row r="6071" spans="1:4">
      <c r="A6071" s="1">
        <v>27115</v>
      </c>
      <c r="B6071">
        <v>96.59</v>
      </c>
      <c r="C6071">
        <f t="shared" si="208"/>
        <v>-1.3884635017866253E-2</v>
      </c>
      <c r="D6071">
        <f t="shared" si="207"/>
        <v>-1.4991162352053875</v>
      </c>
    </row>
    <row r="6072" spans="1:4">
      <c r="A6072" s="1">
        <v>27116</v>
      </c>
      <c r="B6072">
        <v>94.82</v>
      </c>
      <c r="C6072">
        <f t="shared" si="208"/>
        <v>-1.8324878351796359E-2</v>
      </c>
      <c r="D6072">
        <f t="shared" si="207"/>
        <v>-1.9680044219563639</v>
      </c>
    </row>
    <row r="6073" spans="1:4">
      <c r="A6073" s="1">
        <v>27117</v>
      </c>
      <c r="B6073">
        <v>93.98</v>
      </c>
      <c r="C6073">
        <f t="shared" si="208"/>
        <v>-8.8588905294240596E-3</v>
      </c>
      <c r="D6073">
        <f t="shared" si="207"/>
        <v>-0.96839932555944719</v>
      </c>
    </row>
    <row r="6074" spans="1:4">
      <c r="A6074" s="1">
        <v>27120</v>
      </c>
      <c r="B6074">
        <v>93.25</v>
      </c>
      <c r="C6074">
        <f t="shared" si="208"/>
        <v>-7.7676101298148961E-3</v>
      </c>
      <c r="D6074">
        <f t="shared" si="207"/>
        <v>-0.85316048630495056</v>
      </c>
    </row>
    <row r="6075" spans="1:4">
      <c r="A6075" s="1">
        <v>27121</v>
      </c>
      <c r="B6075">
        <v>93.35</v>
      </c>
      <c r="C6075">
        <f t="shared" si="208"/>
        <v>1.0723860589811722E-3</v>
      </c>
      <c r="D6075">
        <f t="shared" si="207"/>
        <v>8.0340106371210945E-2</v>
      </c>
    </row>
    <row r="6076" spans="1:4">
      <c r="A6076" s="1">
        <v>27122</v>
      </c>
      <c r="B6076">
        <v>94.33</v>
      </c>
      <c r="C6076">
        <f t="shared" si="208"/>
        <v>1.0498125334761693E-2</v>
      </c>
      <c r="D6076">
        <f t="shared" si="207"/>
        <v>1.0756949699291816</v>
      </c>
    </row>
    <row r="6077" spans="1:4">
      <c r="A6077" s="1">
        <v>27123</v>
      </c>
      <c r="B6077">
        <v>94.33</v>
      </c>
      <c r="C6077">
        <f t="shared" si="208"/>
        <v>0</v>
      </c>
      <c r="D6077">
        <f t="shared" si="207"/>
        <v>-3.29034969354682E-2</v>
      </c>
    </row>
    <row r="6078" spans="1:4">
      <c r="A6078" s="1">
        <v>27124</v>
      </c>
      <c r="B6078">
        <v>93.01</v>
      </c>
      <c r="C6078">
        <f t="shared" si="208"/>
        <v>-1.3993427329587546E-2</v>
      </c>
      <c r="D6078">
        <f t="shared" si="207"/>
        <v>-1.5106046663428525</v>
      </c>
    </row>
    <row r="6079" spans="1:4">
      <c r="A6079" s="1">
        <v>27127</v>
      </c>
      <c r="B6079">
        <v>92.03</v>
      </c>
      <c r="C6079">
        <f t="shared" si="208"/>
        <v>-1.0536501451456876E-2</v>
      </c>
      <c r="D6079">
        <f t="shared" si="207"/>
        <v>-1.1455544686784533</v>
      </c>
    </row>
    <row r="6080" spans="1:4">
      <c r="A6080" s="1">
        <v>27128</v>
      </c>
      <c r="B6080">
        <v>92.61</v>
      </c>
      <c r="C6080">
        <f t="shared" si="208"/>
        <v>6.3022927306312969E-3</v>
      </c>
      <c r="D6080">
        <f t="shared" si="207"/>
        <v>0.63261647316581082</v>
      </c>
    </row>
    <row r="6081" spans="1:4">
      <c r="A6081" s="1">
        <v>27129</v>
      </c>
      <c r="B6081">
        <v>92.4</v>
      </c>
      <c r="C6081">
        <f t="shared" si="208"/>
        <v>-2.2675736961450571E-3</v>
      </c>
      <c r="D6081">
        <f t="shared" si="207"/>
        <v>-0.27235850846263637</v>
      </c>
    </row>
    <row r="6082" spans="1:4">
      <c r="A6082" s="1">
        <v>27130</v>
      </c>
      <c r="B6082">
        <v>92.12</v>
      </c>
      <c r="C6082">
        <f t="shared" si="208"/>
        <v>-3.0303030303030424E-3</v>
      </c>
      <c r="D6082">
        <f t="shared" si="207"/>
        <v>-0.35290246688542193</v>
      </c>
    </row>
    <row r="6083" spans="1:4">
      <c r="A6083" s="1">
        <v>27134</v>
      </c>
      <c r="B6083">
        <v>92.05</v>
      </c>
      <c r="C6083">
        <f t="shared" si="208"/>
        <v>-7.5987841945296777E-4</v>
      </c>
      <c r="D6083">
        <f t="shared" ref="D6083:D6146" si="209">(C6083-avg)/sd</f>
        <v>-0.1131463997344769</v>
      </c>
    </row>
    <row r="6084" spans="1:4">
      <c r="A6084" s="1">
        <v>27135</v>
      </c>
      <c r="B6084">
        <v>93.66</v>
      </c>
      <c r="C6084">
        <f t="shared" ref="C6084:C6147" si="210">(B6084-B6083)/B6083</f>
        <v>1.7490494296577942E-2</v>
      </c>
      <c r="D6084">
        <f t="shared" si="209"/>
        <v>1.8140867554752833</v>
      </c>
    </row>
    <row r="6085" spans="1:4">
      <c r="A6085" s="1">
        <v>27136</v>
      </c>
      <c r="B6085">
        <v>94.36</v>
      </c>
      <c r="C6085">
        <f t="shared" si="210"/>
        <v>7.4738415545590742E-3</v>
      </c>
      <c r="D6085">
        <f t="shared" si="209"/>
        <v>0.75633163074378995</v>
      </c>
    </row>
    <row r="6086" spans="1:4">
      <c r="A6086" s="1">
        <v>27137</v>
      </c>
      <c r="B6086">
        <v>94.78</v>
      </c>
      <c r="C6086">
        <f t="shared" si="210"/>
        <v>4.4510385756676742E-3</v>
      </c>
      <c r="D6086">
        <f t="shared" si="209"/>
        <v>0.43712466367351432</v>
      </c>
    </row>
    <row r="6087" spans="1:4">
      <c r="A6087" s="1">
        <v>27138</v>
      </c>
      <c r="B6087">
        <v>93.75</v>
      </c>
      <c r="C6087">
        <f t="shared" si="210"/>
        <v>-1.0867271576281928E-2</v>
      </c>
      <c r="D6087">
        <f t="shared" si="209"/>
        <v>-1.1804836814257504</v>
      </c>
    </row>
    <row r="6088" spans="1:4">
      <c r="A6088" s="1">
        <v>27141</v>
      </c>
      <c r="B6088">
        <v>93.38</v>
      </c>
      <c r="C6088">
        <f t="shared" si="210"/>
        <v>-3.9466666666667155E-3</v>
      </c>
      <c r="D6088">
        <f t="shared" si="209"/>
        <v>-0.44967015539829147</v>
      </c>
    </row>
    <row r="6089" spans="1:4">
      <c r="A6089" s="1">
        <v>27142</v>
      </c>
      <c r="B6089">
        <v>91.81</v>
      </c>
      <c r="C6089">
        <f t="shared" si="210"/>
        <v>-1.6813022060398301E-2</v>
      </c>
      <c r="D6089">
        <f t="shared" si="209"/>
        <v>-1.8083529114896519</v>
      </c>
    </row>
    <row r="6090" spans="1:4">
      <c r="A6090" s="1">
        <v>27143</v>
      </c>
      <c r="B6090">
        <v>90.3</v>
      </c>
      <c r="C6090">
        <f t="shared" si="210"/>
        <v>-1.6447010129615566E-2</v>
      </c>
      <c r="D6090">
        <f t="shared" si="209"/>
        <v>-1.7697021760124954</v>
      </c>
    </row>
    <row r="6091" spans="1:4">
      <c r="A6091" s="1">
        <v>27144</v>
      </c>
      <c r="B6091">
        <v>89.57</v>
      </c>
      <c r="C6091">
        <f t="shared" si="210"/>
        <v>-8.0841638981174312E-3</v>
      </c>
      <c r="D6091">
        <f t="shared" si="209"/>
        <v>-0.88658845663584429</v>
      </c>
    </row>
    <row r="6092" spans="1:4">
      <c r="A6092" s="1">
        <v>27145</v>
      </c>
      <c r="B6092">
        <v>90.18</v>
      </c>
      <c r="C6092">
        <f t="shared" si="210"/>
        <v>6.8103159540026086E-3</v>
      </c>
      <c r="D6092">
        <f t="shared" si="209"/>
        <v>0.6862635528683374</v>
      </c>
    </row>
    <row r="6093" spans="1:4">
      <c r="A6093" s="1">
        <v>27148</v>
      </c>
      <c r="B6093">
        <v>90</v>
      </c>
      <c r="C6093">
        <f t="shared" si="210"/>
        <v>-1.9960079840320114E-3</v>
      </c>
      <c r="D6093">
        <f t="shared" si="209"/>
        <v>-0.24368126157316938</v>
      </c>
    </row>
    <row r="6094" spans="1:4">
      <c r="A6094" s="1">
        <v>27149</v>
      </c>
      <c r="B6094">
        <v>90.31</v>
      </c>
      <c r="C6094">
        <f t="shared" si="210"/>
        <v>3.4444444444444696E-3</v>
      </c>
      <c r="D6094">
        <f t="shared" si="209"/>
        <v>0.33082866557431373</v>
      </c>
    </row>
    <row r="6095" spans="1:4">
      <c r="A6095" s="1">
        <v>27150</v>
      </c>
      <c r="B6095">
        <v>92.22</v>
      </c>
      <c r="C6095">
        <f t="shared" si="210"/>
        <v>2.1149374377145348E-2</v>
      </c>
      <c r="D6095">
        <f t="shared" si="209"/>
        <v>2.2004632482694331</v>
      </c>
    </row>
    <row r="6096" spans="1:4">
      <c r="A6096" s="1">
        <v>27151</v>
      </c>
      <c r="B6096">
        <v>92.09</v>
      </c>
      <c r="C6096">
        <f t="shared" si="210"/>
        <v>-1.4096725222294019E-3</v>
      </c>
      <c r="D6096">
        <f t="shared" si="209"/>
        <v>-0.181764436111921</v>
      </c>
    </row>
    <row r="6097" spans="1:4">
      <c r="A6097" s="1">
        <v>27152</v>
      </c>
      <c r="B6097">
        <v>91.29</v>
      </c>
      <c r="C6097">
        <f t="shared" si="210"/>
        <v>-8.6871538712129121E-3</v>
      </c>
      <c r="D6097">
        <f t="shared" si="209"/>
        <v>-0.95026399282847651</v>
      </c>
    </row>
    <row r="6098" spans="1:4">
      <c r="A6098" s="1">
        <v>27155</v>
      </c>
      <c r="B6098">
        <v>91.12</v>
      </c>
      <c r="C6098">
        <f t="shared" si="210"/>
        <v>-1.8621973929236685E-3</v>
      </c>
      <c r="D6098">
        <f t="shared" si="209"/>
        <v>-0.22955090863655828</v>
      </c>
    </row>
    <row r="6099" spans="1:4">
      <c r="A6099" s="1">
        <v>27156</v>
      </c>
      <c r="B6099">
        <v>91.46</v>
      </c>
      <c r="C6099">
        <f t="shared" si="210"/>
        <v>3.7313432835819707E-3</v>
      </c>
      <c r="D6099">
        <f t="shared" si="209"/>
        <v>0.36112508546558009</v>
      </c>
    </row>
    <row r="6100" spans="1:4">
      <c r="A6100" s="1">
        <v>27157</v>
      </c>
      <c r="B6100">
        <v>91.64</v>
      </c>
      <c r="C6100">
        <f t="shared" si="210"/>
        <v>1.9680734747431318E-3</v>
      </c>
      <c r="D6100">
        <f t="shared" si="209"/>
        <v>0.17492439301672838</v>
      </c>
    </row>
    <row r="6101" spans="1:4">
      <c r="A6101" s="1">
        <v>27158</v>
      </c>
      <c r="B6101">
        <v>92.96</v>
      </c>
      <c r="C6101">
        <f t="shared" si="210"/>
        <v>1.4404190309908263E-2</v>
      </c>
      <c r="D6101">
        <f t="shared" si="209"/>
        <v>1.4881741035686629</v>
      </c>
    </row>
    <row r="6102" spans="1:4">
      <c r="A6102" s="1">
        <v>27159</v>
      </c>
      <c r="B6102">
        <v>91.47</v>
      </c>
      <c r="C6102">
        <f t="shared" si="210"/>
        <v>-1.6028399311531789E-2</v>
      </c>
      <c r="D6102">
        <f t="shared" si="209"/>
        <v>-1.7254970159155791</v>
      </c>
    </row>
    <row r="6103" spans="1:4">
      <c r="A6103" s="1">
        <v>27162</v>
      </c>
      <c r="B6103">
        <v>90.66</v>
      </c>
      <c r="C6103">
        <f t="shared" si="210"/>
        <v>-8.8553624139062238E-3</v>
      </c>
      <c r="D6103">
        <f t="shared" si="209"/>
        <v>-0.96802675776002844</v>
      </c>
    </row>
    <row r="6104" spans="1:4">
      <c r="A6104" s="1">
        <v>27163</v>
      </c>
      <c r="B6104">
        <v>90.69</v>
      </c>
      <c r="C6104">
        <f t="shared" si="210"/>
        <v>3.3090668431503574E-4</v>
      </c>
      <c r="D6104">
        <f t="shared" si="209"/>
        <v>2.0401364475524245E-3</v>
      </c>
    </row>
    <row r="6105" spans="1:4">
      <c r="A6105" s="1">
        <v>27164</v>
      </c>
      <c r="B6105">
        <v>90.45</v>
      </c>
      <c r="C6105">
        <f t="shared" si="210"/>
        <v>-2.6463777704266722E-3</v>
      </c>
      <c r="D6105">
        <f t="shared" si="209"/>
        <v>-0.31236008994501385</v>
      </c>
    </row>
    <row r="6106" spans="1:4">
      <c r="A6106" s="1">
        <v>27165</v>
      </c>
      <c r="B6106">
        <v>89.72</v>
      </c>
      <c r="C6106">
        <f t="shared" si="210"/>
        <v>-8.0707573244887115E-3</v>
      </c>
      <c r="D6106">
        <f t="shared" si="209"/>
        <v>-0.88517272701776739</v>
      </c>
    </row>
    <row r="6107" spans="1:4">
      <c r="A6107" s="1">
        <v>27166</v>
      </c>
      <c r="B6107">
        <v>88.21</v>
      </c>
      <c r="C6107">
        <f t="shared" si="210"/>
        <v>-1.6830138207757524E-2</v>
      </c>
      <c r="D6107">
        <f t="shared" si="209"/>
        <v>-1.8101603708327247</v>
      </c>
    </row>
    <row r="6108" spans="1:4">
      <c r="A6108" s="1">
        <v>27169</v>
      </c>
      <c r="B6108">
        <v>87.86</v>
      </c>
      <c r="C6108">
        <f t="shared" si="210"/>
        <v>-3.9678041038430376E-3</v>
      </c>
      <c r="D6108">
        <f t="shared" si="209"/>
        <v>-0.45190226157914709</v>
      </c>
    </row>
    <row r="6109" spans="1:4">
      <c r="A6109" s="1">
        <v>27170</v>
      </c>
      <c r="B6109">
        <v>87.91</v>
      </c>
      <c r="C6109">
        <f t="shared" si="210"/>
        <v>5.6908718415658041E-4</v>
      </c>
      <c r="D6109">
        <f t="shared" si="209"/>
        <v>2.719191626933393E-2</v>
      </c>
    </row>
    <row r="6110" spans="1:4">
      <c r="A6110" s="1">
        <v>27171</v>
      </c>
      <c r="B6110">
        <v>87.09</v>
      </c>
      <c r="C6110">
        <f t="shared" si="210"/>
        <v>-9.3277215333863409E-3</v>
      </c>
      <c r="D6110">
        <f t="shared" si="209"/>
        <v>-1.0179077202144629</v>
      </c>
    </row>
    <row r="6111" spans="1:4">
      <c r="A6111" s="1">
        <v>27172</v>
      </c>
      <c r="B6111">
        <v>87.29</v>
      </c>
      <c r="C6111">
        <f t="shared" si="210"/>
        <v>2.2964749110116296E-3</v>
      </c>
      <c r="D6111">
        <f t="shared" si="209"/>
        <v>0.20960347305760976</v>
      </c>
    </row>
    <row r="6112" spans="1:4">
      <c r="A6112" s="1">
        <v>27173</v>
      </c>
      <c r="B6112">
        <v>88.58</v>
      </c>
      <c r="C6112">
        <f t="shared" si="210"/>
        <v>1.4778325123152617E-2</v>
      </c>
      <c r="D6112">
        <f t="shared" si="209"/>
        <v>1.5276826126726646</v>
      </c>
    </row>
    <row r="6113" spans="1:4">
      <c r="A6113" s="1">
        <v>27177</v>
      </c>
      <c r="B6113">
        <v>88.37</v>
      </c>
      <c r="C6113">
        <f t="shared" si="210"/>
        <v>-2.3707383156468024E-3</v>
      </c>
      <c r="D6113">
        <f t="shared" si="209"/>
        <v>-0.28325265721466264</v>
      </c>
    </row>
    <row r="6114" spans="1:4">
      <c r="A6114" s="1">
        <v>27178</v>
      </c>
      <c r="B6114">
        <v>86.89</v>
      </c>
      <c r="C6114">
        <f t="shared" si="210"/>
        <v>-1.6747765078646643E-2</v>
      </c>
      <c r="D6114">
        <f t="shared" si="209"/>
        <v>-1.8014617963986026</v>
      </c>
    </row>
    <row r="6115" spans="1:4">
      <c r="A6115" s="1">
        <v>27179</v>
      </c>
      <c r="B6115">
        <v>87.43</v>
      </c>
      <c r="C6115">
        <f t="shared" si="210"/>
        <v>6.2147542870296495E-3</v>
      </c>
      <c r="D6115">
        <f t="shared" si="209"/>
        <v>0.62337244327723962</v>
      </c>
    </row>
    <row r="6116" spans="1:4">
      <c r="A6116" s="1">
        <v>27180</v>
      </c>
      <c r="B6116">
        <v>87.28</v>
      </c>
      <c r="C6116">
        <f t="shared" si="210"/>
        <v>-1.715658240878482E-3</v>
      </c>
      <c r="D6116">
        <f t="shared" si="209"/>
        <v>-0.21407642399166454</v>
      </c>
    </row>
    <row r="6117" spans="1:4">
      <c r="A6117" s="1">
        <v>27183</v>
      </c>
      <c r="B6117">
        <v>89.1</v>
      </c>
      <c r="C6117">
        <f t="shared" si="210"/>
        <v>2.0852428964252899E-2</v>
      </c>
      <c r="D6117">
        <f t="shared" si="209"/>
        <v>2.1691059136046404</v>
      </c>
    </row>
    <row r="6118" spans="1:4">
      <c r="A6118" s="1">
        <v>27184</v>
      </c>
      <c r="B6118">
        <v>90.14</v>
      </c>
      <c r="C6118">
        <f t="shared" si="210"/>
        <v>1.1672278338945076E-2</v>
      </c>
      <c r="D6118">
        <f t="shared" si="209"/>
        <v>1.1996851280569487</v>
      </c>
    </row>
    <row r="6119" spans="1:4">
      <c r="A6119" s="1">
        <v>27185</v>
      </c>
      <c r="B6119">
        <v>90.31</v>
      </c>
      <c r="C6119">
        <f t="shared" si="210"/>
        <v>1.8859551808298391E-3</v>
      </c>
      <c r="D6119">
        <f t="shared" si="209"/>
        <v>0.16625272909284899</v>
      </c>
    </row>
    <row r="6120" spans="1:4">
      <c r="A6120" s="1">
        <v>27186</v>
      </c>
      <c r="B6120">
        <v>91.96</v>
      </c>
      <c r="C6120">
        <f t="shared" si="210"/>
        <v>1.8270401948842781E-2</v>
      </c>
      <c r="D6120">
        <f t="shared" si="209"/>
        <v>1.8964447384509586</v>
      </c>
    </row>
    <row r="6121" spans="1:4">
      <c r="A6121" s="1">
        <v>27187</v>
      </c>
      <c r="B6121">
        <v>92.55</v>
      </c>
      <c r="C6121">
        <f t="shared" si="210"/>
        <v>6.415832970856932E-3</v>
      </c>
      <c r="D6121">
        <f t="shared" si="209"/>
        <v>0.64460628393943509</v>
      </c>
    </row>
    <row r="6122" spans="1:4">
      <c r="A6122" s="1">
        <v>27190</v>
      </c>
      <c r="B6122">
        <v>93.1</v>
      </c>
      <c r="C6122">
        <f t="shared" si="210"/>
        <v>5.9427336574824118E-3</v>
      </c>
      <c r="D6122">
        <f t="shared" si="209"/>
        <v>0.59464715726135586</v>
      </c>
    </row>
    <row r="6123" spans="1:4">
      <c r="A6123" s="1">
        <v>27191</v>
      </c>
      <c r="B6123">
        <v>92.28</v>
      </c>
      <c r="C6123">
        <f t="shared" si="210"/>
        <v>-8.8077336197636222E-3</v>
      </c>
      <c r="D6123">
        <f t="shared" si="209"/>
        <v>-0.96299717328838352</v>
      </c>
    </row>
    <row r="6124" spans="1:4">
      <c r="A6124" s="1">
        <v>27192</v>
      </c>
      <c r="B6124">
        <v>92.06</v>
      </c>
      <c r="C6124">
        <f t="shared" si="210"/>
        <v>-2.3840485478976905E-3</v>
      </c>
      <c r="D6124">
        <f t="shared" si="209"/>
        <v>-0.28465821321598866</v>
      </c>
    </row>
    <row r="6125" spans="1:4">
      <c r="A6125" s="1">
        <v>27193</v>
      </c>
      <c r="B6125">
        <v>92.34</v>
      </c>
      <c r="C6125">
        <f t="shared" si="210"/>
        <v>3.0414946773843266E-3</v>
      </c>
      <c r="D6125">
        <f t="shared" si="209"/>
        <v>0.28827730714204347</v>
      </c>
    </row>
    <row r="6126" spans="1:4">
      <c r="A6126" s="1">
        <v>27194</v>
      </c>
      <c r="B6126">
        <v>91.3</v>
      </c>
      <c r="C6126">
        <f t="shared" si="210"/>
        <v>-1.1262724713017178E-2</v>
      </c>
      <c r="D6126">
        <f t="shared" si="209"/>
        <v>-1.2222433982439405</v>
      </c>
    </row>
    <row r="6127" spans="1:4">
      <c r="A6127" s="1">
        <v>27197</v>
      </c>
      <c r="B6127">
        <v>90.04</v>
      </c>
      <c r="C6127">
        <f t="shared" si="210"/>
        <v>-1.380065717415105E-2</v>
      </c>
      <c r="D6127">
        <f t="shared" si="209"/>
        <v>-1.4902482034545181</v>
      </c>
    </row>
    <row r="6128" spans="1:4">
      <c r="A6128" s="1">
        <v>27198</v>
      </c>
      <c r="B6128">
        <v>89.45</v>
      </c>
      <c r="C6128">
        <f t="shared" si="210"/>
        <v>-6.5526432696579673E-3</v>
      </c>
      <c r="D6128">
        <f t="shared" si="209"/>
        <v>-0.72486039885968079</v>
      </c>
    </row>
    <row r="6129" spans="1:4">
      <c r="A6129" s="1">
        <v>27199</v>
      </c>
      <c r="B6129">
        <v>88.84</v>
      </c>
      <c r="C6129">
        <f t="shared" si="210"/>
        <v>-6.8194522079373888E-3</v>
      </c>
      <c r="D6129">
        <f t="shared" si="209"/>
        <v>-0.75303533204922302</v>
      </c>
    </row>
    <row r="6130" spans="1:4">
      <c r="A6130" s="1">
        <v>27200</v>
      </c>
      <c r="B6130">
        <v>88.21</v>
      </c>
      <c r="C6130">
        <f t="shared" si="210"/>
        <v>-7.0914002701486902E-3</v>
      </c>
      <c r="D6130">
        <f t="shared" si="209"/>
        <v>-0.78175295497909869</v>
      </c>
    </row>
    <row r="6131" spans="1:4">
      <c r="A6131" s="1">
        <v>27201</v>
      </c>
      <c r="B6131">
        <v>87.46</v>
      </c>
      <c r="C6131">
        <f t="shared" si="210"/>
        <v>-8.5024373653780749E-3</v>
      </c>
      <c r="D6131">
        <f t="shared" si="209"/>
        <v>-0.93075799260050873</v>
      </c>
    </row>
    <row r="6132" spans="1:4">
      <c r="A6132" s="1">
        <v>27204</v>
      </c>
      <c r="B6132">
        <v>87.69</v>
      </c>
      <c r="C6132">
        <f t="shared" si="210"/>
        <v>2.6297736107935513E-3</v>
      </c>
      <c r="D6132">
        <f t="shared" si="209"/>
        <v>0.24479970246084798</v>
      </c>
    </row>
    <row r="6133" spans="1:4">
      <c r="A6133" s="1">
        <v>27205</v>
      </c>
      <c r="B6133">
        <v>88.98</v>
      </c>
      <c r="C6133">
        <f t="shared" si="210"/>
        <v>1.4710913445090732E-2</v>
      </c>
      <c r="D6133">
        <f t="shared" si="209"/>
        <v>1.5205639623836722</v>
      </c>
    </row>
    <row r="6134" spans="1:4">
      <c r="A6134" s="1">
        <v>27206</v>
      </c>
      <c r="B6134">
        <v>87.61</v>
      </c>
      <c r="C6134">
        <f t="shared" si="210"/>
        <v>-1.5396718363677281E-2</v>
      </c>
      <c r="D6134">
        <f t="shared" si="209"/>
        <v>-1.6587917225409297</v>
      </c>
    </row>
    <row r="6135" spans="1:4">
      <c r="A6135" s="1">
        <v>27207</v>
      </c>
      <c r="B6135">
        <v>86.31</v>
      </c>
      <c r="C6135">
        <f t="shared" si="210"/>
        <v>-1.4838488756991178E-2</v>
      </c>
      <c r="D6135">
        <f t="shared" si="209"/>
        <v>-1.5998428658263402</v>
      </c>
    </row>
    <row r="6136" spans="1:4">
      <c r="A6136" s="1">
        <v>27208</v>
      </c>
      <c r="B6136">
        <v>86</v>
      </c>
      <c r="C6136">
        <f t="shared" si="210"/>
        <v>-3.591704321631355E-3</v>
      </c>
      <c r="D6136">
        <f t="shared" si="209"/>
        <v>-0.41218625242012086</v>
      </c>
    </row>
    <row r="6137" spans="1:4">
      <c r="A6137" s="1">
        <v>27211</v>
      </c>
      <c r="B6137">
        <v>86.02</v>
      </c>
      <c r="C6137">
        <f t="shared" si="210"/>
        <v>2.3255813953483747E-4</v>
      </c>
      <c r="D6137">
        <f t="shared" si="209"/>
        <v>-8.3454364509418476E-3</v>
      </c>
    </row>
    <row r="6138" spans="1:4">
      <c r="A6138" s="1">
        <v>27212</v>
      </c>
      <c r="B6138">
        <v>84.3</v>
      </c>
      <c r="C6138">
        <f t="shared" si="210"/>
        <v>-1.9995349918623565E-2</v>
      </c>
      <c r="D6138">
        <f t="shared" si="209"/>
        <v>-2.1444056515924426</v>
      </c>
    </row>
    <row r="6139" spans="1:4">
      <c r="A6139" s="1">
        <v>27213</v>
      </c>
      <c r="B6139">
        <v>84.25</v>
      </c>
      <c r="C6139">
        <f t="shared" si="210"/>
        <v>-5.9311981020162706E-4</v>
      </c>
      <c r="D6139">
        <f t="shared" si="209"/>
        <v>-9.5536747281540754E-2</v>
      </c>
    </row>
    <row r="6140" spans="1:4">
      <c r="A6140" s="1">
        <v>27215</v>
      </c>
      <c r="B6140">
        <v>83.66</v>
      </c>
      <c r="C6140">
        <f t="shared" si="210"/>
        <v>-7.0029673590504852E-3</v>
      </c>
      <c r="D6140">
        <f t="shared" si="209"/>
        <v>-0.77241446962693527</v>
      </c>
    </row>
    <row r="6141" spans="1:4">
      <c r="A6141" s="1">
        <v>27218</v>
      </c>
      <c r="B6141">
        <v>81.09</v>
      </c>
      <c r="C6141">
        <f t="shared" si="210"/>
        <v>-3.0719579249342498E-2</v>
      </c>
      <c r="D6141">
        <f t="shared" si="209"/>
        <v>-3.2768806235736943</v>
      </c>
    </row>
    <row r="6142" spans="1:4">
      <c r="A6142" s="1">
        <v>27219</v>
      </c>
      <c r="B6142">
        <v>81.48</v>
      </c>
      <c r="C6142">
        <f t="shared" si="210"/>
        <v>4.809470958194605E-3</v>
      </c>
      <c r="D6142">
        <f t="shared" si="209"/>
        <v>0.47497500143127164</v>
      </c>
    </row>
    <row r="6143" spans="1:4">
      <c r="A6143" s="1">
        <v>27220</v>
      </c>
      <c r="B6143">
        <v>79.989999999999995</v>
      </c>
      <c r="C6143">
        <f t="shared" si="210"/>
        <v>-1.828669612174778E-2</v>
      </c>
      <c r="D6143">
        <f t="shared" si="209"/>
        <v>-1.9639723914420046</v>
      </c>
    </row>
    <row r="6144" spans="1:4">
      <c r="A6144" s="1">
        <v>27221</v>
      </c>
      <c r="B6144">
        <v>79.89</v>
      </c>
      <c r="C6144">
        <f t="shared" si="210"/>
        <v>-1.2501562695336208E-3</v>
      </c>
      <c r="D6144">
        <f t="shared" si="209"/>
        <v>-0.16491957404945534</v>
      </c>
    </row>
    <row r="6145" spans="1:4">
      <c r="A6145" s="1">
        <v>27222</v>
      </c>
      <c r="B6145">
        <v>83.15</v>
      </c>
      <c r="C6145">
        <f t="shared" si="210"/>
        <v>4.0806108399048753E-2</v>
      </c>
      <c r="D6145">
        <f t="shared" si="209"/>
        <v>4.2762076793338943</v>
      </c>
    </row>
    <row r="6146" spans="1:4">
      <c r="A6146" s="1">
        <v>27225</v>
      </c>
      <c r="B6146">
        <v>83.78</v>
      </c>
      <c r="C6146">
        <f t="shared" si="210"/>
        <v>7.5766686710763125E-3</v>
      </c>
      <c r="D6146">
        <f t="shared" si="209"/>
        <v>0.76719013929537516</v>
      </c>
    </row>
    <row r="6147" spans="1:4">
      <c r="A6147" s="1">
        <v>27226</v>
      </c>
      <c r="B6147">
        <v>82.81</v>
      </c>
      <c r="C6147">
        <f t="shared" si="210"/>
        <v>-1.1577942229649068E-2</v>
      </c>
      <c r="D6147">
        <f t="shared" ref="D6147:D6210" si="211">(C6147-avg)/sd</f>
        <v>-1.2555302608526282</v>
      </c>
    </row>
    <row r="6148" spans="1:4">
      <c r="A6148" s="1">
        <v>27227</v>
      </c>
      <c r="B6148">
        <v>83.7</v>
      </c>
      <c r="C6148">
        <f t="shared" ref="C6148:C6211" si="212">(B6148-B6147)/B6147</f>
        <v>1.0747494263977787E-2</v>
      </c>
      <c r="D6148">
        <f t="shared" si="211"/>
        <v>1.1020282440897835</v>
      </c>
    </row>
    <row r="6149" spans="1:4">
      <c r="A6149" s="1">
        <v>27228</v>
      </c>
      <c r="B6149">
        <v>83.78</v>
      </c>
      <c r="C6149">
        <f t="shared" si="212"/>
        <v>9.5579450418158054E-4</v>
      </c>
      <c r="D6149">
        <f t="shared" si="211"/>
        <v>6.8028077815769125E-2</v>
      </c>
    </row>
    <row r="6150" spans="1:4">
      <c r="A6150" s="1">
        <v>27229</v>
      </c>
      <c r="B6150">
        <v>83.54</v>
      </c>
      <c r="C6150">
        <f t="shared" si="212"/>
        <v>-2.8646455001192991E-3</v>
      </c>
      <c r="D6150">
        <f t="shared" si="211"/>
        <v>-0.3354090880077491</v>
      </c>
    </row>
    <row r="6151" spans="1:4">
      <c r="A6151" s="1">
        <v>27232</v>
      </c>
      <c r="B6151">
        <v>83.81</v>
      </c>
      <c r="C6151">
        <f t="shared" si="212"/>
        <v>3.2319846779985156E-3</v>
      </c>
      <c r="D6151">
        <f t="shared" si="211"/>
        <v>0.30839298645620455</v>
      </c>
    </row>
    <row r="6152" spans="1:4">
      <c r="A6152" s="1">
        <v>27233</v>
      </c>
      <c r="B6152">
        <v>84.65</v>
      </c>
      <c r="C6152">
        <f t="shared" si="212"/>
        <v>1.0022670325736826E-2</v>
      </c>
      <c r="D6152">
        <f t="shared" si="211"/>
        <v>1.0254870825911655</v>
      </c>
    </row>
    <row r="6153" spans="1:4">
      <c r="A6153" s="1">
        <v>27234</v>
      </c>
      <c r="B6153">
        <v>84.99</v>
      </c>
      <c r="C6153">
        <f t="shared" si="212"/>
        <v>4.0165386887181234E-3</v>
      </c>
      <c r="D6153">
        <f t="shared" si="211"/>
        <v>0.39124162330532941</v>
      </c>
    </row>
    <row r="6154" spans="1:4">
      <c r="A6154" s="1">
        <v>27235</v>
      </c>
      <c r="B6154">
        <v>83.98</v>
      </c>
      <c r="C6154">
        <f t="shared" si="212"/>
        <v>-1.188375102953278E-2</v>
      </c>
      <c r="D6154">
        <f t="shared" si="211"/>
        <v>-1.2878235661708863</v>
      </c>
    </row>
    <row r="6155" spans="1:4">
      <c r="A6155" s="1">
        <v>27236</v>
      </c>
      <c r="B6155">
        <v>82.4</v>
      </c>
      <c r="C6155">
        <f t="shared" si="212"/>
        <v>-1.8814003334127152E-2</v>
      </c>
      <c r="D6155">
        <f t="shared" si="211"/>
        <v>-2.0196558538288358</v>
      </c>
    </row>
    <row r="6156" spans="1:4">
      <c r="A6156" s="1">
        <v>27239</v>
      </c>
      <c r="B6156">
        <v>80.94</v>
      </c>
      <c r="C6156">
        <f t="shared" si="212"/>
        <v>-1.7718446601941842E-2</v>
      </c>
      <c r="D6156">
        <f t="shared" si="211"/>
        <v>-1.9039654353078945</v>
      </c>
    </row>
    <row r="6157" spans="1:4">
      <c r="A6157" s="1">
        <v>27240</v>
      </c>
      <c r="B6157">
        <v>80.5</v>
      </c>
      <c r="C6157">
        <f t="shared" si="212"/>
        <v>-5.4361255250802787E-3</v>
      </c>
      <c r="D6157">
        <f t="shared" si="211"/>
        <v>-0.60695650455509831</v>
      </c>
    </row>
    <row r="6158" spans="1:4">
      <c r="A6158" s="1">
        <v>27241</v>
      </c>
      <c r="B6158">
        <v>79.31</v>
      </c>
      <c r="C6158">
        <f t="shared" si="212"/>
        <v>-1.4782608695652146E-2</v>
      </c>
      <c r="D6158">
        <f t="shared" si="211"/>
        <v>-1.5939419503434942</v>
      </c>
    </row>
    <row r="6159" spans="1:4">
      <c r="A6159" s="1">
        <v>27242</v>
      </c>
      <c r="B6159">
        <v>78.75</v>
      </c>
      <c r="C6159">
        <f t="shared" si="212"/>
        <v>-7.0609002647837888E-3</v>
      </c>
      <c r="D6159">
        <f t="shared" si="211"/>
        <v>-0.77853216478002063</v>
      </c>
    </row>
    <row r="6160" spans="1:4">
      <c r="A6160" s="1">
        <v>27243</v>
      </c>
      <c r="B6160">
        <v>78.59</v>
      </c>
      <c r="C6160">
        <f t="shared" si="212"/>
        <v>-2.0317460317459883E-3</v>
      </c>
      <c r="D6160">
        <f t="shared" si="211"/>
        <v>-0.24745518726381266</v>
      </c>
    </row>
    <row r="6161" spans="1:4">
      <c r="A6161" s="1">
        <v>27246</v>
      </c>
      <c r="B6161">
        <v>79.290000000000006</v>
      </c>
      <c r="C6161">
        <f t="shared" si="212"/>
        <v>8.9069856215803888E-3</v>
      </c>
      <c r="D6161">
        <f t="shared" si="211"/>
        <v>0.90767115707190305</v>
      </c>
    </row>
    <row r="6162" spans="1:4">
      <c r="A6162" s="1">
        <v>27247</v>
      </c>
      <c r="B6162">
        <v>80.52</v>
      </c>
      <c r="C6162">
        <f t="shared" si="212"/>
        <v>1.5512674990540921E-2</v>
      </c>
      <c r="D6162">
        <f t="shared" si="211"/>
        <v>1.6052297090512213</v>
      </c>
    </row>
    <row r="6163" spans="1:4">
      <c r="A6163" s="1">
        <v>27248</v>
      </c>
      <c r="B6163">
        <v>82.65</v>
      </c>
      <c r="C6163">
        <f t="shared" si="212"/>
        <v>2.6453055141579852E-2</v>
      </c>
      <c r="D6163">
        <f t="shared" si="211"/>
        <v>2.7605301341850308</v>
      </c>
    </row>
    <row r="6164" spans="1:4">
      <c r="A6164" s="1">
        <v>27249</v>
      </c>
      <c r="B6164">
        <v>81.569999999999993</v>
      </c>
      <c r="C6164">
        <f t="shared" si="212"/>
        <v>-1.3067150635208863E-2</v>
      </c>
      <c r="D6164">
        <f t="shared" si="211"/>
        <v>-1.41279016227321</v>
      </c>
    </row>
    <row r="6165" spans="1:4">
      <c r="A6165" s="1">
        <v>27250</v>
      </c>
      <c r="B6165">
        <v>80.86</v>
      </c>
      <c r="C6165">
        <f t="shared" si="212"/>
        <v>-8.7041804585018239E-3</v>
      </c>
      <c r="D6165">
        <f t="shared" si="211"/>
        <v>-0.95206199465856733</v>
      </c>
    </row>
    <row r="6166" spans="1:4">
      <c r="A6166" s="1">
        <v>27253</v>
      </c>
      <c r="B6166">
        <v>79.75</v>
      </c>
      <c r="C6166">
        <f t="shared" si="212"/>
        <v>-1.3727430126143945E-2</v>
      </c>
      <c r="D6166">
        <f t="shared" si="211"/>
        <v>-1.4825154520760508</v>
      </c>
    </row>
    <row r="6167" spans="1:4">
      <c r="A6167" s="1">
        <v>27254</v>
      </c>
      <c r="B6167">
        <v>78.489999999999995</v>
      </c>
      <c r="C6167">
        <f t="shared" si="212"/>
        <v>-1.5799373040752414E-2</v>
      </c>
      <c r="D6167">
        <f t="shared" si="211"/>
        <v>-1.7013119195710891</v>
      </c>
    </row>
    <row r="6168" spans="1:4">
      <c r="A6168" s="1">
        <v>27255</v>
      </c>
      <c r="B6168">
        <v>76.73</v>
      </c>
      <c r="C6168">
        <f t="shared" si="212"/>
        <v>-2.2423238629124615E-2</v>
      </c>
      <c r="D6168">
        <f t="shared" si="211"/>
        <v>-2.4007898741418825</v>
      </c>
    </row>
    <row r="6169" spans="1:4">
      <c r="A6169" s="1">
        <v>27256</v>
      </c>
      <c r="B6169">
        <v>76.3</v>
      </c>
      <c r="C6169">
        <f t="shared" si="212"/>
        <v>-5.6040662061775945E-3</v>
      </c>
      <c r="D6169">
        <f t="shared" si="211"/>
        <v>-0.62469098339316376</v>
      </c>
    </row>
    <row r="6170" spans="1:4">
      <c r="A6170" s="1">
        <v>27257</v>
      </c>
      <c r="B6170">
        <v>75.67</v>
      </c>
      <c r="C6170">
        <f t="shared" si="212"/>
        <v>-8.2568807339448956E-3</v>
      </c>
      <c r="D6170">
        <f t="shared" si="211"/>
        <v>-0.90482729578991949</v>
      </c>
    </row>
    <row r="6171" spans="1:4">
      <c r="A6171" s="1">
        <v>27260</v>
      </c>
      <c r="B6171">
        <v>74.569999999999993</v>
      </c>
      <c r="C6171">
        <f t="shared" si="212"/>
        <v>-1.4536804546055352E-2</v>
      </c>
      <c r="D6171">
        <f t="shared" si="211"/>
        <v>-1.5679851156989628</v>
      </c>
    </row>
    <row r="6172" spans="1:4">
      <c r="A6172" s="1">
        <v>27261</v>
      </c>
      <c r="B6172">
        <v>74.95</v>
      </c>
      <c r="C6172">
        <f t="shared" si="212"/>
        <v>5.0958830628940553E-3</v>
      </c>
      <c r="D6172">
        <f t="shared" si="211"/>
        <v>0.5052200223313289</v>
      </c>
    </row>
    <row r="6173" spans="1:4">
      <c r="A6173" s="1">
        <v>27262</v>
      </c>
      <c r="B6173">
        <v>73.510000000000005</v>
      </c>
      <c r="C6173">
        <f t="shared" si="212"/>
        <v>-1.9212808539025985E-2</v>
      </c>
      <c r="D6173">
        <f t="shared" si="211"/>
        <v>-2.0617695479056772</v>
      </c>
    </row>
    <row r="6174" spans="1:4">
      <c r="A6174" s="1">
        <v>27263</v>
      </c>
      <c r="B6174">
        <v>72.8</v>
      </c>
      <c r="C6174">
        <f t="shared" si="212"/>
        <v>-9.658549857162399E-3</v>
      </c>
      <c r="D6174">
        <f t="shared" si="211"/>
        <v>-1.0528430787512033</v>
      </c>
    </row>
    <row r="6175" spans="1:4">
      <c r="A6175" s="1">
        <v>27264</v>
      </c>
      <c r="B6175">
        <v>71.55</v>
      </c>
      <c r="C6175">
        <f t="shared" si="212"/>
        <v>-1.7170329670329672E-2</v>
      </c>
      <c r="D6175">
        <f t="shared" si="211"/>
        <v>-1.8460844736436468</v>
      </c>
    </row>
    <row r="6176" spans="1:4">
      <c r="A6176" s="1">
        <v>27267</v>
      </c>
      <c r="B6176">
        <v>72.16</v>
      </c>
      <c r="C6176">
        <f t="shared" si="212"/>
        <v>8.5255066387141774E-3</v>
      </c>
      <c r="D6176">
        <f t="shared" si="211"/>
        <v>0.8673871061522378</v>
      </c>
    </row>
    <row r="6177" spans="1:4">
      <c r="A6177" s="1">
        <v>27268</v>
      </c>
      <c r="B6177">
        <v>70.94</v>
      </c>
      <c r="C6177">
        <f t="shared" si="212"/>
        <v>-1.6906873614190673E-2</v>
      </c>
      <c r="D6177">
        <f t="shared" si="211"/>
        <v>-1.8182636036684332</v>
      </c>
    </row>
    <row r="6178" spans="1:4">
      <c r="A6178" s="1">
        <v>27269</v>
      </c>
      <c r="B6178">
        <v>70.760000000000005</v>
      </c>
      <c r="C6178">
        <f t="shared" si="212"/>
        <v>-2.537355511699924E-3</v>
      </c>
      <c r="D6178">
        <f t="shared" si="211"/>
        <v>-0.30084737648193555</v>
      </c>
    </row>
    <row r="6179" spans="1:4">
      <c r="A6179" s="1">
        <v>27270</v>
      </c>
      <c r="B6179">
        <v>69.989999999999995</v>
      </c>
      <c r="C6179">
        <f t="shared" si="212"/>
        <v>-1.0881854154889911E-2</v>
      </c>
      <c r="D6179">
        <f t="shared" si="211"/>
        <v>-1.1820235967698942</v>
      </c>
    </row>
    <row r="6180" spans="1:4">
      <c r="A6180" s="1">
        <v>27271</v>
      </c>
      <c r="B6180">
        <v>72.150000000000006</v>
      </c>
      <c r="C6180">
        <f t="shared" si="212"/>
        <v>3.0861551650235904E-2</v>
      </c>
      <c r="D6180">
        <f t="shared" si="211"/>
        <v>3.2260658669783373</v>
      </c>
    </row>
    <row r="6181" spans="1:4">
      <c r="A6181" s="1">
        <v>27275</v>
      </c>
      <c r="B6181">
        <v>70.52</v>
      </c>
      <c r="C6181">
        <f t="shared" si="212"/>
        <v>-2.2591822591822724E-2</v>
      </c>
      <c r="D6181">
        <f t="shared" si="211"/>
        <v>-2.4185922832983295</v>
      </c>
    </row>
    <row r="6182" spans="1:4">
      <c r="A6182" s="1">
        <v>27276</v>
      </c>
      <c r="B6182">
        <v>68.69</v>
      </c>
      <c r="C6182">
        <f t="shared" si="212"/>
        <v>-2.5950085082246149E-2</v>
      </c>
      <c r="D6182">
        <f t="shared" si="211"/>
        <v>-2.7732236607581586</v>
      </c>
    </row>
    <row r="6183" spans="1:4">
      <c r="A6183" s="1">
        <v>27277</v>
      </c>
      <c r="B6183">
        <v>70.87</v>
      </c>
      <c r="C6183">
        <f t="shared" si="212"/>
        <v>3.1736788469937501E-2</v>
      </c>
      <c r="D6183">
        <f t="shared" si="211"/>
        <v>3.3184905776313762</v>
      </c>
    </row>
    <row r="6184" spans="1:4">
      <c r="A6184" s="1">
        <v>27278</v>
      </c>
      <c r="B6184">
        <v>71.42</v>
      </c>
      <c r="C6184">
        <f t="shared" si="212"/>
        <v>7.7606885847325687E-3</v>
      </c>
      <c r="D6184">
        <f t="shared" si="211"/>
        <v>0.78662257962606796</v>
      </c>
    </row>
    <row r="6185" spans="1:4">
      <c r="A6185" s="1">
        <v>27281</v>
      </c>
      <c r="B6185">
        <v>69.72</v>
      </c>
      <c r="C6185">
        <f t="shared" si="212"/>
        <v>-2.3802856342761171E-2</v>
      </c>
      <c r="D6185">
        <f t="shared" si="211"/>
        <v>-2.5464770357470563</v>
      </c>
    </row>
    <row r="6186" spans="1:4">
      <c r="A6186" s="1">
        <v>27282</v>
      </c>
      <c r="B6186">
        <v>69.239999999999995</v>
      </c>
      <c r="C6186">
        <f t="shared" si="212"/>
        <v>-6.8846815834768217E-3</v>
      </c>
      <c r="D6186">
        <f t="shared" si="211"/>
        <v>-0.75992353193364515</v>
      </c>
    </row>
    <row r="6187" spans="1:4">
      <c r="A6187" s="1">
        <v>27283</v>
      </c>
      <c r="B6187">
        <v>68.55</v>
      </c>
      <c r="C6187">
        <f t="shared" si="212"/>
        <v>-9.9653379549393094E-3</v>
      </c>
      <c r="D6187">
        <f t="shared" si="211"/>
        <v>-1.0852397975941039</v>
      </c>
    </row>
    <row r="6188" spans="1:4">
      <c r="A6188" s="1">
        <v>27284</v>
      </c>
      <c r="B6188">
        <v>66.709999999999994</v>
      </c>
      <c r="C6188">
        <f t="shared" si="212"/>
        <v>-2.6841721371261902E-2</v>
      </c>
      <c r="D6188">
        <f t="shared" si="211"/>
        <v>-2.8673801497963214</v>
      </c>
    </row>
    <row r="6189" spans="1:4">
      <c r="A6189" s="1">
        <v>27285</v>
      </c>
      <c r="B6189">
        <v>65.2</v>
      </c>
      <c r="C6189">
        <f t="shared" si="212"/>
        <v>-2.263528706340865E-2</v>
      </c>
      <c r="D6189">
        <f t="shared" si="211"/>
        <v>-2.4231821167235115</v>
      </c>
    </row>
    <row r="6190" spans="1:4">
      <c r="A6190" s="1">
        <v>27288</v>
      </c>
      <c r="B6190">
        <v>66.260000000000005</v>
      </c>
      <c r="C6190">
        <f t="shared" si="212"/>
        <v>1.6257668711656476E-2</v>
      </c>
      <c r="D6190">
        <f t="shared" si="211"/>
        <v>1.6839007927653538</v>
      </c>
    </row>
    <row r="6191" spans="1:4">
      <c r="A6191" s="1">
        <v>27289</v>
      </c>
      <c r="B6191">
        <v>67.38</v>
      </c>
      <c r="C6191">
        <f t="shared" si="212"/>
        <v>1.690310896468443E-2</v>
      </c>
      <c r="D6191">
        <f t="shared" si="211"/>
        <v>1.7520590640893037</v>
      </c>
    </row>
    <row r="6192" spans="1:4">
      <c r="A6192" s="1">
        <v>27290</v>
      </c>
      <c r="B6192">
        <v>67.72</v>
      </c>
      <c r="C6192">
        <f t="shared" si="212"/>
        <v>5.0460077174236187E-3</v>
      </c>
      <c r="D6192">
        <f t="shared" si="211"/>
        <v>0.49995320280310446</v>
      </c>
    </row>
    <row r="6193" spans="1:4">
      <c r="A6193" s="1">
        <v>27291</v>
      </c>
      <c r="B6193">
        <v>70.09</v>
      </c>
      <c r="C6193">
        <f t="shared" si="212"/>
        <v>3.4997046662728952E-2</v>
      </c>
      <c r="D6193">
        <f t="shared" si="211"/>
        <v>3.6627727345745482</v>
      </c>
    </row>
    <row r="6194" spans="1:4">
      <c r="A6194" s="1">
        <v>27292</v>
      </c>
      <c r="B6194">
        <v>70.14</v>
      </c>
      <c r="C6194">
        <f t="shared" si="212"/>
        <v>7.1336852618058438E-4</v>
      </c>
      <c r="D6194">
        <f t="shared" si="211"/>
        <v>4.2427976943457686E-2</v>
      </c>
    </row>
    <row r="6195" spans="1:4">
      <c r="A6195" s="1">
        <v>27295</v>
      </c>
      <c r="B6195">
        <v>69.42</v>
      </c>
      <c r="C6195">
        <f t="shared" si="212"/>
        <v>-1.0265183917878512E-2</v>
      </c>
      <c r="D6195">
        <f t="shared" si="211"/>
        <v>-1.1169034293578886</v>
      </c>
    </row>
    <row r="6196" spans="1:4">
      <c r="A6196" s="1">
        <v>27296</v>
      </c>
      <c r="B6196">
        <v>68.02</v>
      </c>
      <c r="C6196">
        <f t="shared" si="212"/>
        <v>-2.0167098818784292E-2</v>
      </c>
      <c r="D6196">
        <f t="shared" si="211"/>
        <v>-2.1625422770691274</v>
      </c>
    </row>
    <row r="6197" spans="1:4">
      <c r="A6197" s="1">
        <v>27297</v>
      </c>
      <c r="B6197">
        <v>67.569999999999993</v>
      </c>
      <c r="C6197">
        <f t="shared" si="212"/>
        <v>-6.6157012643340615E-3</v>
      </c>
      <c r="D6197">
        <f t="shared" si="211"/>
        <v>-0.73151930166302248</v>
      </c>
    </row>
    <row r="6198" spans="1:4">
      <c r="A6198" s="1">
        <v>27298</v>
      </c>
      <c r="B6198">
        <v>66.459999999999994</v>
      </c>
      <c r="C6198">
        <f t="shared" si="212"/>
        <v>-1.6427408613289916E-2</v>
      </c>
      <c r="D6198">
        <f t="shared" si="211"/>
        <v>-1.7676322625513858</v>
      </c>
    </row>
    <row r="6199" spans="1:4">
      <c r="A6199" s="1">
        <v>27299</v>
      </c>
      <c r="B6199">
        <v>64.94</v>
      </c>
      <c r="C6199">
        <f t="shared" si="212"/>
        <v>-2.2870899789346918E-2</v>
      </c>
      <c r="D6199">
        <f t="shared" si="211"/>
        <v>-2.4480627404939357</v>
      </c>
    </row>
    <row r="6200" spans="1:4">
      <c r="A6200" s="1">
        <v>27302</v>
      </c>
      <c r="B6200">
        <v>63.54</v>
      </c>
      <c r="C6200">
        <f t="shared" si="212"/>
        <v>-2.1558361564521074E-2</v>
      </c>
      <c r="D6200">
        <f t="shared" si="211"/>
        <v>-2.3094591501057469</v>
      </c>
    </row>
    <row r="6201" spans="1:4">
      <c r="A6201" s="1">
        <v>27303</v>
      </c>
      <c r="B6201">
        <v>63.39</v>
      </c>
      <c r="C6201">
        <f t="shared" si="212"/>
        <v>-2.3607176581680609E-3</v>
      </c>
      <c r="D6201">
        <f t="shared" si="211"/>
        <v>-0.28219447919109453</v>
      </c>
    </row>
    <row r="6202" spans="1:4">
      <c r="A6202" s="1">
        <v>27304</v>
      </c>
      <c r="B6202">
        <v>63.38</v>
      </c>
      <c r="C6202">
        <f t="shared" si="212"/>
        <v>-1.5775358889411596E-4</v>
      </c>
      <c r="D6202">
        <f t="shared" si="211"/>
        <v>-4.9562222299636569E-2</v>
      </c>
    </row>
    <row r="6203" spans="1:4">
      <c r="A6203" s="1">
        <v>27305</v>
      </c>
      <c r="B6203">
        <v>62.28</v>
      </c>
      <c r="C6203">
        <f t="shared" si="212"/>
        <v>-1.7355632691700873E-2</v>
      </c>
      <c r="D6203">
        <f t="shared" si="211"/>
        <v>-1.8656524097128884</v>
      </c>
    </row>
    <row r="6204" spans="1:4">
      <c r="A6204" s="1">
        <v>27306</v>
      </c>
      <c r="B6204">
        <v>62.34</v>
      </c>
      <c r="C6204">
        <f t="shared" si="212"/>
        <v>9.6339113680157795E-4</v>
      </c>
      <c r="D6204">
        <f t="shared" si="211"/>
        <v>6.8830279638219971E-2</v>
      </c>
    </row>
    <row r="6205" spans="1:4">
      <c r="A6205" s="1">
        <v>27309</v>
      </c>
      <c r="B6205">
        <v>64.95</v>
      </c>
      <c r="C6205">
        <f t="shared" si="212"/>
        <v>4.1867179980750707E-2</v>
      </c>
      <c r="D6205">
        <f t="shared" si="211"/>
        <v>4.3882564776858661</v>
      </c>
    </row>
    <row r="6206" spans="1:4">
      <c r="A6206" s="1">
        <v>27310</v>
      </c>
      <c r="B6206">
        <v>64.84</v>
      </c>
      <c r="C6206">
        <f t="shared" si="212"/>
        <v>-1.693610469591985E-3</v>
      </c>
      <c r="D6206">
        <f t="shared" si="211"/>
        <v>-0.21174818683821203</v>
      </c>
    </row>
    <row r="6207" spans="1:4">
      <c r="A6207" s="1">
        <v>27311</v>
      </c>
      <c r="B6207">
        <v>67.819999999999993</v>
      </c>
      <c r="C6207">
        <f t="shared" si="212"/>
        <v>4.5959284392350239E-2</v>
      </c>
      <c r="D6207">
        <f t="shared" si="211"/>
        <v>4.8203813125769033</v>
      </c>
    </row>
    <row r="6208" spans="1:4">
      <c r="A6208" s="1">
        <v>27312</v>
      </c>
      <c r="B6208">
        <v>69.790000000000006</v>
      </c>
      <c r="C6208">
        <f t="shared" si="212"/>
        <v>2.9047478619876339E-2</v>
      </c>
      <c r="D6208">
        <f t="shared" si="211"/>
        <v>3.034500371605751</v>
      </c>
    </row>
    <row r="6209" spans="1:4">
      <c r="A6209" s="1">
        <v>27313</v>
      </c>
      <c r="B6209">
        <v>71.14</v>
      </c>
      <c r="C6209">
        <f t="shared" si="212"/>
        <v>1.9343745522281047E-2</v>
      </c>
      <c r="D6209">
        <f t="shared" si="211"/>
        <v>2.009789454958832</v>
      </c>
    </row>
    <row r="6210" spans="1:4">
      <c r="A6210" s="1">
        <v>27316</v>
      </c>
      <c r="B6210">
        <v>72.739999999999995</v>
      </c>
      <c r="C6210">
        <f t="shared" si="212"/>
        <v>2.2490863086870878E-2</v>
      </c>
      <c r="D6210">
        <f t="shared" si="211"/>
        <v>2.3421240000222809</v>
      </c>
    </row>
    <row r="6211" spans="1:4">
      <c r="A6211" s="1">
        <v>27317</v>
      </c>
      <c r="B6211">
        <v>71.44</v>
      </c>
      <c r="C6211">
        <f t="shared" si="212"/>
        <v>-1.7871872422326057E-2</v>
      </c>
      <c r="D6211">
        <f t="shared" ref="D6211:D6274" si="213">(C6211-avg)/sd</f>
        <v>-1.9201671497884971</v>
      </c>
    </row>
    <row r="6212" spans="1:4">
      <c r="A6212" s="1">
        <v>27318</v>
      </c>
      <c r="B6212">
        <v>70.33</v>
      </c>
      <c r="C6212">
        <f t="shared" ref="C6212:C6275" si="214">(B6212-B6211)/B6211</f>
        <v>-1.5537513997760351E-2</v>
      </c>
      <c r="D6212">
        <f t="shared" si="213"/>
        <v>-1.6736596936413406</v>
      </c>
    </row>
    <row r="6213" spans="1:4">
      <c r="A6213" s="1">
        <v>27319</v>
      </c>
      <c r="B6213">
        <v>71.17</v>
      </c>
      <c r="C6213">
        <f t="shared" si="214"/>
        <v>1.1943694013934358E-2</v>
      </c>
      <c r="D6213">
        <f t="shared" si="213"/>
        <v>1.2283465310771464</v>
      </c>
    </row>
    <row r="6214" spans="1:4">
      <c r="A6214" s="1">
        <v>27320</v>
      </c>
      <c r="B6214">
        <v>72.28</v>
      </c>
      <c r="C6214">
        <f t="shared" si="214"/>
        <v>1.5596459182239699E-2</v>
      </c>
      <c r="D6214">
        <f t="shared" si="213"/>
        <v>1.6140772912149817</v>
      </c>
    </row>
    <row r="6215" spans="1:4">
      <c r="A6215" s="1">
        <v>27323</v>
      </c>
      <c r="B6215">
        <v>73.5</v>
      </c>
      <c r="C6215">
        <f t="shared" si="214"/>
        <v>1.6878804648588805E-2</v>
      </c>
      <c r="D6215">
        <f t="shared" si="213"/>
        <v>1.7494925365710443</v>
      </c>
    </row>
    <row r="6216" spans="1:4">
      <c r="A6216" s="1">
        <v>27324</v>
      </c>
      <c r="B6216">
        <v>73.13</v>
      </c>
      <c r="C6216">
        <f t="shared" si="214"/>
        <v>-5.0340136054422384E-3</v>
      </c>
      <c r="D6216">
        <f t="shared" si="213"/>
        <v>-0.56449362252580393</v>
      </c>
    </row>
    <row r="6217" spans="1:4">
      <c r="A6217" s="1">
        <v>27325</v>
      </c>
      <c r="B6217">
        <v>71.03</v>
      </c>
      <c r="C6217">
        <f t="shared" si="214"/>
        <v>-2.8715985231778946E-2</v>
      </c>
      <c r="D6217">
        <f t="shared" si="213"/>
        <v>-3.0653017763736803</v>
      </c>
    </row>
    <row r="6218" spans="1:4">
      <c r="A6218" s="1">
        <v>27326</v>
      </c>
      <c r="B6218">
        <v>70.22</v>
      </c>
      <c r="C6218">
        <f t="shared" si="214"/>
        <v>-1.1403632268055783E-2</v>
      </c>
      <c r="D6218">
        <f t="shared" si="213"/>
        <v>-1.237123188159212</v>
      </c>
    </row>
    <row r="6219" spans="1:4">
      <c r="A6219" s="1">
        <v>27327</v>
      </c>
      <c r="B6219">
        <v>70.12</v>
      </c>
      <c r="C6219">
        <f t="shared" si="214"/>
        <v>-1.4240956992309073E-3</v>
      </c>
      <c r="D6219">
        <f t="shared" si="213"/>
        <v>-0.18328751870060392</v>
      </c>
    </row>
    <row r="6220" spans="1:4">
      <c r="A6220" s="1">
        <v>27330</v>
      </c>
      <c r="B6220">
        <v>70.09</v>
      </c>
      <c r="C6220">
        <f t="shared" si="214"/>
        <v>-4.27837992013707E-4</v>
      </c>
      <c r="D6220">
        <f t="shared" si="213"/>
        <v>-7.8083043462916127E-2</v>
      </c>
    </row>
    <row r="6221" spans="1:4">
      <c r="A6221" s="1">
        <v>27331</v>
      </c>
      <c r="B6221">
        <v>72.83</v>
      </c>
      <c r="C6221">
        <f t="shared" si="214"/>
        <v>3.9092595234698171E-2</v>
      </c>
      <c r="D6221">
        <f t="shared" si="213"/>
        <v>4.0952612716298971</v>
      </c>
    </row>
    <row r="6222" spans="1:4">
      <c r="A6222" s="1">
        <v>27332</v>
      </c>
      <c r="B6222">
        <v>74.31</v>
      </c>
      <c r="C6222">
        <f t="shared" si="214"/>
        <v>2.0321296169161115E-2</v>
      </c>
      <c r="D6222">
        <f t="shared" si="213"/>
        <v>2.1130184709837572</v>
      </c>
    </row>
    <row r="6223" spans="1:4">
      <c r="A6223" s="1">
        <v>27333</v>
      </c>
      <c r="B6223">
        <v>73.900000000000006</v>
      </c>
      <c r="C6223">
        <f t="shared" si="214"/>
        <v>-5.5174269950208129E-3</v>
      </c>
      <c r="D6223">
        <f t="shared" si="213"/>
        <v>-0.61554191214510634</v>
      </c>
    </row>
    <row r="6224" spans="1:4">
      <c r="A6224" s="1">
        <v>27334</v>
      </c>
      <c r="B6224">
        <v>73.88</v>
      </c>
      <c r="C6224">
        <f t="shared" si="214"/>
        <v>-2.7063599458741853E-4</v>
      </c>
      <c r="D6224">
        <f t="shared" si="213"/>
        <v>-6.1482565970255296E-2</v>
      </c>
    </row>
    <row r="6225" spans="1:4">
      <c r="A6225" s="1">
        <v>27337</v>
      </c>
      <c r="B6225">
        <v>73.08</v>
      </c>
      <c r="C6225">
        <f t="shared" si="214"/>
        <v>-1.0828370330265256E-2</v>
      </c>
      <c r="D6225">
        <f t="shared" si="213"/>
        <v>-1.1763757230695659</v>
      </c>
    </row>
    <row r="6226" spans="1:4">
      <c r="A6226" s="1">
        <v>27338</v>
      </c>
      <c r="B6226">
        <v>75.11</v>
      </c>
      <c r="C6226">
        <f t="shared" si="214"/>
        <v>2.7777777777777794E-2</v>
      </c>
      <c r="D6226">
        <f t="shared" si="213"/>
        <v>2.9004203942724307</v>
      </c>
    </row>
    <row r="6227" spans="1:4">
      <c r="A6227" s="1">
        <v>27339</v>
      </c>
      <c r="B6227">
        <v>74.75</v>
      </c>
      <c r="C6227">
        <f t="shared" si="214"/>
        <v>-4.7929703102116816E-3</v>
      </c>
      <c r="D6227">
        <f t="shared" si="213"/>
        <v>-0.53903953248405412</v>
      </c>
    </row>
    <row r="6228" spans="1:4">
      <c r="A6228" s="1">
        <v>27340</v>
      </c>
      <c r="B6228">
        <v>75.209999999999994</v>
      </c>
      <c r="C6228">
        <f t="shared" si="214"/>
        <v>6.1538461538460706E-3</v>
      </c>
      <c r="D6228">
        <f t="shared" si="213"/>
        <v>0.61694056511673412</v>
      </c>
    </row>
    <row r="6229" spans="1:4">
      <c r="A6229" s="1">
        <v>27341</v>
      </c>
      <c r="B6229">
        <v>74.91</v>
      </c>
      <c r="C6229">
        <f t="shared" si="214"/>
        <v>-3.9888312724371388E-3</v>
      </c>
      <c r="D6229">
        <f t="shared" si="213"/>
        <v>-0.45412272343520227</v>
      </c>
    </row>
    <row r="6230" spans="1:4">
      <c r="A6230" s="1">
        <v>27344</v>
      </c>
      <c r="B6230">
        <v>75.150000000000006</v>
      </c>
      <c r="C6230">
        <f t="shared" si="214"/>
        <v>3.2038446135363649E-3</v>
      </c>
      <c r="D6230">
        <f t="shared" si="213"/>
        <v>0.30542140521427408</v>
      </c>
    </row>
    <row r="6231" spans="1:4">
      <c r="A6231" s="1">
        <v>27345</v>
      </c>
      <c r="B6231">
        <v>73.67</v>
      </c>
      <c r="C6231">
        <f t="shared" si="214"/>
        <v>-1.9693945442448488E-2</v>
      </c>
      <c r="D6231">
        <f t="shared" si="213"/>
        <v>-2.1125774413607137</v>
      </c>
    </row>
    <row r="6232" spans="1:4">
      <c r="A6232" s="1">
        <v>27346</v>
      </c>
      <c r="B6232">
        <v>73.349999999999994</v>
      </c>
      <c r="C6232">
        <f t="shared" si="214"/>
        <v>-4.3436948554365059E-3</v>
      </c>
      <c r="D6232">
        <f t="shared" si="213"/>
        <v>-0.49159619717594277</v>
      </c>
    </row>
    <row r="6233" spans="1:4">
      <c r="A6233" s="1">
        <v>27347</v>
      </c>
      <c r="B6233">
        <v>73.06</v>
      </c>
      <c r="C6233">
        <f t="shared" si="214"/>
        <v>-3.9536468984320665E-3</v>
      </c>
      <c r="D6233">
        <f t="shared" si="213"/>
        <v>-0.45040726550001647</v>
      </c>
    </row>
    <row r="6234" spans="1:4">
      <c r="A6234" s="1">
        <v>27348</v>
      </c>
      <c r="B6234">
        <v>71.91</v>
      </c>
      <c r="C6234">
        <f t="shared" si="214"/>
        <v>-1.5740487270736458E-2</v>
      </c>
      <c r="D6234">
        <f t="shared" si="213"/>
        <v>-1.69509360227365</v>
      </c>
    </row>
    <row r="6235" spans="1:4">
      <c r="A6235" s="1">
        <v>27351</v>
      </c>
      <c r="B6235">
        <v>69.27</v>
      </c>
      <c r="C6235">
        <f t="shared" si="214"/>
        <v>-3.6712557363370889E-2</v>
      </c>
      <c r="D6235">
        <f t="shared" si="213"/>
        <v>-3.9097370753028526</v>
      </c>
    </row>
    <row r="6236" spans="1:4">
      <c r="A6236" s="1">
        <v>27352</v>
      </c>
      <c r="B6236">
        <v>68.2</v>
      </c>
      <c r="C6236">
        <f t="shared" si="214"/>
        <v>-1.5446802367547181E-2</v>
      </c>
      <c r="D6236">
        <f t="shared" si="213"/>
        <v>-1.6640805763252111</v>
      </c>
    </row>
    <row r="6237" spans="1:4">
      <c r="A6237" s="1">
        <v>27353</v>
      </c>
      <c r="B6237">
        <v>67.900000000000006</v>
      </c>
      <c r="C6237">
        <f t="shared" si="214"/>
        <v>-4.3988269794720987E-3</v>
      </c>
      <c r="D6237">
        <f t="shared" si="213"/>
        <v>-0.49741813073378188</v>
      </c>
    </row>
    <row r="6238" spans="1:4">
      <c r="A6238" s="1">
        <v>27354</v>
      </c>
      <c r="B6238">
        <v>68.180000000000007</v>
      </c>
      <c r="C6238">
        <f t="shared" si="214"/>
        <v>4.1237113402062021E-3</v>
      </c>
      <c r="D6238">
        <f t="shared" si="213"/>
        <v>0.40255901887271628</v>
      </c>
    </row>
    <row r="6239" spans="1:4">
      <c r="A6239" s="1">
        <v>27355</v>
      </c>
      <c r="B6239">
        <v>68.900000000000006</v>
      </c>
      <c r="C6239">
        <f t="shared" si="214"/>
        <v>1.0560281607509516E-2</v>
      </c>
      <c r="D6239">
        <f t="shared" si="213"/>
        <v>1.082258651203408</v>
      </c>
    </row>
    <row r="6240" spans="1:4">
      <c r="A6240" s="1">
        <v>27358</v>
      </c>
      <c r="B6240">
        <v>68.83</v>
      </c>
      <c r="C6240">
        <f t="shared" si="214"/>
        <v>-1.0159651669086702E-3</v>
      </c>
      <c r="D6240">
        <f t="shared" si="213"/>
        <v>-0.14018907321768417</v>
      </c>
    </row>
    <row r="6241" spans="1:4">
      <c r="A6241" s="1">
        <v>27359</v>
      </c>
      <c r="B6241">
        <v>69.47</v>
      </c>
      <c r="C6241">
        <f t="shared" si="214"/>
        <v>9.2982711027168475E-3</v>
      </c>
      <c r="D6241">
        <f t="shared" si="213"/>
        <v>0.94899077087551575</v>
      </c>
    </row>
    <row r="6242" spans="1:4">
      <c r="A6242" s="1">
        <v>27360</v>
      </c>
      <c r="B6242">
        <v>69.94</v>
      </c>
      <c r="C6242">
        <f t="shared" si="214"/>
        <v>6.7655102922124493E-3</v>
      </c>
      <c r="D6242">
        <f t="shared" si="213"/>
        <v>0.68153209021348105</v>
      </c>
    </row>
    <row r="6243" spans="1:4">
      <c r="A6243" s="1">
        <v>27362</v>
      </c>
      <c r="B6243">
        <v>69.97</v>
      </c>
      <c r="C6243">
        <f t="shared" si="214"/>
        <v>4.289390906491441E-4</v>
      </c>
      <c r="D6243">
        <f t="shared" si="213"/>
        <v>1.2392325233600281E-2</v>
      </c>
    </row>
    <row r="6244" spans="1:4">
      <c r="A6244" s="1">
        <v>27365</v>
      </c>
      <c r="B6244">
        <v>68.11</v>
      </c>
      <c r="C6244">
        <f t="shared" si="214"/>
        <v>-2.6582821209089603E-2</v>
      </c>
      <c r="D6244">
        <f t="shared" si="213"/>
        <v>-2.8400403806753678</v>
      </c>
    </row>
    <row r="6245" spans="1:4">
      <c r="A6245" s="1">
        <v>27366</v>
      </c>
      <c r="B6245">
        <v>67.17</v>
      </c>
      <c r="C6245">
        <f t="shared" si="214"/>
        <v>-1.3801203934811301E-2</v>
      </c>
      <c r="D6245">
        <f t="shared" si="213"/>
        <v>-1.4903059411943878</v>
      </c>
    </row>
    <row r="6246" spans="1:4">
      <c r="A6246" s="1">
        <v>27367</v>
      </c>
      <c r="B6246">
        <v>67.41</v>
      </c>
      <c r="C6246">
        <f t="shared" si="214"/>
        <v>3.5730236712817462E-3</v>
      </c>
      <c r="D6246">
        <f t="shared" si="213"/>
        <v>0.34440658822212739</v>
      </c>
    </row>
    <row r="6247" spans="1:4">
      <c r="A6247" s="1">
        <v>27368</v>
      </c>
      <c r="B6247">
        <v>66.13</v>
      </c>
      <c r="C6247">
        <f t="shared" si="214"/>
        <v>-1.8988280670523678E-2</v>
      </c>
      <c r="D6247">
        <f t="shared" si="213"/>
        <v>-2.0380594813125641</v>
      </c>
    </row>
    <row r="6248" spans="1:4">
      <c r="A6248" s="1">
        <v>27369</v>
      </c>
      <c r="B6248">
        <v>65.010000000000005</v>
      </c>
      <c r="C6248">
        <f t="shared" si="214"/>
        <v>-1.6936337517011801E-2</v>
      </c>
      <c r="D6248">
        <f t="shared" si="213"/>
        <v>-1.8213749817910772</v>
      </c>
    </row>
    <row r="6249" spans="1:4">
      <c r="A6249" s="1">
        <v>27372</v>
      </c>
      <c r="B6249">
        <v>65.599999999999994</v>
      </c>
      <c r="C6249">
        <f t="shared" si="214"/>
        <v>9.0755268420241366E-3</v>
      </c>
      <c r="D6249">
        <f t="shared" si="213"/>
        <v>0.92546905266081847</v>
      </c>
    </row>
    <row r="6250" spans="1:4">
      <c r="A6250" s="1">
        <v>27373</v>
      </c>
      <c r="B6250">
        <v>67.28</v>
      </c>
      <c r="C6250">
        <f t="shared" si="214"/>
        <v>2.5609756097561082E-2</v>
      </c>
      <c r="D6250">
        <f t="shared" si="213"/>
        <v>2.6714780417879216</v>
      </c>
    </row>
    <row r="6251" spans="1:4">
      <c r="A6251" s="1">
        <v>27374</v>
      </c>
      <c r="B6251">
        <v>67.67</v>
      </c>
      <c r="C6251">
        <f t="shared" si="214"/>
        <v>5.7966706302021486E-3</v>
      </c>
      <c r="D6251">
        <f t="shared" si="213"/>
        <v>0.57922295122979539</v>
      </c>
    </row>
    <row r="6252" spans="1:4">
      <c r="A6252" s="1">
        <v>27375</v>
      </c>
      <c r="B6252">
        <v>67.45</v>
      </c>
      <c r="C6252">
        <f t="shared" si="214"/>
        <v>-3.2510713757942789E-3</v>
      </c>
      <c r="D6252">
        <f t="shared" si="213"/>
        <v>-0.3762155291264897</v>
      </c>
    </row>
    <row r="6253" spans="1:4">
      <c r="A6253" s="1">
        <v>27376</v>
      </c>
      <c r="B6253">
        <v>67.069999999999993</v>
      </c>
      <c r="C6253">
        <f t="shared" si="214"/>
        <v>-5.6338028169015519E-3</v>
      </c>
      <c r="D6253">
        <f t="shared" si="213"/>
        <v>-0.62783115937764844</v>
      </c>
    </row>
    <row r="6254" spans="1:4">
      <c r="A6254" s="1">
        <v>27379</v>
      </c>
      <c r="B6254">
        <v>66.459999999999994</v>
      </c>
      <c r="C6254">
        <f t="shared" si="214"/>
        <v>-9.0949753988370276E-3</v>
      </c>
      <c r="D6254">
        <f t="shared" si="213"/>
        <v>-0.99332980752031041</v>
      </c>
    </row>
    <row r="6255" spans="1:4">
      <c r="A6255" s="1">
        <v>27380</v>
      </c>
      <c r="B6255">
        <v>67.58</v>
      </c>
      <c r="C6255">
        <f t="shared" si="214"/>
        <v>1.685224195004521E-2</v>
      </c>
      <c r="D6255">
        <f t="shared" si="213"/>
        <v>1.7466875246339406</v>
      </c>
    </row>
    <row r="6256" spans="1:4">
      <c r="A6256" s="1">
        <v>27381</v>
      </c>
      <c r="B6256">
        <v>67.900000000000006</v>
      </c>
      <c r="C6256">
        <f t="shared" si="214"/>
        <v>4.735128736312628E-3</v>
      </c>
      <c r="D6256">
        <f t="shared" si="213"/>
        <v>0.46712448807068385</v>
      </c>
    </row>
    <row r="6257" spans="1:4">
      <c r="A6257" s="1">
        <v>27382</v>
      </c>
      <c r="B6257">
        <v>67.650000000000006</v>
      </c>
      <c r="C6257">
        <f t="shared" si="214"/>
        <v>-3.6818851251840938E-3</v>
      </c>
      <c r="D6257">
        <f t="shared" si="213"/>
        <v>-0.42170931462134553</v>
      </c>
    </row>
    <row r="6258" spans="1:4">
      <c r="A6258" s="1">
        <v>27383</v>
      </c>
      <c r="B6258">
        <v>66.91</v>
      </c>
      <c r="C6258">
        <f t="shared" si="214"/>
        <v>-1.0938654841093999E-2</v>
      </c>
      <c r="D6258">
        <f t="shared" si="213"/>
        <v>-1.1880217299255544</v>
      </c>
    </row>
    <row r="6259" spans="1:4">
      <c r="A6259" s="1">
        <v>27386</v>
      </c>
      <c r="B6259">
        <v>65.959999999999994</v>
      </c>
      <c r="C6259">
        <f t="shared" si="214"/>
        <v>-1.4198176655208531E-2</v>
      </c>
      <c r="D6259">
        <f t="shared" si="213"/>
        <v>-1.5322261255307512</v>
      </c>
    </row>
    <row r="6260" spans="1:4">
      <c r="A6260" s="1">
        <v>27387</v>
      </c>
      <c r="B6260">
        <v>66.88</v>
      </c>
      <c r="C6260">
        <f t="shared" si="214"/>
        <v>1.3947847180109184E-2</v>
      </c>
      <c r="D6260">
        <f t="shared" si="213"/>
        <v>1.4399844241804467</v>
      </c>
    </row>
    <row r="6261" spans="1:4">
      <c r="A6261" s="1">
        <v>27389</v>
      </c>
      <c r="B6261">
        <v>67.44</v>
      </c>
      <c r="C6261">
        <f t="shared" si="214"/>
        <v>8.3732057416268293E-3</v>
      </c>
      <c r="D6261">
        <f t="shared" si="213"/>
        <v>0.85130418318940415</v>
      </c>
    </row>
    <row r="6262" spans="1:4">
      <c r="A6262" s="1">
        <v>27390</v>
      </c>
      <c r="B6262">
        <v>67.14</v>
      </c>
      <c r="C6262">
        <f t="shared" si="214"/>
        <v>-4.4483985765124134E-3</v>
      </c>
      <c r="D6262">
        <f t="shared" si="213"/>
        <v>-0.50265287453103458</v>
      </c>
    </row>
    <row r="6263" spans="1:4">
      <c r="A6263" s="1">
        <v>27393</v>
      </c>
      <c r="B6263">
        <v>67.16</v>
      </c>
      <c r="C6263">
        <f t="shared" si="214"/>
        <v>2.9788501638361664E-4</v>
      </c>
      <c r="D6263">
        <f t="shared" si="213"/>
        <v>-1.4469404613951266E-3</v>
      </c>
    </row>
    <row r="6264" spans="1:4">
      <c r="A6264" s="1">
        <v>27394</v>
      </c>
      <c r="B6264">
        <v>68.56</v>
      </c>
      <c r="C6264">
        <f t="shared" si="214"/>
        <v>2.0845741512805327E-2</v>
      </c>
      <c r="D6264">
        <f t="shared" si="213"/>
        <v>2.1683997210049522</v>
      </c>
    </row>
    <row r="6265" spans="1:4">
      <c r="A6265" s="1">
        <v>27396</v>
      </c>
      <c r="B6265">
        <v>70.23</v>
      </c>
      <c r="C6265">
        <f t="shared" si="214"/>
        <v>2.4358226371061869E-2</v>
      </c>
      <c r="D6265">
        <f t="shared" si="213"/>
        <v>2.5393169280852286</v>
      </c>
    </row>
    <row r="6266" spans="1:4">
      <c r="A6266" s="1">
        <v>27397</v>
      </c>
      <c r="B6266">
        <v>70.709999999999994</v>
      </c>
      <c r="C6266">
        <f t="shared" si="214"/>
        <v>6.8346860316102764E-3</v>
      </c>
      <c r="D6266">
        <f t="shared" si="213"/>
        <v>0.68883702477991526</v>
      </c>
    </row>
    <row r="6267" spans="1:4">
      <c r="A6267" s="1">
        <v>27400</v>
      </c>
      <c r="B6267">
        <v>71.069999999999993</v>
      </c>
      <c r="C6267">
        <f t="shared" si="214"/>
        <v>5.0912176495545112E-3</v>
      </c>
      <c r="D6267">
        <f t="shared" si="213"/>
        <v>0.50472735626852405</v>
      </c>
    </row>
    <row r="6268" spans="1:4">
      <c r="A6268" s="1">
        <v>27401</v>
      </c>
      <c r="B6268">
        <v>71.02</v>
      </c>
      <c r="C6268">
        <f t="shared" si="214"/>
        <v>-7.035317292809507E-4</v>
      </c>
      <c r="D6268">
        <f t="shared" si="213"/>
        <v>-0.1071962084054825</v>
      </c>
    </row>
    <row r="6269" spans="1:4">
      <c r="A6269" s="1">
        <v>27402</v>
      </c>
      <c r="B6269">
        <v>70.040000000000006</v>
      </c>
      <c r="C6269">
        <f t="shared" si="214"/>
        <v>-1.3798929878907207E-2</v>
      </c>
      <c r="D6269">
        <f t="shared" si="213"/>
        <v>-1.4900658016639046</v>
      </c>
    </row>
    <row r="6270" spans="1:4">
      <c r="A6270" s="1">
        <v>27403</v>
      </c>
      <c r="B6270">
        <v>71.17</v>
      </c>
      <c r="C6270">
        <f t="shared" si="214"/>
        <v>1.6133637921187827E-2</v>
      </c>
      <c r="D6270">
        <f t="shared" si="213"/>
        <v>1.6708031834519785</v>
      </c>
    </row>
    <row r="6271" spans="1:4">
      <c r="A6271" s="1">
        <v>27404</v>
      </c>
      <c r="B6271">
        <v>72.61</v>
      </c>
      <c r="C6271">
        <f t="shared" si="214"/>
        <v>2.0233244344527154E-2</v>
      </c>
      <c r="D6271">
        <f t="shared" si="213"/>
        <v>2.1037202282326803</v>
      </c>
    </row>
    <row r="6272" spans="1:4">
      <c r="A6272" s="1">
        <v>27407</v>
      </c>
      <c r="B6272">
        <v>72.31</v>
      </c>
      <c r="C6272">
        <f t="shared" si="214"/>
        <v>-4.1316623054675275E-3</v>
      </c>
      <c r="D6272">
        <f t="shared" si="213"/>
        <v>-0.46920563197258425</v>
      </c>
    </row>
    <row r="6273" spans="1:4">
      <c r="A6273" s="1">
        <v>27408</v>
      </c>
      <c r="B6273">
        <v>71.680000000000007</v>
      </c>
      <c r="C6273">
        <f t="shared" si="214"/>
        <v>-8.7124878993222986E-3</v>
      </c>
      <c r="D6273">
        <f t="shared" si="213"/>
        <v>-0.95293925758537312</v>
      </c>
    </row>
    <row r="6274" spans="1:4">
      <c r="A6274" s="1">
        <v>27409</v>
      </c>
      <c r="B6274">
        <v>72.14</v>
      </c>
      <c r="C6274">
        <f t="shared" si="214"/>
        <v>6.4174107142856264E-3</v>
      </c>
      <c r="D6274">
        <f t="shared" si="213"/>
        <v>0.64477289310920416</v>
      </c>
    </row>
    <row r="6275" spans="1:4">
      <c r="A6275" s="1">
        <v>27410</v>
      </c>
      <c r="B6275">
        <v>72.05</v>
      </c>
      <c r="C6275">
        <f t="shared" si="214"/>
        <v>-1.2475741613529722E-3</v>
      </c>
      <c r="D6275">
        <f t="shared" ref="D6275:D6338" si="215">(C6275-avg)/sd</f>
        <v>-0.16464690430328005</v>
      </c>
    </row>
    <row r="6276" spans="1:4">
      <c r="A6276" s="1">
        <v>27411</v>
      </c>
      <c r="B6276">
        <v>70.959999999999994</v>
      </c>
      <c r="C6276">
        <f t="shared" ref="C6276:C6339" si="216">(B6276-B6275)/B6275</f>
        <v>-1.5128383067314413E-2</v>
      </c>
      <c r="D6276">
        <f t="shared" si="215"/>
        <v>-1.6304556064566098</v>
      </c>
    </row>
    <row r="6277" spans="1:4">
      <c r="A6277" s="1">
        <v>27414</v>
      </c>
      <c r="B6277">
        <v>71.08</v>
      </c>
      <c r="C6277">
        <f t="shared" si="216"/>
        <v>1.6910935738444837E-3</v>
      </c>
      <c r="D6277">
        <f t="shared" si="215"/>
        <v>0.14567540963187395</v>
      </c>
    </row>
    <row r="6278" spans="1:4">
      <c r="A6278" s="1">
        <v>27415</v>
      </c>
      <c r="B6278">
        <v>70.7</v>
      </c>
      <c r="C6278">
        <f t="shared" si="216"/>
        <v>-5.3460889138997672E-3</v>
      </c>
      <c r="D6278">
        <f t="shared" si="215"/>
        <v>-0.59744866901936744</v>
      </c>
    </row>
    <row r="6279" spans="1:4">
      <c r="A6279" s="1">
        <v>27416</v>
      </c>
      <c r="B6279">
        <v>71.739999999999995</v>
      </c>
      <c r="C6279">
        <f t="shared" si="216"/>
        <v>1.4710042432814596E-2</v>
      </c>
      <c r="D6279">
        <f t="shared" si="215"/>
        <v>1.5204719837833838</v>
      </c>
    </row>
    <row r="6280" spans="1:4">
      <c r="A6280" s="1">
        <v>27417</v>
      </c>
      <c r="B6280">
        <v>72.069999999999993</v>
      </c>
      <c r="C6280">
        <f t="shared" si="216"/>
        <v>4.59994424310006E-3</v>
      </c>
      <c r="D6280">
        <f t="shared" si="215"/>
        <v>0.45284905153887861</v>
      </c>
    </row>
    <row r="6281" spans="1:4">
      <c r="A6281" s="1">
        <v>27418</v>
      </c>
      <c r="B6281">
        <v>72.98</v>
      </c>
      <c r="C6281">
        <f t="shared" si="216"/>
        <v>1.2626613015124336E-2</v>
      </c>
      <c r="D6281">
        <f t="shared" si="215"/>
        <v>1.3004625454673606</v>
      </c>
    </row>
    <row r="6282" spans="1:4">
      <c r="A6282" s="1">
        <v>27421</v>
      </c>
      <c r="B6282">
        <v>75.37</v>
      </c>
      <c r="C6282">
        <f t="shared" si="216"/>
        <v>3.2748698273499598E-2</v>
      </c>
      <c r="D6282">
        <f t="shared" si="215"/>
        <v>3.4253479089226788</v>
      </c>
    </row>
    <row r="6283" spans="1:4">
      <c r="A6283" s="1">
        <v>27422</v>
      </c>
      <c r="B6283">
        <v>76.03</v>
      </c>
      <c r="C6283">
        <f t="shared" si="216"/>
        <v>8.7567997877138985E-3</v>
      </c>
      <c r="D6283">
        <f t="shared" si="215"/>
        <v>0.89181158406624705</v>
      </c>
    </row>
    <row r="6284" spans="1:4">
      <c r="A6284" s="1">
        <v>27423</v>
      </c>
      <c r="B6284">
        <v>77.260000000000005</v>
      </c>
      <c r="C6284">
        <f t="shared" si="216"/>
        <v>1.6177824542943628E-2</v>
      </c>
      <c r="D6284">
        <f t="shared" si="215"/>
        <v>1.6754692756896286</v>
      </c>
    </row>
    <row r="6285" spans="1:4">
      <c r="A6285" s="1">
        <v>27424</v>
      </c>
      <c r="B6285">
        <v>76.209999999999994</v>
      </c>
      <c r="C6285">
        <f t="shared" si="216"/>
        <v>-1.3590473725084278E-2</v>
      </c>
      <c r="D6285">
        <f t="shared" si="215"/>
        <v>-1.4680529026778926</v>
      </c>
    </row>
    <row r="6286" spans="1:4">
      <c r="A6286" s="1">
        <v>27425</v>
      </c>
      <c r="B6286">
        <v>76.98</v>
      </c>
      <c r="C6286">
        <f t="shared" si="216"/>
        <v>1.0103660936885058E-2</v>
      </c>
      <c r="D6286">
        <f t="shared" si="215"/>
        <v>1.0340396635983726</v>
      </c>
    </row>
    <row r="6287" spans="1:4">
      <c r="A6287" s="1">
        <v>27428</v>
      </c>
      <c r="B6287">
        <v>77.819999999999993</v>
      </c>
      <c r="C6287">
        <f t="shared" si="216"/>
        <v>1.0911925175370086E-2</v>
      </c>
      <c r="D6287">
        <f t="shared" si="215"/>
        <v>1.1193920924400278</v>
      </c>
    </row>
    <row r="6288" spans="1:4">
      <c r="A6288" s="1">
        <v>27429</v>
      </c>
      <c r="B6288">
        <v>77.61</v>
      </c>
      <c r="C6288">
        <f t="shared" si="216"/>
        <v>-2.6985350809559721E-3</v>
      </c>
      <c r="D6288">
        <f t="shared" si="215"/>
        <v>-0.31786788420777667</v>
      </c>
    </row>
    <row r="6289" spans="1:4">
      <c r="A6289" s="1">
        <v>27430</v>
      </c>
      <c r="B6289">
        <v>78.95</v>
      </c>
      <c r="C6289">
        <f t="shared" si="216"/>
        <v>1.726581626079118E-2</v>
      </c>
      <c r="D6289">
        <f t="shared" si="215"/>
        <v>1.7903608312679764</v>
      </c>
    </row>
    <row r="6290" spans="1:4">
      <c r="A6290" s="1">
        <v>27431</v>
      </c>
      <c r="B6290">
        <v>78.56</v>
      </c>
      <c r="C6290">
        <f t="shared" si="216"/>
        <v>-4.939835338822046E-3</v>
      </c>
      <c r="D6290">
        <f t="shared" si="215"/>
        <v>-0.55454842958345985</v>
      </c>
    </row>
    <row r="6291" spans="1:4">
      <c r="A6291" s="1">
        <v>27432</v>
      </c>
      <c r="B6291">
        <v>78.63</v>
      </c>
      <c r="C6291">
        <f t="shared" si="216"/>
        <v>8.9103869653759131E-4</v>
      </c>
      <c r="D6291">
        <f t="shared" si="215"/>
        <v>6.1189886540132375E-2</v>
      </c>
    </row>
    <row r="6292" spans="1:4">
      <c r="A6292" s="1">
        <v>27435</v>
      </c>
      <c r="B6292">
        <v>78.36</v>
      </c>
      <c r="C6292">
        <f t="shared" si="216"/>
        <v>-3.4338038916443599E-3</v>
      </c>
      <c r="D6292">
        <f t="shared" si="215"/>
        <v>-0.39551202068645819</v>
      </c>
    </row>
    <row r="6293" spans="1:4">
      <c r="A6293" s="1">
        <v>27436</v>
      </c>
      <c r="B6293">
        <v>78.58</v>
      </c>
      <c r="C6293">
        <f t="shared" si="216"/>
        <v>2.8075548749361776E-3</v>
      </c>
      <c r="D6293">
        <f t="shared" si="215"/>
        <v>0.26357334352352146</v>
      </c>
    </row>
    <row r="6294" spans="1:4">
      <c r="A6294" s="1">
        <v>27437</v>
      </c>
      <c r="B6294">
        <v>79.92</v>
      </c>
      <c r="C6294">
        <f t="shared" si="216"/>
        <v>1.7052685161618775E-2</v>
      </c>
      <c r="D6294">
        <f t="shared" si="215"/>
        <v>1.7678542596421509</v>
      </c>
    </row>
    <row r="6295" spans="1:4">
      <c r="A6295" s="1">
        <v>27438</v>
      </c>
      <c r="B6295">
        <v>81.010000000000005</v>
      </c>
      <c r="C6295">
        <f t="shared" si="216"/>
        <v>1.3638638638638682E-2</v>
      </c>
      <c r="D6295">
        <f t="shared" si="215"/>
        <v>1.4073321073062517</v>
      </c>
    </row>
    <row r="6296" spans="1:4">
      <c r="A6296" s="1">
        <v>27439</v>
      </c>
      <c r="B6296">
        <v>81.5</v>
      </c>
      <c r="C6296">
        <f t="shared" si="216"/>
        <v>6.048635970867731E-3</v>
      </c>
      <c r="D6296">
        <f t="shared" si="215"/>
        <v>0.60583040555690026</v>
      </c>
    </row>
    <row r="6297" spans="1:4">
      <c r="A6297" s="1">
        <v>27443</v>
      </c>
      <c r="B6297">
        <v>80.930000000000007</v>
      </c>
      <c r="C6297">
        <f t="shared" si="216"/>
        <v>-6.9938650306747632E-3</v>
      </c>
      <c r="D6297">
        <f t="shared" si="215"/>
        <v>-0.77145326684449078</v>
      </c>
    </row>
    <row r="6298" spans="1:4">
      <c r="A6298" s="1">
        <v>27444</v>
      </c>
      <c r="B6298">
        <v>81.44</v>
      </c>
      <c r="C6298">
        <f t="shared" si="216"/>
        <v>6.3017422463856523E-3</v>
      </c>
      <c r="D6298">
        <f t="shared" si="215"/>
        <v>0.63255834221658946</v>
      </c>
    </row>
    <row r="6299" spans="1:4">
      <c r="A6299" s="1">
        <v>27445</v>
      </c>
      <c r="B6299">
        <v>82.21</v>
      </c>
      <c r="C6299">
        <f t="shared" si="216"/>
        <v>9.4548133595284394E-3</v>
      </c>
      <c r="D6299">
        <f t="shared" si="215"/>
        <v>0.96552157998352139</v>
      </c>
    </row>
    <row r="6300" spans="1:4">
      <c r="A6300" s="1">
        <v>27446</v>
      </c>
      <c r="B6300">
        <v>82.62</v>
      </c>
      <c r="C6300">
        <f t="shared" si="216"/>
        <v>4.9872278311642237E-3</v>
      </c>
      <c r="D6300">
        <f t="shared" si="215"/>
        <v>0.49374606679436644</v>
      </c>
    </row>
    <row r="6301" spans="1:4">
      <c r="A6301" s="1">
        <v>27449</v>
      </c>
      <c r="B6301">
        <v>81.44</v>
      </c>
      <c r="C6301">
        <f t="shared" si="216"/>
        <v>-1.4282256112321553E-2</v>
      </c>
      <c r="D6301">
        <f t="shared" si="215"/>
        <v>-1.5411048876218902</v>
      </c>
    </row>
    <row r="6302" spans="1:4">
      <c r="A6302" s="1">
        <v>27450</v>
      </c>
      <c r="B6302">
        <v>79.53</v>
      </c>
      <c r="C6302">
        <f t="shared" si="216"/>
        <v>-2.3452848722986207E-2</v>
      </c>
      <c r="D6302">
        <f t="shared" si="215"/>
        <v>-2.5095163500721909</v>
      </c>
    </row>
    <row r="6303" spans="1:4">
      <c r="A6303" s="1">
        <v>27451</v>
      </c>
      <c r="B6303">
        <v>80.37</v>
      </c>
      <c r="C6303">
        <f t="shared" si="216"/>
        <v>1.0562052055828032E-2</v>
      </c>
      <c r="D6303">
        <f t="shared" si="215"/>
        <v>1.0824456099440387</v>
      </c>
    </row>
    <row r="6304" spans="1:4">
      <c r="A6304" s="1">
        <v>27452</v>
      </c>
      <c r="B6304">
        <v>80.77</v>
      </c>
      <c r="C6304">
        <f t="shared" si="216"/>
        <v>4.9769814607439527E-3</v>
      </c>
      <c r="D6304">
        <f t="shared" si="215"/>
        <v>0.49266405356089638</v>
      </c>
    </row>
    <row r="6305" spans="1:4">
      <c r="A6305" s="1">
        <v>27453</v>
      </c>
      <c r="B6305">
        <v>81.59</v>
      </c>
      <c r="C6305">
        <f t="shared" si="216"/>
        <v>1.0152284263959482E-2</v>
      </c>
      <c r="D6305">
        <f t="shared" si="215"/>
        <v>1.0391742704095599</v>
      </c>
    </row>
    <row r="6306" spans="1:4">
      <c r="A6306" s="1">
        <v>27456</v>
      </c>
      <c r="B6306">
        <v>83.03</v>
      </c>
      <c r="C6306">
        <f t="shared" si="216"/>
        <v>1.7649221718347808E-2</v>
      </c>
      <c r="D6306">
        <f t="shared" si="215"/>
        <v>1.8308483172601091</v>
      </c>
    </row>
    <row r="6307" spans="1:4">
      <c r="A6307" s="1">
        <v>27457</v>
      </c>
      <c r="B6307">
        <v>83.56</v>
      </c>
      <c r="C6307">
        <f t="shared" si="216"/>
        <v>6.3832349753101423E-3</v>
      </c>
      <c r="D6307">
        <f t="shared" si="215"/>
        <v>0.64116394669029109</v>
      </c>
    </row>
    <row r="6308" spans="1:4">
      <c r="A6308" s="1">
        <v>27458</v>
      </c>
      <c r="B6308">
        <v>83.9</v>
      </c>
      <c r="C6308">
        <f t="shared" si="216"/>
        <v>4.0689325035902753E-3</v>
      </c>
      <c r="D6308">
        <f t="shared" si="215"/>
        <v>0.39677439234630568</v>
      </c>
    </row>
    <row r="6309" spans="1:4">
      <c r="A6309" s="1">
        <v>27459</v>
      </c>
      <c r="B6309">
        <v>83.69</v>
      </c>
      <c r="C6309">
        <f t="shared" si="216"/>
        <v>-2.5029797377831699E-3</v>
      </c>
      <c r="D6309">
        <f t="shared" si="215"/>
        <v>-0.29721730644121963</v>
      </c>
    </row>
    <row r="6310" spans="1:4">
      <c r="A6310" s="1">
        <v>27460</v>
      </c>
      <c r="B6310">
        <v>84.3</v>
      </c>
      <c r="C6310">
        <f t="shared" si="216"/>
        <v>7.2888039192257077E-3</v>
      </c>
      <c r="D6310">
        <f t="shared" si="215"/>
        <v>0.7367917193499347</v>
      </c>
    </row>
    <row r="6311" spans="1:4">
      <c r="A6311" s="1">
        <v>27463</v>
      </c>
      <c r="B6311">
        <v>84.95</v>
      </c>
      <c r="C6311">
        <f t="shared" si="216"/>
        <v>7.7105575326216575E-3</v>
      </c>
      <c r="D6311">
        <f t="shared" si="215"/>
        <v>0.78132875756352826</v>
      </c>
    </row>
    <row r="6312" spans="1:4">
      <c r="A6312" s="1">
        <v>27464</v>
      </c>
      <c r="B6312">
        <v>84.36</v>
      </c>
      <c r="C6312">
        <f t="shared" si="216"/>
        <v>-6.9452619187757901E-3</v>
      </c>
      <c r="D6312">
        <f t="shared" si="215"/>
        <v>-0.76632079474895964</v>
      </c>
    </row>
    <row r="6313" spans="1:4">
      <c r="A6313" s="1">
        <v>27465</v>
      </c>
      <c r="B6313">
        <v>83.59</v>
      </c>
      <c r="C6313">
        <f t="shared" si="216"/>
        <v>-9.1275486012327642E-3</v>
      </c>
      <c r="D6313">
        <f t="shared" si="215"/>
        <v>-0.99676952662113072</v>
      </c>
    </row>
    <row r="6314" spans="1:4">
      <c r="A6314" s="1">
        <v>27466</v>
      </c>
      <c r="B6314">
        <v>83.74</v>
      </c>
      <c r="C6314">
        <f t="shared" si="216"/>
        <v>1.7944730230887841E-3</v>
      </c>
      <c r="D6314">
        <f t="shared" si="215"/>
        <v>0.15659224433168989</v>
      </c>
    </row>
    <row r="6315" spans="1:4">
      <c r="A6315" s="1">
        <v>27467</v>
      </c>
      <c r="B6315">
        <v>84.76</v>
      </c>
      <c r="C6315">
        <f t="shared" si="216"/>
        <v>1.2180558872701341E-2</v>
      </c>
      <c r="D6315">
        <f t="shared" si="215"/>
        <v>1.2533593796486622</v>
      </c>
    </row>
    <row r="6316" spans="1:4">
      <c r="A6316" s="1">
        <v>27470</v>
      </c>
      <c r="B6316">
        <v>86.01</v>
      </c>
      <c r="C6316">
        <f t="shared" si="216"/>
        <v>1.4747522416234072E-2</v>
      </c>
      <c r="D6316">
        <f t="shared" si="215"/>
        <v>1.5244298572924151</v>
      </c>
    </row>
    <row r="6317" spans="1:4">
      <c r="A6317" s="1">
        <v>27471</v>
      </c>
      <c r="B6317">
        <v>85.13</v>
      </c>
      <c r="C6317">
        <f t="shared" si="216"/>
        <v>-1.0231368445529701E-2</v>
      </c>
      <c r="D6317">
        <f t="shared" si="215"/>
        <v>-1.1133325269722918</v>
      </c>
    </row>
    <row r="6318" spans="1:4">
      <c r="A6318" s="1">
        <v>27472</v>
      </c>
      <c r="B6318">
        <v>84.34</v>
      </c>
      <c r="C6318">
        <f t="shared" si="216"/>
        <v>-9.279924820862118E-3</v>
      </c>
      <c r="D6318">
        <f t="shared" si="215"/>
        <v>-1.0128604036187967</v>
      </c>
    </row>
    <row r="6319" spans="1:4">
      <c r="A6319" s="1">
        <v>27473</v>
      </c>
      <c r="B6319">
        <v>83.61</v>
      </c>
      <c r="C6319">
        <f t="shared" si="216"/>
        <v>-8.6554422575290963E-3</v>
      </c>
      <c r="D6319">
        <f t="shared" si="215"/>
        <v>-0.9469152572027667</v>
      </c>
    </row>
    <row r="6320" spans="1:4">
      <c r="A6320" s="1">
        <v>27474</v>
      </c>
      <c r="B6320">
        <v>83.39</v>
      </c>
      <c r="C6320">
        <f t="shared" si="216"/>
        <v>-2.6312642028465359E-3</v>
      </c>
      <c r="D6320">
        <f t="shared" si="215"/>
        <v>-0.31076410234590268</v>
      </c>
    </row>
    <row r="6321" spans="1:4">
      <c r="A6321" s="1">
        <v>27477</v>
      </c>
      <c r="B6321">
        <v>81.42</v>
      </c>
      <c r="C6321">
        <f t="shared" si="216"/>
        <v>-2.3623935723707863E-2</v>
      </c>
      <c r="D6321">
        <f t="shared" si="215"/>
        <v>-2.5275830791931004</v>
      </c>
    </row>
    <row r="6322" spans="1:4">
      <c r="A6322" s="1">
        <v>27478</v>
      </c>
      <c r="B6322">
        <v>82.06</v>
      </c>
      <c r="C6322">
        <f t="shared" si="216"/>
        <v>7.8604765413903283E-3</v>
      </c>
      <c r="D6322">
        <f t="shared" si="215"/>
        <v>0.79716015392955275</v>
      </c>
    </row>
    <row r="6323" spans="1:4">
      <c r="A6323" s="1">
        <v>27479</v>
      </c>
      <c r="B6323">
        <v>83.59</v>
      </c>
      <c r="C6323">
        <f t="shared" si="216"/>
        <v>1.8644893980014638E-2</v>
      </c>
      <c r="D6323">
        <f t="shared" si="215"/>
        <v>1.9359909696466804</v>
      </c>
    </row>
    <row r="6324" spans="1:4">
      <c r="A6324" s="1">
        <v>27480</v>
      </c>
      <c r="B6324">
        <v>83.85</v>
      </c>
      <c r="C6324">
        <f t="shared" si="216"/>
        <v>3.1104199066872939E-3</v>
      </c>
      <c r="D6324">
        <f t="shared" si="215"/>
        <v>0.295555787927613</v>
      </c>
    </row>
    <row r="6325" spans="1:4">
      <c r="A6325" s="1">
        <v>27484</v>
      </c>
      <c r="B6325">
        <v>83.36</v>
      </c>
      <c r="C6325">
        <f t="shared" si="216"/>
        <v>-5.8437686344662487E-3</v>
      </c>
      <c r="D6325">
        <f t="shared" si="215"/>
        <v>-0.6500034783416313</v>
      </c>
    </row>
    <row r="6326" spans="1:4">
      <c r="A6326" s="1">
        <v>27485</v>
      </c>
      <c r="B6326">
        <v>82.64</v>
      </c>
      <c r="C6326">
        <f t="shared" si="216"/>
        <v>-8.6372360844529615E-3</v>
      </c>
      <c r="D6326">
        <f t="shared" si="215"/>
        <v>-0.94499269151450582</v>
      </c>
    </row>
    <row r="6327" spans="1:4">
      <c r="A6327" s="1">
        <v>27486</v>
      </c>
      <c r="B6327">
        <v>82.43</v>
      </c>
      <c r="C6327">
        <f t="shared" si="216"/>
        <v>-2.5411423039689465E-3</v>
      </c>
      <c r="D6327">
        <f t="shared" si="215"/>
        <v>-0.3012472604583511</v>
      </c>
    </row>
    <row r="6328" spans="1:4">
      <c r="A6328" s="1">
        <v>27487</v>
      </c>
      <c r="B6328">
        <v>81.510000000000005</v>
      </c>
      <c r="C6328">
        <f t="shared" si="216"/>
        <v>-1.1160985078248231E-2</v>
      </c>
      <c r="D6328">
        <f t="shared" si="215"/>
        <v>-1.2114997273953219</v>
      </c>
    </row>
    <row r="6329" spans="1:4">
      <c r="A6329" s="1">
        <v>27488</v>
      </c>
      <c r="B6329">
        <v>80.88</v>
      </c>
      <c r="C6329">
        <f t="shared" si="216"/>
        <v>-7.7291129922710047E-3</v>
      </c>
      <c r="D6329">
        <f t="shared" si="215"/>
        <v>-0.84909520166612851</v>
      </c>
    </row>
    <row r="6330" spans="1:4">
      <c r="A6330" s="1">
        <v>27491</v>
      </c>
      <c r="B6330">
        <v>80.349999999999994</v>
      </c>
      <c r="C6330">
        <f t="shared" si="216"/>
        <v>-6.5529179030662851E-3</v>
      </c>
      <c r="D6330">
        <f t="shared" si="215"/>
        <v>-0.72488940005424674</v>
      </c>
    </row>
    <row r="6331" spans="1:4">
      <c r="A6331" s="1">
        <v>27492</v>
      </c>
      <c r="B6331">
        <v>80.989999999999995</v>
      </c>
      <c r="C6331">
        <f t="shared" si="216"/>
        <v>7.9651524579962742E-3</v>
      </c>
      <c r="D6331">
        <f t="shared" si="215"/>
        <v>0.80821389514206787</v>
      </c>
    </row>
    <row r="6332" spans="1:4">
      <c r="A6332" s="1">
        <v>27493</v>
      </c>
      <c r="B6332">
        <v>82.84</v>
      </c>
      <c r="C6332">
        <f t="shared" si="216"/>
        <v>2.2842326213112836E-2</v>
      </c>
      <c r="D6332">
        <f t="shared" si="215"/>
        <v>2.3792383866853104</v>
      </c>
    </row>
    <row r="6333" spans="1:4">
      <c r="A6333" s="1">
        <v>27494</v>
      </c>
      <c r="B6333">
        <v>83.77</v>
      </c>
      <c r="C6333">
        <f t="shared" si="216"/>
        <v>1.1226460647030331E-2</v>
      </c>
      <c r="D6333">
        <f t="shared" si="215"/>
        <v>1.1526069313315481</v>
      </c>
    </row>
    <row r="6334" spans="1:4">
      <c r="A6334" s="1">
        <v>27495</v>
      </c>
      <c r="B6334">
        <v>84.18</v>
      </c>
      <c r="C6334">
        <f t="shared" si="216"/>
        <v>4.8943535872031851E-3</v>
      </c>
      <c r="D6334">
        <f t="shared" si="215"/>
        <v>0.48393857820157016</v>
      </c>
    </row>
    <row r="6335" spans="1:4">
      <c r="A6335" s="1">
        <v>27498</v>
      </c>
      <c r="B6335">
        <v>85.6</v>
      </c>
      <c r="C6335">
        <f t="shared" si="216"/>
        <v>1.6868614872891274E-2</v>
      </c>
      <c r="D6335">
        <f t="shared" si="215"/>
        <v>1.7484164997210581</v>
      </c>
    </row>
    <row r="6336" spans="1:4">
      <c r="A6336" s="1">
        <v>27499</v>
      </c>
      <c r="B6336">
        <v>86.3</v>
      </c>
      <c r="C6336">
        <f t="shared" si="216"/>
        <v>8.1775700934579778E-3</v>
      </c>
      <c r="D6336">
        <f t="shared" si="215"/>
        <v>0.83064512524256129</v>
      </c>
    </row>
    <row r="6337" spans="1:4">
      <c r="A6337" s="1">
        <v>27500</v>
      </c>
      <c r="B6337">
        <v>86.6</v>
      </c>
      <c r="C6337">
        <f t="shared" si="216"/>
        <v>3.4762456546928986E-3</v>
      </c>
      <c r="D6337">
        <f t="shared" si="215"/>
        <v>0.33418686256679125</v>
      </c>
    </row>
    <row r="6338" spans="1:4">
      <c r="A6338" s="1">
        <v>27501</v>
      </c>
      <c r="B6338">
        <v>87.25</v>
      </c>
      <c r="C6338">
        <f t="shared" si="216"/>
        <v>7.5057736720554932E-3</v>
      </c>
      <c r="D6338">
        <f t="shared" si="215"/>
        <v>0.75970365149715768</v>
      </c>
    </row>
    <row r="6339" spans="1:4">
      <c r="A6339" s="1">
        <v>27502</v>
      </c>
      <c r="B6339">
        <v>86.3</v>
      </c>
      <c r="C6339">
        <f t="shared" si="216"/>
        <v>-1.0888252148997168E-2</v>
      </c>
      <c r="D6339">
        <f t="shared" ref="D6339:D6402" si="217">(C6339-avg)/sd</f>
        <v>-1.1826992227728366</v>
      </c>
    </row>
    <row r="6340" spans="1:4">
      <c r="A6340" s="1">
        <v>27505</v>
      </c>
      <c r="B6340">
        <v>87.23</v>
      </c>
      <c r="C6340">
        <f t="shared" ref="C6340:C6403" si="218">(B6340-B6339)/B6339</f>
        <v>1.0776361529548167E-2</v>
      </c>
      <c r="D6340">
        <f t="shared" si="217"/>
        <v>1.1050766175215554</v>
      </c>
    </row>
    <row r="6341" spans="1:4">
      <c r="A6341" s="1">
        <v>27506</v>
      </c>
      <c r="B6341">
        <v>87.09</v>
      </c>
      <c r="C6341">
        <f t="shared" si="218"/>
        <v>-1.6049524246245623E-3</v>
      </c>
      <c r="D6341">
        <f t="shared" si="217"/>
        <v>-0.20238592742598593</v>
      </c>
    </row>
    <row r="6342" spans="1:4">
      <c r="A6342" s="1">
        <v>27507</v>
      </c>
      <c r="B6342">
        <v>86.12</v>
      </c>
      <c r="C6342">
        <f t="shared" si="218"/>
        <v>-1.1137903318406233E-2</v>
      </c>
      <c r="D6342">
        <f t="shared" si="217"/>
        <v>-1.2090623014018782</v>
      </c>
    </row>
    <row r="6343" spans="1:4">
      <c r="A6343" s="1">
        <v>27508</v>
      </c>
      <c r="B6343">
        <v>86.04</v>
      </c>
      <c r="C6343">
        <f t="shared" si="218"/>
        <v>-9.2893636785878184E-4</v>
      </c>
      <c r="D6343">
        <f t="shared" si="217"/>
        <v>-0.13099886162054208</v>
      </c>
    </row>
    <row r="6344" spans="1:4">
      <c r="A6344" s="1">
        <v>27509</v>
      </c>
      <c r="B6344">
        <v>86.62</v>
      </c>
      <c r="C6344">
        <f t="shared" si="218"/>
        <v>6.7410506741050471E-3</v>
      </c>
      <c r="D6344">
        <f t="shared" si="217"/>
        <v>0.6789491628555675</v>
      </c>
    </row>
    <row r="6345" spans="1:4">
      <c r="A6345" s="1">
        <v>27512</v>
      </c>
      <c r="B6345">
        <v>86.23</v>
      </c>
      <c r="C6345">
        <f t="shared" si="218"/>
        <v>-4.5024243823597382E-3</v>
      </c>
      <c r="D6345">
        <f t="shared" si="217"/>
        <v>-0.50835798126424836</v>
      </c>
    </row>
    <row r="6346" spans="1:4">
      <c r="A6346" s="1">
        <v>27513</v>
      </c>
      <c r="B6346">
        <v>85.64</v>
      </c>
      <c r="C6346">
        <f t="shared" si="218"/>
        <v>-6.8421662994317912E-3</v>
      </c>
      <c r="D6346">
        <f t="shared" si="217"/>
        <v>-0.75543393239013712</v>
      </c>
    </row>
    <row r="6347" spans="1:4">
      <c r="A6347" s="1">
        <v>27514</v>
      </c>
      <c r="B6347">
        <v>87.3</v>
      </c>
      <c r="C6347">
        <f t="shared" si="218"/>
        <v>1.9383465670247509E-2</v>
      </c>
      <c r="D6347">
        <f t="shared" si="217"/>
        <v>2.0139838890825561</v>
      </c>
    </row>
    <row r="6348" spans="1:4">
      <c r="A6348" s="1">
        <v>27515</v>
      </c>
      <c r="B6348">
        <v>88.1</v>
      </c>
      <c r="C6348">
        <f t="shared" si="218"/>
        <v>9.1638029782359354E-3</v>
      </c>
      <c r="D6348">
        <f t="shared" si="217"/>
        <v>0.93479098263826776</v>
      </c>
    </row>
    <row r="6349" spans="1:4">
      <c r="A6349" s="1">
        <v>27516</v>
      </c>
      <c r="B6349">
        <v>89.22</v>
      </c>
      <c r="C6349">
        <f t="shared" si="218"/>
        <v>1.2712826333711744E-2</v>
      </c>
      <c r="D6349">
        <f t="shared" si="217"/>
        <v>1.30956664260486</v>
      </c>
    </row>
    <row r="6350" spans="1:4">
      <c r="A6350" s="1">
        <v>27519</v>
      </c>
      <c r="B6350">
        <v>90.08</v>
      </c>
      <c r="C6350">
        <f t="shared" si="218"/>
        <v>9.6390943734588602E-3</v>
      </c>
      <c r="D6350">
        <f t="shared" si="217"/>
        <v>0.98498159241441363</v>
      </c>
    </row>
    <row r="6351" spans="1:4">
      <c r="A6351" s="1">
        <v>27520</v>
      </c>
      <c r="B6351">
        <v>88.64</v>
      </c>
      <c r="C6351">
        <f t="shared" si="218"/>
        <v>-1.598579040852573E-2</v>
      </c>
      <c r="D6351">
        <f t="shared" si="217"/>
        <v>-1.7209975302416092</v>
      </c>
    </row>
    <row r="6352" spans="1:4">
      <c r="A6352" s="1">
        <v>27521</v>
      </c>
      <c r="B6352">
        <v>89.08</v>
      </c>
      <c r="C6352">
        <f t="shared" si="218"/>
        <v>4.9638989169674833E-3</v>
      </c>
      <c r="D6352">
        <f t="shared" si="217"/>
        <v>0.49128254138507388</v>
      </c>
    </row>
    <row r="6353" spans="1:4">
      <c r="A6353" s="1">
        <v>27522</v>
      </c>
      <c r="B6353">
        <v>89.56</v>
      </c>
      <c r="C6353">
        <f t="shared" si="218"/>
        <v>5.3884149079479566E-3</v>
      </c>
      <c r="D6353">
        <f t="shared" si="217"/>
        <v>0.53611128573261535</v>
      </c>
    </row>
    <row r="6354" spans="1:4">
      <c r="A6354" s="1">
        <v>27523</v>
      </c>
      <c r="B6354">
        <v>90.53</v>
      </c>
      <c r="C6354">
        <f t="shared" si="218"/>
        <v>1.0830728003573011E-2</v>
      </c>
      <c r="D6354">
        <f t="shared" si="217"/>
        <v>1.1108176986985165</v>
      </c>
    </row>
    <row r="6355" spans="1:4">
      <c r="A6355" s="1">
        <v>27526</v>
      </c>
      <c r="B6355">
        <v>90.61</v>
      </c>
      <c r="C6355">
        <f t="shared" si="218"/>
        <v>8.8368496630949177E-4</v>
      </c>
      <c r="D6355">
        <f t="shared" si="217"/>
        <v>6.0413335127699405E-2</v>
      </c>
    </row>
    <row r="6356" spans="1:4">
      <c r="A6356" s="1">
        <v>27527</v>
      </c>
      <c r="B6356">
        <v>91.58</v>
      </c>
      <c r="C6356">
        <f t="shared" si="218"/>
        <v>1.0705220174373677E-2</v>
      </c>
      <c r="D6356">
        <f t="shared" si="217"/>
        <v>1.0975641145972508</v>
      </c>
    </row>
    <row r="6357" spans="1:4">
      <c r="A6357" s="1">
        <v>27528</v>
      </c>
      <c r="B6357">
        <v>92.27</v>
      </c>
      <c r="C6357">
        <f t="shared" si="218"/>
        <v>7.5343961563659944E-3</v>
      </c>
      <c r="D6357">
        <f t="shared" si="217"/>
        <v>0.7627261761110915</v>
      </c>
    </row>
    <row r="6358" spans="1:4">
      <c r="A6358" s="1">
        <v>27529</v>
      </c>
      <c r="B6358">
        <v>91.41</v>
      </c>
      <c r="C6358">
        <f t="shared" si="218"/>
        <v>-9.3204725262815598E-3</v>
      </c>
      <c r="D6358">
        <f t="shared" si="217"/>
        <v>-1.0171422275282551</v>
      </c>
    </row>
    <row r="6359" spans="1:4">
      <c r="A6359" s="1">
        <v>27530</v>
      </c>
      <c r="B6359">
        <v>90.43</v>
      </c>
      <c r="C6359">
        <f t="shared" si="218"/>
        <v>-1.0720927688436603E-2</v>
      </c>
      <c r="D6359">
        <f t="shared" si="217"/>
        <v>-1.1650298166139885</v>
      </c>
    </row>
    <row r="6360" spans="1:4">
      <c r="A6360" s="1">
        <v>27533</v>
      </c>
      <c r="B6360">
        <v>90.53</v>
      </c>
      <c r="C6360">
        <f t="shared" si="218"/>
        <v>1.1058277120424009E-3</v>
      </c>
      <c r="D6360">
        <f t="shared" si="217"/>
        <v>8.3871533567106513E-2</v>
      </c>
    </row>
    <row r="6361" spans="1:4">
      <c r="A6361" s="1">
        <v>27534</v>
      </c>
      <c r="B6361">
        <v>90.07</v>
      </c>
      <c r="C6361">
        <f t="shared" si="218"/>
        <v>-5.0811885562797744E-3</v>
      </c>
      <c r="D6361">
        <f t="shared" si="217"/>
        <v>-0.56947528129870273</v>
      </c>
    </row>
    <row r="6362" spans="1:4">
      <c r="A6362" s="1">
        <v>27535</v>
      </c>
      <c r="B6362">
        <v>89.06</v>
      </c>
      <c r="C6362">
        <f t="shared" si="218"/>
        <v>-1.1213500610636072E-2</v>
      </c>
      <c r="D6362">
        <f t="shared" si="217"/>
        <v>-1.217045349764581</v>
      </c>
    </row>
    <row r="6363" spans="1:4">
      <c r="A6363" s="1">
        <v>27536</v>
      </c>
      <c r="B6363">
        <v>89.39</v>
      </c>
      <c r="C6363">
        <f t="shared" si="218"/>
        <v>3.7053671682011936E-3</v>
      </c>
      <c r="D6363">
        <f t="shared" si="217"/>
        <v>0.3583820165110807</v>
      </c>
    </row>
    <row r="6364" spans="1:4">
      <c r="A6364" s="1">
        <v>27537</v>
      </c>
      <c r="B6364">
        <v>90.58</v>
      </c>
      <c r="C6364">
        <f t="shared" si="218"/>
        <v>1.3312451057165206E-2</v>
      </c>
      <c r="D6364">
        <f t="shared" si="217"/>
        <v>1.3728868095791988</v>
      </c>
    </row>
    <row r="6365" spans="1:4">
      <c r="A6365" s="1">
        <v>27541</v>
      </c>
      <c r="B6365">
        <v>90.34</v>
      </c>
      <c r="C6365">
        <f t="shared" si="218"/>
        <v>-2.6495915213070754E-3</v>
      </c>
      <c r="D6365">
        <f t="shared" si="217"/>
        <v>-0.31269946094557743</v>
      </c>
    </row>
    <row r="6366" spans="1:4">
      <c r="A6366" s="1">
        <v>27542</v>
      </c>
      <c r="B6366">
        <v>89.71</v>
      </c>
      <c r="C6366">
        <f t="shared" si="218"/>
        <v>-6.973655080805951E-3</v>
      </c>
      <c r="D6366">
        <f t="shared" si="217"/>
        <v>-0.76931910300803996</v>
      </c>
    </row>
    <row r="6367" spans="1:4">
      <c r="A6367" s="1">
        <v>27543</v>
      </c>
      <c r="B6367">
        <v>89.68</v>
      </c>
      <c r="C6367">
        <f t="shared" si="218"/>
        <v>-3.344108795004674E-4</v>
      </c>
      <c r="D6367">
        <f t="shared" si="217"/>
        <v>-6.8217172138936591E-2</v>
      </c>
    </row>
    <row r="6368" spans="1:4">
      <c r="A6368" s="1">
        <v>27544</v>
      </c>
      <c r="B6368">
        <v>91.15</v>
      </c>
      <c r="C6368">
        <f t="shared" si="218"/>
        <v>1.6391614629794812E-2</v>
      </c>
      <c r="D6368">
        <f t="shared" si="217"/>
        <v>1.6980454361903323</v>
      </c>
    </row>
    <row r="6369" spans="1:4">
      <c r="A6369" s="1">
        <v>27547</v>
      </c>
      <c r="B6369">
        <v>92.58</v>
      </c>
      <c r="C6369">
        <f t="shared" si="218"/>
        <v>1.5688425671969198E-2</v>
      </c>
      <c r="D6369">
        <f t="shared" si="217"/>
        <v>1.623788921269488</v>
      </c>
    </row>
    <row r="6370" spans="1:4">
      <c r="A6370" s="1">
        <v>27548</v>
      </c>
      <c r="B6370">
        <v>92.89</v>
      </c>
      <c r="C6370">
        <f t="shared" si="218"/>
        <v>3.3484553899330556E-3</v>
      </c>
      <c r="D6370">
        <f t="shared" si="217"/>
        <v>0.32069225404617341</v>
      </c>
    </row>
    <row r="6371" spans="1:4">
      <c r="A6371" s="1">
        <v>27549</v>
      </c>
      <c r="B6371">
        <v>92.6</v>
      </c>
      <c r="C6371">
        <f t="shared" si="218"/>
        <v>-3.1219722252126842E-3</v>
      </c>
      <c r="D6371">
        <f t="shared" si="217"/>
        <v>-0.36258270270800674</v>
      </c>
    </row>
    <row r="6372" spans="1:4">
      <c r="A6372" s="1">
        <v>27550</v>
      </c>
      <c r="B6372">
        <v>92.69</v>
      </c>
      <c r="C6372">
        <f t="shared" si="218"/>
        <v>9.7192224622033932E-4</v>
      </c>
      <c r="D6372">
        <f t="shared" si="217"/>
        <v>6.9731161892976179E-2</v>
      </c>
    </row>
    <row r="6373" spans="1:4">
      <c r="A6373" s="1">
        <v>27551</v>
      </c>
      <c r="B6373">
        <v>92.48</v>
      </c>
      <c r="C6373">
        <f t="shared" si="218"/>
        <v>-2.2656165713668547E-3</v>
      </c>
      <c r="D6373">
        <f t="shared" si="217"/>
        <v>-0.27215183675131721</v>
      </c>
    </row>
    <row r="6374" spans="1:4">
      <c r="A6374" s="1">
        <v>27554</v>
      </c>
      <c r="B6374">
        <v>91.21</v>
      </c>
      <c r="C6374">
        <f t="shared" si="218"/>
        <v>-1.3732698961937826E-2</v>
      </c>
      <c r="D6374">
        <f t="shared" si="217"/>
        <v>-1.4830718393449205</v>
      </c>
    </row>
    <row r="6375" spans="1:4">
      <c r="A6375" s="1">
        <v>27555</v>
      </c>
      <c r="B6375">
        <v>90.44</v>
      </c>
      <c r="C6375">
        <f t="shared" si="218"/>
        <v>-8.4420567920183761E-3</v>
      </c>
      <c r="D6375">
        <f t="shared" si="217"/>
        <v>-0.9243818245780786</v>
      </c>
    </row>
    <row r="6376" spans="1:4">
      <c r="A6376" s="1">
        <v>27556</v>
      </c>
      <c r="B6376">
        <v>90.55</v>
      </c>
      <c r="C6376">
        <f t="shared" si="218"/>
        <v>1.2162759840778354E-3</v>
      </c>
      <c r="D6376">
        <f t="shared" si="217"/>
        <v>9.5534833550856596E-2</v>
      </c>
    </row>
    <row r="6377" spans="1:4">
      <c r="A6377" s="1">
        <v>27557</v>
      </c>
      <c r="B6377">
        <v>90.08</v>
      </c>
      <c r="C6377">
        <f t="shared" si="218"/>
        <v>-5.1905024848150072E-3</v>
      </c>
      <c r="D6377">
        <f t="shared" si="217"/>
        <v>-0.58101879499441367</v>
      </c>
    </row>
    <row r="6378" spans="1:4">
      <c r="A6378" s="1">
        <v>27558</v>
      </c>
      <c r="B6378">
        <v>90.52</v>
      </c>
      <c r="C6378">
        <f t="shared" si="218"/>
        <v>4.8845470692717337E-3</v>
      </c>
      <c r="D6378">
        <f t="shared" si="217"/>
        <v>0.48290301324140633</v>
      </c>
    </row>
    <row r="6379" spans="1:4">
      <c r="A6379" s="1">
        <v>27561</v>
      </c>
      <c r="B6379">
        <v>91.46</v>
      </c>
      <c r="C6379">
        <f t="shared" si="218"/>
        <v>1.0384445426425075E-2</v>
      </c>
      <c r="D6379">
        <f t="shared" si="217"/>
        <v>1.0636904102505129</v>
      </c>
    </row>
    <row r="6380" spans="1:4">
      <c r="A6380" s="1">
        <v>27562</v>
      </c>
      <c r="B6380">
        <v>90.58</v>
      </c>
      <c r="C6380">
        <f t="shared" si="218"/>
        <v>-9.6216925431882299E-3</v>
      </c>
      <c r="D6380">
        <f t="shared" si="217"/>
        <v>-1.048950958923941</v>
      </c>
    </row>
    <row r="6381" spans="1:4">
      <c r="A6381" s="1">
        <v>27563</v>
      </c>
      <c r="B6381">
        <v>90.39</v>
      </c>
      <c r="C6381">
        <f t="shared" si="218"/>
        <v>-2.0975932877014543E-3</v>
      </c>
      <c r="D6381">
        <f t="shared" si="217"/>
        <v>-0.25440863511014006</v>
      </c>
    </row>
    <row r="6382" spans="1:4">
      <c r="A6382" s="1">
        <v>27564</v>
      </c>
      <c r="B6382">
        <v>92.02</v>
      </c>
      <c r="C6382">
        <f t="shared" si="218"/>
        <v>1.8032968248700026E-2</v>
      </c>
      <c r="D6382">
        <f t="shared" si="217"/>
        <v>1.8713718204235197</v>
      </c>
    </row>
    <row r="6383" spans="1:4">
      <c r="A6383" s="1">
        <v>27565</v>
      </c>
      <c r="B6383">
        <v>92.61</v>
      </c>
      <c r="C6383">
        <f t="shared" si="218"/>
        <v>6.4116496413823458E-3</v>
      </c>
      <c r="D6383">
        <f t="shared" si="217"/>
        <v>0.64416452576890149</v>
      </c>
    </row>
    <row r="6384" spans="1:4">
      <c r="A6384" s="1">
        <v>27568</v>
      </c>
      <c r="B6384">
        <v>93.62</v>
      </c>
      <c r="C6384">
        <f t="shared" si="218"/>
        <v>1.090594968145994E-2</v>
      </c>
      <c r="D6384">
        <f t="shared" si="217"/>
        <v>1.1187610823142855</v>
      </c>
    </row>
    <row r="6385" spans="1:4">
      <c r="A6385" s="1">
        <v>27569</v>
      </c>
      <c r="B6385">
        <v>94.19</v>
      </c>
      <c r="C6385">
        <f t="shared" si="218"/>
        <v>6.0884426404613666E-3</v>
      </c>
      <c r="D6385">
        <f t="shared" si="217"/>
        <v>0.61003397633504375</v>
      </c>
    </row>
    <row r="6386" spans="1:4">
      <c r="A6386" s="1">
        <v>27570</v>
      </c>
      <c r="B6386">
        <v>94.62</v>
      </c>
      <c r="C6386">
        <f t="shared" si="218"/>
        <v>4.5652404713876936E-3</v>
      </c>
      <c r="D6386">
        <f t="shared" si="217"/>
        <v>0.44918434504243787</v>
      </c>
    </row>
    <row r="6387" spans="1:4">
      <c r="A6387" s="1">
        <v>27571</v>
      </c>
      <c r="B6387">
        <v>94.81</v>
      </c>
      <c r="C6387">
        <f t="shared" si="218"/>
        <v>2.0080321285140322E-3</v>
      </c>
      <c r="D6387">
        <f t="shared" si="217"/>
        <v>0.17914401327232909</v>
      </c>
    </row>
    <row r="6388" spans="1:4">
      <c r="A6388" s="1">
        <v>27572</v>
      </c>
      <c r="B6388">
        <v>94.81</v>
      </c>
      <c r="C6388">
        <f t="shared" si="218"/>
        <v>0</v>
      </c>
      <c r="D6388">
        <f t="shared" si="217"/>
        <v>-3.29034969354682E-2</v>
      </c>
    </row>
    <row r="6389" spans="1:4">
      <c r="A6389" s="1">
        <v>27575</v>
      </c>
      <c r="B6389">
        <v>95.19</v>
      </c>
      <c r="C6389">
        <f t="shared" si="218"/>
        <v>4.0080160320640802E-3</v>
      </c>
      <c r="D6389">
        <f t="shared" si="217"/>
        <v>0.39034163365965424</v>
      </c>
    </row>
    <row r="6390" spans="1:4">
      <c r="A6390" s="1">
        <v>27576</v>
      </c>
      <c r="B6390">
        <v>94.85</v>
      </c>
      <c r="C6390">
        <f t="shared" si="218"/>
        <v>-3.5718037608992899E-3</v>
      </c>
      <c r="D6390">
        <f t="shared" si="217"/>
        <v>-0.41008475997134408</v>
      </c>
    </row>
    <row r="6391" spans="1:4">
      <c r="A6391" s="1">
        <v>27577</v>
      </c>
      <c r="B6391">
        <v>94.18</v>
      </c>
      <c r="C6391">
        <f t="shared" si="218"/>
        <v>-7.0637849235633899E-3</v>
      </c>
      <c r="D6391">
        <f t="shared" si="217"/>
        <v>-0.77883678376660337</v>
      </c>
    </row>
    <row r="6392" spans="1:4">
      <c r="A6392" s="1">
        <v>27578</v>
      </c>
      <c r="B6392">
        <v>94.36</v>
      </c>
      <c r="C6392">
        <f t="shared" si="218"/>
        <v>1.9112338076023847E-3</v>
      </c>
      <c r="D6392">
        <f t="shared" si="217"/>
        <v>0.16892214348740708</v>
      </c>
    </row>
    <row r="6393" spans="1:4">
      <c r="A6393" s="1">
        <v>27582</v>
      </c>
      <c r="B6393">
        <v>93.54</v>
      </c>
      <c r="C6393">
        <f t="shared" si="218"/>
        <v>-8.6901229334463027E-3</v>
      </c>
      <c r="D6393">
        <f t="shared" si="217"/>
        <v>-0.95057752479108926</v>
      </c>
    </row>
    <row r="6394" spans="1:4">
      <c r="A6394" s="1">
        <v>27583</v>
      </c>
      <c r="B6394">
        <v>93.39</v>
      </c>
      <c r="C6394">
        <f t="shared" si="218"/>
        <v>-1.6035920461835117E-3</v>
      </c>
      <c r="D6394">
        <f t="shared" si="217"/>
        <v>-0.20224227192502608</v>
      </c>
    </row>
    <row r="6395" spans="1:4">
      <c r="A6395" s="1">
        <v>27584</v>
      </c>
      <c r="B6395">
        <v>94.8</v>
      </c>
      <c r="C6395">
        <f t="shared" si="218"/>
        <v>1.5097976228718241E-2</v>
      </c>
      <c r="D6395">
        <f t="shared" si="217"/>
        <v>1.5614376607657046</v>
      </c>
    </row>
    <row r="6396" spans="1:4">
      <c r="A6396" s="1">
        <v>27585</v>
      </c>
      <c r="B6396">
        <v>94.81</v>
      </c>
      <c r="C6396">
        <f t="shared" si="218"/>
        <v>1.0548523206756452E-4</v>
      </c>
      <c r="D6396">
        <f t="shared" si="217"/>
        <v>-2.1764292285305926E-2</v>
      </c>
    </row>
    <row r="6397" spans="1:4">
      <c r="A6397" s="1">
        <v>27586</v>
      </c>
      <c r="B6397">
        <v>94.66</v>
      </c>
      <c r="C6397">
        <f t="shared" si="218"/>
        <v>-1.5821115916043211E-3</v>
      </c>
      <c r="D6397">
        <f t="shared" si="217"/>
        <v>-0.19997394322302484</v>
      </c>
    </row>
    <row r="6398" spans="1:4">
      <c r="A6398" s="1">
        <v>27589</v>
      </c>
      <c r="B6398">
        <v>95.19</v>
      </c>
      <c r="C6398">
        <f t="shared" si="218"/>
        <v>5.5989858440735384E-3</v>
      </c>
      <c r="D6398">
        <f t="shared" si="217"/>
        <v>0.55834750501093788</v>
      </c>
    </row>
    <row r="6399" spans="1:4">
      <c r="A6399" s="1">
        <v>27590</v>
      </c>
      <c r="B6399">
        <v>95.61</v>
      </c>
      <c r="C6399">
        <f t="shared" si="218"/>
        <v>4.4122281752285086E-3</v>
      </c>
      <c r="D6399">
        <f t="shared" si="217"/>
        <v>0.43302629857943448</v>
      </c>
    </row>
    <row r="6400" spans="1:4">
      <c r="A6400" s="1">
        <v>27591</v>
      </c>
      <c r="B6400">
        <v>94.61</v>
      </c>
      <c r="C6400">
        <f t="shared" si="218"/>
        <v>-1.0459156991946449E-2</v>
      </c>
      <c r="D6400">
        <f t="shared" si="217"/>
        <v>-1.1373869200448115</v>
      </c>
    </row>
    <row r="6401" spans="1:4">
      <c r="A6401" s="1">
        <v>27592</v>
      </c>
      <c r="B6401">
        <v>93.63</v>
      </c>
      <c r="C6401">
        <f t="shared" si="218"/>
        <v>-1.0358313074727872E-2</v>
      </c>
      <c r="D6401">
        <f t="shared" si="217"/>
        <v>-1.1267378366650427</v>
      </c>
    </row>
    <row r="6402" spans="1:4">
      <c r="A6402" s="1">
        <v>27593</v>
      </c>
      <c r="B6402">
        <v>93.2</v>
      </c>
      <c r="C6402">
        <f t="shared" si="218"/>
        <v>-4.5925451244258533E-3</v>
      </c>
      <c r="D6402">
        <f t="shared" si="217"/>
        <v>-0.51787470099290145</v>
      </c>
    </row>
    <row r="6403" spans="1:4">
      <c r="A6403" s="1">
        <v>27596</v>
      </c>
      <c r="B6403">
        <v>92.44</v>
      </c>
      <c r="C6403">
        <f t="shared" si="218"/>
        <v>-8.1545064377682944E-3</v>
      </c>
      <c r="D6403">
        <f t="shared" ref="D6403:D6466" si="219">(C6403-avg)/sd</f>
        <v>-0.89401660491238455</v>
      </c>
    </row>
    <row r="6404" spans="1:4">
      <c r="A6404" s="1">
        <v>27597</v>
      </c>
      <c r="B6404">
        <v>91.45</v>
      </c>
      <c r="C6404">
        <f t="shared" ref="C6404:C6467" si="220">(B6404-B6403)/B6403</f>
        <v>-1.0709649502379867E-2</v>
      </c>
      <c r="D6404">
        <f t="shared" si="219"/>
        <v>-1.1638388440000389</v>
      </c>
    </row>
    <row r="6405" spans="1:4">
      <c r="A6405" s="1">
        <v>27598</v>
      </c>
      <c r="B6405">
        <v>90.18</v>
      </c>
      <c r="C6405">
        <f t="shared" si="220"/>
        <v>-1.3887370147621607E-2</v>
      </c>
      <c r="D6405">
        <f t="shared" si="219"/>
        <v>-1.4994050639778371</v>
      </c>
    </row>
    <row r="6406" spans="1:4">
      <c r="A6406" s="1">
        <v>27599</v>
      </c>
      <c r="B6406">
        <v>90.07</v>
      </c>
      <c r="C6406">
        <f t="shared" si="220"/>
        <v>-1.2197826569085566E-3</v>
      </c>
      <c r="D6406">
        <f t="shared" si="219"/>
        <v>-0.16171213088074113</v>
      </c>
    </row>
    <row r="6407" spans="1:4">
      <c r="A6407" s="1">
        <v>27600</v>
      </c>
      <c r="B6407">
        <v>89.29</v>
      </c>
      <c r="C6407">
        <f t="shared" si="220"/>
        <v>-8.6599311646495727E-3</v>
      </c>
      <c r="D6407">
        <f t="shared" si="219"/>
        <v>-0.9473892842688354</v>
      </c>
    </row>
    <row r="6408" spans="1:4">
      <c r="A6408" s="1">
        <v>27603</v>
      </c>
      <c r="B6408">
        <v>88.69</v>
      </c>
      <c r="C6408">
        <f t="shared" si="220"/>
        <v>-6.7196774554822321E-3</v>
      </c>
      <c r="D6408">
        <f t="shared" si="219"/>
        <v>-0.74249915210504469</v>
      </c>
    </row>
    <row r="6409" spans="1:4">
      <c r="A6409" s="1">
        <v>27604</v>
      </c>
      <c r="B6409">
        <v>88.19</v>
      </c>
      <c r="C6409">
        <f t="shared" si="220"/>
        <v>-5.6376141616867742E-3</v>
      </c>
      <c r="D6409">
        <f t="shared" si="219"/>
        <v>-0.6282336360914289</v>
      </c>
    </row>
    <row r="6410" spans="1:4">
      <c r="A6410" s="1">
        <v>27605</v>
      </c>
      <c r="B6410">
        <v>88.83</v>
      </c>
      <c r="C6410">
        <f t="shared" si="220"/>
        <v>7.2570586234266994E-3</v>
      </c>
      <c r="D6410">
        <f t="shared" si="219"/>
        <v>0.73343942690430974</v>
      </c>
    </row>
    <row r="6411" spans="1:4">
      <c r="A6411" s="1">
        <v>27606</v>
      </c>
      <c r="B6411">
        <v>88.75</v>
      </c>
      <c r="C6411">
        <f t="shared" si="220"/>
        <v>-9.0059664527747721E-4</v>
      </c>
      <c r="D6411">
        <f t="shared" si="219"/>
        <v>-0.12800619654909609</v>
      </c>
    </row>
    <row r="6412" spans="1:4">
      <c r="A6412" s="1">
        <v>27607</v>
      </c>
      <c r="B6412">
        <v>87.99</v>
      </c>
      <c r="C6412">
        <f t="shared" si="220"/>
        <v>-8.5633802816901979E-3</v>
      </c>
      <c r="D6412">
        <f t="shared" si="219"/>
        <v>-0.93719354384756515</v>
      </c>
    </row>
    <row r="6413" spans="1:4">
      <c r="A6413" s="1">
        <v>27610</v>
      </c>
      <c r="B6413">
        <v>87.15</v>
      </c>
      <c r="C6413">
        <f t="shared" si="220"/>
        <v>-9.5465393794748176E-3</v>
      </c>
      <c r="D6413">
        <f t="shared" si="219"/>
        <v>-1.0410148103816061</v>
      </c>
    </row>
    <row r="6414" spans="1:4">
      <c r="A6414" s="1">
        <v>27611</v>
      </c>
      <c r="B6414">
        <v>86.23</v>
      </c>
      <c r="C6414">
        <f t="shared" si="220"/>
        <v>-1.0556511761331057E-2</v>
      </c>
      <c r="D6414">
        <f t="shared" si="219"/>
        <v>-1.1476675505993319</v>
      </c>
    </row>
    <row r="6415" spans="1:4">
      <c r="A6415" s="1">
        <v>27612</v>
      </c>
      <c r="B6415">
        <v>86.25</v>
      </c>
      <c r="C6415">
        <f t="shared" si="220"/>
        <v>2.3193784065865731E-4</v>
      </c>
      <c r="D6415">
        <f t="shared" si="219"/>
        <v>-8.4109398014166406E-3</v>
      </c>
    </row>
    <row r="6416" spans="1:4">
      <c r="A6416" s="1">
        <v>27613</v>
      </c>
      <c r="B6416">
        <v>86.3</v>
      </c>
      <c r="C6416">
        <f t="shared" si="220"/>
        <v>5.7971014492750326E-4</v>
      </c>
      <c r="D6416">
        <f t="shared" si="219"/>
        <v>2.8313697315823571E-2</v>
      </c>
    </row>
    <row r="6417" spans="1:4">
      <c r="A6417" s="1">
        <v>27614</v>
      </c>
      <c r="B6417">
        <v>86.02</v>
      </c>
      <c r="C6417">
        <f t="shared" si="220"/>
        <v>-3.2444959443800828E-3</v>
      </c>
      <c r="D6417">
        <f t="shared" si="219"/>
        <v>-0.37552116580424832</v>
      </c>
    </row>
    <row r="6418" spans="1:4">
      <c r="A6418" s="1">
        <v>27617</v>
      </c>
      <c r="B6418">
        <v>86.55</v>
      </c>
      <c r="C6418">
        <f t="shared" si="220"/>
        <v>6.1613578237619294E-3</v>
      </c>
      <c r="D6418">
        <f t="shared" si="219"/>
        <v>0.61773379490650815</v>
      </c>
    </row>
    <row r="6419" spans="1:4">
      <c r="A6419" s="1">
        <v>27618</v>
      </c>
      <c r="B6419">
        <v>87.12</v>
      </c>
      <c r="C6419">
        <f t="shared" si="220"/>
        <v>6.5857885615252156E-3</v>
      </c>
      <c r="D6419">
        <f t="shared" si="219"/>
        <v>0.66255353654329363</v>
      </c>
    </row>
    <row r="6420" spans="1:4">
      <c r="A6420" s="1">
        <v>27619</v>
      </c>
      <c r="B6420">
        <v>85.97</v>
      </c>
      <c r="C6420">
        <f t="shared" si="220"/>
        <v>-1.3200183654729174E-2</v>
      </c>
      <c r="D6420">
        <f t="shared" si="219"/>
        <v>-1.4268384039144346</v>
      </c>
    </row>
    <row r="6421" spans="1:4">
      <c r="A6421" s="1">
        <v>27620</v>
      </c>
      <c r="B6421">
        <v>85.6</v>
      </c>
      <c r="C6421">
        <f t="shared" si="220"/>
        <v>-4.303826916366227E-3</v>
      </c>
      <c r="D6421">
        <f t="shared" si="219"/>
        <v>-0.48738615636189225</v>
      </c>
    </row>
    <row r="6422" spans="1:4">
      <c r="A6422" s="1">
        <v>27621</v>
      </c>
      <c r="B6422">
        <v>86.36</v>
      </c>
      <c r="C6422">
        <f t="shared" si="220"/>
        <v>8.8785046728972559E-3</v>
      </c>
      <c r="D6422">
        <f t="shared" si="219"/>
        <v>0.90466357857210911</v>
      </c>
    </row>
    <row r="6423" spans="1:4">
      <c r="A6423" s="1">
        <v>27624</v>
      </c>
      <c r="B6423">
        <v>86.2</v>
      </c>
      <c r="C6423">
        <f t="shared" si="220"/>
        <v>-1.8527095877720772E-3</v>
      </c>
      <c r="D6423">
        <f t="shared" si="219"/>
        <v>-0.22854899963761188</v>
      </c>
    </row>
    <row r="6424" spans="1:4">
      <c r="A6424" s="1">
        <v>27625</v>
      </c>
      <c r="B6424">
        <v>84.95</v>
      </c>
      <c r="C6424">
        <f t="shared" si="220"/>
        <v>-1.4501160092807424E-2</v>
      </c>
      <c r="D6424">
        <f t="shared" si="219"/>
        <v>-1.5642210735521198</v>
      </c>
    </row>
    <row r="6425" spans="1:4">
      <c r="A6425" s="1">
        <v>27626</v>
      </c>
      <c r="B6425">
        <v>83.22</v>
      </c>
      <c r="C6425">
        <f t="shared" si="220"/>
        <v>-2.0364920541495045E-2</v>
      </c>
      <c r="D6425">
        <f t="shared" si="219"/>
        <v>-2.1834321837445123</v>
      </c>
    </row>
    <row r="6426" spans="1:4">
      <c r="A6426" s="1">
        <v>27627</v>
      </c>
      <c r="B6426">
        <v>83.07</v>
      </c>
      <c r="C6426">
        <f t="shared" si="220"/>
        <v>-1.8024513338140554E-3</v>
      </c>
      <c r="D6426">
        <f t="shared" si="219"/>
        <v>-0.22324174510325534</v>
      </c>
    </row>
    <row r="6427" spans="1:4">
      <c r="A6427" s="1">
        <v>27628</v>
      </c>
      <c r="B6427">
        <v>84.28</v>
      </c>
      <c r="C6427">
        <f t="shared" si="220"/>
        <v>1.456602865053579E-2</v>
      </c>
      <c r="D6427">
        <f t="shared" si="219"/>
        <v>1.5052641773274049</v>
      </c>
    </row>
    <row r="6428" spans="1:4">
      <c r="A6428" s="1">
        <v>27631</v>
      </c>
      <c r="B6428">
        <v>85.06</v>
      </c>
      <c r="C6428">
        <f t="shared" si="220"/>
        <v>9.2548647365923251E-3</v>
      </c>
      <c r="D6428">
        <f t="shared" si="219"/>
        <v>0.94440707336730689</v>
      </c>
    </row>
    <row r="6429" spans="1:4">
      <c r="A6429" s="1">
        <v>27632</v>
      </c>
      <c r="B6429">
        <v>83.96</v>
      </c>
      <c r="C6429">
        <f t="shared" si="220"/>
        <v>-1.2932047966141646E-2</v>
      </c>
      <c r="D6429">
        <f t="shared" si="219"/>
        <v>-1.3985233663433405</v>
      </c>
    </row>
    <row r="6430" spans="1:4">
      <c r="A6430" s="1">
        <v>27633</v>
      </c>
      <c r="B6430">
        <v>84.43</v>
      </c>
      <c r="C6430">
        <f t="shared" si="220"/>
        <v>5.5979037636971546E-3</v>
      </c>
      <c r="D6430">
        <f t="shared" si="219"/>
        <v>0.55823323769100874</v>
      </c>
    </row>
    <row r="6431" spans="1:4">
      <c r="A6431" s="1">
        <v>27634</v>
      </c>
      <c r="B6431">
        <v>86.4</v>
      </c>
      <c r="C6431">
        <f t="shared" si="220"/>
        <v>2.3332938528958885E-2</v>
      </c>
      <c r="D6431">
        <f t="shared" si="219"/>
        <v>2.431046880471424</v>
      </c>
    </row>
    <row r="6432" spans="1:4">
      <c r="A6432" s="1">
        <v>27635</v>
      </c>
      <c r="B6432">
        <v>86.88</v>
      </c>
      <c r="C6432">
        <f t="shared" si="220"/>
        <v>5.5555555555554369E-3</v>
      </c>
      <c r="D6432">
        <f t="shared" si="219"/>
        <v>0.5537612813060987</v>
      </c>
    </row>
    <row r="6433" spans="1:4">
      <c r="A6433" s="1">
        <v>27639</v>
      </c>
      <c r="B6433">
        <v>85.48</v>
      </c>
      <c r="C6433">
        <f t="shared" si="220"/>
        <v>-1.6114180478821266E-2</v>
      </c>
      <c r="D6433">
        <f t="shared" si="219"/>
        <v>-1.7345554780229124</v>
      </c>
    </row>
    <row r="6434" spans="1:4">
      <c r="A6434" s="1">
        <v>27640</v>
      </c>
      <c r="B6434">
        <v>86.03</v>
      </c>
      <c r="C6434">
        <f t="shared" si="220"/>
        <v>6.4342536265792833E-3</v>
      </c>
      <c r="D6434">
        <f t="shared" si="219"/>
        <v>0.64655149892223029</v>
      </c>
    </row>
    <row r="6435" spans="1:4">
      <c r="A6435" s="1">
        <v>27641</v>
      </c>
      <c r="B6435">
        <v>86.2</v>
      </c>
      <c r="C6435">
        <f t="shared" si="220"/>
        <v>1.9760548645821425E-3</v>
      </c>
      <c r="D6435">
        <f t="shared" si="219"/>
        <v>0.17576722507072168</v>
      </c>
    </row>
    <row r="6436" spans="1:4">
      <c r="A6436" s="1">
        <v>27642</v>
      </c>
      <c r="B6436">
        <v>85.62</v>
      </c>
      <c r="C6436">
        <f t="shared" si="220"/>
        <v>-6.7285382830626246E-3</v>
      </c>
      <c r="D6436">
        <f t="shared" si="219"/>
        <v>-0.74343485248559249</v>
      </c>
    </row>
    <row r="6437" spans="1:4">
      <c r="A6437" s="1">
        <v>27645</v>
      </c>
      <c r="B6437">
        <v>85.89</v>
      </c>
      <c r="C6437">
        <f t="shared" si="220"/>
        <v>3.1534688156972203E-3</v>
      </c>
      <c r="D6437">
        <f t="shared" si="219"/>
        <v>0.30010173808602608</v>
      </c>
    </row>
    <row r="6438" spans="1:4">
      <c r="A6438" s="1">
        <v>27646</v>
      </c>
      <c r="B6438">
        <v>84.6</v>
      </c>
      <c r="C6438">
        <f t="shared" si="220"/>
        <v>-1.5019210618232696E-2</v>
      </c>
      <c r="D6438">
        <f t="shared" si="219"/>
        <v>-1.6189270329430989</v>
      </c>
    </row>
    <row r="6439" spans="1:4">
      <c r="A6439" s="1">
        <v>27647</v>
      </c>
      <c r="B6439">
        <v>83.79</v>
      </c>
      <c r="C6439">
        <f t="shared" si="220"/>
        <v>-9.5744680851062424E-3</v>
      </c>
      <c r="D6439">
        <f t="shared" si="219"/>
        <v>-1.0439640722028563</v>
      </c>
    </row>
    <row r="6440" spans="1:4">
      <c r="A6440" s="1">
        <v>27648</v>
      </c>
      <c r="B6440">
        <v>83.45</v>
      </c>
      <c r="C6440">
        <f t="shared" si="220"/>
        <v>-4.0577634562597373E-3</v>
      </c>
      <c r="D6440">
        <f t="shared" si="219"/>
        <v>-0.46140193861568096</v>
      </c>
    </row>
    <row r="6441" spans="1:4">
      <c r="A6441" s="1">
        <v>27649</v>
      </c>
      <c r="B6441">
        <v>83.3</v>
      </c>
      <c r="C6441">
        <f t="shared" si="220"/>
        <v>-1.7974835230677732E-3</v>
      </c>
      <c r="D6441">
        <f t="shared" si="219"/>
        <v>-0.22271714597708889</v>
      </c>
    </row>
    <row r="6442" spans="1:4">
      <c r="A6442" s="1">
        <v>27652</v>
      </c>
      <c r="B6442">
        <v>82.88</v>
      </c>
      <c r="C6442">
        <f t="shared" si="220"/>
        <v>-5.0420168067227093E-3</v>
      </c>
      <c r="D6442">
        <f t="shared" si="219"/>
        <v>-0.56533875786060128</v>
      </c>
    </row>
    <row r="6443" spans="1:4">
      <c r="A6443" s="1">
        <v>27653</v>
      </c>
      <c r="B6443">
        <v>82.09</v>
      </c>
      <c r="C6443">
        <f t="shared" si="220"/>
        <v>-9.5318532818531865E-3</v>
      </c>
      <c r="D6443">
        <f t="shared" si="219"/>
        <v>-1.0394639634648091</v>
      </c>
    </row>
    <row r="6444" spans="1:4">
      <c r="A6444" s="1">
        <v>27654</v>
      </c>
      <c r="B6444">
        <v>82.37</v>
      </c>
      <c r="C6444">
        <f t="shared" si="220"/>
        <v>3.4108904860519081E-3</v>
      </c>
      <c r="D6444">
        <f t="shared" si="219"/>
        <v>0.32728537897360388</v>
      </c>
    </row>
    <row r="6445" spans="1:4">
      <c r="A6445" s="1">
        <v>27655</v>
      </c>
      <c r="B6445">
        <v>84.06</v>
      </c>
      <c r="C6445">
        <f t="shared" si="220"/>
        <v>2.0517178584436052E-2</v>
      </c>
      <c r="D6445">
        <f t="shared" si="219"/>
        <v>2.1337035874531227</v>
      </c>
    </row>
    <row r="6446" spans="1:4">
      <c r="A6446" s="1">
        <v>27656</v>
      </c>
      <c r="B6446">
        <v>85.88</v>
      </c>
      <c r="C6446">
        <f t="shared" si="220"/>
        <v>2.1651201522721784E-2</v>
      </c>
      <c r="D6446">
        <f t="shared" si="219"/>
        <v>2.2534560242629698</v>
      </c>
    </row>
    <row r="6447" spans="1:4">
      <c r="A6447" s="1">
        <v>27659</v>
      </c>
      <c r="B6447">
        <v>85.07</v>
      </c>
      <c r="C6447">
        <f t="shared" si="220"/>
        <v>-9.4317652538425979E-3</v>
      </c>
      <c r="D6447">
        <f t="shared" si="219"/>
        <v>-1.0288947017284646</v>
      </c>
    </row>
    <row r="6448" spans="1:4">
      <c r="A6448" s="1">
        <v>27660</v>
      </c>
      <c r="B6448">
        <v>84.94</v>
      </c>
      <c r="C6448">
        <f t="shared" si="220"/>
        <v>-1.5281532855295106E-3</v>
      </c>
      <c r="D6448">
        <f t="shared" si="219"/>
        <v>-0.19427596444284426</v>
      </c>
    </row>
    <row r="6449" spans="1:4">
      <c r="A6449" s="1">
        <v>27661</v>
      </c>
      <c r="B6449">
        <v>85.74</v>
      </c>
      <c r="C6449">
        <f t="shared" si="220"/>
        <v>9.4184129974099039E-3</v>
      </c>
      <c r="D6449">
        <f t="shared" si="219"/>
        <v>0.96167771411688829</v>
      </c>
    </row>
    <row r="6450" spans="1:4">
      <c r="A6450" s="1">
        <v>27662</v>
      </c>
      <c r="B6450">
        <v>85.64</v>
      </c>
      <c r="C6450">
        <f t="shared" si="220"/>
        <v>-1.1663167716351099E-3</v>
      </c>
      <c r="D6450">
        <f t="shared" si="219"/>
        <v>-0.15606615156980258</v>
      </c>
    </row>
    <row r="6451" spans="1:4">
      <c r="A6451" s="1">
        <v>27663</v>
      </c>
      <c r="B6451">
        <v>86.19</v>
      </c>
      <c r="C6451">
        <f t="shared" si="220"/>
        <v>6.4222326015880094E-3</v>
      </c>
      <c r="D6451">
        <f t="shared" si="219"/>
        <v>0.64528208276929666</v>
      </c>
    </row>
    <row r="6452" spans="1:4">
      <c r="A6452" s="1">
        <v>27666</v>
      </c>
      <c r="B6452">
        <v>85.03</v>
      </c>
      <c r="C6452">
        <f t="shared" si="220"/>
        <v>-1.3458637893026993E-2</v>
      </c>
      <c r="D6452">
        <f t="shared" si="219"/>
        <v>-1.4541310836258201</v>
      </c>
    </row>
    <row r="6453" spans="1:4">
      <c r="A6453" s="1">
        <v>27667</v>
      </c>
      <c r="B6453">
        <v>83.87</v>
      </c>
      <c r="C6453">
        <f t="shared" si="220"/>
        <v>-1.3642243913912696E-2</v>
      </c>
      <c r="D6453">
        <f t="shared" si="219"/>
        <v>-1.4735198170206314</v>
      </c>
    </row>
    <row r="6454" spans="1:4">
      <c r="A6454" s="1">
        <v>27668</v>
      </c>
      <c r="B6454">
        <v>82.93</v>
      </c>
      <c r="C6454">
        <f t="shared" si="220"/>
        <v>-1.1207821628711073E-2</v>
      </c>
      <c r="D6454">
        <f t="shared" si="219"/>
        <v>-1.2164456512036808</v>
      </c>
    </row>
    <row r="6455" spans="1:4">
      <c r="A6455" s="1">
        <v>27669</v>
      </c>
      <c r="B6455">
        <v>83.82</v>
      </c>
      <c r="C6455">
        <f t="shared" si="220"/>
        <v>1.0731942602194457E-2</v>
      </c>
      <c r="D6455">
        <f t="shared" si="219"/>
        <v>1.1003859938917306</v>
      </c>
    </row>
    <row r="6456" spans="1:4">
      <c r="A6456" s="1">
        <v>27670</v>
      </c>
      <c r="B6456">
        <v>85.95</v>
      </c>
      <c r="C6456">
        <f t="shared" si="220"/>
        <v>2.5411596277738126E-2</v>
      </c>
      <c r="D6456">
        <f t="shared" si="219"/>
        <v>2.6505524321724128</v>
      </c>
    </row>
    <row r="6457" spans="1:4">
      <c r="A6457" s="1">
        <v>27673</v>
      </c>
      <c r="B6457">
        <v>86.88</v>
      </c>
      <c r="C6457">
        <f t="shared" si="220"/>
        <v>1.0820244328097644E-2</v>
      </c>
      <c r="D6457">
        <f t="shared" si="219"/>
        <v>1.1097106261318921</v>
      </c>
    </row>
    <row r="6458" spans="1:4">
      <c r="A6458" s="1">
        <v>27674</v>
      </c>
      <c r="B6458">
        <v>86.77</v>
      </c>
      <c r="C6458">
        <f t="shared" si="220"/>
        <v>-1.2661141804788149E-3</v>
      </c>
      <c r="D6458">
        <f t="shared" si="219"/>
        <v>-0.16660472402091034</v>
      </c>
    </row>
    <row r="6459" spans="1:4">
      <c r="A6459" s="1">
        <v>27675</v>
      </c>
      <c r="B6459">
        <v>87.94</v>
      </c>
      <c r="C6459">
        <f t="shared" si="220"/>
        <v>1.348392301486691E-2</v>
      </c>
      <c r="D6459">
        <f t="shared" si="219"/>
        <v>1.3909941900263485</v>
      </c>
    </row>
    <row r="6460" spans="1:4">
      <c r="A6460" s="1">
        <v>27676</v>
      </c>
      <c r="B6460">
        <v>88.37</v>
      </c>
      <c r="C6460">
        <f t="shared" si="220"/>
        <v>4.8896975210371485E-3</v>
      </c>
      <c r="D6460">
        <f t="shared" si="219"/>
        <v>0.48344689919711048</v>
      </c>
    </row>
    <row r="6461" spans="1:4">
      <c r="A6461" s="1">
        <v>27677</v>
      </c>
      <c r="B6461">
        <v>88.21</v>
      </c>
      <c r="C6461">
        <f t="shared" si="220"/>
        <v>-1.8105691976916464E-3</v>
      </c>
      <c r="D6461">
        <f t="shared" si="219"/>
        <v>-0.22409898876933299</v>
      </c>
    </row>
    <row r="6462" spans="1:4">
      <c r="A6462" s="1">
        <v>27680</v>
      </c>
      <c r="B6462">
        <v>89.46</v>
      </c>
      <c r="C6462">
        <f t="shared" si="220"/>
        <v>1.4170728942296793E-2</v>
      </c>
      <c r="D6462">
        <f t="shared" si="219"/>
        <v>1.4635206625062662</v>
      </c>
    </row>
    <row r="6463" spans="1:4">
      <c r="A6463" s="1">
        <v>27681</v>
      </c>
      <c r="B6463">
        <v>89.28</v>
      </c>
      <c r="C6463">
        <f t="shared" si="220"/>
        <v>-2.0120724346075632E-3</v>
      </c>
      <c r="D6463">
        <f t="shared" si="219"/>
        <v>-0.24537766209337558</v>
      </c>
    </row>
    <row r="6464" spans="1:4">
      <c r="A6464" s="1">
        <v>27682</v>
      </c>
      <c r="B6464">
        <v>89.23</v>
      </c>
      <c r="C6464">
        <f t="shared" si="220"/>
        <v>-5.6003584229387502E-4</v>
      </c>
      <c r="D6464">
        <f t="shared" si="219"/>
        <v>-9.2043091516269215E-2</v>
      </c>
    </row>
    <row r="6465" spans="1:4">
      <c r="A6465" s="1">
        <v>27683</v>
      </c>
      <c r="B6465">
        <v>89.37</v>
      </c>
      <c r="C6465">
        <f t="shared" si="220"/>
        <v>1.5689790429227902E-3</v>
      </c>
      <c r="D6465">
        <f t="shared" si="219"/>
        <v>0.13278015667528897</v>
      </c>
    </row>
    <row r="6466" spans="1:4">
      <c r="A6466" s="1">
        <v>27684</v>
      </c>
      <c r="B6466">
        <v>88.86</v>
      </c>
      <c r="C6466">
        <f t="shared" si="220"/>
        <v>-5.7066129573683016E-3</v>
      </c>
      <c r="D6466">
        <f t="shared" si="219"/>
        <v>-0.63551988546156801</v>
      </c>
    </row>
    <row r="6467" spans="1:4">
      <c r="A6467" s="1">
        <v>27687</v>
      </c>
      <c r="B6467">
        <v>89.82</v>
      </c>
      <c r="C6467">
        <f t="shared" si="220"/>
        <v>1.0803511141120794E-2</v>
      </c>
      <c r="D6467">
        <f t="shared" ref="D6467:D6530" si="221">(C6467-avg)/sd</f>
        <v>1.1079436072750233</v>
      </c>
    </row>
    <row r="6468" spans="1:4">
      <c r="A6468" s="1">
        <v>27688</v>
      </c>
      <c r="B6468">
        <v>90.56</v>
      </c>
      <c r="C6468">
        <f t="shared" ref="C6468:C6531" si="222">(B6468-B6467)/B6467</f>
        <v>8.2386996214652546E-3</v>
      </c>
      <c r="D6468">
        <f t="shared" si="221"/>
        <v>0.83710038262119357</v>
      </c>
    </row>
    <row r="6469" spans="1:4">
      <c r="A6469" s="1">
        <v>27689</v>
      </c>
      <c r="B6469">
        <v>90.71</v>
      </c>
      <c r="C6469">
        <f t="shared" si="222"/>
        <v>1.6563604240281743E-3</v>
      </c>
      <c r="D6469">
        <f t="shared" si="221"/>
        <v>0.14200760081764294</v>
      </c>
    </row>
    <row r="6470" spans="1:4">
      <c r="A6470" s="1">
        <v>27690</v>
      </c>
      <c r="B6470">
        <v>91.24</v>
      </c>
      <c r="C6470">
        <f t="shared" si="222"/>
        <v>5.8427957226325784E-3</v>
      </c>
      <c r="D6470">
        <f t="shared" si="221"/>
        <v>0.58409374531176805</v>
      </c>
    </row>
    <row r="6471" spans="1:4">
      <c r="A6471" s="1">
        <v>27691</v>
      </c>
      <c r="B6471">
        <v>89.83</v>
      </c>
      <c r="C6471">
        <f t="shared" si="222"/>
        <v>-1.5453748355984181E-2</v>
      </c>
      <c r="D6471">
        <f t="shared" si="221"/>
        <v>-1.664814070343102</v>
      </c>
    </row>
    <row r="6472" spans="1:4">
      <c r="A6472" s="1">
        <v>27694</v>
      </c>
      <c r="B6472">
        <v>89.73</v>
      </c>
      <c r="C6472">
        <f t="shared" si="222"/>
        <v>-1.1132138483802105E-3</v>
      </c>
      <c r="D6472">
        <f t="shared" si="221"/>
        <v>-0.15045850092464585</v>
      </c>
    </row>
    <row r="6473" spans="1:4">
      <c r="A6473" s="1">
        <v>27695</v>
      </c>
      <c r="B6473">
        <v>90.51</v>
      </c>
      <c r="C6473">
        <f t="shared" si="222"/>
        <v>8.692744901370791E-3</v>
      </c>
      <c r="D6473">
        <f t="shared" si="221"/>
        <v>0.88504740984172869</v>
      </c>
    </row>
    <row r="6474" spans="1:4">
      <c r="A6474" s="1">
        <v>27696</v>
      </c>
      <c r="B6474">
        <v>89.39</v>
      </c>
      <c r="C6474">
        <f t="shared" si="222"/>
        <v>-1.2374323279195718E-2</v>
      </c>
      <c r="D6474">
        <f t="shared" si="221"/>
        <v>-1.3396278289816828</v>
      </c>
    </row>
    <row r="6475" spans="1:4">
      <c r="A6475" s="1">
        <v>27697</v>
      </c>
      <c r="B6475">
        <v>89.31</v>
      </c>
      <c r="C6475">
        <f t="shared" si="222"/>
        <v>-8.9495469291865192E-4</v>
      </c>
      <c r="D6475">
        <f t="shared" si="221"/>
        <v>-0.12741040829779693</v>
      </c>
    </row>
    <row r="6476" spans="1:4">
      <c r="A6476" s="1">
        <v>27698</v>
      </c>
      <c r="B6476">
        <v>89.04</v>
      </c>
      <c r="C6476">
        <f t="shared" si="222"/>
        <v>-3.023177695666734E-3</v>
      </c>
      <c r="D6476">
        <f t="shared" si="221"/>
        <v>-0.35215003396984668</v>
      </c>
    </row>
    <row r="6477" spans="1:4">
      <c r="A6477" s="1">
        <v>27701</v>
      </c>
      <c r="B6477">
        <v>88.09</v>
      </c>
      <c r="C6477">
        <f t="shared" si="222"/>
        <v>-1.0669362084456456E-2</v>
      </c>
      <c r="D6477">
        <f t="shared" si="221"/>
        <v>-1.1595845063616854</v>
      </c>
    </row>
    <row r="6478" spans="1:4">
      <c r="A6478" s="1">
        <v>27702</v>
      </c>
      <c r="B6478">
        <v>88.51</v>
      </c>
      <c r="C6478">
        <f t="shared" si="222"/>
        <v>4.767851061414482E-3</v>
      </c>
      <c r="D6478">
        <f t="shared" si="221"/>
        <v>0.47057995447858092</v>
      </c>
    </row>
    <row r="6479" spans="1:4">
      <c r="A6479" s="1">
        <v>27703</v>
      </c>
      <c r="B6479">
        <v>89.15</v>
      </c>
      <c r="C6479">
        <f t="shared" si="222"/>
        <v>7.2308213761156995E-3</v>
      </c>
      <c r="D6479">
        <f t="shared" si="221"/>
        <v>0.73066878250674183</v>
      </c>
    </row>
    <row r="6480" spans="1:4">
      <c r="A6480" s="1">
        <v>27704</v>
      </c>
      <c r="B6480">
        <v>89.55</v>
      </c>
      <c r="C6480">
        <f t="shared" si="222"/>
        <v>4.486819966348754E-3</v>
      </c>
      <c r="D6480">
        <f t="shared" si="221"/>
        <v>0.4409031663667507</v>
      </c>
    </row>
    <row r="6481" spans="1:4">
      <c r="A6481" s="1">
        <v>27705</v>
      </c>
      <c r="B6481">
        <v>89.33</v>
      </c>
      <c r="C6481">
        <f t="shared" si="222"/>
        <v>-2.4567280848687757E-3</v>
      </c>
      <c r="D6481">
        <f t="shared" si="221"/>
        <v>-0.29233314761516027</v>
      </c>
    </row>
    <row r="6482" spans="1:4">
      <c r="A6482" s="1">
        <v>27708</v>
      </c>
      <c r="B6482">
        <v>89.34</v>
      </c>
      <c r="C6482">
        <f t="shared" si="222"/>
        <v>1.1194447554018936E-4</v>
      </c>
      <c r="D6482">
        <f t="shared" si="221"/>
        <v>-2.1082198370200277E-2</v>
      </c>
    </row>
    <row r="6483" spans="1:4">
      <c r="A6483" s="1">
        <v>27709</v>
      </c>
      <c r="B6483">
        <v>89.87</v>
      </c>
      <c r="C6483">
        <f t="shared" si="222"/>
        <v>5.9323931049921775E-3</v>
      </c>
      <c r="D6483">
        <f t="shared" si="221"/>
        <v>0.59355519843331173</v>
      </c>
    </row>
    <row r="6484" spans="1:4">
      <c r="A6484" s="1">
        <v>27710</v>
      </c>
      <c r="B6484">
        <v>91.19</v>
      </c>
      <c r="C6484">
        <f t="shared" si="222"/>
        <v>1.4687882496939949E-2</v>
      </c>
      <c r="D6484">
        <f t="shared" si="221"/>
        <v>1.5181319020875492</v>
      </c>
    </row>
    <row r="6485" spans="1:4">
      <c r="A6485" s="1">
        <v>27711</v>
      </c>
      <c r="B6485">
        <v>91.04</v>
      </c>
      <c r="C6485">
        <f t="shared" si="222"/>
        <v>-1.6449172058338795E-3</v>
      </c>
      <c r="D6485">
        <f t="shared" si="221"/>
        <v>-0.20660619473700065</v>
      </c>
    </row>
    <row r="6486" spans="1:4">
      <c r="A6486" s="1">
        <v>27712</v>
      </c>
      <c r="B6486">
        <v>90.97</v>
      </c>
      <c r="C6486">
        <f t="shared" si="222"/>
        <v>-7.688927943761795E-4</v>
      </c>
      <c r="D6486">
        <f t="shared" si="221"/>
        <v>-0.11409831466223315</v>
      </c>
    </row>
    <row r="6487" spans="1:4">
      <c r="A6487" s="1">
        <v>27715</v>
      </c>
      <c r="B6487">
        <v>91.46</v>
      </c>
      <c r="C6487">
        <f t="shared" si="222"/>
        <v>5.3863911179509163E-3</v>
      </c>
      <c r="D6487">
        <f t="shared" si="221"/>
        <v>0.53589757419684758</v>
      </c>
    </row>
    <row r="6488" spans="1:4">
      <c r="A6488" s="1">
        <v>27716</v>
      </c>
      <c r="B6488">
        <v>91</v>
      </c>
      <c r="C6488">
        <f t="shared" si="222"/>
        <v>-5.0295211021210776E-3</v>
      </c>
      <c r="D6488">
        <f t="shared" si="221"/>
        <v>-0.5640192157021654</v>
      </c>
    </row>
    <row r="6489" spans="1:4">
      <c r="A6489" s="1">
        <v>27717</v>
      </c>
      <c r="B6489">
        <v>89.98</v>
      </c>
      <c r="C6489">
        <f t="shared" si="222"/>
        <v>-1.1208791208791166E-2</v>
      </c>
      <c r="D6489">
        <f t="shared" si="221"/>
        <v>-1.2165480385305625</v>
      </c>
    </row>
    <row r="6490" spans="1:4">
      <c r="A6490" s="1">
        <v>27718</v>
      </c>
      <c r="B6490">
        <v>89.64</v>
      </c>
      <c r="C6490">
        <f t="shared" si="222"/>
        <v>-3.7786174705490487E-3</v>
      </c>
      <c r="D6490">
        <f t="shared" si="221"/>
        <v>-0.43192421741096299</v>
      </c>
    </row>
    <row r="6491" spans="1:4">
      <c r="A6491" s="1">
        <v>27719</v>
      </c>
      <c r="B6491">
        <v>89.53</v>
      </c>
      <c r="C6491">
        <f t="shared" si="222"/>
        <v>-1.2271307452030281E-3</v>
      </c>
      <c r="D6491">
        <f t="shared" si="221"/>
        <v>-0.16248808650690075</v>
      </c>
    </row>
    <row r="6492" spans="1:4">
      <c r="A6492" s="1">
        <v>27722</v>
      </c>
      <c r="B6492">
        <v>89.7</v>
      </c>
      <c r="C6492">
        <f t="shared" si="222"/>
        <v>1.8988048698760382E-3</v>
      </c>
      <c r="D6492">
        <f t="shared" si="221"/>
        <v>0.16760965188830609</v>
      </c>
    </row>
    <row r="6493" spans="1:4">
      <c r="A6493" s="1">
        <v>27723</v>
      </c>
      <c r="B6493">
        <v>90.71</v>
      </c>
      <c r="C6493">
        <f t="shared" si="222"/>
        <v>1.1259754738015507E-2</v>
      </c>
      <c r="D6493">
        <f t="shared" si="221"/>
        <v>1.1561227760223713</v>
      </c>
    </row>
    <row r="6494" spans="1:4">
      <c r="A6494" s="1">
        <v>27724</v>
      </c>
      <c r="B6494">
        <v>90.94</v>
      </c>
      <c r="C6494">
        <f t="shared" si="222"/>
        <v>2.5355528607651197E-3</v>
      </c>
      <c r="D6494">
        <f t="shared" si="221"/>
        <v>0.23485002328503465</v>
      </c>
    </row>
    <row r="6495" spans="1:4">
      <c r="A6495" s="1">
        <v>27726</v>
      </c>
      <c r="B6495">
        <v>91.24</v>
      </c>
      <c r="C6495">
        <f t="shared" si="222"/>
        <v>3.2988783813503097E-3</v>
      </c>
      <c r="D6495">
        <f t="shared" si="221"/>
        <v>0.31545693879187942</v>
      </c>
    </row>
    <row r="6496" spans="1:4">
      <c r="A6496" s="1">
        <v>27729</v>
      </c>
      <c r="B6496">
        <v>90.67</v>
      </c>
      <c r="C6496">
        <f t="shared" si="222"/>
        <v>-6.2472599736956734E-3</v>
      </c>
      <c r="D6496">
        <f t="shared" si="221"/>
        <v>-0.6926120266108885</v>
      </c>
    </row>
    <row r="6497" spans="1:4">
      <c r="A6497" s="1">
        <v>27730</v>
      </c>
      <c r="B6497">
        <v>89.33</v>
      </c>
      <c r="C6497">
        <f t="shared" si="222"/>
        <v>-1.4778868423955038E-2</v>
      </c>
      <c r="D6497">
        <f t="shared" si="221"/>
        <v>-1.5935469789236596</v>
      </c>
    </row>
    <row r="6498" spans="1:4">
      <c r="A6498" s="1">
        <v>27731</v>
      </c>
      <c r="B6498">
        <v>87.6</v>
      </c>
      <c r="C6498">
        <f t="shared" si="222"/>
        <v>-1.9366394268442898E-2</v>
      </c>
      <c r="D6498">
        <f t="shared" si="221"/>
        <v>-2.077988148725777</v>
      </c>
    </row>
    <row r="6499" spans="1:4">
      <c r="A6499" s="1">
        <v>27732</v>
      </c>
      <c r="B6499">
        <v>87.84</v>
      </c>
      <c r="C6499">
        <f t="shared" si="222"/>
        <v>2.7397260273973644E-3</v>
      </c>
      <c r="D6499">
        <f t="shared" si="221"/>
        <v>0.25641064027956828</v>
      </c>
    </row>
    <row r="6500" spans="1:4">
      <c r="A6500" s="1">
        <v>27733</v>
      </c>
      <c r="B6500">
        <v>86.82</v>
      </c>
      <c r="C6500">
        <f t="shared" si="222"/>
        <v>-1.1612021857923613E-2</v>
      </c>
      <c r="D6500">
        <f t="shared" si="221"/>
        <v>-1.2591290580141916</v>
      </c>
    </row>
    <row r="6501" spans="1:4">
      <c r="A6501" s="1">
        <v>27736</v>
      </c>
      <c r="B6501">
        <v>87.07</v>
      </c>
      <c r="C6501">
        <f t="shared" si="222"/>
        <v>2.879520847730938E-3</v>
      </c>
      <c r="D6501">
        <f t="shared" si="221"/>
        <v>0.27117292578822544</v>
      </c>
    </row>
    <row r="6502" spans="1:4">
      <c r="A6502" s="1">
        <v>27737</v>
      </c>
      <c r="B6502">
        <v>87.3</v>
      </c>
      <c r="C6502">
        <f t="shared" si="222"/>
        <v>2.641552773630458E-3</v>
      </c>
      <c r="D6502">
        <f t="shared" si="221"/>
        <v>0.24604357805249333</v>
      </c>
    </row>
    <row r="6503" spans="1:4">
      <c r="A6503" s="1">
        <v>27738</v>
      </c>
      <c r="B6503">
        <v>88.08</v>
      </c>
      <c r="C6503">
        <f t="shared" si="222"/>
        <v>8.9347079037800821E-3</v>
      </c>
      <c r="D6503">
        <f t="shared" si="221"/>
        <v>0.91059862064892916</v>
      </c>
    </row>
    <row r="6504" spans="1:4">
      <c r="A6504" s="1">
        <v>27739</v>
      </c>
      <c r="B6504">
        <v>87.8</v>
      </c>
      <c r="C6504">
        <f t="shared" si="222"/>
        <v>-3.1789282470481512E-3</v>
      </c>
      <c r="D6504">
        <f t="shared" si="221"/>
        <v>-0.3685972392535396</v>
      </c>
    </row>
    <row r="6505" spans="1:4">
      <c r="A6505" s="1">
        <v>27740</v>
      </c>
      <c r="B6505">
        <v>87.83</v>
      </c>
      <c r="C6505">
        <f t="shared" si="222"/>
        <v>3.4168564920274646E-4</v>
      </c>
      <c r="D6505">
        <f t="shared" si="221"/>
        <v>3.1783914757464887E-3</v>
      </c>
    </row>
    <row r="6506" spans="1:4">
      <c r="A6506" s="1">
        <v>27743</v>
      </c>
      <c r="B6506">
        <v>88.09</v>
      </c>
      <c r="C6506">
        <f t="shared" si="222"/>
        <v>2.9602641466469899E-3</v>
      </c>
      <c r="D6506">
        <f t="shared" si="221"/>
        <v>0.27969939070777966</v>
      </c>
    </row>
    <row r="6507" spans="1:4">
      <c r="A6507" s="1">
        <v>27744</v>
      </c>
      <c r="B6507">
        <v>88.93</v>
      </c>
      <c r="C6507">
        <f t="shared" si="222"/>
        <v>9.5357021228289641E-3</v>
      </c>
      <c r="D6507">
        <f t="shared" si="221"/>
        <v>0.97406340589263019</v>
      </c>
    </row>
    <row r="6508" spans="1:4">
      <c r="A6508" s="1">
        <v>27745</v>
      </c>
      <c r="B6508">
        <v>89.15</v>
      </c>
      <c r="C6508">
        <f t="shared" si="222"/>
        <v>2.473855841673213E-3</v>
      </c>
      <c r="D6508">
        <f t="shared" si="221"/>
        <v>0.22833483904076507</v>
      </c>
    </row>
    <row r="6509" spans="1:4">
      <c r="A6509" s="1">
        <v>27746</v>
      </c>
      <c r="B6509">
        <v>89.43</v>
      </c>
      <c r="C6509">
        <f t="shared" si="222"/>
        <v>3.1407739764442075E-3</v>
      </c>
      <c r="D6509">
        <f t="shared" si="221"/>
        <v>0.29876116737609348</v>
      </c>
    </row>
    <row r="6510" spans="1:4">
      <c r="A6510" s="1">
        <v>27747</v>
      </c>
      <c r="B6510">
        <v>88.8</v>
      </c>
      <c r="C6510">
        <f t="shared" si="222"/>
        <v>-7.0446159007045688E-3</v>
      </c>
      <c r="D6510">
        <f t="shared" si="221"/>
        <v>-0.77681254146857937</v>
      </c>
    </row>
    <row r="6511" spans="1:4">
      <c r="A6511" s="1">
        <v>27750</v>
      </c>
      <c r="B6511">
        <v>88.14</v>
      </c>
      <c r="C6511">
        <f t="shared" si="222"/>
        <v>-7.4324324324323947E-3</v>
      </c>
      <c r="D6511">
        <f t="shared" si="221"/>
        <v>-0.81776583539379355</v>
      </c>
    </row>
    <row r="6512" spans="1:4">
      <c r="A6512" s="1">
        <v>27751</v>
      </c>
      <c r="B6512">
        <v>88.73</v>
      </c>
      <c r="C6512">
        <f t="shared" si="222"/>
        <v>6.6938960744270864E-3</v>
      </c>
      <c r="D6512">
        <f t="shared" si="221"/>
        <v>0.67396965315820201</v>
      </c>
    </row>
    <row r="6513" spans="1:4">
      <c r="A6513" s="1">
        <v>27752</v>
      </c>
      <c r="B6513">
        <v>89.46</v>
      </c>
      <c r="C6513">
        <f t="shared" si="222"/>
        <v>8.2272061309589736E-3</v>
      </c>
      <c r="D6513">
        <f t="shared" si="221"/>
        <v>0.8358866739305576</v>
      </c>
    </row>
    <row r="6514" spans="1:4">
      <c r="A6514" s="1">
        <v>27754</v>
      </c>
      <c r="B6514">
        <v>90.25</v>
      </c>
      <c r="C6514">
        <f t="shared" si="222"/>
        <v>8.8307623518891834E-3</v>
      </c>
      <c r="D6514">
        <f t="shared" si="221"/>
        <v>0.89962200570206008</v>
      </c>
    </row>
    <row r="6515" spans="1:4">
      <c r="A6515" s="1">
        <v>27757</v>
      </c>
      <c r="B6515">
        <v>90.13</v>
      </c>
      <c r="C6515">
        <f t="shared" si="222"/>
        <v>-1.3296398891967263E-3</v>
      </c>
      <c r="D6515">
        <f t="shared" si="221"/>
        <v>-0.17331301726808424</v>
      </c>
    </row>
    <row r="6516" spans="1:4">
      <c r="A6516" s="1">
        <v>27758</v>
      </c>
      <c r="B6516">
        <v>89.77</v>
      </c>
      <c r="C6516">
        <f t="shared" si="222"/>
        <v>-3.9942305558637462E-3</v>
      </c>
      <c r="D6516">
        <f t="shared" si="221"/>
        <v>-0.45469288592974644</v>
      </c>
    </row>
    <row r="6517" spans="1:4">
      <c r="A6517" s="1">
        <v>27759</v>
      </c>
      <c r="B6517">
        <v>90.19</v>
      </c>
      <c r="C6517">
        <f t="shared" si="222"/>
        <v>4.6786231480450231E-3</v>
      </c>
      <c r="D6517">
        <f t="shared" si="221"/>
        <v>0.46115751715680747</v>
      </c>
    </row>
    <row r="6518" spans="1:4">
      <c r="A6518" s="1">
        <v>27761</v>
      </c>
      <c r="B6518">
        <v>90.9</v>
      </c>
      <c r="C6518">
        <f t="shared" si="222"/>
        <v>7.8722696529549621E-3</v>
      </c>
      <c r="D6518">
        <f t="shared" si="221"/>
        <v>0.79840550250210474</v>
      </c>
    </row>
    <row r="6519" spans="1:4">
      <c r="A6519" s="1">
        <v>27764</v>
      </c>
      <c r="B6519">
        <v>92.58</v>
      </c>
      <c r="C6519">
        <f t="shared" si="222"/>
        <v>1.8481848184818399E-2</v>
      </c>
      <c r="D6519">
        <f t="shared" si="221"/>
        <v>1.918773389095916</v>
      </c>
    </row>
    <row r="6520" spans="1:4">
      <c r="A6520" s="1">
        <v>27765</v>
      </c>
      <c r="B6520">
        <v>93.53</v>
      </c>
      <c r="C6520">
        <f t="shared" si="222"/>
        <v>1.0261395549794803E-2</v>
      </c>
      <c r="D6520">
        <f t="shared" si="221"/>
        <v>1.0506963851050417</v>
      </c>
    </row>
    <row r="6521" spans="1:4">
      <c r="A6521" s="1">
        <v>27766</v>
      </c>
      <c r="B6521">
        <v>93.95</v>
      </c>
      <c r="C6521">
        <f t="shared" si="222"/>
        <v>4.4905377953597956E-3</v>
      </c>
      <c r="D6521">
        <f t="shared" si="221"/>
        <v>0.44129576784656521</v>
      </c>
    </row>
    <row r="6522" spans="1:4">
      <c r="A6522" s="1">
        <v>27767</v>
      </c>
      <c r="B6522">
        <v>94.58</v>
      </c>
      <c r="C6522">
        <f t="shared" si="222"/>
        <v>6.7056945183607813E-3</v>
      </c>
      <c r="D6522">
        <f t="shared" si="221"/>
        <v>0.67521556482711431</v>
      </c>
    </row>
    <row r="6523" spans="1:4">
      <c r="A6523" s="1">
        <v>27768</v>
      </c>
      <c r="B6523">
        <v>94.95</v>
      </c>
      <c r="C6523">
        <f t="shared" si="222"/>
        <v>3.9120321421019727E-3</v>
      </c>
      <c r="D6523">
        <f t="shared" si="221"/>
        <v>0.38020576750616508</v>
      </c>
    </row>
    <row r="6524" spans="1:4">
      <c r="A6524" s="1">
        <v>27771</v>
      </c>
      <c r="B6524">
        <v>96.33</v>
      </c>
      <c r="C6524">
        <f t="shared" si="222"/>
        <v>1.4533965244865671E-2</v>
      </c>
      <c r="D6524">
        <f t="shared" si="221"/>
        <v>1.5018782925875214</v>
      </c>
    </row>
    <row r="6525" spans="1:4">
      <c r="A6525" s="1">
        <v>27772</v>
      </c>
      <c r="B6525">
        <v>95.57</v>
      </c>
      <c r="C6525">
        <f t="shared" si="222"/>
        <v>-7.8895463510848651E-3</v>
      </c>
      <c r="D6525">
        <f t="shared" si="221"/>
        <v>-0.86603690982292381</v>
      </c>
    </row>
    <row r="6526" spans="1:4">
      <c r="A6526" s="1">
        <v>27773</v>
      </c>
      <c r="B6526">
        <v>97.13</v>
      </c>
      <c r="C6526">
        <f t="shared" si="222"/>
        <v>1.6323113947891623E-2</v>
      </c>
      <c r="D6526">
        <f t="shared" si="221"/>
        <v>1.6908117874658686</v>
      </c>
    </row>
    <row r="6527" spans="1:4">
      <c r="A6527" s="1">
        <v>27774</v>
      </c>
      <c r="B6527">
        <v>96.61</v>
      </c>
      <c r="C6527">
        <f t="shared" si="222"/>
        <v>-5.3536497477606922E-3</v>
      </c>
      <c r="D6527">
        <f t="shared" si="221"/>
        <v>-0.59824709050502878</v>
      </c>
    </row>
    <row r="6528" spans="1:4">
      <c r="A6528" s="1">
        <v>27775</v>
      </c>
      <c r="B6528">
        <v>97</v>
      </c>
      <c r="C6528">
        <f t="shared" si="222"/>
        <v>4.0368491874547205E-3</v>
      </c>
      <c r="D6528">
        <f t="shared" si="221"/>
        <v>0.39338640506804012</v>
      </c>
    </row>
    <row r="6529" spans="1:4">
      <c r="A6529" s="1">
        <v>27778</v>
      </c>
      <c r="B6529">
        <v>98.32</v>
      </c>
      <c r="C6529">
        <f t="shared" si="222"/>
        <v>1.3608247422680343E-2</v>
      </c>
      <c r="D6529">
        <f t="shared" si="221"/>
        <v>1.4041228052315273</v>
      </c>
    </row>
    <row r="6530" spans="1:4">
      <c r="A6530" s="1">
        <v>27779</v>
      </c>
      <c r="B6530">
        <v>98.86</v>
      </c>
      <c r="C6530">
        <f t="shared" si="222"/>
        <v>5.4922701383239049E-3</v>
      </c>
      <c r="D6530">
        <f t="shared" si="221"/>
        <v>0.54707836275820743</v>
      </c>
    </row>
    <row r="6531" spans="1:4">
      <c r="A6531" s="1">
        <v>27780</v>
      </c>
      <c r="B6531">
        <v>98.24</v>
      </c>
      <c r="C6531">
        <f t="shared" si="222"/>
        <v>-6.2714950434958989E-3</v>
      </c>
      <c r="D6531">
        <f t="shared" ref="D6531:D6594" si="223">(C6531-avg)/sd</f>
        <v>-0.69517124174389178</v>
      </c>
    </row>
    <row r="6532" spans="1:4">
      <c r="A6532" s="1">
        <v>27781</v>
      </c>
      <c r="B6532">
        <v>98.04</v>
      </c>
      <c r="C6532">
        <f t="shared" ref="C6532:C6595" si="224">(B6532-B6531)/B6531</f>
        <v>-2.0358306188923924E-3</v>
      </c>
      <c r="D6532">
        <f t="shared" si="223"/>
        <v>-0.2478865182780543</v>
      </c>
    </row>
    <row r="6533" spans="1:4">
      <c r="A6533" s="1">
        <v>27782</v>
      </c>
      <c r="B6533">
        <v>99.21</v>
      </c>
      <c r="C6533">
        <f t="shared" si="224"/>
        <v>1.1933904528763641E-2</v>
      </c>
      <c r="D6533">
        <f t="shared" si="223"/>
        <v>1.2273127647707263</v>
      </c>
    </row>
    <row r="6534" spans="1:4">
      <c r="A6534" s="1">
        <v>27785</v>
      </c>
      <c r="B6534">
        <v>99.68</v>
      </c>
      <c r="C6534">
        <f t="shared" si="224"/>
        <v>4.737425662735743E-3</v>
      </c>
      <c r="D6534">
        <f t="shared" si="223"/>
        <v>0.46736704272020158</v>
      </c>
    </row>
    <row r="6535" spans="1:4">
      <c r="A6535" s="1">
        <v>27786</v>
      </c>
      <c r="B6535">
        <v>99.07</v>
      </c>
      <c r="C6535">
        <f t="shared" si="224"/>
        <v>-6.1195826645266214E-3</v>
      </c>
      <c r="D6535">
        <f t="shared" si="223"/>
        <v>-0.67912934616226261</v>
      </c>
    </row>
    <row r="6536" spans="1:4">
      <c r="A6536" s="1">
        <v>27787</v>
      </c>
      <c r="B6536">
        <v>98.53</v>
      </c>
      <c r="C6536">
        <f t="shared" si="224"/>
        <v>-5.4506914303017271E-3</v>
      </c>
      <c r="D6536">
        <f t="shared" si="223"/>
        <v>-0.60849465919529155</v>
      </c>
    </row>
    <row r="6537" spans="1:4">
      <c r="A6537" s="1">
        <v>27788</v>
      </c>
      <c r="B6537">
        <v>100.11</v>
      </c>
      <c r="C6537">
        <f t="shared" si="224"/>
        <v>1.6035725159849773E-2</v>
      </c>
      <c r="D6537">
        <f t="shared" si="223"/>
        <v>1.6604636291368446</v>
      </c>
    </row>
    <row r="6538" spans="1:4">
      <c r="A6538" s="1">
        <v>27789</v>
      </c>
      <c r="B6538">
        <v>100.86</v>
      </c>
      <c r="C6538">
        <f t="shared" si="224"/>
        <v>7.4917590650284685E-3</v>
      </c>
      <c r="D6538">
        <f t="shared" si="223"/>
        <v>0.75822371375890019</v>
      </c>
    </row>
    <row r="6539" spans="1:4">
      <c r="A6539" s="1">
        <v>27792</v>
      </c>
      <c r="B6539">
        <v>100.87</v>
      </c>
      <c r="C6539">
        <f t="shared" si="224"/>
        <v>9.9147332936794729E-5</v>
      </c>
      <c r="D6539">
        <f t="shared" si="223"/>
        <v>-2.2433572279158626E-2</v>
      </c>
    </row>
    <row r="6540" spans="1:4">
      <c r="A6540" s="1">
        <v>27793</v>
      </c>
      <c r="B6540">
        <v>101.18</v>
      </c>
      <c r="C6540">
        <f t="shared" si="224"/>
        <v>3.0732626152473706E-3</v>
      </c>
      <c r="D6540">
        <f t="shared" si="223"/>
        <v>0.29163199058193418</v>
      </c>
    </row>
    <row r="6541" spans="1:4">
      <c r="A6541" s="1">
        <v>27794</v>
      </c>
      <c r="B6541">
        <v>101.91</v>
      </c>
      <c r="C6541">
        <f t="shared" si="224"/>
        <v>7.2148645977464882E-3</v>
      </c>
      <c r="D6541">
        <f t="shared" si="223"/>
        <v>0.72898375213492561</v>
      </c>
    </row>
    <row r="6542" spans="1:4">
      <c r="A6542" s="1">
        <v>27795</v>
      </c>
      <c r="B6542">
        <v>100.39</v>
      </c>
      <c r="C6542">
        <f t="shared" si="224"/>
        <v>-1.4915121185359592E-2</v>
      </c>
      <c r="D6542">
        <f t="shared" si="223"/>
        <v>-1.6079352242134166</v>
      </c>
    </row>
    <row r="6543" spans="1:4">
      <c r="A6543" s="1">
        <v>27796</v>
      </c>
      <c r="B6543">
        <v>99.46</v>
      </c>
      <c r="C6543">
        <f t="shared" si="224"/>
        <v>-9.2638709034765093E-3</v>
      </c>
      <c r="D6543">
        <f t="shared" si="223"/>
        <v>-1.0111651153998682</v>
      </c>
    </row>
    <row r="6544" spans="1:4">
      <c r="A6544" s="1">
        <v>27799</v>
      </c>
      <c r="B6544">
        <v>99.62</v>
      </c>
      <c r="C6544">
        <f t="shared" si="224"/>
        <v>1.6086869093103842E-3</v>
      </c>
      <c r="D6544">
        <f t="shared" si="223"/>
        <v>0.13697329386845933</v>
      </c>
    </row>
    <row r="6545" spans="1:4">
      <c r="A6545" s="1">
        <v>27800</v>
      </c>
      <c r="B6545">
        <v>100.47</v>
      </c>
      <c r="C6545">
        <f t="shared" si="224"/>
        <v>8.5324232081910693E-3</v>
      </c>
      <c r="D6545">
        <f t="shared" si="223"/>
        <v>0.86811749353794143</v>
      </c>
    </row>
    <row r="6546" spans="1:4">
      <c r="A6546" s="1">
        <v>27801</v>
      </c>
      <c r="B6546">
        <v>100.77</v>
      </c>
      <c r="C6546">
        <f t="shared" si="224"/>
        <v>2.985965959988028E-3</v>
      </c>
      <c r="D6546">
        <f t="shared" si="223"/>
        <v>0.28241349346012246</v>
      </c>
    </row>
    <row r="6547" spans="1:4">
      <c r="A6547" s="1">
        <v>27802</v>
      </c>
      <c r="B6547">
        <v>100.25</v>
      </c>
      <c r="C6547">
        <f t="shared" si="224"/>
        <v>-5.1602659521682651E-3</v>
      </c>
      <c r="D6547">
        <f t="shared" si="223"/>
        <v>-0.57782582742481448</v>
      </c>
    </row>
    <row r="6548" spans="1:4">
      <c r="A6548" s="1">
        <v>27803</v>
      </c>
      <c r="B6548">
        <v>99.67</v>
      </c>
      <c r="C6548">
        <f t="shared" si="224"/>
        <v>-5.7855361596009808E-3</v>
      </c>
      <c r="D6548">
        <f t="shared" si="223"/>
        <v>-0.64385414879003899</v>
      </c>
    </row>
    <row r="6549" spans="1:4">
      <c r="A6549" s="1">
        <v>27807</v>
      </c>
      <c r="B6549">
        <v>99.05</v>
      </c>
      <c r="C6549">
        <f t="shared" si="224"/>
        <v>-6.2205277415471509E-3</v>
      </c>
      <c r="D6549">
        <f t="shared" si="223"/>
        <v>-0.68978911198273174</v>
      </c>
    </row>
    <row r="6550" spans="1:4">
      <c r="A6550" s="1">
        <v>27808</v>
      </c>
      <c r="B6550">
        <v>99.85</v>
      </c>
      <c r="C6550">
        <f t="shared" si="224"/>
        <v>8.076728924785434E-3</v>
      </c>
      <c r="D6550">
        <f t="shared" si="223"/>
        <v>0.81999633210831924</v>
      </c>
    </row>
    <row r="6551" spans="1:4">
      <c r="A6551" s="1">
        <v>27809</v>
      </c>
      <c r="B6551">
        <v>101.41</v>
      </c>
      <c r="C6551">
        <f t="shared" si="224"/>
        <v>1.5623435152729117E-2</v>
      </c>
      <c r="D6551">
        <f t="shared" si="223"/>
        <v>1.6169259445290864</v>
      </c>
    </row>
    <row r="6552" spans="1:4">
      <c r="A6552" s="1">
        <v>27810</v>
      </c>
      <c r="B6552">
        <v>102.1</v>
      </c>
      <c r="C6552">
        <f t="shared" si="224"/>
        <v>6.8040627157084877E-3</v>
      </c>
      <c r="D6552">
        <f t="shared" si="223"/>
        <v>0.68560321303005722</v>
      </c>
    </row>
    <row r="6553" spans="1:4">
      <c r="A6553" s="1">
        <v>27813</v>
      </c>
      <c r="B6553">
        <v>101.61</v>
      </c>
      <c r="C6553">
        <f t="shared" si="224"/>
        <v>-4.7992164544563651E-3</v>
      </c>
      <c r="D6553">
        <f t="shared" si="223"/>
        <v>-0.53969912319312519</v>
      </c>
    </row>
    <row r="6554" spans="1:4">
      <c r="A6554" s="1">
        <v>27814</v>
      </c>
      <c r="B6554">
        <v>102.03</v>
      </c>
      <c r="C6554">
        <f t="shared" si="224"/>
        <v>4.1334514319456917E-3</v>
      </c>
      <c r="D6554">
        <f t="shared" si="223"/>
        <v>0.40358756924958833</v>
      </c>
    </row>
    <row r="6555" spans="1:4">
      <c r="A6555" s="1">
        <v>27815</v>
      </c>
      <c r="B6555">
        <v>101.69</v>
      </c>
      <c r="C6555">
        <f t="shared" si="224"/>
        <v>-3.3323532294423541E-3</v>
      </c>
      <c r="D6555">
        <f t="shared" si="223"/>
        <v>-0.38479886524268198</v>
      </c>
    </row>
    <row r="6556" spans="1:4">
      <c r="A6556" s="1">
        <v>27816</v>
      </c>
      <c r="B6556">
        <v>100.11</v>
      </c>
      <c r="C6556">
        <f t="shared" si="224"/>
        <v>-1.5537417641852673E-2</v>
      </c>
      <c r="D6556">
        <f t="shared" si="223"/>
        <v>-1.6736495184902429</v>
      </c>
    </row>
    <row r="6557" spans="1:4">
      <c r="A6557" s="1">
        <v>27817</v>
      </c>
      <c r="B6557">
        <v>99.71</v>
      </c>
      <c r="C6557">
        <f t="shared" si="224"/>
        <v>-3.9956048346819067E-3</v>
      </c>
      <c r="D6557">
        <f t="shared" si="223"/>
        <v>-0.45483800930580409</v>
      </c>
    </row>
    <row r="6558" spans="1:4">
      <c r="A6558" s="1">
        <v>27820</v>
      </c>
      <c r="B6558">
        <v>100.02</v>
      </c>
      <c r="C6558">
        <f t="shared" si="224"/>
        <v>3.1090161468258176E-3</v>
      </c>
      <c r="D6558">
        <f t="shared" si="223"/>
        <v>0.2954075513634023</v>
      </c>
    </row>
    <row r="6559" spans="1:4">
      <c r="A6559" s="1">
        <v>27821</v>
      </c>
      <c r="B6559">
        <v>100.58</v>
      </c>
      <c r="C6559">
        <f t="shared" si="224"/>
        <v>5.5988802239552316E-3</v>
      </c>
      <c r="D6559">
        <f t="shared" si="223"/>
        <v>0.55833635156234673</v>
      </c>
    </row>
    <row r="6560" spans="1:4">
      <c r="A6560" s="1">
        <v>27822</v>
      </c>
      <c r="B6560">
        <v>99.98</v>
      </c>
      <c r="C6560">
        <f t="shared" si="224"/>
        <v>-5.965400676078687E-3</v>
      </c>
      <c r="D6560">
        <f t="shared" si="223"/>
        <v>-0.66284778059116511</v>
      </c>
    </row>
    <row r="6561" spans="1:4">
      <c r="A6561" s="1">
        <v>27823</v>
      </c>
      <c r="B6561">
        <v>98.92</v>
      </c>
      <c r="C6561">
        <f t="shared" si="224"/>
        <v>-1.060212042408484E-2</v>
      </c>
      <c r="D6561">
        <f t="shared" si="223"/>
        <v>-1.1524838098829937</v>
      </c>
    </row>
    <row r="6562" spans="1:4">
      <c r="A6562" s="1">
        <v>27824</v>
      </c>
      <c r="B6562">
        <v>99.11</v>
      </c>
      <c r="C6562">
        <f t="shared" si="224"/>
        <v>1.9207440355842875E-3</v>
      </c>
      <c r="D6562">
        <f t="shared" si="223"/>
        <v>0.16992642032961244</v>
      </c>
    </row>
    <row r="6563" spans="1:4">
      <c r="A6563" s="1">
        <v>27827</v>
      </c>
      <c r="B6563">
        <v>100.19</v>
      </c>
      <c r="C6563">
        <f t="shared" si="224"/>
        <v>1.0896983150035297E-2</v>
      </c>
      <c r="D6563">
        <f t="shared" si="223"/>
        <v>1.1178142196437153</v>
      </c>
    </row>
    <row r="6564" spans="1:4">
      <c r="A6564" s="1">
        <v>27828</v>
      </c>
      <c r="B6564">
        <v>100.58</v>
      </c>
      <c r="C6564">
        <f t="shared" si="224"/>
        <v>3.8926040523006348E-3</v>
      </c>
      <c r="D6564">
        <f t="shared" si="223"/>
        <v>0.3781541678270724</v>
      </c>
    </row>
    <row r="6565" spans="1:4">
      <c r="A6565" s="1">
        <v>27829</v>
      </c>
      <c r="B6565">
        <v>100.94</v>
      </c>
      <c r="C6565">
        <f t="shared" si="224"/>
        <v>3.5792404056472402E-3</v>
      </c>
      <c r="D6565">
        <f t="shared" si="223"/>
        <v>0.34506307325795288</v>
      </c>
    </row>
    <row r="6566" spans="1:4">
      <c r="A6566" s="1">
        <v>27830</v>
      </c>
      <c r="B6566">
        <v>101.89</v>
      </c>
      <c r="C6566">
        <f t="shared" si="224"/>
        <v>9.4115316029324634E-3</v>
      </c>
      <c r="D6566">
        <f t="shared" si="223"/>
        <v>0.96095104119917019</v>
      </c>
    </row>
    <row r="6567" spans="1:4">
      <c r="A6567" s="1">
        <v>27831</v>
      </c>
      <c r="B6567">
        <v>100.86</v>
      </c>
      <c r="C6567">
        <f t="shared" si="224"/>
        <v>-1.0108941014819914E-2</v>
      </c>
      <c r="D6567">
        <f t="shared" si="223"/>
        <v>-1.100404231904444</v>
      </c>
    </row>
    <row r="6568" spans="1:4">
      <c r="A6568" s="1">
        <v>27834</v>
      </c>
      <c r="B6568">
        <v>99.8</v>
      </c>
      <c r="C6568">
        <f t="shared" si="224"/>
        <v>-1.0509617291294886E-2</v>
      </c>
      <c r="D6568">
        <f t="shared" si="223"/>
        <v>-1.1427155105037172</v>
      </c>
    </row>
    <row r="6569" spans="1:4">
      <c r="A6569" s="1">
        <v>27835</v>
      </c>
      <c r="B6569">
        <v>100.92</v>
      </c>
      <c r="C6569">
        <f t="shared" si="224"/>
        <v>1.1222444889779606E-2</v>
      </c>
      <c r="D6569">
        <f t="shared" si="223"/>
        <v>1.1521828687308937</v>
      </c>
    </row>
    <row r="6570" spans="1:4">
      <c r="A6570" s="1">
        <v>27836</v>
      </c>
      <c r="B6570">
        <v>100.86</v>
      </c>
      <c r="C6570">
        <f t="shared" si="224"/>
        <v>-5.9453032104639586E-4</v>
      </c>
      <c r="D6570">
        <f t="shared" si="223"/>
        <v>-9.5685696747292395E-2</v>
      </c>
    </row>
    <row r="6571" spans="1:4">
      <c r="A6571" s="1">
        <v>27837</v>
      </c>
      <c r="B6571">
        <v>100.45</v>
      </c>
      <c r="C6571">
        <f t="shared" si="224"/>
        <v>-4.0650406504064707E-3</v>
      </c>
      <c r="D6571">
        <f t="shared" si="223"/>
        <v>-0.46217040784393748</v>
      </c>
    </row>
    <row r="6572" spans="1:4">
      <c r="A6572" s="1">
        <v>27838</v>
      </c>
      <c r="B6572">
        <v>100.58</v>
      </c>
      <c r="C6572">
        <f t="shared" si="224"/>
        <v>1.2941762070681477E-3</v>
      </c>
      <c r="D6572">
        <f t="shared" si="223"/>
        <v>0.10376107061906122</v>
      </c>
    </row>
    <row r="6573" spans="1:4">
      <c r="A6573" s="1">
        <v>27841</v>
      </c>
      <c r="B6573">
        <v>100.71</v>
      </c>
      <c r="C6573">
        <f t="shared" si="224"/>
        <v>1.2925034798170159E-3</v>
      </c>
      <c r="D6573">
        <f t="shared" si="223"/>
        <v>0.10358443118992931</v>
      </c>
    </row>
    <row r="6574" spans="1:4">
      <c r="A6574" s="1">
        <v>27842</v>
      </c>
      <c r="B6574">
        <v>102.24</v>
      </c>
      <c r="C6574">
        <f t="shared" si="224"/>
        <v>1.5192135835567484E-2</v>
      </c>
      <c r="D6574">
        <f t="shared" si="223"/>
        <v>1.5713808832425791</v>
      </c>
    </row>
    <row r="6575" spans="1:4">
      <c r="A6575" s="1">
        <v>27843</v>
      </c>
      <c r="B6575">
        <v>103.42</v>
      </c>
      <c r="C6575">
        <f t="shared" si="224"/>
        <v>1.154147104851337E-2</v>
      </c>
      <c r="D6575">
        <f t="shared" si="223"/>
        <v>1.1858719226509189</v>
      </c>
    </row>
    <row r="6576" spans="1:4">
      <c r="A6576" s="1">
        <v>27844</v>
      </c>
      <c r="B6576">
        <v>102.85</v>
      </c>
      <c r="C6576">
        <f t="shared" si="224"/>
        <v>-5.5115064784375112E-3</v>
      </c>
      <c r="D6576">
        <f t="shared" si="223"/>
        <v>-0.61491670760639106</v>
      </c>
    </row>
    <row r="6577" spans="1:4">
      <c r="A6577" s="1">
        <v>27845</v>
      </c>
      <c r="B6577">
        <v>102.85</v>
      </c>
      <c r="C6577">
        <f t="shared" si="224"/>
        <v>0</v>
      </c>
      <c r="D6577">
        <f t="shared" si="223"/>
        <v>-3.29034969354682E-2</v>
      </c>
    </row>
    <row r="6578" spans="1:4">
      <c r="A6578" s="1">
        <v>27848</v>
      </c>
      <c r="B6578">
        <v>102.41</v>
      </c>
      <c r="C6578">
        <f t="shared" si="224"/>
        <v>-4.2780748663101388E-3</v>
      </c>
      <c r="D6578">
        <f t="shared" si="223"/>
        <v>-0.48466674862951648</v>
      </c>
    </row>
    <row r="6579" spans="1:4">
      <c r="A6579" s="1">
        <v>27849</v>
      </c>
      <c r="B6579">
        <v>102.01</v>
      </c>
      <c r="C6579">
        <f t="shared" si="224"/>
        <v>-3.9058685675226199E-3</v>
      </c>
      <c r="D6579">
        <f t="shared" si="223"/>
        <v>-0.44536188999662268</v>
      </c>
    </row>
    <row r="6580" spans="1:4">
      <c r="A6580" s="1">
        <v>27850</v>
      </c>
      <c r="B6580">
        <v>102.77</v>
      </c>
      <c r="C6580">
        <f t="shared" si="224"/>
        <v>7.4502499754925096E-3</v>
      </c>
      <c r="D6580">
        <f t="shared" si="223"/>
        <v>0.75384036801352805</v>
      </c>
    </row>
    <row r="6581" spans="1:4">
      <c r="A6581" s="1">
        <v>27851</v>
      </c>
      <c r="B6581">
        <v>102.24</v>
      </c>
      <c r="C6581">
        <f t="shared" si="224"/>
        <v>-5.1571470273426212E-3</v>
      </c>
      <c r="D6581">
        <f t="shared" si="223"/>
        <v>-0.57749647002340054</v>
      </c>
    </row>
    <row r="6582" spans="1:4">
      <c r="A6582" s="1">
        <v>27852</v>
      </c>
      <c r="B6582">
        <v>102.25</v>
      </c>
      <c r="C6582">
        <f t="shared" si="224"/>
        <v>9.7809076682366157E-5</v>
      </c>
      <c r="D6582">
        <f t="shared" si="223"/>
        <v>-2.2574891684730879E-2</v>
      </c>
    </row>
    <row r="6583" spans="1:4">
      <c r="A6583" s="1">
        <v>27855</v>
      </c>
      <c r="B6583">
        <v>103.51</v>
      </c>
      <c r="C6583">
        <f t="shared" si="224"/>
        <v>1.2322738386308119E-2</v>
      </c>
      <c r="D6583">
        <f t="shared" si="223"/>
        <v>1.2683734879563731</v>
      </c>
    </row>
    <row r="6584" spans="1:4">
      <c r="A6584" s="1">
        <v>27856</v>
      </c>
      <c r="B6584">
        <v>103.36</v>
      </c>
      <c r="C6584">
        <f t="shared" si="224"/>
        <v>-1.449135349241674E-3</v>
      </c>
      <c r="D6584">
        <f t="shared" si="223"/>
        <v>-0.1859316972303503</v>
      </c>
    </row>
    <row r="6585" spans="1:4">
      <c r="A6585" s="1">
        <v>27857</v>
      </c>
      <c r="B6585">
        <v>102.21</v>
      </c>
      <c r="C6585">
        <f t="shared" si="224"/>
        <v>-1.112616099071213E-2</v>
      </c>
      <c r="D6585">
        <f t="shared" si="223"/>
        <v>-1.2078223155887922</v>
      </c>
    </row>
    <row r="6586" spans="1:4">
      <c r="A6586" s="1">
        <v>27858</v>
      </c>
      <c r="B6586">
        <v>101.28</v>
      </c>
      <c r="C6586">
        <f t="shared" si="224"/>
        <v>-9.0989140005869554E-3</v>
      </c>
      <c r="D6586">
        <f t="shared" si="223"/>
        <v>-0.993745722526307</v>
      </c>
    </row>
    <row r="6587" spans="1:4">
      <c r="A6587" s="1">
        <v>27859</v>
      </c>
      <c r="B6587">
        <v>100.35</v>
      </c>
      <c r="C6587">
        <f t="shared" si="224"/>
        <v>-9.1824644549763704E-3</v>
      </c>
      <c r="D6587">
        <f t="shared" si="223"/>
        <v>-1.0025686221096499</v>
      </c>
    </row>
    <row r="6588" spans="1:4">
      <c r="A6588" s="1">
        <v>27862</v>
      </c>
      <c r="B6588">
        <v>100.2</v>
      </c>
      <c r="C6588">
        <f t="shared" si="224"/>
        <v>-1.4947683109117237E-3</v>
      </c>
      <c r="D6588">
        <f t="shared" si="223"/>
        <v>-0.19075052247131019</v>
      </c>
    </row>
    <row r="6589" spans="1:4">
      <c r="A6589" s="1">
        <v>27863</v>
      </c>
      <c r="B6589">
        <v>101.05</v>
      </c>
      <c r="C6589">
        <f t="shared" si="224"/>
        <v>8.4830339321356717E-3</v>
      </c>
      <c r="D6589">
        <f t="shared" si="223"/>
        <v>0.86290200277472207</v>
      </c>
    </row>
    <row r="6590" spans="1:4">
      <c r="A6590" s="1">
        <v>27864</v>
      </c>
      <c r="B6590">
        <v>100.31</v>
      </c>
      <c r="C6590">
        <f t="shared" si="224"/>
        <v>-7.3231073725877772E-3</v>
      </c>
      <c r="D6590">
        <f t="shared" si="223"/>
        <v>-0.80622114623559538</v>
      </c>
    </row>
    <row r="6591" spans="1:4">
      <c r="A6591" s="1">
        <v>27865</v>
      </c>
      <c r="B6591">
        <v>100.67</v>
      </c>
      <c r="C6591">
        <f t="shared" si="224"/>
        <v>3.5888744890838343E-3</v>
      </c>
      <c r="D6591">
        <f t="shared" si="223"/>
        <v>0.34608042919407311</v>
      </c>
    </row>
    <row r="6592" spans="1:4">
      <c r="A6592" s="1">
        <v>27869</v>
      </c>
      <c r="B6592">
        <v>101.44</v>
      </c>
      <c r="C6592">
        <f t="shared" si="224"/>
        <v>7.6487533525379557E-3</v>
      </c>
      <c r="D6592">
        <f t="shared" si="223"/>
        <v>0.77480225715495088</v>
      </c>
    </row>
    <row r="6593" spans="1:4">
      <c r="A6593" s="1">
        <v>27870</v>
      </c>
      <c r="B6593">
        <v>102.87</v>
      </c>
      <c r="C6593">
        <f t="shared" si="224"/>
        <v>1.4097003154574199E-2</v>
      </c>
      <c r="D6593">
        <f t="shared" si="223"/>
        <v>1.4557352443833733</v>
      </c>
    </row>
    <row r="6594" spans="1:4">
      <c r="A6594" s="1">
        <v>27871</v>
      </c>
      <c r="B6594">
        <v>103.32</v>
      </c>
      <c r="C6594">
        <f t="shared" si="224"/>
        <v>4.3744531933507204E-3</v>
      </c>
      <c r="D6594">
        <f t="shared" si="223"/>
        <v>0.4290372733334803</v>
      </c>
    </row>
    <row r="6595" spans="1:4">
      <c r="A6595" s="1">
        <v>27872</v>
      </c>
      <c r="B6595">
        <v>102.98</v>
      </c>
      <c r="C6595">
        <f t="shared" si="224"/>
        <v>-3.2907471931861131E-3</v>
      </c>
      <c r="D6595">
        <f t="shared" ref="D6595:D6658" si="225">(C6595-avg)/sd</f>
        <v>-0.38040528195660178</v>
      </c>
    </row>
    <row r="6596" spans="1:4">
      <c r="A6596" s="1">
        <v>27873</v>
      </c>
      <c r="B6596">
        <v>102.29</v>
      </c>
      <c r="C6596">
        <f t="shared" ref="C6596:C6659" si="226">(B6596-B6595)/B6595</f>
        <v>-6.7003301611963263E-3</v>
      </c>
      <c r="D6596">
        <f t="shared" si="225"/>
        <v>-0.74045608440491795</v>
      </c>
    </row>
    <row r="6597" spans="1:4">
      <c r="A6597" s="1">
        <v>27876</v>
      </c>
      <c r="B6597">
        <v>102.43</v>
      </c>
      <c r="C6597">
        <f t="shared" si="226"/>
        <v>1.3686577378042874E-3</v>
      </c>
      <c r="D6597">
        <f t="shared" si="225"/>
        <v>0.11162629494729515</v>
      </c>
    </row>
    <row r="6598" spans="1:4">
      <c r="A6598" s="1">
        <v>27877</v>
      </c>
      <c r="B6598">
        <v>101.86</v>
      </c>
      <c r="C6598">
        <f t="shared" si="226"/>
        <v>-5.5647759445475679E-3</v>
      </c>
      <c r="D6598">
        <f t="shared" si="225"/>
        <v>-0.6205419451204417</v>
      </c>
    </row>
    <row r="6599" spans="1:4">
      <c r="A6599" s="1">
        <v>27878</v>
      </c>
      <c r="B6599">
        <v>102.13</v>
      </c>
      <c r="C6599">
        <f t="shared" si="226"/>
        <v>2.6506970351462401E-3</v>
      </c>
      <c r="D6599">
        <f t="shared" si="225"/>
        <v>0.24700920896027442</v>
      </c>
    </row>
    <row r="6600" spans="1:4">
      <c r="A6600" s="1">
        <v>27879</v>
      </c>
      <c r="B6600">
        <v>102.13</v>
      </c>
      <c r="C6600">
        <f t="shared" si="226"/>
        <v>0</v>
      </c>
      <c r="D6600">
        <f t="shared" si="225"/>
        <v>-3.29034969354682E-2</v>
      </c>
    </row>
    <row r="6601" spans="1:4">
      <c r="A6601" s="1">
        <v>27880</v>
      </c>
      <c r="B6601">
        <v>101.64</v>
      </c>
      <c r="C6601">
        <f t="shared" si="226"/>
        <v>-4.7978067169293535E-3</v>
      </c>
      <c r="D6601">
        <f t="shared" si="225"/>
        <v>-0.53955025538946577</v>
      </c>
    </row>
    <row r="6602" spans="1:4">
      <c r="A6602" s="1">
        <v>27883</v>
      </c>
      <c r="B6602">
        <v>100.92</v>
      </c>
      <c r="C6602">
        <f t="shared" si="226"/>
        <v>-7.0838252656434363E-3</v>
      </c>
      <c r="D6602">
        <f t="shared" si="225"/>
        <v>-0.78095303707821306</v>
      </c>
    </row>
    <row r="6603" spans="1:4">
      <c r="A6603" s="1">
        <v>27884</v>
      </c>
      <c r="B6603">
        <v>101.46</v>
      </c>
      <c r="C6603">
        <f t="shared" si="226"/>
        <v>5.3507728894172813E-3</v>
      </c>
      <c r="D6603">
        <f t="shared" si="225"/>
        <v>0.53213630137091983</v>
      </c>
    </row>
    <row r="6604" spans="1:4">
      <c r="A6604" s="1">
        <v>27885</v>
      </c>
      <c r="B6604">
        <v>100.88</v>
      </c>
      <c r="C6604">
        <f t="shared" si="226"/>
        <v>-5.7165385373546063E-3</v>
      </c>
      <c r="D6604">
        <f t="shared" si="225"/>
        <v>-0.63656802333425322</v>
      </c>
    </row>
    <row r="6605" spans="1:4">
      <c r="A6605" s="1">
        <v>27886</v>
      </c>
      <c r="B6605">
        <v>101.16</v>
      </c>
      <c r="C6605">
        <f t="shared" si="226"/>
        <v>2.7755749405234055E-3</v>
      </c>
      <c r="D6605">
        <f t="shared" si="225"/>
        <v>0.26019627332004058</v>
      </c>
    </row>
    <row r="6606" spans="1:4">
      <c r="A6606" s="1">
        <v>27887</v>
      </c>
      <c r="B6606">
        <v>101.88</v>
      </c>
      <c r="C6606">
        <f t="shared" si="226"/>
        <v>7.1174377224199181E-3</v>
      </c>
      <c r="D6606">
        <f t="shared" si="225"/>
        <v>0.7186955072174438</v>
      </c>
    </row>
    <row r="6607" spans="1:4">
      <c r="A6607" s="1">
        <v>27890</v>
      </c>
      <c r="B6607">
        <v>103.1</v>
      </c>
      <c r="C6607">
        <f t="shared" si="226"/>
        <v>1.1974872398900657E-2</v>
      </c>
      <c r="D6607">
        <f t="shared" si="225"/>
        <v>1.2316389579315394</v>
      </c>
    </row>
    <row r="6608" spans="1:4">
      <c r="A6608" s="1">
        <v>27891</v>
      </c>
      <c r="B6608">
        <v>102.95</v>
      </c>
      <c r="C6608">
        <f t="shared" si="226"/>
        <v>-1.4548981571289184E-3</v>
      </c>
      <c r="D6608">
        <f t="shared" si="225"/>
        <v>-0.18654024778436973</v>
      </c>
    </row>
    <row r="6609" spans="1:4">
      <c r="A6609" s="1">
        <v>27892</v>
      </c>
      <c r="B6609">
        <v>102.77</v>
      </c>
      <c r="C6609">
        <f t="shared" si="226"/>
        <v>-1.7484215638660205E-3</v>
      </c>
      <c r="D6609">
        <f t="shared" si="225"/>
        <v>-0.21753621976235402</v>
      </c>
    </row>
    <row r="6610" spans="1:4">
      <c r="A6610" s="1">
        <v>27893</v>
      </c>
      <c r="B6610">
        <v>102.16</v>
      </c>
      <c r="C6610">
        <f t="shared" si="226"/>
        <v>-5.9355843144886589E-3</v>
      </c>
      <c r="D6610">
        <f t="shared" si="225"/>
        <v>-0.65969918294233187</v>
      </c>
    </row>
    <row r="6611" spans="1:4">
      <c r="A6611" s="1">
        <v>27894</v>
      </c>
      <c r="B6611">
        <v>101.34</v>
      </c>
      <c r="C6611">
        <f t="shared" si="226"/>
        <v>-8.0266249021142648E-3</v>
      </c>
      <c r="D6611">
        <f t="shared" si="225"/>
        <v>-0.88051235821636498</v>
      </c>
    </row>
    <row r="6612" spans="1:4">
      <c r="A6612" s="1">
        <v>27897</v>
      </c>
      <c r="B6612">
        <v>101.09</v>
      </c>
      <c r="C6612">
        <f t="shared" si="226"/>
        <v>-2.4669429642786658E-3</v>
      </c>
      <c r="D6612">
        <f t="shared" si="225"/>
        <v>-0.29341183540863847</v>
      </c>
    </row>
    <row r="6613" spans="1:4">
      <c r="A6613" s="1">
        <v>27898</v>
      </c>
      <c r="B6613">
        <v>101.26</v>
      </c>
      <c r="C6613">
        <f t="shared" si="226"/>
        <v>1.6816697991888585E-3</v>
      </c>
      <c r="D6613">
        <f t="shared" si="225"/>
        <v>0.14468026223153657</v>
      </c>
    </row>
    <row r="6614" spans="1:4">
      <c r="A6614" s="1">
        <v>27899</v>
      </c>
      <c r="B6614">
        <v>101.18</v>
      </c>
      <c r="C6614">
        <f t="shared" si="226"/>
        <v>-7.9004542761207082E-4</v>
      </c>
      <c r="D6614">
        <f t="shared" si="225"/>
        <v>-0.11633202554181388</v>
      </c>
    </row>
    <row r="6615" spans="1:4">
      <c r="A6615" s="1">
        <v>27900</v>
      </c>
      <c r="B6615">
        <v>102</v>
      </c>
      <c r="C6615">
        <f t="shared" si="226"/>
        <v>8.1043684522632258E-3</v>
      </c>
      <c r="D6615">
        <f t="shared" si="225"/>
        <v>0.82291505681484223</v>
      </c>
    </row>
    <row r="6616" spans="1:4">
      <c r="A6616" s="1">
        <v>27901</v>
      </c>
      <c r="B6616">
        <v>101.26</v>
      </c>
      <c r="C6616">
        <f t="shared" si="226"/>
        <v>-7.2549019607842631E-3</v>
      </c>
      <c r="D6616">
        <f t="shared" si="225"/>
        <v>-0.79901867793329018</v>
      </c>
    </row>
    <row r="6617" spans="1:4">
      <c r="A6617" s="1">
        <v>27904</v>
      </c>
      <c r="B6617">
        <v>99.44</v>
      </c>
      <c r="C6617">
        <f t="shared" si="226"/>
        <v>-1.7973533478175069E-2</v>
      </c>
      <c r="D6617">
        <f t="shared" si="225"/>
        <v>-1.9309025227298811</v>
      </c>
    </row>
    <row r="6618" spans="1:4">
      <c r="A6618" s="1">
        <v>27905</v>
      </c>
      <c r="B6618">
        <v>99.49</v>
      </c>
      <c r="C6618">
        <f t="shared" si="226"/>
        <v>5.0281576830246537E-4</v>
      </c>
      <c r="D6618">
        <f t="shared" si="225"/>
        <v>2.0193677281888148E-2</v>
      </c>
    </row>
    <row r="6619" spans="1:4">
      <c r="A6619" s="1">
        <v>27906</v>
      </c>
      <c r="B6619">
        <v>99.34</v>
      </c>
      <c r="C6619">
        <f t="shared" si="226"/>
        <v>-1.5076892149963963E-3</v>
      </c>
      <c r="D6619">
        <f t="shared" si="225"/>
        <v>-0.19211496555062293</v>
      </c>
    </row>
    <row r="6620" spans="1:4">
      <c r="A6620" s="1">
        <v>27907</v>
      </c>
      <c r="B6620">
        <v>99.38</v>
      </c>
      <c r="C6620">
        <f t="shared" si="226"/>
        <v>4.0265753976235195E-4</v>
      </c>
      <c r="D6620">
        <f t="shared" si="225"/>
        <v>9.6170023934882345E-3</v>
      </c>
    </row>
    <row r="6621" spans="1:4">
      <c r="A6621" s="1">
        <v>27908</v>
      </c>
      <c r="B6621">
        <v>100.18</v>
      </c>
      <c r="C6621">
        <f t="shared" si="226"/>
        <v>8.0499094385189322E-3</v>
      </c>
      <c r="D6621">
        <f t="shared" si="225"/>
        <v>0.81716420347496299</v>
      </c>
    </row>
    <row r="6622" spans="1:4">
      <c r="A6622" s="1">
        <v>27912</v>
      </c>
      <c r="B6622">
        <v>99.85</v>
      </c>
      <c r="C6622">
        <f t="shared" si="226"/>
        <v>-3.2940706727891044E-3</v>
      </c>
      <c r="D6622">
        <f t="shared" si="225"/>
        <v>-0.38075624027297206</v>
      </c>
    </row>
    <row r="6623" spans="1:4">
      <c r="A6623" s="1">
        <v>27913</v>
      </c>
      <c r="B6623">
        <v>100.22</v>
      </c>
      <c r="C6623">
        <f t="shared" si="226"/>
        <v>3.7055583375063053E-3</v>
      </c>
      <c r="D6623">
        <f t="shared" si="225"/>
        <v>0.35840220392471889</v>
      </c>
    </row>
    <row r="6624" spans="1:4">
      <c r="A6624" s="1">
        <v>27914</v>
      </c>
      <c r="B6624">
        <v>100.13</v>
      </c>
      <c r="C6624">
        <f t="shared" si="226"/>
        <v>-8.9802434643787077E-4</v>
      </c>
      <c r="D6624">
        <f t="shared" si="225"/>
        <v>-0.1277345626660005</v>
      </c>
    </row>
    <row r="6625" spans="1:4">
      <c r="A6625" s="1">
        <v>27915</v>
      </c>
      <c r="B6625">
        <v>99.15</v>
      </c>
      <c r="C6625">
        <f t="shared" si="226"/>
        <v>-9.7872765404972521E-3</v>
      </c>
      <c r="D6625">
        <f t="shared" si="225"/>
        <v>-1.0664365727550382</v>
      </c>
    </row>
    <row r="6626" spans="1:4">
      <c r="A6626" s="1">
        <v>27918</v>
      </c>
      <c r="B6626">
        <v>98.63</v>
      </c>
      <c r="C6626">
        <f t="shared" si="226"/>
        <v>-5.244578920827133E-3</v>
      </c>
      <c r="D6626">
        <f t="shared" si="225"/>
        <v>-0.5867292482558204</v>
      </c>
    </row>
    <row r="6627" spans="1:4">
      <c r="A6627" s="1">
        <v>27919</v>
      </c>
      <c r="B6627">
        <v>98.8</v>
      </c>
      <c r="C6627">
        <f t="shared" si="226"/>
        <v>1.7236135050187743E-3</v>
      </c>
      <c r="D6627">
        <f t="shared" si="225"/>
        <v>0.14910950330981734</v>
      </c>
    </row>
    <row r="6628" spans="1:4">
      <c r="A6628" s="1">
        <v>27920</v>
      </c>
      <c r="B6628">
        <v>98.74</v>
      </c>
      <c r="C6628">
        <f t="shared" si="226"/>
        <v>-6.0728744939273556E-4</v>
      </c>
      <c r="D6628">
        <f t="shared" si="225"/>
        <v>-9.7032845164307255E-2</v>
      </c>
    </row>
    <row r="6629" spans="1:4">
      <c r="A6629" s="1">
        <v>27921</v>
      </c>
      <c r="B6629">
        <v>99.56</v>
      </c>
      <c r="C6629">
        <f t="shared" si="226"/>
        <v>8.3046384443995081E-3</v>
      </c>
      <c r="D6629">
        <f t="shared" si="225"/>
        <v>0.84406349990935581</v>
      </c>
    </row>
    <row r="6630" spans="1:4">
      <c r="A6630" s="1">
        <v>27922</v>
      </c>
      <c r="B6630">
        <v>100.92</v>
      </c>
      <c r="C6630">
        <f t="shared" si="226"/>
        <v>1.3660104459622333E-2</v>
      </c>
      <c r="D6630">
        <f t="shared" si="225"/>
        <v>1.4095988907055383</v>
      </c>
    </row>
    <row r="6631" spans="1:4">
      <c r="A6631" s="1">
        <v>27925</v>
      </c>
      <c r="B6631">
        <v>101.95</v>
      </c>
      <c r="C6631">
        <f t="shared" si="226"/>
        <v>1.0206103844629421E-2</v>
      </c>
      <c r="D6631">
        <f t="shared" si="225"/>
        <v>1.0448575998341412</v>
      </c>
    </row>
    <row r="6632" spans="1:4">
      <c r="A6632" s="1">
        <v>27926</v>
      </c>
      <c r="B6632">
        <v>101.46</v>
      </c>
      <c r="C6632">
        <f t="shared" si="226"/>
        <v>-4.8062775870525657E-3</v>
      </c>
      <c r="D6632">
        <f t="shared" si="225"/>
        <v>-0.54044477639508837</v>
      </c>
    </row>
    <row r="6633" spans="1:4">
      <c r="A6633" s="1">
        <v>27927</v>
      </c>
      <c r="B6633">
        <v>102.01</v>
      </c>
      <c r="C6633">
        <f t="shared" si="226"/>
        <v>5.4208555095605305E-3</v>
      </c>
      <c r="D6633">
        <f t="shared" si="225"/>
        <v>0.53953700223580692</v>
      </c>
    </row>
    <row r="6634" spans="1:4">
      <c r="A6634" s="1">
        <v>27928</v>
      </c>
      <c r="B6634">
        <v>103.61</v>
      </c>
      <c r="C6634">
        <f t="shared" si="226"/>
        <v>1.5684736790510679E-2</v>
      </c>
      <c r="D6634">
        <f t="shared" si="225"/>
        <v>1.6233993766413801</v>
      </c>
    </row>
    <row r="6635" spans="1:4">
      <c r="A6635" s="1">
        <v>27929</v>
      </c>
      <c r="B6635">
        <v>103.76</v>
      </c>
      <c r="C6635">
        <f t="shared" si="226"/>
        <v>1.4477367049513144E-3</v>
      </c>
      <c r="D6635">
        <f t="shared" si="225"/>
        <v>0.11997700699777422</v>
      </c>
    </row>
    <row r="6636" spans="1:4">
      <c r="A6636" s="1">
        <v>27932</v>
      </c>
      <c r="B6636">
        <v>104.28</v>
      </c>
      <c r="C6636">
        <f t="shared" si="226"/>
        <v>5.0115651503469163E-3</v>
      </c>
      <c r="D6636">
        <f t="shared" si="225"/>
        <v>0.49631607942740202</v>
      </c>
    </row>
    <row r="6637" spans="1:4">
      <c r="A6637" s="1">
        <v>27933</v>
      </c>
      <c r="B6637">
        <v>103.47</v>
      </c>
      <c r="C6637">
        <f t="shared" si="226"/>
        <v>-7.7675489067894352E-3</v>
      </c>
      <c r="D6637">
        <f t="shared" si="225"/>
        <v>-0.85315402117427275</v>
      </c>
    </row>
    <row r="6638" spans="1:4">
      <c r="A6638" s="1">
        <v>27934</v>
      </c>
      <c r="B6638">
        <v>103.25</v>
      </c>
      <c r="C6638">
        <f t="shared" si="226"/>
        <v>-2.1262201604329649E-3</v>
      </c>
      <c r="D6638">
        <f t="shared" si="225"/>
        <v>-0.25743162313984075</v>
      </c>
    </row>
    <row r="6639" spans="1:4">
      <c r="A6639" s="1">
        <v>27935</v>
      </c>
      <c r="B6639">
        <v>103.79</v>
      </c>
      <c r="C6639">
        <f t="shared" si="226"/>
        <v>5.2300242130751207E-3</v>
      </c>
      <c r="D6639">
        <f t="shared" si="225"/>
        <v>0.51938528219365698</v>
      </c>
    </row>
    <row r="6640" spans="1:4">
      <c r="A6640" s="1">
        <v>27936</v>
      </c>
      <c r="B6640">
        <v>103.72</v>
      </c>
      <c r="C6640">
        <f t="shared" si="226"/>
        <v>-6.7443877059454073E-4</v>
      </c>
      <c r="D6640">
        <f t="shared" si="225"/>
        <v>-0.10412400185737475</v>
      </c>
    </row>
    <row r="6641" spans="1:4">
      <c r="A6641" s="1">
        <v>27939</v>
      </c>
      <c r="B6641">
        <v>103.43</v>
      </c>
      <c r="C6641">
        <f t="shared" si="226"/>
        <v>-2.7959892016967995E-3</v>
      </c>
      <c r="D6641">
        <f t="shared" si="225"/>
        <v>-0.32815900623174288</v>
      </c>
    </row>
    <row r="6642" spans="1:4">
      <c r="A6642" s="1">
        <v>27940</v>
      </c>
      <c r="B6642">
        <v>103.86</v>
      </c>
      <c r="C6642">
        <f t="shared" si="226"/>
        <v>4.1574011408681485E-3</v>
      </c>
      <c r="D6642">
        <f t="shared" si="225"/>
        <v>0.40611665037089817</v>
      </c>
    </row>
    <row r="6643" spans="1:4">
      <c r="A6643" s="1">
        <v>27941</v>
      </c>
      <c r="B6643">
        <v>104.28</v>
      </c>
      <c r="C6643">
        <f t="shared" si="226"/>
        <v>4.0439052570768507E-3</v>
      </c>
      <c r="D6643">
        <f t="shared" si="225"/>
        <v>0.39413152362166248</v>
      </c>
    </row>
    <row r="6644" spans="1:4">
      <c r="A6644" s="1">
        <v>27942</v>
      </c>
      <c r="B6644">
        <v>103.59</v>
      </c>
      <c r="C6644">
        <f t="shared" si="226"/>
        <v>-6.6168009205983674E-3</v>
      </c>
      <c r="D6644">
        <f t="shared" si="225"/>
        <v>-0.73163542499074186</v>
      </c>
    </row>
    <row r="6645" spans="1:4">
      <c r="A6645" s="1">
        <v>27943</v>
      </c>
      <c r="B6645">
        <v>104.11</v>
      </c>
      <c r="C6645">
        <f t="shared" si="226"/>
        <v>5.0197895549763108E-3</v>
      </c>
      <c r="D6645">
        <f t="shared" si="225"/>
        <v>0.49718457376065511</v>
      </c>
    </row>
    <row r="6646" spans="1:4">
      <c r="A6646" s="1">
        <v>27947</v>
      </c>
      <c r="B6646">
        <v>103.54</v>
      </c>
      <c r="C6646">
        <f t="shared" si="226"/>
        <v>-5.4749783882431392E-3</v>
      </c>
      <c r="D6646">
        <f t="shared" si="225"/>
        <v>-0.6110593536983665</v>
      </c>
    </row>
    <row r="6647" spans="1:4">
      <c r="A6647" s="1">
        <v>27948</v>
      </c>
      <c r="B6647">
        <v>103.83</v>
      </c>
      <c r="C6647">
        <f t="shared" si="226"/>
        <v>2.8008499130769944E-3</v>
      </c>
      <c r="D6647">
        <f t="shared" si="225"/>
        <v>0.26286530183031898</v>
      </c>
    </row>
    <row r="6648" spans="1:4">
      <c r="A6648" s="1">
        <v>27949</v>
      </c>
      <c r="B6648">
        <v>103.98</v>
      </c>
      <c r="C6648">
        <f t="shared" si="226"/>
        <v>1.4446691707599507E-3</v>
      </c>
      <c r="D6648">
        <f t="shared" si="225"/>
        <v>0.11965307642987175</v>
      </c>
    </row>
    <row r="6649" spans="1:4">
      <c r="A6649" s="1">
        <v>27950</v>
      </c>
      <c r="B6649">
        <v>104.98</v>
      </c>
      <c r="C6649">
        <f t="shared" si="226"/>
        <v>9.6172340834775917E-3</v>
      </c>
      <c r="D6649">
        <f t="shared" si="225"/>
        <v>0.98267315322306525</v>
      </c>
    </row>
    <row r="6650" spans="1:4">
      <c r="A6650" s="1">
        <v>27953</v>
      </c>
      <c r="B6650">
        <v>105.9</v>
      </c>
      <c r="C6650">
        <f t="shared" si="226"/>
        <v>8.7635740140979395E-3</v>
      </c>
      <c r="D6650">
        <f t="shared" si="225"/>
        <v>0.89252694006973032</v>
      </c>
    </row>
    <row r="6651" spans="1:4">
      <c r="A6651" s="1">
        <v>27954</v>
      </c>
      <c r="B6651">
        <v>105.67</v>
      </c>
      <c r="C6651">
        <f t="shared" si="226"/>
        <v>-2.171860245514674E-3</v>
      </c>
      <c r="D6651">
        <f t="shared" si="225"/>
        <v>-0.26225120061065055</v>
      </c>
    </row>
    <row r="6652" spans="1:4">
      <c r="A6652" s="1">
        <v>27955</v>
      </c>
      <c r="B6652">
        <v>105.95</v>
      </c>
      <c r="C6652">
        <f t="shared" si="226"/>
        <v>2.6497586826914085E-3</v>
      </c>
      <c r="D6652">
        <f t="shared" si="225"/>
        <v>0.24691011926000569</v>
      </c>
    </row>
    <row r="6653" spans="1:4">
      <c r="A6653" s="1">
        <v>27956</v>
      </c>
      <c r="B6653">
        <v>105.2</v>
      </c>
      <c r="C6653">
        <f t="shared" si="226"/>
        <v>-7.0788107597923545E-3</v>
      </c>
      <c r="D6653">
        <f t="shared" si="225"/>
        <v>-0.78042350696485219</v>
      </c>
    </row>
    <row r="6654" spans="1:4">
      <c r="A6654" s="1">
        <v>27957</v>
      </c>
      <c r="B6654">
        <v>104.68</v>
      </c>
      <c r="C6654">
        <f t="shared" si="226"/>
        <v>-4.9429657794676429E-3</v>
      </c>
      <c r="D6654">
        <f t="shared" si="225"/>
        <v>-0.55487900305154636</v>
      </c>
    </row>
    <row r="6655" spans="1:4">
      <c r="A6655" s="1">
        <v>27960</v>
      </c>
      <c r="B6655">
        <v>104.29</v>
      </c>
      <c r="C6655">
        <f t="shared" si="226"/>
        <v>-3.7256400458540364E-3</v>
      </c>
      <c r="D6655">
        <f t="shared" si="225"/>
        <v>-0.42632981937107139</v>
      </c>
    </row>
    <row r="6656" spans="1:4">
      <c r="A6656" s="1">
        <v>27961</v>
      </c>
      <c r="B6656">
        <v>103.72</v>
      </c>
      <c r="C6656">
        <f t="shared" si="226"/>
        <v>-5.4655288138844311E-3</v>
      </c>
      <c r="D6656">
        <f t="shared" si="225"/>
        <v>-0.61006148185815334</v>
      </c>
    </row>
    <row r="6657" spans="1:4">
      <c r="A6657" s="1">
        <v>27962</v>
      </c>
      <c r="B6657">
        <v>103.82</v>
      </c>
      <c r="C6657">
        <f t="shared" si="226"/>
        <v>9.6413420748162667E-4</v>
      </c>
      <c r="D6657">
        <f t="shared" si="225"/>
        <v>6.890874764945111E-2</v>
      </c>
    </row>
    <row r="6658" spans="1:4">
      <c r="A6658" s="1">
        <v>27963</v>
      </c>
      <c r="B6658">
        <v>103.93</v>
      </c>
      <c r="C6658">
        <f t="shared" si="226"/>
        <v>1.0595261028704839E-3</v>
      </c>
      <c r="D6658">
        <f t="shared" si="225"/>
        <v>7.898209937723373E-2</v>
      </c>
    </row>
    <row r="6659" spans="1:4">
      <c r="A6659" s="1">
        <v>27964</v>
      </c>
      <c r="B6659">
        <v>104.06</v>
      </c>
      <c r="C6659">
        <f t="shared" si="226"/>
        <v>1.2508419128258966E-3</v>
      </c>
      <c r="D6659">
        <f t="shared" ref="D6659:D6722" si="227">(C6659-avg)/sd</f>
        <v>9.9184983877121796E-2</v>
      </c>
    </row>
    <row r="6660" spans="1:4">
      <c r="A6660" s="1">
        <v>27967</v>
      </c>
      <c r="B6660">
        <v>104.07</v>
      </c>
      <c r="C6660">
        <f t="shared" ref="C6660:C6723" si="228">(B6660-B6659)/B6659</f>
        <v>9.6098404766393472E-5</v>
      </c>
      <c r="D6660">
        <f t="shared" si="227"/>
        <v>-2.275553805757196E-2</v>
      </c>
    </row>
    <row r="6661" spans="1:4">
      <c r="A6661" s="1">
        <v>27968</v>
      </c>
      <c r="B6661">
        <v>103.48</v>
      </c>
      <c r="C6661">
        <f t="shared" si="228"/>
        <v>-5.6692610742768252E-3</v>
      </c>
      <c r="D6661">
        <f t="shared" si="227"/>
        <v>-0.63157553930363008</v>
      </c>
    </row>
    <row r="6662" spans="1:4">
      <c r="A6662" s="1">
        <v>27969</v>
      </c>
      <c r="B6662">
        <v>103.05</v>
      </c>
      <c r="C6662">
        <f t="shared" si="228"/>
        <v>-4.1553923463471861E-3</v>
      </c>
      <c r="D6662">
        <f t="shared" si="227"/>
        <v>-0.47171151622324337</v>
      </c>
    </row>
    <row r="6663" spans="1:4">
      <c r="A6663" s="1">
        <v>27970</v>
      </c>
      <c r="B6663">
        <v>102.93</v>
      </c>
      <c r="C6663">
        <f t="shared" si="228"/>
        <v>-1.1644832605530358E-3</v>
      </c>
      <c r="D6663">
        <f t="shared" si="227"/>
        <v>-0.15587253342277627</v>
      </c>
    </row>
    <row r="6664" spans="1:4">
      <c r="A6664" s="1">
        <v>27971</v>
      </c>
      <c r="B6664">
        <v>103.44</v>
      </c>
      <c r="C6664">
        <f t="shared" si="228"/>
        <v>4.9548236665694243E-3</v>
      </c>
      <c r="D6664">
        <f t="shared" si="227"/>
        <v>0.49032419802786636</v>
      </c>
    </row>
    <row r="6665" spans="1:4">
      <c r="A6665" s="1">
        <v>27974</v>
      </c>
      <c r="B6665">
        <v>103.19</v>
      </c>
      <c r="C6665">
        <f t="shared" si="228"/>
        <v>-2.4168600154679041E-3</v>
      </c>
      <c r="D6665">
        <f t="shared" si="227"/>
        <v>-0.28812309303824352</v>
      </c>
    </row>
    <row r="6666" spans="1:4">
      <c r="A6666" s="1">
        <v>27975</v>
      </c>
      <c r="B6666">
        <v>104.14</v>
      </c>
      <c r="C6666">
        <f t="shared" si="228"/>
        <v>9.2063184417094952E-3</v>
      </c>
      <c r="D6666">
        <f t="shared" si="227"/>
        <v>0.93928060112936751</v>
      </c>
    </row>
    <row r="6667" spans="1:4">
      <c r="A6667" s="1">
        <v>27976</v>
      </c>
      <c r="B6667">
        <v>104.43</v>
      </c>
      <c r="C6667">
        <f t="shared" si="228"/>
        <v>2.7847128864990039E-3</v>
      </c>
      <c r="D6667">
        <f t="shared" si="227"/>
        <v>0.26116123730892504</v>
      </c>
    </row>
    <row r="6668" spans="1:4">
      <c r="A6668" s="1">
        <v>27977</v>
      </c>
      <c r="B6668">
        <v>103.85</v>
      </c>
      <c r="C6668">
        <f t="shared" si="228"/>
        <v>-5.553959590156205E-3</v>
      </c>
      <c r="D6668">
        <f t="shared" si="227"/>
        <v>-0.61939974177337132</v>
      </c>
    </row>
    <row r="6669" spans="1:4">
      <c r="A6669" s="1">
        <v>27978</v>
      </c>
      <c r="B6669">
        <v>103.79</v>
      </c>
      <c r="C6669">
        <f t="shared" si="228"/>
        <v>-5.7775637939324091E-4</v>
      </c>
      <c r="D6669">
        <f t="shared" si="227"/>
        <v>-9.3914374210459034E-2</v>
      </c>
    </row>
    <row r="6670" spans="1:4">
      <c r="A6670" s="1">
        <v>27981</v>
      </c>
      <c r="B6670">
        <v>103.49</v>
      </c>
      <c r="C6670">
        <f t="shared" si="228"/>
        <v>-2.8904518739764078E-3</v>
      </c>
      <c r="D6670">
        <f t="shared" si="227"/>
        <v>-0.33813423231504708</v>
      </c>
    </row>
    <row r="6671" spans="1:4">
      <c r="A6671" s="1">
        <v>27982</v>
      </c>
      <c r="B6671">
        <v>104.41</v>
      </c>
      <c r="C6671">
        <f t="shared" si="228"/>
        <v>8.8897478017199907E-3</v>
      </c>
      <c r="D6671">
        <f t="shared" si="227"/>
        <v>0.90585084915406466</v>
      </c>
    </row>
    <row r="6672" spans="1:4">
      <c r="A6672" s="1">
        <v>27983</v>
      </c>
      <c r="B6672">
        <v>104.06</v>
      </c>
      <c r="C6672">
        <f t="shared" si="228"/>
        <v>-3.3521693324393672E-3</v>
      </c>
      <c r="D6672">
        <f t="shared" si="227"/>
        <v>-0.38689143898334588</v>
      </c>
    </row>
    <row r="6673" spans="1:4">
      <c r="A6673" s="1">
        <v>27984</v>
      </c>
      <c r="B6673">
        <v>104.22</v>
      </c>
      <c r="C6673">
        <f t="shared" si="228"/>
        <v>1.5375744762636612E-3</v>
      </c>
      <c r="D6673">
        <f t="shared" si="227"/>
        <v>0.12946384511101583</v>
      </c>
    </row>
    <row r="6674" spans="1:4">
      <c r="A6674" s="1">
        <v>27985</v>
      </c>
      <c r="B6674">
        <v>104.25</v>
      </c>
      <c r="C6674">
        <f t="shared" si="228"/>
        <v>2.8785261945884799E-4</v>
      </c>
      <c r="D6674">
        <f t="shared" si="227"/>
        <v>-2.5063581664732893E-3</v>
      </c>
    </row>
    <row r="6675" spans="1:4">
      <c r="A6675" s="1">
        <v>27988</v>
      </c>
      <c r="B6675">
        <v>104.43</v>
      </c>
      <c r="C6675">
        <f t="shared" si="228"/>
        <v>1.7266187050360366E-3</v>
      </c>
      <c r="D6675">
        <f t="shared" si="227"/>
        <v>0.14942685141012313</v>
      </c>
    </row>
    <row r="6676" spans="1:4">
      <c r="A6676" s="1">
        <v>27989</v>
      </c>
      <c r="B6676">
        <v>104.8</v>
      </c>
      <c r="C6676">
        <f t="shared" si="228"/>
        <v>3.543043186823617E-3</v>
      </c>
      <c r="D6676">
        <f t="shared" si="227"/>
        <v>0.34124065925421077</v>
      </c>
    </row>
    <row r="6677" spans="1:4">
      <c r="A6677" s="1">
        <v>27990</v>
      </c>
      <c r="B6677">
        <v>104.56</v>
      </c>
      <c r="C6677">
        <f t="shared" si="228"/>
        <v>-2.2900763358778137E-3</v>
      </c>
      <c r="D6677">
        <f t="shared" si="227"/>
        <v>-0.27473477956939657</v>
      </c>
    </row>
    <row r="6678" spans="1:4">
      <c r="A6678" s="1">
        <v>27991</v>
      </c>
      <c r="B6678">
        <v>103.39</v>
      </c>
      <c r="C6678">
        <f t="shared" si="228"/>
        <v>-1.1189747513389458E-2</v>
      </c>
      <c r="D6678">
        <f t="shared" si="227"/>
        <v>-1.2145370307694086</v>
      </c>
    </row>
    <row r="6679" spans="1:4">
      <c r="A6679" s="1">
        <v>27992</v>
      </c>
      <c r="B6679">
        <v>102.37</v>
      </c>
      <c r="C6679">
        <f t="shared" si="228"/>
        <v>-9.8655575974465233E-3</v>
      </c>
      <c r="D6679">
        <f t="shared" si="227"/>
        <v>-1.0747030257598571</v>
      </c>
    </row>
    <row r="6680" spans="1:4">
      <c r="A6680" s="1">
        <v>27995</v>
      </c>
      <c r="B6680">
        <v>101.96</v>
      </c>
      <c r="C6680">
        <f t="shared" si="228"/>
        <v>-4.0050796131680258E-3</v>
      </c>
      <c r="D6680">
        <f t="shared" si="227"/>
        <v>-0.45583854269330459</v>
      </c>
    </row>
    <row r="6681" spans="1:4">
      <c r="A6681" s="1">
        <v>27996</v>
      </c>
      <c r="B6681">
        <v>101.27</v>
      </c>
      <c r="C6681">
        <f t="shared" si="228"/>
        <v>-6.7673597489211236E-3</v>
      </c>
      <c r="D6681">
        <f t="shared" si="227"/>
        <v>-0.74753438608419265</v>
      </c>
    </row>
    <row r="6682" spans="1:4">
      <c r="A6682" s="1">
        <v>27997</v>
      </c>
      <c r="B6682">
        <v>102.03</v>
      </c>
      <c r="C6682">
        <f t="shared" si="228"/>
        <v>7.504690431519751E-3</v>
      </c>
      <c r="D6682">
        <f t="shared" si="227"/>
        <v>0.75958926166479468</v>
      </c>
    </row>
    <row r="6683" spans="1:4">
      <c r="A6683" s="1">
        <v>27998</v>
      </c>
      <c r="B6683">
        <v>101.32</v>
      </c>
      <c r="C6683">
        <f t="shared" si="228"/>
        <v>-6.9587376261884539E-3</v>
      </c>
      <c r="D6683">
        <f t="shared" si="227"/>
        <v>-0.76774382487112147</v>
      </c>
    </row>
    <row r="6684" spans="1:4">
      <c r="A6684" s="1">
        <v>27999</v>
      </c>
      <c r="B6684">
        <v>101.48</v>
      </c>
      <c r="C6684">
        <f t="shared" si="228"/>
        <v>1.57915515199379E-3</v>
      </c>
      <c r="D6684">
        <f t="shared" si="227"/>
        <v>0.13385475033415903</v>
      </c>
    </row>
    <row r="6685" spans="1:4">
      <c r="A6685" s="1">
        <v>28002</v>
      </c>
      <c r="B6685">
        <v>102.07</v>
      </c>
      <c r="C6685">
        <f t="shared" si="228"/>
        <v>5.8139534883719863E-3</v>
      </c>
      <c r="D6685">
        <f t="shared" si="227"/>
        <v>0.58104801517780136</v>
      </c>
    </row>
    <row r="6686" spans="1:4">
      <c r="A6686" s="1">
        <v>28003</v>
      </c>
      <c r="B6686">
        <v>102.91</v>
      </c>
      <c r="C6686">
        <f t="shared" si="228"/>
        <v>8.2296463211521849E-3</v>
      </c>
      <c r="D6686">
        <f t="shared" si="227"/>
        <v>0.83614435718549973</v>
      </c>
    </row>
    <row r="6687" spans="1:4">
      <c r="A6687" s="1">
        <v>28004</v>
      </c>
      <c r="B6687">
        <v>104.06</v>
      </c>
      <c r="C6687">
        <f t="shared" si="228"/>
        <v>1.1174812943348612E-2</v>
      </c>
      <c r="D6687">
        <f t="shared" si="227"/>
        <v>1.147152951378666</v>
      </c>
    </row>
    <row r="6688" spans="1:4">
      <c r="A6688" s="1">
        <v>28005</v>
      </c>
      <c r="B6688">
        <v>103.92</v>
      </c>
      <c r="C6688">
        <f t="shared" si="228"/>
        <v>-1.3453776667307377E-3</v>
      </c>
      <c r="D6688">
        <f t="shared" si="227"/>
        <v>-0.17497492122614533</v>
      </c>
    </row>
    <row r="6689" spans="1:4">
      <c r="A6689" s="1">
        <v>28006</v>
      </c>
      <c r="B6689">
        <v>104.3</v>
      </c>
      <c r="C6689">
        <f t="shared" si="228"/>
        <v>3.6566589684372155E-3</v>
      </c>
      <c r="D6689">
        <f t="shared" si="227"/>
        <v>0.35323844717272612</v>
      </c>
    </row>
    <row r="6690" spans="1:4">
      <c r="A6690" s="1">
        <v>28010</v>
      </c>
      <c r="B6690">
        <v>105.03</v>
      </c>
      <c r="C6690">
        <f t="shared" si="228"/>
        <v>6.9990412272291852E-3</v>
      </c>
      <c r="D6690">
        <f t="shared" si="227"/>
        <v>0.70619287757022653</v>
      </c>
    </row>
    <row r="6691" spans="1:4">
      <c r="A6691" s="1">
        <v>28011</v>
      </c>
      <c r="B6691">
        <v>104.94</v>
      </c>
      <c r="C6691">
        <f t="shared" si="228"/>
        <v>-8.5689802913456545E-4</v>
      </c>
      <c r="D6691">
        <f t="shared" si="227"/>
        <v>-0.12339163753828594</v>
      </c>
    </row>
    <row r="6692" spans="1:4">
      <c r="A6692" s="1">
        <v>28012</v>
      </c>
      <c r="B6692">
        <v>104.4</v>
      </c>
      <c r="C6692">
        <f t="shared" si="228"/>
        <v>-5.1457975986277113E-3</v>
      </c>
      <c r="D6692">
        <f t="shared" si="227"/>
        <v>-0.57629797420896434</v>
      </c>
    </row>
    <row r="6693" spans="1:4">
      <c r="A6693" s="1">
        <v>28013</v>
      </c>
      <c r="B6693">
        <v>104.65</v>
      </c>
      <c r="C6693">
        <f t="shared" si="228"/>
        <v>2.3946360153256703E-3</v>
      </c>
      <c r="D6693">
        <f t="shared" si="227"/>
        <v>0.21996925230659192</v>
      </c>
    </row>
    <row r="6694" spans="1:4">
      <c r="A6694" s="1">
        <v>28016</v>
      </c>
      <c r="B6694">
        <v>104.29</v>
      </c>
      <c r="C6694">
        <f t="shared" si="228"/>
        <v>-3.4400382226469125E-3</v>
      </c>
      <c r="D6694">
        <f t="shared" si="227"/>
        <v>-0.39617036392117566</v>
      </c>
    </row>
    <row r="6695" spans="1:4">
      <c r="A6695" s="1">
        <v>28017</v>
      </c>
      <c r="B6695">
        <v>103.94</v>
      </c>
      <c r="C6695">
        <f t="shared" si="228"/>
        <v>-3.3560264646659171E-3</v>
      </c>
      <c r="D6695">
        <f t="shared" si="227"/>
        <v>-0.38729875083536658</v>
      </c>
    </row>
    <row r="6696" spans="1:4">
      <c r="A6696" s="1">
        <v>28018</v>
      </c>
      <c r="B6696">
        <v>104.25</v>
      </c>
      <c r="C6696">
        <f t="shared" si="228"/>
        <v>2.9824898980181092E-3</v>
      </c>
      <c r="D6696">
        <f t="shared" si="227"/>
        <v>0.28204642249766992</v>
      </c>
    </row>
    <row r="6697" spans="1:4">
      <c r="A6697" s="1">
        <v>28019</v>
      </c>
      <c r="B6697">
        <v>105.34</v>
      </c>
      <c r="C6697">
        <f t="shared" si="228"/>
        <v>1.0455635491606748E-2</v>
      </c>
      <c r="D6697">
        <f t="shared" si="227"/>
        <v>1.0712080569350189</v>
      </c>
    </row>
    <row r="6698" spans="1:4">
      <c r="A6698" s="1">
        <v>28020</v>
      </c>
      <c r="B6698">
        <v>106.27</v>
      </c>
      <c r="C6698">
        <f t="shared" si="228"/>
        <v>8.8285551547369716E-3</v>
      </c>
      <c r="D6698">
        <f t="shared" si="227"/>
        <v>0.89938892643304924</v>
      </c>
    </row>
    <row r="6699" spans="1:4">
      <c r="A6699" s="1">
        <v>28023</v>
      </c>
      <c r="B6699">
        <v>106.32</v>
      </c>
      <c r="C6699">
        <f t="shared" si="228"/>
        <v>4.7049967065020381E-4</v>
      </c>
      <c r="D6699">
        <f t="shared" si="227"/>
        <v>1.6781108354584642E-2</v>
      </c>
    </row>
    <row r="6700" spans="1:4">
      <c r="A6700" s="1">
        <v>28024</v>
      </c>
      <c r="B6700">
        <v>107.83</v>
      </c>
      <c r="C6700">
        <f t="shared" si="228"/>
        <v>1.4202407825432705E-2</v>
      </c>
      <c r="D6700">
        <f t="shared" si="227"/>
        <v>1.4668659417972429</v>
      </c>
    </row>
    <row r="6701" spans="1:4">
      <c r="A6701" s="1">
        <v>28025</v>
      </c>
      <c r="B6701">
        <v>107.46</v>
      </c>
      <c r="C6701">
        <f t="shared" si="228"/>
        <v>-3.431327088936331E-3</v>
      </c>
      <c r="D6701">
        <f t="shared" si="227"/>
        <v>-0.39525047116239648</v>
      </c>
    </row>
    <row r="6702" spans="1:4">
      <c r="A6702" s="1">
        <v>28026</v>
      </c>
      <c r="B6702">
        <v>106.92</v>
      </c>
      <c r="C6702">
        <f t="shared" si="228"/>
        <v>-5.0251256281406299E-3</v>
      </c>
      <c r="D6702">
        <f t="shared" si="227"/>
        <v>-0.56355505514392434</v>
      </c>
    </row>
    <row r="6703" spans="1:4">
      <c r="A6703" s="1">
        <v>28027</v>
      </c>
      <c r="B6703">
        <v>106.8</v>
      </c>
      <c r="C6703">
        <f t="shared" si="228"/>
        <v>-1.1223344556678316E-3</v>
      </c>
      <c r="D6703">
        <f t="shared" si="227"/>
        <v>-0.15142163395397359</v>
      </c>
    </row>
    <row r="6704" spans="1:4">
      <c r="A6704" s="1">
        <v>28030</v>
      </c>
      <c r="B6704">
        <v>107.27</v>
      </c>
      <c r="C6704">
        <f t="shared" si="228"/>
        <v>4.4007490636704012E-3</v>
      </c>
      <c r="D6704">
        <f t="shared" si="227"/>
        <v>0.431814108300838</v>
      </c>
    </row>
    <row r="6705" spans="1:4">
      <c r="A6705" s="1">
        <v>28031</v>
      </c>
      <c r="B6705">
        <v>105.92</v>
      </c>
      <c r="C6705">
        <f t="shared" si="228"/>
        <v>-1.258506572200983E-2</v>
      </c>
      <c r="D6705">
        <f t="shared" si="227"/>
        <v>-1.3618821593080161</v>
      </c>
    </row>
    <row r="6706" spans="1:4">
      <c r="A6706" s="1">
        <v>28032</v>
      </c>
      <c r="B6706">
        <v>105.37</v>
      </c>
      <c r="C6706">
        <f t="shared" si="228"/>
        <v>-5.1925981873111515E-3</v>
      </c>
      <c r="D6706">
        <f t="shared" si="227"/>
        <v>-0.58124010046564256</v>
      </c>
    </row>
    <row r="6707" spans="1:4">
      <c r="A6707" s="1">
        <v>28033</v>
      </c>
      <c r="B6707">
        <v>105.24</v>
      </c>
      <c r="C6707">
        <f t="shared" si="228"/>
        <v>-1.2337477460378633E-3</v>
      </c>
      <c r="D6707">
        <f t="shared" si="227"/>
        <v>-0.16318683954583149</v>
      </c>
    </row>
    <row r="6708" spans="1:4">
      <c r="A6708" s="1">
        <v>28034</v>
      </c>
      <c r="B6708">
        <v>104.17</v>
      </c>
      <c r="C6708">
        <f t="shared" si="228"/>
        <v>-1.0167236792094197E-2</v>
      </c>
      <c r="D6708">
        <f t="shared" si="227"/>
        <v>-1.1065602461689108</v>
      </c>
    </row>
    <row r="6709" spans="1:4">
      <c r="A6709" s="1">
        <v>28037</v>
      </c>
      <c r="B6709">
        <v>104.03</v>
      </c>
      <c r="C6709">
        <f t="shared" si="228"/>
        <v>-1.3439569933762173E-3</v>
      </c>
      <c r="D6709">
        <f t="shared" si="227"/>
        <v>-0.1748248986028183</v>
      </c>
    </row>
    <row r="6710" spans="1:4">
      <c r="A6710" s="1">
        <v>28038</v>
      </c>
      <c r="B6710">
        <v>103.23</v>
      </c>
      <c r="C6710">
        <f t="shared" si="228"/>
        <v>-7.6900893972892161E-3</v>
      </c>
      <c r="D6710">
        <f t="shared" si="227"/>
        <v>-0.84497432330081612</v>
      </c>
    </row>
    <row r="6711" spans="1:4">
      <c r="A6711" s="1">
        <v>28039</v>
      </c>
      <c r="B6711">
        <v>102.97</v>
      </c>
      <c r="C6711">
        <f t="shared" si="228"/>
        <v>-2.5186476799380518E-3</v>
      </c>
      <c r="D6711">
        <f t="shared" si="227"/>
        <v>-0.29887183580698284</v>
      </c>
    </row>
    <row r="6712" spans="1:4">
      <c r="A6712" s="1">
        <v>28040</v>
      </c>
      <c r="B6712">
        <v>103.54</v>
      </c>
      <c r="C6712">
        <f t="shared" si="228"/>
        <v>5.5355928911334116E-3</v>
      </c>
      <c r="D6712">
        <f t="shared" si="227"/>
        <v>0.55165323072877215</v>
      </c>
    </row>
    <row r="6713" spans="1:4">
      <c r="A6713" s="1">
        <v>28041</v>
      </c>
      <c r="B6713">
        <v>102.56</v>
      </c>
      <c r="C6713">
        <f t="shared" si="228"/>
        <v>-9.464941085570831E-3</v>
      </c>
      <c r="D6713">
        <f t="shared" si="227"/>
        <v>-1.0323980582819527</v>
      </c>
    </row>
    <row r="6714" spans="1:4">
      <c r="A6714" s="1">
        <v>28044</v>
      </c>
      <c r="B6714">
        <v>101.64</v>
      </c>
      <c r="C6714">
        <f t="shared" si="228"/>
        <v>-8.97035881435259E-3</v>
      </c>
      <c r="D6714">
        <f t="shared" si="227"/>
        <v>-0.98017033855798896</v>
      </c>
    </row>
    <row r="6715" spans="1:4">
      <c r="A6715" s="1">
        <v>28045</v>
      </c>
      <c r="B6715">
        <v>100.81</v>
      </c>
      <c r="C6715">
        <f t="shared" si="228"/>
        <v>-8.1660763478945131E-3</v>
      </c>
      <c r="D6715">
        <f t="shared" si="227"/>
        <v>-0.89523838348890972</v>
      </c>
    </row>
    <row r="6716" spans="1:4">
      <c r="A6716" s="1">
        <v>28046</v>
      </c>
      <c r="B6716">
        <v>102.12</v>
      </c>
      <c r="C6716">
        <f t="shared" si="228"/>
        <v>1.2994742585061028E-2</v>
      </c>
      <c r="D6716">
        <f t="shared" si="227"/>
        <v>1.3393369029193545</v>
      </c>
    </row>
    <row r="6717" spans="1:4">
      <c r="A6717" s="1">
        <v>28047</v>
      </c>
      <c r="B6717">
        <v>100.85</v>
      </c>
      <c r="C6717">
        <f t="shared" si="228"/>
        <v>-1.2436349392871231E-2</v>
      </c>
      <c r="D6717">
        <f t="shared" si="227"/>
        <v>-1.3461777655021165</v>
      </c>
    </row>
    <row r="6718" spans="1:4">
      <c r="A6718" s="1">
        <v>28048</v>
      </c>
      <c r="B6718">
        <v>100.88</v>
      </c>
      <c r="C6718">
        <f t="shared" si="228"/>
        <v>2.9747149231533108E-4</v>
      </c>
      <c r="D6718">
        <f t="shared" si="227"/>
        <v>-1.4906084624424218E-3</v>
      </c>
    </row>
    <row r="6719" spans="1:4">
      <c r="A6719" s="1">
        <v>28051</v>
      </c>
      <c r="B6719">
        <v>101.47</v>
      </c>
      <c r="C6719">
        <f t="shared" si="228"/>
        <v>5.8485329103886144E-3</v>
      </c>
      <c r="D6719">
        <f t="shared" si="227"/>
        <v>0.58469959038864061</v>
      </c>
    </row>
    <row r="6720" spans="1:4">
      <c r="A6720" s="1">
        <v>28052</v>
      </c>
      <c r="B6720">
        <v>101.45</v>
      </c>
      <c r="C6720">
        <f t="shared" si="228"/>
        <v>-1.9710259189904426E-4</v>
      </c>
      <c r="D6720">
        <f t="shared" si="227"/>
        <v>-5.3717463641580997E-2</v>
      </c>
    </row>
    <row r="6721" spans="1:4">
      <c r="A6721" s="1">
        <v>28053</v>
      </c>
      <c r="B6721">
        <v>101.74</v>
      </c>
      <c r="C6721">
        <f t="shared" si="228"/>
        <v>2.8585510103498477E-3</v>
      </c>
      <c r="D6721">
        <f t="shared" si="227"/>
        <v>0.26895851808877635</v>
      </c>
    </row>
    <row r="6722" spans="1:4">
      <c r="A6722" s="1">
        <v>28054</v>
      </c>
      <c r="B6722">
        <v>100.77</v>
      </c>
      <c r="C6722">
        <f t="shared" si="228"/>
        <v>-9.5341065460978862E-3</v>
      </c>
      <c r="D6722">
        <f t="shared" si="227"/>
        <v>-1.0397019074031275</v>
      </c>
    </row>
    <row r="6723" spans="1:4">
      <c r="A6723" s="1">
        <v>28055</v>
      </c>
      <c r="B6723">
        <v>99.96</v>
      </c>
      <c r="C6723">
        <f t="shared" si="228"/>
        <v>-8.0381065793391111E-3</v>
      </c>
      <c r="D6723">
        <f t="shared" ref="D6723:D6786" si="229">(C6723-avg)/sd</f>
        <v>-0.88172481942849701</v>
      </c>
    </row>
    <row r="6724" spans="1:4">
      <c r="A6724" s="1">
        <v>28058</v>
      </c>
      <c r="B6724">
        <v>100.07</v>
      </c>
      <c r="C6724">
        <f t="shared" ref="C6724:C6787" si="230">(B6724-B6723)/B6723</f>
        <v>1.1004401760704226E-3</v>
      </c>
      <c r="D6724">
        <f t="shared" si="229"/>
        <v>8.3302611599778059E-2</v>
      </c>
    </row>
    <row r="6725" spans="1:4">
      <c r="A6725" s="1">
        <v>28059</v>
      </c>
      <c r="B6725">
        <v>101.06</v>
      </c>
      <c r="C6725">
        <f t="shared" si="230"/>
        <v>9.8930748476067677E-3</v>
      </c>
      <c r="D6725">
        <f t="shared" si="229"/>
        <v>1.0118018441522749</v>
      </c>
    </row>
    <row r="6726" spans="1:4">
      <c r="A6726" s="1">
        <v>28060</v>
      </c>
      <c r="B6726">
        <v>101.76</v>
      </c>
      <c r="C6726">
        <f t="shared" si="230"/>
        <v>6.9265782703344832E-3</v>
      </c>
      <c r="D6726">
        <f t="shared" si="229"/>
        <v>0.69854081395350187</v>
      </c>
    </row>
    <row r="6727" spans="1:4">
      <c r="A6727" s="1">
        <v>28061</v>
      </c>
      <c r="B6727">
        <v>101.61</v>
      </c>
      <c r="C6727">
        <f t="shared" si="230"/>
        <v>-1.4740566037736407E-3</v>
      </c>
      <c r="D6727">
        <f t="shared" si="229"/>
        <v>-0.18856337323777997</v>
      </c>
    </row>
    <row r="6728" spans="1:4">
      <c r="A6728" s="1">
        <v>28062</v>
      </c>
      <c r="B6728">
        <v>102.9</v>
      </c>
      <c r="C6728">
        <f t="shared" si="230"/>
        <v>1.2695600826690348E-2</v>
      </c>
      <c r="D6728">
        <f t="shared" si="229"/>
        <v>1.307747634918635</v>
      </c>
    </row>
    <row r="6729" spans="1:4">
      <c r="A6729" s="1">
        <v>28065</v>
      </c>
      <c r="B6729">
        <v>103.1</v>
      </c>
      <c r="C6729">
        <f t="shared" si="230"/>
        <v>1.9436345966957105E-3</v>
      </c>
      <c r="D6729">
        <f t="shared" si="229"/>
        <v>0.17234365580209896</v>
      </c>
    </row>
    <row r="6730" spans="1:4">
      <c r="A6730" s="1">
        <v>28067</v>
      </c>
      <c r="B6730">
        <v>101.92</v>
      </c>
      <c r="C6730">
        <f t="shared" si="230"/>
        <v>-1.1445198836081404E-2</v>
      </c>
      <c r="D6730">
        <f t="shared" si="229"/>
        <v>-1.2415126036135546</v>
      </c>
    </row>
    <row r="6731" spans="1:4">
      <c r="A6731" s="1">
        <v>28068</v>
      </c>
      <c r="B6731">
        <v>102.41</v>
      </c>
      <c r="C6731">
        <f t="shared" si="230"/>
        <v>4.8076923076922577E-3</v>
      </c>
      <c r="D6731">
        <f t="shared" si="229"/>
        <v>0.47478717654281644</v>
      </c>
    </row>
    <row r="6732" spans="1:4">
      <c r="A6732" s="1">
        <v>28069</v>
      </c>
      <c r="B6732">
        <v>100.82</v>
      </c>
      <c r="C6732">
        <f t="shared" si="230"/>
        <v>-1.5525827555902778E-2</v>
      </c>
      <c r="D6732">
        <f t="shared" si="229"/>
        <v>-1.6724256093535956</v>
      </c>
    </row>
    <row r="6733" spans="1:4">
      <c r="A6733" s="1">
        <v>28072</v>
      </c>
      <c r="B6733">
        <v>99.6</v>
      </c>
      <c r="C6733">
        <f t="shared" si="230"/>
        <v>-1.210077365602062E-2</v>
      </c>
      <c r="D6733">
        <f t="shared" si="229"/>
        <v>-1.3107410817584273</v>
      </c>
    </row>
    <row r="6734" spans="1:4">
      <c r="A6734" s="1">
        <v>28073</v>
      </c>
      <c r="B6734">
        <v>99.32</v>
      </c>
      <c r="C6734">
        <f t="shared" si="230"/>
        <v>-2.8112449799196902E-3</v>
      </c>
      <c r="D6734">
        <f t="shared" si="229"/>
        <v>-0.32977001122638916</v>
      </c>
    </row>
    <row r="6735" spans="1:4">
      <c r="A6735" s="1">
        <v>28074</v>
      </c>
      <c r="B6735">
        <v>98.81</v>
      </c>
      <c r="C6735">
        <f t="shared" si="230"/>
        <v>-5.1349174385822687E-3</v>
      </c>
      <c r="D6735">
        <f t="shared" si="229"/>
        <v>-0.57514903300651177</v>
      </c>
    </row>
    <row r="6736" spans="1:4">
      <c r="A6736" s="1">
        <v>28075</v>
      </c>
      <c r="B6736">
        <v>99.64</v>
      </c>
      <c r="C6736">
        <f t="shared" si="230"/>
        <v>8.399959518267365E-3</v>
      </c>
      <c r="D6736">
        <f t="shared" si="229"/>
        <v>0.85412937290859414</v>
      </c>
    </row>
    <row r="6737" spans="1:4">
      <c r="A6737" s="1">
        <v>28076</v>
      </c>
      <c r="B6737">
        <v>99.24</v>
      </c>
      <c r="C6737">
        <f t="shared" si="230"/>
        <v>-4.0144520272983311E-3</v>
      </c>
      <c r="D6737">
        <f t="shared" si="229"/>
        <v>-0.45682826643962648</v>
      </c>
    </row>
    <row r="6738" spans="1:4">
      <c r="A6738" s="1">
        <v>28079</v>
      </c>
      <c r="B6738">
        <v>99.9</v>
      </c>
      <c r="C6738">
        <f t="shared" si="230"/>
        <v>6.6505441354293713E-3</v>
      </c>
      <c r="D6738">
        <f t="shared" si="229"/>
        <v>0.66939170313608343</v>
      </c>
    </row>
    <row r="6739" spans="1:4">
      <c r="A6739" s="1">
        <v>28080</v>
      </c>
      <c r="B6739">
        <v>100.04</v>
      </c>
      <c r="C6739">
        <f t="shared" si="230"/>
        <v>1.4014014014014069E-3</v>
      </c>
      <c r="D6739">
        <f t="shared" si="229"/>
        <v>0.11508401469303893</v>
      </c>
    </row>
    <row r="6740" spans="1:4">
      <c r="A6740" s="1">
        <v>28081</v>
      </c>
      <c r="B6740">
        <v>100.61</v>
      </c>
      <c r="C6740">
        <f t="shared" si="230"/>
        <v>5.6977209116352776E-3</v>
      </c>
      <c r="D6740">
        <f t="shared" si="229"/>
        <v>0.56877389458377736</v>
      </c>
    </row>
    <row r="6741" spans="1:4">
      <c r="A6741" s="1">
        <v>28082</v>
      </c>
      <c r="B6741">
        <v>101.89</v>
      </c>
      <c r="C6741">
        <f t="shared" si="230"/>
        <v>1.2722393400258434E-2</v>
      </c>
      <c r="D6741">
        <f t="shared" si="229"/>
        <v>1.3105769215801866</v>
      </c>
    </row>
    <row r="6742" spans="1:4">
      <c r="A6742" s="1">
        <v>28083</v>
      </c>
      <c r="B6742">
        <v>101.92</v>
      </c>
      <c r="C6742">
        <f t="shared" si="230"/>
        <v>2.944351751889404E-4</v>
      </c>
      <c r="D6742">
        <f t="shared" si="229"/>
        <v>-1.811242518894939E-3</v>
      </c>
    </row>
    <row r="6743" spans="1:4">
      <c r="A6743" s="1">
        <v>28086</v>
      </c>
      <c r="B6743">
        <v>102.59</v>
      </c>
      <c r="C6743">
        <f t="shared" si="230"/>
        <v>6.5737833594976623E-3</v>
      </c>
      <c r="D6743">
        <f t="shared" si="229"/>
        <v>0.66128579128995046</v>
      </c>
    </row>
    <row r="6744" spans="1:4">
      <c r="A6744" s="1">
        <v>28087</v>
      </c>
      <c r="B6744">
        <v>101.96</v>
      </c>
      <c r="C6744">
        <f t="shared" si="230"/>
        <v>-6.1409494102740003E-3</v>
      </c>
      <c r="D6744">
        <f t="shared" si="229"/>
        <v>-0.68138566725027605</v>
      </c>
    </row>
    <row r="6745" spans="1:4">
      <c r="A6745" s="1">
        <v>28088</v>
      </c>
      <c r="B6745">
        <v>102.41</v>
      </c>
      <c r="C6745">
        <f t="shared" si="230"/>
        <v>4.4134954884268622E-3</v>
      </c>
      <c r="D6745">
        <f t="shared" si="229"/>
        <v>0.43316012642239998</v>
      </c>
    </row>
    <row r="6746" spans="1:4">
      <c r="A6746" s="1">
        <v>28090</v>
      </c>
      <c r="B6746">
        <v>103.15</v>
      </c>
      <c r="C6746">
        <f t="shared" si="230"/>
        <v>7.2258568499170891E-3</v>
      </c>
      <c r="D6746">
        <f t="shared" si="229"/>
        <v>0.7301445302276931</v>
      </c>
    </row>
    <row r="6747" spans="1:4">
      <c r="A6747" s="1">
        <v>28093</v>
      </c>
      <c r="B6747">
        <v>102.44</v>
      </c>
      <c r="C6747">
        <f t="shared" si="230"/>
        <v>-6.8831798351915458E-3</v>
      </c>
      <c r="D6747">
        <f t="shared" si="229"/>
        <v>-0.759764947825189</v>
      </c>
    </row>
    <row r="6748" spans="1:4">
      <c r="A6748" s="1">
        <v>28094</v>
      </c>
      <c r="B6748">
        <v>102.1</v>
      </c>
      <c r="C6748">
        <f t="shared" si="230"/>
        <v>-3.3190160093713728E-3</v>
      </c>
      <c r="D6748">
        <f t="shared" si="229"/>
        <v>-0.38339045933672772</v>
      </c>
    </row>
    <row r="6749" spans="1:4">
      <c r="A6749" s="1">
        <v>28095</v>
      </c>
      <c r="B6749">
        <v>102.49</v>
      </c>
      <c r="C6749">
        <f t="shared" si="230"/>
        <v>3.8197845249755198E-3</v>
      </c>
      <c r="D6749">
        <f t="shared" si="229"/>
        <v>0.37046445049410026</v>
      </c>
    </row>
    <row r="6750" spans="1:4">
      <c r="A6750" s="1">
        <v>28096</v>
      </c>
      <c r="B6750">
        <v>102.12</v>
      </c>
      <c r="C6750">
        <f t="shared" si="230"/>
        <v>-3.6101083032490035E-3</v>
      </c>
      <c r="D6750">
        <f t="shared" si="229"/>
        <v>-0.41412970662312726</v>
      </c>
    </row>
    <row r="6751" spans="1:4">
      <c r="A6751" s="1">
        <v>28097</v>
      </c>
      <c r="B6751">
        <v>102.76</v>
      </c>
      <c r="C6751">
        <f t="shared" si="230"/>
        <v>6.2671367019193156E-3</v>
      </c>
      <c r="D6751">
        <f t="shared" si="229"/>
        <v>0.62890400848394046</v>
      </c>
    </row>
    <row r="6752" spans="1:4">
      <c r="A6752" s="1">
        <v>28100</v>
      </c>
      <c r="B6752">
        <v>103.56</v>
      </c>
      <c r="C6752">
        <f t="shared" si="230"/>
        <v>7.7851304009341872E-3</v>
      </c>
      <c r="D6752">
        <f t="shared" si="229"/>
        <v>0.78920362710878178</v>
      </c>
    </row>
    <row r="6753" spans="1:4">
      <c r="A6753" s="1">
        <v>28101</v>
      </c>
      <c r="B6753">
        <v>103.49</v>
      </c>
      <c r="C6753">
        <f t="shared" si="230"/>
        <v>-6.7593665507925248E-4</v>
      </c>
      <c r="D6753">
        <f t="shared" si="229"/>
        <v>-0.10428217794980464</v>
      </c>
    </row>
    <row r="6754" spans="1:4">
      <c r="A6754" s="1">
        <v>28102</v>
      </c>
      <c r="B6754">
        <v>104.08</v>
      </c>
      <c r="C6754">
        <f t="shared" si="230"/>
        <v>5.7010339163204504E-3</v>
      </c>
      <c r="D6754">
        <f t="shared" si="229"/>
        <v>0.56912374675238664</v>
      </c>
    </row>
    <row r="6755" spans="1:4">
      <c r="A6755" s="1">
        <v>28103</v>
      </c>
      <c r="B6755">
        <v>104.51</v>
      </c>
      <c r="C6755">
        <f t="shared" si="230"/>
        <v>4.1314373558801578E-3</v>
      </c>
      <c r="D6755">
        <f t="shared" si="229"/>
        <v>0.40337488350168565</v>
      </c>
    </row>
    <row r="6756" spans="1:4">
      <c r="A6756" s="1">
        <v>28104</v>
      </c>
      <c r="B6756">
        <v>104.7</v>
      </c>
      <c r="C6756">
        <f t="shared" si="230"/>
        <v>1.8180078461391036E-3</v>
      </c>
      <c r="D6756">
        <f t="shared" si="229"/>
        <v>0.15907751364592859</v>
      </c>
    </row>
    <row r="6757" spans="1:4">
      <c r="A6757" s="1">
        <v>28107</v>
      </c>
      <c r="B6757">
        <v>104.63</v>
      </c>
      <c r="C6757">
        <f t="shared" si="230"/>
        <v>-6.6857688634199984E-4</v>
      </c>
      <c r="D6757">
        <f t="shared" si="229"/>
        <v>-0.10350498887285771</v>
      </c>
    </row>
    <row r="6758" spans="1:4">
      <c r="A6758" s="1">
        <v>28108</v>
      </c>
      <c r="B6758">
        <v>105.07</v>
      </c>
      <c r="C6758">
        <f t="shared" si="230"/>
        <v>4.2052948485137888E-3</v>
      </c>
      <c r="D6758">
        <f t="shared" si="229"/>
        <v>0.41117420961841555</v>
      </c>
    </row>
    <row r="6759" spans="1:4">
      <c r="A6759" s="1">
        <v>28109</v>
      </c>
      <c r="B6759">
        <v>105.14</v>
      </c>
      <c r="C6759">
        <f t="shared" si="230"/>
        <v>6.6622251832118963E-4</v>
      </c>
      <c r="D6759">
        <f t="shared" si="229"/>
        <v>3.7449374539212321E-2</v>
      </c>
    </row>
    <row r="6760" spans="1:4">
      <c r="A6760" s="1">
        <v>28110</v>
      </c>
      <c r="B6760">
        <v>104.8</v>
      </c>
      <c r="C6760">
        <f t="shared" si="230"/>
        <v>-3.233783526726302E-3</v>
      </c>
      <c r="D6760">
        <f t="shared" si="229"/>
        <v>-0.37438993814133675</v>
      </c>
    </row>
    <row r="6761" spans="1:4">
      <c r="A6761" s="1">
        <v>28111</v>
      </c>
      <c r="B6761">
        <v>104.26</v>
      </c>
      <c r="C6761">
        <f t="shared" si="230"/>
        <v>-5.1526717557251155E-3</v>
      </c>
      <c r="D6761">
        <f t="shared" si="229"/>
        <v>-0.57702388286181072</v>
      </c>
    </row>
    <row r="6762" spans="1:4">
      <c r="A6762" s="1">
        <v>28114</v>
      </c>
      <c r="B6762">
        <v>103.65</v>
      </c>
      <c r="C6762">
        <f t="shared" si="230"/>
        <v>-5.850757721081905E-3</v>
      </c>
      <c r="D6762">
        <f t="shared" si="229"/>
        <v>-0.65074152351253867</v>
      </c>
    </row>
    <row r="6763" spans="1:4">
      <c r="A6763" s="1">
        <v>28115</v>
      </c>
      <c r="B6763">
        <v>104.22</v>
      </c>
      <c r="C6763">
        <f t="shared" si="230"/>
        <v>5.499276410998487E-3</v>
      </c>
      <c r="D6763">
        <f t="shared" si="229"/>
        <v>0.54781822277109549</v>
      </c>
    </row>
    <row r="6764" spans="1:4">
      <c r="A6764" s="1">
        <v>28116</v>
      </c>
      <c r="B6764">
        <v>104.71</v>
      </c>
      <c r="C6764">
        <f t="shared" si="230"/>
        <v>4.7015927844942899E-3</v>
      </c>
      <c r="D6764">
        <f t="shared" si="229"/>
        <v>0.46358310295809124</v>
      </c>
    </row>
    <row r="6765" spans="1:4">
      <c r="A6765" s="1">
        <v>28117</v>
      </c>
      <c r="B6765">
        <v>104.84</v>
      </c>
      <c r="C6765">
        <f t="shared" si="230"/>
        <v>1.241524209722182E-3</v>
      </c>
      <c r="D6765">
        <f t="shared" si="229"/>
        <v>9.820103759661071E-2</v>
      </c>
    </row>
    <row r="6766" spans="1:4">
      <c r="A6766" s="1">
        <v>28121</v>
      </c>
      <c r="B6766">
        <v>106.06</v>
      </c>
      <c r="C6766">
        <f t="shared" si="230"/>
        <v>1.1636779855017158E-2</v>
      </c>
      <c r="D6766">
        <f t="shared" si="229"/>
        <v>1.1959365002206814</v>
      </c>
    </row>
    <row r="6767" spans="1:4">
      <c r="A6767" s="1">
        <v>28122</v>
      </c>
      <c r="B6767">
        <v>106.77</v>
      </c>
      <c r="C6767">
        <f t="shared" si="230"/>
        <v>6.6943239675654699E-3</v>
      </c>
      <c r="D6767">
        <f t="shared" si="229"/>
        <v>0.67401483852816746</v>
      </c>
    </row>
    <row r="6768" spans="1:4">
      <c r="A6768" s="1">
        <v>28123</v>
      </c>
      <c r="B6768">
        <v>106.34</v>
      </c>
      <c r="C6768">
        <f t="shared" si="230"/>
        <v>-4.0273485061346126E-3</v>
      </c>
      <c r="D6768">
        <f t="shared" si="229"/>
        <v>-0.45819013022101163</v>
      </c>
    </row>
    <row r="6769" spans="1:4">
      <c r="A6769" s="1">
        <v>28124</v>
      </c>
      <c r="B6769">
        <v>106.88</v>
      </c>
      <c r="C6769">
        <f t="shared" si="230"/>
        <v>5.0780515328191838E-3</v>
      </c>
      <c r="D6769">
        <f t="shared" si="229"/>
        <v>0.50333701881665405</v>
      </c>
    </row>
    <row r="6770" spans="1:4">
      <c r="A6770" s="1">
        <v>28125</v>
      </c>
      <c r="B6770">
        <v>107.46</v>
      </c>
      <c r="C6770">
        <f t="shared" si="230"/>
        <v>5.426646706586811E-3</v>
      </c>
      <c r="D6770">
        <f t="shared" si="229"/>
        <v>0.54014855067325862</v>
      </c>
    </row>
    <row r="6771" spans="1:4">
      <c r="A6771" s="1">
        <v>28128</v>
      </c>
      <c r="B6771">
        <v>107</v>
      </c>
      <c r="C6771">
        <f t="shared" si="230"/>
        <v>-4.2806625721198005E-3</v>
      </c>
      <c r="D6771">
        <f t="shared" si="229"/>
        <v>-0.48494000948341281</v>
      </c>
    </row>
    <row r="6772" spans="1:4">
      <c r="A6772" s="1">
        <v>28129</v>
      </c>
      <c r="B6772">
        <v>105.7</v>
      </c>
      <c r="C6772">
        <f t="shared" si="230"/>
        <v>-1.2149532710280348E-2</v>
      </c>
      <c r="D6772">
        <f t="shared" si="229"/>
        <v>-1.3158900213142466</v>
      </c>
    </row>
    <row r="6773" spans="1:4">
      <c r="A6773" s="1">
        <v>28130</v>
      </c>
      <c r="B6773">
        <v>104.76</v>
      </c>
      <c r="C6773">
        <f t="shared" si="230"/>
        <v>-8.8930936613055601E-3</v>
      </c>
      <c r="D6773">
        <f t="shared" si="229"/>
        <v>-0.97201116465992421</v>
      </c>
    </row>
    <row r="6774" spans="1:4">
      <c r="A6774" s="1">
        <v>28131</v>
      </c>
      <c r="B6774">
        <v>105.02</v>
      </c>
      <c r="C6774">
        <f t="shared" si="230"/>
        <v>2.4818633066054879E-3</v>
      </c>
      <c r="D6774">
        <f t="shared" si="229"/>
        <v>0.22918042461574373</v>
      </c>
    </row>
    <row r="6775" spans="1:4">
      <c r="A6775" s="1">
        <v>28132</v>
      </c>
      <c r="B6775">
        <v>105.01</v>
      </c>
      <c r="C6775">
        <f t="shared" si="230"/>
        <v>-9.5219958103131836E-5</v>
      </c>
      <c r="D6775">
        <f t="shared" si="229"/>
        <v>-4.295869214432254E-2</v>
      </c>
    </row>
    <row r="6776" spans="1:4">
      <c r="A6776" s="1">
        <v>28135</v>
      </c>
      <c r="B6776">
        <v>105.2</v>
      </c>
      <c r="C6776">
        <f t="shared" si="230"/>
        <v>1.809351490334232E-3</v>
      </c>
      <c r="D6776">
        <f t="shared" si="229"/>
        <v>0.15816340541537247</v>
      </c>
    </row>
    <row r="6777" spans="1:4">
      <c r="A6777" s="1">
        <v>28136</v>
      </c>
      <c r="B6777">
        <v>104.12</v>
      </c>
      <c r="C6777">
        <f t="shared" si="230"/>
        <v>-1.0266159695817473E-2</v>
      </c>
      <c r="D6777">
        <f t="shared" si="229"/>
        <v>-1.1170064711765599</v>
      </c>
    </row>
    <row r="6778" spans="1:4">
      <c r="A6778" s="1">
        <v>28137</v>
      </c>
      <c r="B6778">
        <v>103.4</v>
      </c>
      <c r="C6778">
        <f t="shared" si="230"/>
        <v>-6.9150979638878101E-3</v>
      </c>
      <c r="D6778">
        <f t="shared" si="229"/>
        <v>-0.76313549136601544</v>
      </c>
    </row>
    <row r="6779" spans="1:4">
      <c r="A6779" s="1">
        <v>28138</v>
      </c>
      <c r="B6779">
        <v>104.2</v>
      </c>
      <c r="C6779">
        <f t="shared" si="230"/>
        <v>7.7369439071566454E-3</v>
      </c>
      <c r="D6779">
        <f t="shared" si="229"/>
        <v>0.78411514974525853</v>
      </c>
    </row>
    <row r="6780" spans="1:4">
      <c r="A6780" s="1">
        <v>28139</v>
      </c>
      <c r="B6780">
        <v>104.01</v>
      </c>
      <c r="C6780">
        <f t="shared" si="230"/>
        <v>-1.8234165067178285E-3</v>
      </c>
      <c r="D6780">
        <f t="shared" si="229"/>
        <v>-0.22545566023548527</v>
      </c>
    </row>
    <row r="6781" spans="1:4">
      <c r="A6781" s="1">
        <v>28142</v>
      </c>
      <c r="B6781">
        <v>103.73</v>
      </c>
      <c r="C6781">
        <f t="shared" si="230"/>
        <v>-2.6920488414575628E-3</v>
      </c>
      <c r="D6781">
        <f t="shared" si="229"/>
        <v>-0.31718293952152454</v>
      </c>
    </row>
    <row r="6782" spans="1:4">
      <c r="A6782" s="1">
        <v>28143</v>
      </c>
      <c r="B6782">
        <v>103.32</v>
      </c>
      <c r="C6782">
        <f t="shared" si="230"/>
        <v>-3.9525691699605781E-3</v>
      </c>
      <c r="D6782">
        <f t="shared" si="229"/>
        <v>-0.45029345773976498</v>
      </c>
    </row>
    <row r="6783" spans="1:4">
      <c r="A6783" s="1">
        <v>28144</v>
      </c>
      <c r="B6783">
        <v>103.85</v>
      </c>
      <c r="C6783">
        <f t="shared" si="230"/>
        <v>5.129694154084409E-3</v>
      </c>
      <c r="D6783">
        <f t="shared" si="229"/>
        <v>0.50879046206808198</v>
      </c>
    </row>
    <row r="6784" spans="1:4">
      <c r="A6784" s="1">
        <v>28145</v>
      </c>
      <c r="B6784">
        <v>102.97</v>
      </c>
      <c r="C6784">
        <f t="shared" si="230"/>
        <v>-8.473760231102509E-3</v>
      </c>
      <c r="D6784">
        <f t="shared" si="229"/>
        <v>-0.92772969696884056</v>
      </c>
    </row>
    <row r="6785" spans="1:4">
      <c r="A6785" s="1">
        <v>28146</v>
      </c>
      <c r="B6785">
        <v>103.32</v>
      </c>
      <c r="C6785">
        <f t="shared" si="230"/>
        <v>3.399048266485329E-3</v>
      </c>
      <c r="D6785">
        <f t="shared" si="229"/>
        <v>0.32603484461273913</v>
      </c>
    </row>
    <row r="6786" spans="1:4">
      <c r="A6786" s="1">
        <v>28149</v>
      </c>
      <c r="B6786">
        <v>103.25</v>
      </c>
      <c r="C6786">
        <f t="shared" si="230"/>
        <v>-6.7750677506768465E-4</v>
      </c>
      <c r="D6786">
        <f t="shared" si="229"/>
        <v>-0.10444798208687336</v>
      </c>
    </row>
    <row r="6787" spans="1:4">
      <c r="A6787" s="1">
        <v>28150</v>
      </c>
      <c r="B6787">
        <v>103.13</v>
      </c>
      <c r="C6787">
        <f t="shared" si="230"/>
        <v>-1.1622276029056131E-3</v>
      </c>
      <c r="D6787">
        <f t="shared" ref="D6787:D6850" si="231">(C6787-avg)/sd</f>
        <v>-0.15563433674194371</v>
      </c>
    </row>
    <row r="6788" spans="1:4">
      <c r="A6788" s="1">
        <v>28151</v>
      </c>
      <c r="B6788">
        <v>102.34</v>
      </c>
      <c r="C6788">
        <f t="shared" ref="C6788:C6851" si="232">(B6788-B6787)/B6787</f>
        <v>-7.6602346552893637E-3</v>
      </c>
      <c r="D6788">
        <f t="shared" si="231"/>
        <v>-0.84182167269375163</v>
      </c>
    </row>
    <row r="6789" spans="1:4">
      <c r="A6789" s="1">
        <v>28152</v>
      </c>
      <c r="B6789">
        <v>101.79</v>
      </c>
      <c r="C6789">
        <f t="shared" si="232"/>
        <v>-5.3742427203439238E-3</v>
      </c>
      <c r="D6789">
        <f t="shared" si="231"/>
        <v>-0.60042170140992657</v>
      </c>
    </row>
    <row r="6790" spans="1:4">
      <c r="A6790" s="1">
        <v>28153</v>
      </c>
      <c r="B6790">
        <v>101.93</v>
      </c>
      <c r="C6790">
        <f t="shared" si="232"/>
        <v>1.3753806857255187E-3</v>
      </c>
      <c r="D6790">
        <f t="shared" si="231"/>
        <v>0.11233623596253614</v>
      </c>
    </row>
    <row r="6791" spans="1:4">
      <c r="A6791" s="1">
        <v>28156</v>
      </c>
      <c r="B6791">
        <v>102.03</v>
      </c>
      <c r="C6791">
        <f t="shared" si="232"/>
        <v>9.8106543706459647E-4</v>
      </c>
      <c r="D6791">
        <f t="shared" si="231"/>
        <v>7.069667973820816E-2</v>
      </c>
    </row>
    <row r="6792" spans="1:4">
      <c r="A6792" s="1">
        <v>28157</v>
      </c>
      <c r="B6792">
        <v>102.54</v>
      </c>
      <c r="C6792">
        <f t="shared" si="232"/>
        <v>4.9985298441635314E-3</v>
      </c>
      <c r="D6792">
        <f t="shared" si="231"/>
        <v>0.49493955552535246</v>
      </c>
    </row>
    <row r="6793" spans="1:4">
      <c r="A6793" s="1">
        <v>28158</v>
      </c>
      <c r="B6793">
        <v>102.36</v>
      </c>
      <c r="C6793">
        <f t="shared" si="232"/>
        <v>-1.755412521942723E-3</v>
      </c>
      <c r="D6793">
        <f t="shared" si="231"/>
        <v>-0.21827446255891167</v>
      </c>
    </row>
    <row r="6794" spans="1:4">
      <c r="A6794" s="1">
        <v>28159</v>
      </c>
      <c r="B6794">
        <v>101.85</v>
      </c>
      <c r="C6794">
        <f t="shared" si="232"/>
        <v>-4.9824150058617143E-3</v>
      </c>
      <c r="D6794">
        <f t="shared" si="231"/>
        <v>-0.55904482794931676</v>
      </c>
    </row>
    <row r="6795" spans="1:4">
      <c r="A6795" s="1">
        <v>28160</v>
      </c>
      <c r="B6795">
        <v>101.88</v>
      </c>
      <c r="C6795">
        <f t="shared" si="232"/>
        <v>2.9455081001473875E-4</v>
      </c>
      <c r="D6795">
        <f t="shared" si="231"/>
        <v>-1.7990315205968211E-3</v>
      </c>
    </row>
    <row r="6796" spans="1:4">
      <c r="A6796" s="1">
        <v>28163</v>
      </c>
      <c r="B6796">
        <v>101.89</v>
      </c>
      <c r="C6796">
        <f t="shared" si="232"/>
        <v>9.815469179431798E-5</v>
      </c>
      <c r="D6796">
        <f t="shared" si="231"/>
        <v>-2.2538394846389052E-2</v>
      </c>
    </row>
    <row r="6797" spans="1:4">
      <c r="A6797" s="1">
        <v>28164</v>
      </c>
      <c r="B6797">
        <v>101.6</v>
      </c>
      <c r="C6797">
        <f t="shared" si="232"/>
        <v>-2.8462066934930438E-3</v>
      </c>
      <c r="D6797">
        <f t="shared" si="231"/>
        <v>-0.33346195629567144</v>
      </c>
    </row>
    <row r="6798" spans="1:4">
      <c r="A6798" s="1">
        <v>28165</v>
      </c>
      <c r="B6798">
        <v>100.73</v>
      </c>
      <c r="C6798">
        <f t="shared" si="232"/>
        <v>-8.5629921259841573E-3</v>
      </c>
      <c r="D6798">
        <f t="shared" si="231"/>
        <v>-0.93715255473694781</v>
      </c>
    </row>
    <row r="6799" spans="1:4">
      <c r="A6799" s="1">
        <v>28166</v>
      </c>
      <c r="B6799">
        <v>100.82</v>
      </c>
      <c r="C6799">
        <f t="shared" si="232"/>
        <v>8.9347761342191195E-4</v>
      </c>
      <c r="D6799">
        <f t="shared" si="231"/>
        <v>6.1447435334088508E-2</v>
      </c>
    </row>
    <row r="6800" spans="1:4">
      <c r="A6800" s="1">
        <v>28167</v>
      </c>
      <c r="B6800">
        <v>100.22</v>
      </c>
      <c r="C6800">
        <f t="shared" si="232"/>
        <v>-5.9512001586986153E-3</v>
      </c>
      <c r="D6800">
        <f t="shared" si="231"/>
        <v>-0.66134821078281991</v>
      </c>
    </row>
    <row r="6801" spans="1:4">
      <c r="A6801" s="1">
        <v>28170</v>
      </c>
      <c r="B6801">
        <v>100.74</v>
      </c>
      <c r="C6801">
        <f t="shared" si="232"/>
        <v>5.1885851127519058E-3</v>
      </c>
      <c r="D6801">
        <f t="shared" si="231"/>
        <v>0.51500932728536009</v>
      </c>
    </row>
    <row r="6802" spans="1:4">
      <c r="A6802" s="1">
        <v>28171</v>
      </c>
      <c r="B6802">
        <v>101.04</v>
      </c>
      <c r="C6802">
        <f t="shared" si="232"/>
        <v>2.9779630732580044E-3</v>
      </c>
      <c r="D6802">
        <f t="shared" si="231"/>
        <v>0.28156839134174533</v>
      </c>
    </row>
    <row r="6803" spans="1:4">
      <c r="A6803" s="1">
        <v>28172</v>
      </c>
      <c r="B6803">
        <v>101.5</v>
      </c>
      <c r="C6803">
        <f t="shared" si="232"/>
        <v>4.5526524148851322E-3</v>
      </c>
      <c r="D6803">
        <f t="shared" si="231"/>
        <v>0.44785505055465569</v>
      </c>
    </row>
    <row r="6804" spans="1:4">
      <c r="A6804" s="1">
        <v>28173</v>
      </c>
      <c r="B6804">
        <v>100.92</v>
      </c>
      <c r="C6804">
        <f t="shared" si="232"/>
        <v>-5.7142857142856978E-3</v>
      </c>
      <c r="D6804">
        <f t="shared" si="231"/>
        <v>-0.63633012598394822</v>
      </c>
    </row>
    <row r="6805" spans="1:4">
      <c r="A6805" s="1">
        <v>28174</v>
      </c>
      <c r="B6805">
        <v>100.49</v>
      </c>
      <c r="C6805">
        <f t="shared" si="232"/>
        <v>-4.2608006341657437E-3</v>
      </c>
      <c r="D6805">
        <f t="shared" si="231"/>
        <v>-0.48284259558686515</v>
      </c>
    </row>
    <row r="6806" spans="1:4">
      <c r="A6806" s="1">
        <v>28178</v>
      </c>
      <c r="B6806">
        <v>100.49</v>
      </c>
      <c r="C6806">
        <f t="shared" si="232"/>
        <v>0</v>
      </c>
      <c r="D6806">
        <f t="shared" si="231"/>
        <v>-3.29034969354682E-2</v>
      </c>
    </row>
    <row r="6807" spans="1:4">
      <c r="A6807" s="1">
        <v>28179</v>
      </c>
      <c r="B6807">
        <v>100.19</v>
      </c>
      <c r="C6807">
        <f t="shared" si="232"/>
        <v>-2.9853716787739794E-3</v>
      </c>
      <c r="D6807">
        <f t="shared" si="231"/>
        <v>-0.3481577314368613</v>
      </c>
    </row>
    <row r="6808" spans="1:4">
      <c r="A6808" s="1">
        <v>28180</v>
      </c>
      <c r="B6808">
        <v>99.6</v>
      </c>
      <c r="C6808">
        <f t="shared" si="232"/>
        <v>-5.8888112586086777E-3</v>
      </c>
      <c r="D6808">
        <f t="shared" si="231"/>
        <v>-0.65475996414033999</v>
      </c>
    </row>
    <row r="6809" spans="1:4">
      <c r="A6809" s="1">
        <v>28181</v>
      </c>
      <c r="B6809">
        <v>99.48</v>
      </c>
      <c r="C6809">
        <f t="shared" si="232"/>
        <v>-1.2048192771083367E-3</v>
      </c>
      <c r="D6809">
        <f t="shared" si="231"/>
        <v>-0.16013200306013783</v>
      </c>
    </row>
    <row r="6810" spans="1:4">
      <c r="A6810" s="1">
        <v>28184</v>
      </c>
      <c r="B6810">
        <v>99.82</v>
      </c>
      <c r="C6810">
        <f t="shared" si="232"/>
        <v>3.417772416566035E-3</v>
      </c>
      <c r="D6810">
        <f t="shared" si="231"/>
        <v>0.32801210849661383</v>
      </c>
    </row>
    <row r="6811" spans="1:4">
      <c r="A6811" s="1">
        <v>28185</v>
      </c>
      <c r="B6811">
        <v>100.66</v>
      </c>
      <c r="C6811">
        <f t="shared" si="232"/>
        <v>8.4151472650771733E-3</v>
      </c>
      <c r="D6811">
        <f t="shared" si="231"/>
        <v>0.85573319380914392</v>
      </c>
    </row>
    <row r="6812" spans="1:4">
      <c r="A6812" s="1">
        <v>28186</v>
      </c>
      <c r="B6812">
        <v>100.39</v>
      </c>
      <c r="C6812">
        <f t="shared" si="232"/>
        <v>-2.6822968408503479E-3</v>
      </c>
      <c r="D6812">
        <f t="shared" si="231"/>
        <v>-0.31615313157226876</v>
      </c>
    </row>
    <row r="6813" spans="1:4">
      <c r="A6813" s="1">
        <v>28187</v>
      </c>
      <c r="B6813">
        <v>100.88</v>
      </c>
      <c r="C6813">
        <f t="shared" si="232"/>
        <v>4.880964239466031E-3</v>
      </c>
      <c r="D6813">
        <f t="shared" si="231"/>
        <v>0.48252466763178714</v>
      </c>
    </row>
    <row r="6814" spans="1:4">
      <c r="A6814" s="1">
        <v>28188</v>
      </c>
      <c r="B6814">
        <v>101.2</v>
      </c>
      <c r="C6814">
        <f t="shared" si="232"/>
        <v>3.1720856463125237E-3</v>
      </c>
      <c r="D6814">
        <f t="shared" si="231"/>
        <v>0.30206766907083393</v>
      </c>
    </row>
    <row r="6815" spans="1:4">
      <c r="A6815" s="1">
        <v>28191</v>
      </c>
      <c r="B6815">
        <v>101.25</v>
      </c>
      <c r="C6815">
        <f t="shared" si="232"/>
        <v>4.9407114624503117E-4</v>
      </c>
      <c r="D6815">
        <f t="shared" si="231"/>
        <v>1.9270248165064559E-2</v>
      </c>
    </row>
    <row r="6816" spans="1:4">
      <c r="A6816" s="1">
        <v>28192</v>
      </c>
      <c r="B6816">
        <v>100.87</v>
      </c>
      <c r="C6816">
        <f t="shared" si="232"/>
        <v>-3.7530864197530414E-3</v>
      </c>
      <c r="D6816">
        <f t="shared" si="231"/>
        <v>-0.42922814712533053</v>
      </c>
    </row>
    <row r="6817" spans="1:4">
      <c r="A6817" s="1">
        <v>28193</v>
      </c>
      <c r="B6817">
        <v>100.1</v>
      </c>
      <c r="C6817">
        <f t="shared" si="232"/>
        <v>-7.6335877862596432E-3</v>
      </c>
      <c r="D6817">
        <f t="shared" si="231"/>
        <v>-0.83900777238192392</v>
      </c>
    </row>
    <row r="6818" spans="1:4">
      <c r="A6818" s="1">
        <v>28194</v>
      </c>
      <c r="B6818">
        <v>100.67</v>
      </c>
      <c r="C6818">
        <f t="shared" si="232"/>
        <v>5.6943056943057685E-3</v>
      </c>
      <c r="D6818">
        <f t="shared" si="231"/>
        <v>0.56841324879467003</v>
      </c>
    </row>
    <row r="6819" spans="1:4">
      <c r="A6819" s="1">
        <v>28195</v>
      </c>
      <c r="B6819">
        <v>100.65</v>
      </c>
      <c r="C6819">
        <f t="shared" si="232"/>
        <v>-1.986689182477006E-4</v>
      </c>
      <c r="D6819">
        <f t="shared" si="231"/>
        <v>-5.3882867171578919E-2</v>
      </c>
    </row>
    <row r="6820" spans="1:4">
      <c r="A6820" s="1">
        <v>28198</v>
      </c>
      <c r="B6820">
        <v>101.42</v>
      </c>
      <c r="C6820">
        <f t="shared" si="232"/>
        <v>7.6502732240436759E-3</v>
      </c>
      <c r="D6820">
        <f t="shared" si="231"/>
        <v>0.77496275506932555</v>
      </c>
    </row>
    <row r="6821" spans="1:4">
      <c r="A6821" s="1">
        <v>28199</v>
      </c>
      <c r="B6821">
        <v>101.98</v>
      </c>
      <c r="C6821">
        <f t="shared" si="232"/>
        <v>5.5215933740879733E-3</v>
      </c>
      <c r="D6821">
        <f t="shared" si="231"/>
        <v>0.55017488648744095</v>
      </c>
    </row>
    <row r="6822" spans="1:4">
      <c r="A6822" s="1">
        <v>28200</v>
      </c>
      <c r="B6822">
        <v>102.17</v>
      </c>
      <c r="C6822">
        <f t="shared" si="232"/>
        <v>1.8631104138066065E-3</v>
      </c>
      <c r="D6822">
        <f t="shared" si="231"/>
        <v>0.16384032946050925</v>
      </c>
    </row>
    <row r="6823" spans="1:4">
      <c r="A6823" s="1">
        <v>28201</v>
      </c>
      <c r="B6823">
        <v>102.08</v>
      </c>
      <c r="C6823">
        <f t="shared" si="232"/>
        <v>-8.8088479984343158E-4</v>
      </c>
      <c r="D6823">
        <f t="shared" si="231"/>
        <v>-0.1259246323716427</v>
      </c>
    </row>
    <row r="6824" spans="1:4">
      <c r="A6824" s="1">
        <v>28202</v>
      </c>
      <c r="B6824">
        <v>101.86</v>
      </c>
      <c r="C6824">
        <f t="shared" si="232"/>
        <v>-2.1551724137930921E-3</v>
      </c>
      <c r="D6824">
        <f t="shared" si="231"/>
        <v>-0.2604889712533211</v>
      </c>
    </row>
    <row r="6825" spans="1:4">
      <c r="A6825" s="1">
        <v>28205</v>
      </c>
      <c r="B6825">
        <v>101.31</v>
      </c>
      <c r="C6825">
        <f t="shared" si="232"/>
        <v>-5.3995680345572073E-3</v>
      </c>
      <c r="D6825">
        <f t="shared" si="231"/>
        <v>-0.60309604598235678</v>
      </c>
    </row>
    <row r="6826" spans="1:4">
      <c r="A6826" s="1">
        <v>28206</v>
      </c>
      <c r="B6826">
        <v>101</v>
      </c>
      <c r="C6826">
        <f t="shared" si="232"/>
        <v>-3.0599151120323984E-3</v>
      </c>
      <c r="D6826">
        <f t="shared" si="231"/>
        <v>-0.35602949265040629</v>
      </c>
    </row>
    <row r="6827" spans="1:4">
      <c r="A6827" s="1">
        <v>28207</v>
      </c>
      <c r="B6827">
        <v>100.2</v>
      </c>
      <c r="C6827">
        <f t="shared" si="232"/>
        <v>-7.9207920792078931E-3</v>
      </c>
      <c r="D6827">
        <f t="shared" si="231"/>
        <v>-0.86933644809177657</v>
      </c>
    </row>
    <row r="6828" spans="1:4">
      <c r="A6828" s="1">
        <v>28208</v>
      </c>
      <c r="B6828">
        <v>99.7</v>
      </c>
      <c r="C6828">
        <f t="shared" si="232"/>
        <v>-4.9900199600798403E-3</v>
      </c>
      <c r="D6828">
        <f t="shared" si="231"/>
        <v>-0.55984790852970134</v>
      </c>
    </row>
    <row r="6829" spans="1:4">
      <c r="A6829" s="1">
        <v>28209</v>
      </c>
      <c r="B6829">
        <v>99.06</v>
      </c>
      <c r="C6829">
        <f t="shared" si="232"/>
        <v>-6.4192577733199656E-3</v>
      </c>
      <c r="D6829">
        <f t="shared" si="231"/>
        <v>-0.710774935786321</v>
      </c>
    </row>
    <row r="6830" spans="1:4">
      <c r="A6830" s="1">
        <v>28212</v>
      </c>
      <c r="B6830">
        <v>99</v>
      </c>
      <c r="C6830">
        <f t="shared" si="232"/>
        <v>-6.0569351907936882E-4</v>
      </c>
      <c r="D6830">
        <f t="shared" si="231"/>
        <v>-9.6864526665018963E-2</v>
      </c>
    </row>
    <row r="6831" spans="1:4">
      <c r="A6831" s="1">
        <v>28213</v>
      </c>
      <c r="B6831">
        <v>99.69</v>
      </c>
      <c r="C6831">
        <f t="shared" si="232"/>
        <v>6.9696969696969469E-3</v>
      </c>
      <c r="D6831">
        <f t="shared" si="231"/>
        <v>0.70309413394942</v>
      </c>
    </row>
    <row r="6832" spans="1:4">
      <c r="A6832" s="1">
        <v>28214</v>
      </c>
      <c r="B6832">
        <v>98.54</v>
      </c>
      <c r="C6832">
        <f t="shared" si="232"/>
        <v>-1.1535760858661766E-2</v>
      </c>
      <c r="D6832">
        <f t="shared" si="231"/>
        <v>-1.2510759224145136</v>
      </c>
    </row>
    <row r="6833" spans="1:4">
      <c r="A6833" s="1">
        <v>28215</v>
      </c>
      <c r="B6833">
        <v>98.42</v>
      </c>
      <c r="C6833">
        <f t="shared" si="232"/>
        <v>-1.217779581895723E-3</v>
      </c>
      <c r="D6833">
        <f t="shared" si="231"/>
        <v>-0.16150060684026418</v>
      </c>
    </row>
    <row r="6834" spans="1:4">
      <c r="A6834" s="1">
        <v>28216</v>
      </c>
      <c r="B6834">
        <v>99.21</v>
      </c>
      <c r="C6834">
        <f t="shared" si="232"/>
        <v>8.0268238162974192E-3</v>
      </c>
      <c r="D6834">
        <f t="shared" si="231"/>
        <v>0.81472636961555556</v>
      </c>
    </row>
    <row r="6835" spans="1:4">
      <c r="A6835" s="1">
        <v>28219</v>
      </c>
      <c r="B6835">
        <v>98.23</v>
      </c>
      <c r="C6835">
        <f t="shared" si="232"/>
        <v>-9.8780364882571289E-3</v>
      </c>
      <c r="D6835">
        <f t="shared" si="231"/>
        <v>-1.0760207923876759</v>
      </c>
    </row>
    <row r="6836" spans="1:4">
      <c r="A6836" s="1">
        <v>28220</v>
      </c>
      <c r="B6836">
        <v>98.01</v>
      </c>
      <c r="C6836">
        <f t="shared" si="232"/>
        <v>-2.2396416573348147E-3</v>
      </c>
      <c r="D6836">
        <f t="shared" si="231"/>
        <v>-0.26940889465883605</v>
      </c>
    </row>
    <row r="6837" spans="1:4">
      <c r="A6837" s="1">
        <v>28221</v>
      </c>
      <c r="B6837">
        <v>97.91</v>
      </c>
      <c r="C6837">
        <f t="shared" si="232"/>
        <v>-1.0203040506071679E-3</v>
      </c>
      <c r="D6837">
        <f t="shared" si="231"/>
        <v>-0.14064725786138729</v>
      </c>
    </row>
    <row r="6838" spans="1:4">
      <c r="A6838" s="1">
        <v>28222</v>
      </c>
      <c r="B6838">
        <v>98.35</v>
      </c>
      <c r="C6838">
        <f t="shared" si="232"/>
        <v>4.4939229905014578E-3</v>
      </c>
      <c r="D6838">
        <f t="shared" si="231"/>
        <v>0.441653243302841</v>
      </c>
    </row>
    <row r="6839" spans="1:4">
      <c r="A6839" s="1">
        <v>28226</v>
      </c>
      <c r="B6839">
        <v>98.88</v>
      </c>
      <c r="C6839">
        <f t="shared" si="232"/>
        <v>5.3889171326893864E-3</v>
      </c>
      <c r="D6839">
        <f t="shared" si="231"/>
        <v>0.53616432049459584</v>
      </c>
    </row>
    <row r="6840" spans="1:4">
      <c r="A6840" s="1">
        <v>28227</v>
      </c>
      <c r="B6840">
        <v>100.15</v>
      </c>
      <c r="C6840">
        <f t="shared" si="232"/>
        <v>1.2843851132686188E-2</v>
      </c>
      <c r="D6840">
        <f t="shared" si="231"/>
        <v>1.3234028168390681</v>
      </c>
    </row>
    <row r="6841" spans="1:4">
      <c r="A6841" s="1">
        <v>28228</v>
      </c>
      <c r="B6841">
        <v>100.16</v>
      </c>
      <c r="C6841">
        <f t="shared" si="232"/>
        <v>9.985022466291467E-5</v>
      </c>
      <c r="D6841">
        <f t="shared" si="231"/>
        <v>-2.2359347151804869E-2</v>
      </c>
    </row>
    <row r="6842" spans="1:4">
      <c r="A6842" s="1">
        <v>28229</v>
      </c>
      <c r="B6842">
        <v>101</v>
      </c>
      <c r="C6842">
        <f t="shared" si="232"/>
        <v>8.3865814696485966E-3</v>
      </c>
      <c r="D6842">
        <f t="shared" si="231"/>
        <v>0.85271665552187192</v>
      </c>
    </row>
    <row r="6843" spans="1:4">
      <c r="A6843" s="1">
        <v>28230</v>
      </c>
      <c r="B6843">
        <v>101.04</v>
      </c>
      <c r="C6843">
        <f t="shared" si="232"/>
        <v>3.9603960396045797E-4</v>
      </c>
      <c r="D6843">
        <f t="shared" si="231"/>
        <v>8.9181506223539094E-3</v>
      </c>
    </row>
    <row r="6844" spans="1:4">
      <c r="A6844" s="1">
        <v>28233</v>
      </c>
      <c r="B6844">
        <v>100.54</v>
      </c>
      <c r="C6844">
        <f t="shared" si="232"/>
        <v>-4.9485352335708627E-3</v>
      </c>
      <c r="D6844">
        <f t="shared" si="231"/>
        <v>-0.55546713551169691</v>
      </c>
    </row>
    <row r="6845" spans="1:4">
      <c r="A6845" s="1">
        <v>28234</v>
      </c>
      <c r="B6845">
        <v>100.07</v>
      </c>
      <c r="C6845">
        <f t="shared" si="232"/>
        <v>-4.6747563158943016E-3</v>
      </c>
      <c r="D6845">
        <f t="shared" si="231"/>
        <v>-0.52655617486702788</v>
      </c>
    </row>
    <row r="6846" spans="1:4">
      <c r="A6846" s="1">
        <v>28235</v>
      </c>
      <c r="B6846">
        <v>100.4</v>
      </c>
      <c r="C6846">
        <f t="shared" si="232"/>
        <v>3.297691615869017E-3</v>
      </c>
      <c r="D6846">
        <f t="shared" si="231"/>
        <v>0.31533161676045612</v>
      </c>
    </row>
    <row r="6847" spans="1:4">
      <c r="A6847" s="1">
        <v>28236</v>
      </c>
      <c r="B6847">
        <v>99.75</v>
      </c>
      <c r="C6847">
        <f t="shared" si="232"/>
        <v>-6.4741035856574264E-3</v>
      </c>
      <c r="D6847">
        <f t="shared" si="231"/>
        <v>-0.71656663492615935</v>
      </c>
    </row>
    <row r="6848" spans="1:4">
      <c r="A6848" s="1">
        <v>28237</v>
      </c>
      <c r="B6848">
        <v>98.44</v>
      </c>
      <c r="C6848">
        <f t="shared" si="232"/>
        <v>-1.3132832080200524E-2</v>
      </c>
      <c r="D6848">
        <f t="shared" si="231"/>
        <v>-1.4197261005381216</v>
      </c>
    </row>
    <row r="6849" spans="1:4">
      <c r="A6849" s="1">
        <v>28240</v>
      </c>
      <c r="B6849">
        <v>97.15</v>
      </c>
      <c r="C6849">
        <f t="shared" si="232"/>
        <v>-1.3104429093864202E-2</v>
      </c>
      <c r="D6849">
        <f t="shared" si="231"/>
        <v>-1.4167267548356501</v>
      </c>
    </row>
    <row r="6850" spans="1:4">
      <c r="A6850" s="1">
        <v>28241</v>
      </c>
      <c r="B6850">
        <v>97.11</v>
      </c>
      <c r="C6850">
        <f t="shared" si="232"/>
        <v>-4.1173443129188114E-4</v>
      </c>
      <c r="D6850">
        <f t="shared" si="231"/>
        <v>-7.6382512924557569E-2</v>
      </c>
    </row>
    <row r="6851" spans="1:4">
      <c r="A6851" s="1">
        <v>28242</v>
      </c>
      <c r="B6851">
        <v>97.96</v>
      </c>
      <c r="C6851">
        <f t="shared" si="232"/>
        <v>8.752960560189418E-3</v>
      </c>
      <c r="D6851">
        <f t="shared" ref="D6851:D6914" si="233">(C6851-avg)/sd</f>
        <v>0.89140616294467878</v>
      </c>
    </row>
    <row r="6852" spans="1:4">
      <c r="A6852" s="1">
        <v>28243</v>
      </c>
      <c r="B6852">
        <v>98.2</v>
      </c>
      <c r="C6852">
        <f t="shared" ref="C6852:C6915" si="234">(B6852-B6851)/B6851</f>
        <v>2.4499795835035637E-3</v>
      </c>
      <c r="D6852">
        <f t="shared" si="233"/>
        <v>0.22581351429398461</v>
      </c>
    </row>
    <row r="6853" spans="1:4">
      <c r="A6853" s="1">
        <v>28244</v>
      </c>
      <c r="B6853">
        <v>98.44</v>
      </c>
      <c r="C6853">
        <f t="shared" si="234"/>
        <v>2.4439918533604365E-3</v>
      </c>
      <c r="D6853">
        <f t="shared" si="233"/>
        <v>0.22518121202619873</v>
      </c>
    </row>
    <row r="6854" spans="1:4">
      <c r="A6854" s="1">
        <v>28247</v>
      </c>
      <c r="B6854">
        <v>98.93</v>
      </c>
      <c r="C6854">
        <f t="shared" si="234"/>
        <v>4.9776513612353624E-3</v>
      </c>
      <c r="D6854">
        <f t="shared" si="233"/>
        <v>0.49273479482507898</v>
      </c>
    </row>
    <row r="6855" spans="1:4">
      <c r="A6855" s="1">
        <v>28248</v>
      </c>
      <c r="B6855">
        <v>99.43</v>
      </c>
      <c r="C6855">
        <f t="shared" si="234"/>
        <v>5.0540786414636609E-3</v>
      </c>
      <c r="D6855">
        <f t="shared" si="233"/>
        <v>0.50080548963829252</v>
      </c>
    </row>
    <row r="6856" spans="1:4">
      <c r="A6856" s="1">
        <v>28249</v>
      </c>
      <c r="B6856">
        <v>99.96</v>
      </c>
      <c r="C6856">
        <f t="shared" si="234"/>
        <v>5.3303831841495213E-3</v>
      </c>
      <c r="D6856">
        <f t="shared" si="233"/>
        <v>0.52998315542544194</v>
      </c>
    </row>
    <row r="6857" spans="1:4">
      <c r="A6857" s="1">
        <v>28250</v>
      </c>
      <c r="B6857">
        <v>100.11</v>
      </c>
      <c r="C6857">
        <f t="shared" si="234"/>
        <v>1.5006002400960953E-3</v>
      </c>
      <c r="D6857">
        <f t="shared" si="233"/>
        <v>0.12555937833987441</v>
      </c>
    </row>
    <row r="6858" spans="1:4">
      <c r="A6858" s="1">
        <v>28251</v>
      </c>
      <c r="B6858">
        <v>99.49</v>
      </c>
      <c r="C6858">
        <f t="shared" si="234"/>
        <v>-6.1931874937569131E-3</v>
      </c>
      <c r="D6858">
        <f t="shared" si="233"/>
        <v>-0.68690199110948436</v>
      </c>
    </row>
    <row r="6859" spans="1:4">
      <c r="A6859" s="1">
        <v>28254</v>
      </c>
      <c r="B6859">
        <v>99.18</v>
      </c>
      <c r="C6859">
        <f t="shared" si="234"/>
        <v>-3.1158910443259431E-3</v>
      </c>
      <c r="D6859">
        <f t="shared" si="233"/>
        <v>-0.36194053207346072</v>
      </c>
    </row>
    <row r="6860" spans="1:4">
      <c r="A6860" s="1">
        <v>28255</v>
      </c>
      <c r="B6860">
        <v>99.47</v>
      </c>
      <c r="C6860">
        <f t="shared" si="234"/>
        <v>2.9239766081870541E-3</v>
      </c>
      <c r="D6860">
        <f t="shared" si="233"/>
        <v>0.27586743898114408</v>
      </c>
    </row>
    <row r="6861" spans="1:4">
      <c r="A6861" s="1">
        <v>28256</v>
      </c>
      <c r="B6861">
        <v>98.78</v>
      </c>
      <c r="C6861">
        <f t="shared" si="234"/>
        <v>-6.9367648537247183E-3</v>
      </c>
      <c r="D6861">
        <f t="shared" si="233"/>
        <v>-0.76542350756785926</v>
      </c>
    </row>
    <row r="6862" spans="1:4">
      <c r="A6862" s="1">
        <v>28257</v>
      </c>
      <c r="B6862">
        <v>98.73</v>
      </c>
      <c r="C6862">
        <f t="shared" si="234"/>
        <v>-5.0617533913744847E-4</v>
      </c>
      <c r="D6862">
        <f t="shared" si="233"/>
        <v>-8.6355440691025159E-2</v>
      </c>
    </row>
    <row r="6863" spans="1:4">
      <c r="A6863" s="1">
        <v>28258</v>
      </c>
      <c r="B6863">
        <v>99.03</v>
      </c>
      <c r="C6863">
        <f t="shared" si="234"/>
        <v>3.0385900941962639E-3</v>
      </c>
      <c r="D6863">
        <f t="shared" si="233"/>
        <v>0.28797058414469984</v>
      </c>
    </row>
    <row r="6864" spans="1:4">
      <c r="A6864" s="1">
        <v>28261</v>
      </c>
      <c r="B6864">
        <v>99.47</v>
      </c>
      <c r="C6864">
        <f t="shared" si="234"/>
        <v>4.4430980510956047E-3</v>
      </c>
      <c r="D6864">
        <f t="shared" si="233"/>
        <v>0.4362861469778192</v>
      </c>
    </row>
    <row r="6865" spans="1:4">
      <c r="A6865" s="1">
        <v>28262</v>
      </c>
      <c r="B6865">
        <v>99.77</v>
      </c>
      <c r="C6865">
        <f t="shared" si="234"/>
        <v>3.0159847190107283E-3</v>
      </c>
      <c r="D6865">
        <f t="shared" si="233"/>
        <v>0.28558346420904768</v>
      </c>
    </row>
    <row r="6866" spans="1:4">
      <c r="A6866" s="1">
        <v>28263</v>
      </c>
      <c r="B6866">
        <v>100.3</v>
      </c>
      <c r="C6866">
        <f t="shared" si="234"/>
        <v>5.3122181016337696E-3</v>
      </c>
      <c r="D6866">
        <f t="shared" si="233"/>
        <v>0.52806492888639012</v>
      </c>
    </row>
    <row r="6867" spans="1:4">
      <c r="A6867" s="1">
        <v>28264</v>
      </c>
      <c r="B6867">
        <v>99.88</v>
      </c>
      <c r="C6867">
        <f t="shared" si="234"/>
        <v>-4.1874376869391996E-3</v>
      </c>
      <c r="D6867">
        <f t="shared" si="233"/>
        <v>-0.4750954932970195</v>
      </c>
    </row>
    <row r="6868" spans="1:4">
      <c r="A6868" s="1">
        <v>28265</v>
      </c>
      <c r="B6868">
        <v>99.45</v>
      </c>
      <c r="C6868">
        <f t="shared" si="234"/>
        <v>-4.3051661994392533E-3</v>
      </c>
      <c r="D6868">
        <f t="shared" si="233"/>
        <v>-0.48752758419915937</v>
      </c>
    </row>
    <row r="6869" spans="1:4">
      <c r="A6869" s="1">
        <v>28268</v>
      </c>
      <c r="B6869">
        <v>98.15</v>
      </c>
      <c r="C6869">
        <f t="shared" si="234"/>
        <v>-1.3071895424836572E-2</v>
      </c>
      <c r="D6869">
        <f t="shared" si="233"/>
        <v>-1.4132912104450639</v>
      </c>
    </row>
    <row r="6870" spans="1:4">
      <c r="A6870" s="1">
        <v>28269</v>
      </c>
      <c r="B6870">
        <v>97.67</v>
      </c>
      <c r="C6870">
        <f t="shared" si="234"/>
        <v>-4.89047376464599E-3</v>
      </c>
      <c r="D6870">
        <f t="shared" si="233"/>
        <v>-0.54933586412928259</v>
      </c>
    </row>
    <row r="6871" spans="1:4">
      <c r="A6871" s="1">
        <v>28270</v>
      </c>
      <c r="B6871">
        <v>96.77</v>
      </c>
      <c r="C6871">
        <f t="shared" si="234"/>
        <v>-9.2147025698782192E-3</v>
      </c>
      <c r="D6871">
        <f t="shared" si="233"/>
        <v>-1.0059729560850175</v>
      </c>
    </row>
    <row r="6872" spans="1:4">
      <c r="A6872" s="1">
        <v>28271</v>
      </c>
      <c r="B6872">
        <v>97.01</v>
      </c>
      <c r="C6872">
        <f t="shared" si="234"/>
        <v>2.4801074713238515E-3</v>
      </c>
      <c r="D6872">
        <f t="shared" si="233"/>
        <v>0.22899500900684033</v>
      </c>
    </row>
    <row r="6873" spans="1:4">
      <c r="A6873" s="1">
        <v>28272</v>
      </c>
      <c r="B6873">
        <v>96.27</v>
      </c>
      <c r="C6873">
        <f t="shared" si="234"/>
        <v>-7.6280795794248946E-3</v>
      </c>
      <c r="D6873">
        <f t="shared" si="233"/>
        <v>-0.83842610761250491</v>
      </c>
    </row>
    <row r="6874" spans="1:4">
      <c r="A6874" s="1">
        <v>28276</v>
      </c>
      <c r="B6874">
        <v>96.12</v>
      </c>
      <c r="C6874">
        <f t="shared" si="234"/>
        <v>-1.5581177937051157E-3</v>
      </c>
      <c r="D6874">
        <f t="shared" si="233"/>
        <v>-0.19744020632075693</v>
      </c>
    </row>
    <row r="6875" spans="1:4">
      <c r="A6875" s="1">
        <v>28277</v>
      </c>
      <c r="B6875">
        <v>96.93</v>
      </c>
      <c r="C6875">
        <f t="shared" si="234"/>
        <v>8.4269662921348555E-3</v>
      </c>
      <c r="D6875">
        <f t="shared" si="233"/>
        <v>0.85698127904895272</v>
      </c>
    </row>
    <row r="6876" spans="1:4">
      <c r="A6876" s="1">
        <v>28278</v>
      </c>
      <c r="B6876">
        <v>96.74</v>
      </c>
      <c r="C6876">
        <f t="shared" si="234"/>
        <v>-1.9601774476427519E-3</v>
      </c>
      <c r="D6876">
        <f t="shared" si="233"/>
        <v>-0.23989756910985466</v>
      </c>
    </row>
    <row r="6877" spans="1:4">
      <c r="A6877" s="1">
        <v>28279</v>
      </c>
      <c r="B6877">
        <v>97.69</v>
      </c>
      <c r="C6877">
        <f t="shared" si="234"/>
        <v>9.8201364482117318E-3</v>
      </c>
      <c r="D6877">
        <f t="shared" si="233"/>
        <v>1.0040995739691256</v>
      </c>
    </row>
    <row r="6878" spans="1:4">
      <c r="A6878" s="1">
        <v>28282</v>
      </c>
      <c r="B6878">
        <v>97.23</v>
      </c>
      <c r="C6878">
        <f t="shared" si="234"/>
        <v>-4.7087726481727273E-3</v>
      </c>
      <c r="D6878">
        <f t="shared" si="233"/>
        <v>-0.53014828799291647</v>
      </c>
    </row>
    <row r="6879" spans="1:4">
      <c r="A6879" s="1">
        <v>28283</v>
      </c>
      <c r="B6879">
        <v>97.73</v>
      </c>
      <c r="C6879">
        <f t="shared" si="234"/>
        <v>5.1424457471973672E-3</v>
      </c>
      <c r="D6879">
        <f t="shared" si="233"/>
        <v>0.51013702596633326</v>
      </c>
    </row>
    <row r="6880" spans="1:4">
      <c r="A6880" s="1">
        <v>28284</v>
      </c>
      <c r="B6880">
        <v>98.2</v>
      </c>
      <c r="C6880">
        <f t="shared" si="234"/>
        <v>4.8091681162386046E-3</v>
      </c>
      <c r="D6880">
        <f t="shared" si="233"/>
        <v>0.47494302142365896</v>
      </c>
    </row>
    <row r="6881" spans="1:4">
      <c r="A6881" s="1">
        <v>28285</v>
      </c>
      <c r="B6881">
        <v>98.14</v>
      </c>
      <c r="C6881">
        <f t="shared" si="234"/>
        <v>-6.1099796334014534E-4</v>
      </c>
      <c r="D6881">
        <f t="shared" si="233"/>
        <v>-9.7424674175888751E-2</v>
      </c>
    </row>
    <row r="6882" spans="1:4">
      <c r="A6882" s="1">
        <v>28286</v>
      </c>
      <c r="B6882">
        <v>98.46</v>
      </c>
      <c r="C6882">
        <f t="shared" si="234"/>
        <v>3.2606480538006233E-3</v>
      </c>
      <c r="D6882">
        <f t="shared" si="233"/>
        <v>0.3114198291977523</v>
      </c>
    </row>
    <row r="6883" spans="1:4">
      <c r="A6883" s="1">
        <v>28289</v>
      </c>
      <c r="B6883">
        <v>98.74</v>
      </c>
      <c r="C6883">
        <f t="shared" si="234"/>
        <v>2.8437944342880475E-3</v>
      </c>
      <c r="D6883">
        <f t="shared" si="233"/>
        <v>0.26740022867265417</v>
      </c>
    </row>
    <row r="6884" spans="1:4">
      <c r="A6884" s="1">
        <v>28290</v>
      </c>
      <c r="B6884">
        <v>99.86</v>
      </c>
      <c r="C6884">
        <f t="shared" si="234"/>
        <v>1.1342920802106589E-2</v>
      </c>
      <c r="D6884">
        <f t="shared" si="233"/>
        <v>1.1649050841208708</v>
      </c>
    </row>
    <row r="6885" spans="1:4">
      <c r="A6885" s="1">
        <v>28291</v>
      </c>
      <c r="B6885">
        <v>99.61</v>
      </c>
      <c r="C6885">
        <f t="shared" si="234"/>
        <v>-2.5035049068696173E-3</v>
      </c>
      <c r="D6885">
        <f t="shared" si="233"/>
        <v>-0.29727276411823483</v>
      </c>
    </row>
    <row r="6886" spans="1:4">
      <c r="A6886" s="1">
        <v>28292</v>
      </c>
      <c r="B6886">
        <v>99.85</v>
      </c>
      <c r="C6886">
        <f t="shared" si="234"/>
        <v>2.4093966469229482E-3</v>
      </c>
      <c r="D6886">
        <f t="shared" si="233"/>
        <v>0.22152796998588201</v>
      </c>
    </row>
    <row r="6887" spans="1:4">
      <c r="A6887" s="1">
        <v>28293</v>
      </c>
      <c r="B6887">
        <v>99.97</v>
      </c>
      <c r="C6887">
        <f t="shared" si="234"/>
        <v>1.2018027040561297E-3</v>
      </c>
      <c r="D6887">
        <f t="shared" si="233"/>
        <v>9.4006460100271388E-2</v>
      </c>
    </row>
    <row r="6888" spans="1:4">
      <c r="A6888" s="1">
        <v>28296</v>
      </c>
      <c r="B6888">
        <v>100.42</v>
      </c>
      <c r="C6888">
        <f t="shared" si="234"/>
        <v>4.5013504051215651E-3</v>
      </c>
      <c r="D6888">
        <f t="shared" si="233"/>
        <v>0.44243757576202342</v>
      </c>
    </row>
    <row r="6889" spans="1:4">
      <c r="A6889" s="1">
        <v>28297</v>
      </c>
      <c r="B6889">
        <v>100.74</v>
      </c>
      <c r="C6889">
        <f t="shared" si="234"/>
        <v>3.1866162119099099E-3</v>
      </c>
      <c r="D6889">
        <f t="shared" si="233"/>
        <v>0.30360209185873871</v>
      </c>
    </row>
    <row r="6890" spans="1:4">
      <c r="A6890" s="1">
        <v>28298</v>
      </c>
      <c r="B6890">
        <v>100.46</v>
      </c>
      <c r="C6890">
        <f t="shared" si="234"/>
        <v>-2.779432201707377E-3</v>
      </c>
      <c r="D6890">
        <f t="shared" si="233"/>
        <v>-0.32641059266085759</v>
      </c>
    </row>
    <row r="6891" spans="1:4">
      <c r="A6891" s="1">
        <v>28299</v>
      </c>
      <c r="B6891">
        <v>100.62</v>
      </c>
      <c r="C6891">
        <f t="shared" si="234"/>
        <v>1.5926737009756202E-3</v>
      </c>
      <c r="D6891">
        <f t="shared" si="233"/>
        <v>0.13528230451146223</v>
      </c>
    </row>
    <row r="6892" spans="1:4">
      <c r="A6892" s="1">
        <v>28300</v>
      </c>
      <c r="B6892">
        <v>101.19</v>
      </c>
      <c r="C6892">
        <f t="shared" si="234"/>
        <v>5.6648777579009456E-3</v>
      </c>
      <c r="D6892">
        <f t="shared" si="233"/>
        <v>0.5653056687133623</v>
      </c>
    </row>
    <row r="6893" spans="1:4">
      <c r="A6893" s="1">
        <v>28303</v>
      </c>
      <c r="B6893">
        <v>100.98</v>
      </c>
      <c r="C6893">
        <f t="shared" si="234"/>
        <v>-2.0753038837829207E-3</v>
      </c>
      <c r="D6893">
        <f t="shared" si="233"/>
        <v>-0.25205488163287942</v>
      </c>
    </row>
    <row r="6894" spans="1:4">
      <c r="A6894" s="1">
        <v>28304</v>
      </c>
      <c r="B6894">
        <v>100.14</v>
      </c>
      <c r="C6894">
        <f t="shared" si="234"/>
        <v>-8.3184789067142339E-3</v>
      </c>
      <c r="D6894">
        <f t="shared" si="233"/>
        <v>-0.91133204189612538</v>
      </c>
    </row>
    <row r="6895" spans="1:4">
      <c r="A6895" s="1">
        <v>28305</v>
      </c>
      <c r="B6895">
        <v>100.11</v>
      </c>
      <c r="C6895">
        <f t="shared" si="234"/>
        <v>-2.9958058717796221E-4</v>
      </c>
      <c r="D6895">
        <f t="shared" si="233"/>
        <v>-6.4539105109071654E-2</v>
      </c>
    </row>
    <row r="6896" spans="1:4">
      <c r="A6896" s="1">
        <v>28306</v>
      </c>
      <c r="B6896">
        <v>100.48</v>
      </c>
      <c r="C6896">
        <f t="shared" si="234"/>
        <v>3.6959344720807565E-3</v>
      </c>
      <c r="D6896">
        <f t="shared" si="233"/>
        <v>0.35738592700709171</v>
      </c>
    </row>
    <row r="6897" spans="1:4">
      <c r="A6897" s="1">
        <v>28307</v>
      </c>
      <c r="B6897">
        <v>100.1</v>
      </c>
      <c r="C6897">
        <f t="shared" si="234"/>
        <v>-3.7818471337580577E-3</v>
      </c>
      <c r="D6897">
        <f t="shared" si="233"/>
        <v>-0.43226526874801852</v>
      </c>
    </row>
    <row r="6898" spans="1:4">
      <c r="A6898" s="1">
        <v>28311</v>
      </c>
      <c r="B6898">
        <v>100.09</v>
      </c>
      <c r="C6898">
        <f t="shared" si="234"/>
        <v>-9.9900099900009044E-5</v>
      </c>
      <c r="D6898">
        <f t="shared" si="233"/>
        <v>-4.3452913527215274E-2</v>
      </c>
    </row>
    <row r="6899" spans="1:4">
      <c r="A6899" s="1">
        <v>28312</v>
      </c>
      <c r="B6899">
        <v>99.58</v>
      </c>
      <c r="C6899">
        <f t="shared" si="234"/>
        <v>-5.0954141272854941E-3</v>
      </c>
      <c r="D6899">
        <f t="shared" si="233"/>
        <v>-0.5709774967614003</v>
      </c>
    </row>
    <row r="6900" spans="1:4">
      <c r="A6900" s="1">
        <v>28313</v>
      </c>
      <c r="B6900">
        <v>99.93</v>
      </c>
      <c r="C6900">
        <f t="shared" si="234"/>
        <v>3.5147620004017726E-3</v>
      </c>
      <c r="D6900">
        <f t="shared" si="233"/>
        <v>0.33825417558130633</v>
      </c>
    </row>
    <row r="6901" spans="1:4">
      <c r="A6901" s="1">
        <v>28314</v>
      </c>
      <c r="B6901">
        <v>99.79</v>
      </c>
      <c r="C6901">
        <f t="shared" si="234"/>
        <v>-1.4009806864805419E-3</v>
      </c>
      <c r="D6901">
        <f t="shared" si="233"/>
        <v>-0.18084658121133992</v>
      </c>
    </row>
    <row r="6902" spans="1:4">
      <c r="A6902" s="1">
        <v>28317</v>
      </c>
      <c r="B6902">
        <v>99.55</v>
      </c>
      <c r="C6902">
        <f t="shared" si="234"/>
        <v>-2.4050506062732648E-3</v>
      </c>
      <c r="D6902">
        <f t="shared" si="233"/>
        <v>-0.28687602344150281</v>
      </c>
    </row>
    <row r="6903" spans="1:4">
      <c r="A6903" s="1">
        <v>28318</v>
      </c>
      <c r="B6903">
        <v>99.45</v>
      </c>
      <c r="C6903">
        <f t="shared" si="234"/>
        <v>-1.004520341536859E-3</v>
      </c>
      <c r="D6903">
        <f t="shared" si="233"/>
        <v>-0.13898050354870606</v>
      </c>
    </row>
    <row r="6904" spans="1:4">
      <c r="A6904" s="1">
        <v>28319</v>
      </c>
      <c r="B6904">
        <v>99.59</v>
      </c>
      <c r="C6904">
        <f t="shared" si="234"/>
        <v>1.4077425842131781E-3</v>
      </c>
      <c r="D6904">
        <f t="shared" si="233"/>
        <v>0.11575364144248919</v>
      </c>
    </row>
    <row r="6905" spans="1:4">
      <c r="A6905" s="1">
        <v>28321</v>
      </c>
      <c r="B6905">
        <v>100.18</v>
      </c>
      <c r="C6905">
        <f t="shared" si="234"/>
        <v>5.9242895873079966E-3</v>
      </c>
      <c r="D6905">
        <f t="shared" si="233"/>
        <v>0.59269946972038168</v>
      </c>
    </row>
    <row r="6906" spans="1:4">
      <c r="A6906" s="1">
        <v>28324</v>
      </c>
      <c r="B6906">
        <v>100.95</v>
      </c>
      <c r="C6906">
        <f t="shared" si="234"/>
        <v>7.686164903174246E-3</v>
      </c>
      <c r="D6906">
        <f t="shared" si="233"/>
        <v>0.77875290418533916</v>
      </c>
    </row>
    <row r="6907" spans="1:4">
      <c r="A6907" s="1">
        <v>28325</v>
      </c>
      <c r="B6907">
        <v>101.79</v>
      </c>
      <c r="C6907">
        <f t="shared" si="234"/>
        <v>8.3209509658246986E-3</v>
      </c>
      <c r="D6907">
        <f t="shared" si="233"/>
        <v>0.84578609662696047</v>
      </c>
    </row>
    <row r="6908" spans="1:4">
      <c r="A6908" s="1">
        <v>28326</v>
      </c>
      <c r="B6908">
        <v>101.73</v>
      </c>
      <c r="C6908">
        <f t="shared" si="234"/>
        <v>-5.8944886531095658E-4</v>
      </c>
      <c r="D6908">
        <f t="shared" si="233"/>
        <v>-9.5149096748900736E-2</v>
      </c>
    </row>
    <row r="6909" spans="1:4">
      <c r="A6909" s="1">
        <v>28327</v>
      </c>
      <c r="B6909">
        <v>101.59</v>
      </c>
      <c r="C6909">
        <f t="shared" si="234"/>
        <v>-1.3761918804679107E-3</v>
      </c>
      <c r="D6909">
        <f t="shared" si="233"/>
        <v>-0.17822889172253062</v>
      </c>
    </row>
    <row r="6910" spans="1:4">
      <c r="A6910" s="1">
        <v>28328</v>
      </c>
      <c r="B6910">
        <v>101.67</v>
      </c>
      <c r="C6910">
        <f t="shared" si="234"/>
        <v>7.8747908258685196E-4</v>
      </c>
      <c r="D6910">
        <f t="shared" si="233"/>
        <v>5.0254026508557433E-2</v>
      </c>
    </row>
    <row r="6911" spans="1:4">
      <c r="A6911" s="1">
        <v>28331</v>
      </c>
      <c r="B6911">
        <v>100.85</v>
      </c>
      <c r="C6911">
        <f t="shared" si="234"/>
        <v>-8.0653093341202658E-3</v>
      </c>
      <c r="D6911">
        <f t="shared" si="233"/>
        <v>-0.88459742108672135</v>
      </c>
    </row>
    <row r="6912" spans="1:4">
      <c r="A6912" s="1">
        <v>28332</v>
      </c>
      <c r="B6912">
        <v>100.27</v>
      </c>
      <c r="C6912">
        <f t="shared" si="234"/>
        <v>-5.751115518096166E-3</v>
      </c>
      <c r="D6912">
        <f t="shared" si="233"/>
        <v>-0.64021934074727516</v>
      </c>
    </row>
    <row r="6913" spans="1:4">
      <c r="A6913" s="1">
        <v>28333</v>
      </c>
      <c r="B6913">
        <v>98.64</v>
      </c>
      <c r="C6913">
        <f t="shared" si="234"/>
        <v>-1.6256108507030971E-2</v>
      </c>
      <c r="D6913">
        <f t="shared" si="233"/>
        <v>-1.7495430295581764</v>
      </c>
    </row>
    <row r="6914" spans="1:4">
      <c r="A6914" s="1">
        <v>28334</v>
      </c>
      <c r="B6914">
        <v>98.79</v>
      </c>
      <c r="C6914">
        <f t="shared" si="234"/>
        <v>1.5206812652068702E-3</v>
      </c>
      <c r="D6914">
        <f t="shared" si="233"/>
        <v>0.12767992776570014</v>
      </c>
    </row>
    <row r="6915" spans="1:4">
      <c r="A6915" s="1">
        <v>28335</v>
      </c>
      <c r="B6915">
        <v>98.85</v>
      </c>
      <c r="C6915">
        <f t="shared" si="234"/>
        <v>6.0734892195554268E-4</v>
      </c>
      <c r="D6915">
        <f t="shared" ref="D6915:D6978" si="235">(C6915-avg)/sd</f>
        <v>3.1232342775107749E-2</v>
      </c>
    </row>
    <row r="6916" spans="1:4">
      <c r="A6916" s="1">
        <v>28338</v>
      </c>
      <c r="B6916">
        <v>99.12</v>
      </c>
      <c r="C6916">
        <f t="shared" ref="C6916:C6979" si="236">(B6916-B6915)/B6915</f>
        <v>2.7314112291351566E-3</v>
      </c>
      <c r="D6916">
        <f t="shared" si="235"/>
        <v>0.25553260040941639</v>
      </c>
    </row>
    <row r="6917" spans="1:4">
      <c r="A6917" s="1">
        <v>28339</v>
      </c>
      <c r="B6917">
        <v>98.5</v>
      </c>
      <c r="C6917">
        <f t="shared" si="236"/>
        <v>-6.2550443906376563E-3</v>
      </c>
      <c r="D6917">
        <f t="shared" si="235"/>
        <v>-0.69343405839390992</v>
      </c>
    </row>
    <row r="6918" spans="1:4">
      <c r="A6918" s="1">
        <v>28340</v>
      </c>
      <c r="B6918">
        <v>98.37</v>
      </c>
      <c r="C6918">
        <f t="shared" si="236"/>
        <v>-1.3197969543146746E-3</v>
      </c>
      <c r="D6918">
        <f t="shared" si="235"/>
        <v>-0.17227360669031569</v>
      </c>
    </row>
    <row r="6919" spans="1:4">
      <c r="A6919" s="1">
        <v>28341</v>
      </c>
      <c r="B6919">
        <v>98.74</v>
      </c>
      <c r="C6919">
        <f t="shared" si="236"/>
        <v>3.7613093422790519E-3</v>
      </c>
      <c r="D6919">
        <f t="shared" si="235"/>
        <v>0.3642894910780336</v>
      </c>
    </row>
    <row r="6920" spans="1:4">
      <c r="A6920" s="1">
        <v>28342</v>
      </c>
      <c r="B6920">
        <v>98.76</v>
      </c>
      <c r="C6920">
        <f t="shared" si="236"/>
        <v>2.025521571805776E-4</v>
      </c>
      <c r="D6920">
        <f t="shared" si="235"/>
        <v>-1.1514057988022719E-2</v>
      </c>
    </row>
    <row r="6921" spans="1:4">
      <c r="A6921" s="1">
        <v>28345</v>
      </c>
      <c r="B6921">
        <v>97.99</v>
      </c>
      <c r="C6921">
        <f t="shared" si="236"/>
        <v>-7.7966788173350569E-3</v>
      </c>
      <c r="D6921">
        <f t="shared" si="235"/>
        <v>-0.85623012982615254</v>
      </c>
    </row>
    <row r="6922" spans="1:4">
      <c r="A6922" s="1">
        <v>28346</v>
      </c>
      <c r="B6922">
        <v>98.05</v>
      </c>
      <c r="C6922">
        <f t="shared" si="236"/>
        <v>6.1230737830393178E-4</v>
      </c>
      <c r="D6922">
        <f t="shared" si="235"/>
        <v>3.1755954080036432E-2</v>
      </c>
    </row>
    <row r="6923" spans="1:4">
      <c r="A6923" s="1">
        <v>28347</v>
      </c>
      <c r="B6923">
        <v>98.92</v>
      </c>
      <c r="C6923">
        <f t="shared" si="236"/>
        <v>8.8730239673636361E-3</v>
      </c>
      <c r="D6923">
        <f t="shared" si="235"/>
        <v>0.90408481793074114</v>
      </c>
    </row>
    <row r="6924" spans="1:4">
      <c r="A6924" s="1">
        <v>28348</v>
      </c>
      <c r="B6924">
        <v>98.16</v>
      </c>
      <c r="C6924">
        <f t="shared" si="236"/>
        <v>-7.6829761423372941E-3</v>
      </c>
      <c r="D6924">
        <f t="shared" si="235"/>
        <v>-0.84422316599580594</v>
      </c>
    </row>
    <row r="6925" spans="1:4">
      <c r="A6925" s="1">
        <v>28349</v>
      </c>
      <c r="B6925">
        <v>97.88</v>
      </c>
      <c r="C6925">
        <f t="shared" si="236"/>
        <v>-2.852485737571324E-3</v>
      </c>
      <c r="D6925">
        <f t="shared" si="235"/>
        <v>-0.33412502121598703</v>
      </c>
    </row>
    <row r="6926" spans="1:4">
      <c r="A6926" s="1">
        <v>28352</v>
      </c>
      <c r="B6926">
        <v>98.18</v>
      </c>
      <c r="C6926">
        <f t="shared" si="236"/>
        <v>3.0649775234982773E-3</v>
      </c>
      <c r="D6926">
        <f t="shared" si="235"/>
        <v>0.2907570877094694</v>
      </c>
    </row>
    <row r="6927" spans="1:4">
      <c r="A6927" s="1">
        <v>28353</v>
      </c>
      <c r="B6927">
        <v>97.73</v>
      </c>
      <c r="C6927">
        <f t="shared" si="236"/>
        <v>-4.5834182114483889E-3</v>
      </c>
      <c r="D6927">
        <f t="shared" si="235"/>
        <v>-0.51691090208486967</v>
      </c>
    </row>
    <row r="6928" spans="1:4">
      <c r="A6928" s="1">
        <v>28354</v>
      </c>
      <c r="B6928">
        <v>97.74</v>
      </c>
      <c r="C6928">
        <f t="shared" si="236"/>
        <v>1.0232272587732431E-4</v>
      </c>
      <c r="D6928">
        <f t="shared" si="235"/>
        <v>-2.2098251864007209E-2</v>
      </c>
    </row>
    <row r="6929" spans="1:4">
      <c r="A6929" s="1">
        <v>28355</v>
      </c>
      <c r="B6929">
        <v>97.68</v>
      </c>
      <c r="C6929">
        <f t="shared" si="236"/>
        <v>-6.138735420502155E-4</v>
      </c>
      <c r="D6929">
        <f t="shared" si="235"/>
        <v>-9.7728334310215464E-2</v>
      </c>
    </row>
    <row r="6930" spans="1:4">
      <c r="A6930" s="1">
        <v>28356</v>
      </c>
      <c r="B6930">
        <v>97.51</v>
      </c>
      <c r="C6930">
        <f t="shared" si="236"/>
        <v>-1.7403767403767578E-3</v>
      </c>
      <c r="D6930">
        <f t="shared" si="235"/>
        <v>-0.21668668913645622</v>
      </c>
    </row>
    <row r="6931" spans="1:4">
      <c r="A6931" s="1">
        <v>28359</v>
      </c>
      <c r="B6931">
        <v>97.79</v>
      </c>
      <c r="C6931">
        <f t="shared" si="236"/>
        <v>2.8715003589375562E-3</v>
      </c>
      <c r="D6931">
        <f t="shared" si="235"/>
        <v>0.27032596489794092</v>
      </c>
    </row>
    <row r="6932" spans="1:4">
      <c r="A6932" s="1">
        <v>28360</v>
      </c>
      <c r="B6932">
        <v>97.62</v>
      </c>
      <c r="C6932">
        <f t="shared" si="236"/>
        <v>-1.7384190612537243E-3</v>
      </c>
      <c r="D6932">
        <f t="shared" si="235"/>
        <v>-0.21647995888651139</v>
      </c>
    </row>
    <row r="6933" spans="1:4">
      <c r="A6933" s="1">
        <v>28361</v>
      </c>
      <c r="B6933">
        <v>97.23</v>
      </c>
      <c r="C6933">
        <f t="shared" si="236"/>
        <v>-3.9950829748002514E-3</v>
      </c>
      <c r="D6933">
        <f t="shared" si="235"/>
        <v>-0.45478290107969011</v>
      </c>
    </row>
    <row r="6934" spans="1:4">
      <c r="A6934" s="1">
        <v>28362</v>
      </c>
      <c r="B6934">
        <v>96.15</v>
      </c>
      <c r="C6934">
        <f t="shared" si="236"/>
        <v>-1.1107682813946295E-2</v>
      </c>
      <c r="D6934">
        <f t="shared" si="235"/>
        <v>-1.2058710264033574</v>
      </c>
    </row>
    <row r="6935" spans="1:4">
      <c r="A6935" s="1">
        <v>28363</v>
      </c>
      <c r="B6935">
        <v>96.06</v>
      </c>
      <c r="C6935">
        <f t="shared" si="236"/>
        <v>-9.3603744149769531E-4</v>
      </c>
      <c r="D6935">
        <f t="shared" si="235"/>
        <v>-0.13174873258303915</v>
      </c>
    </row>
    <row r="6936" spans="1:4">
      <c r="A6936" s="1">
        <v>28366</v>
      </c>
      <c r="B6936">
        <v>96.92</v>
      </c>
      <c r="C6936">
        <f t="shared" si="236"/>
        <v>8.9527378721632259E-3</v>
      </c>
      <c r="D6936">
        <f t="shared" si="235"/>
        <v>0.91250257918150512</v>
      </c>
    </row>
    <row r="6937" spans="1:4">
      <c r="A6937" s="1">
        <v>28367</v>
      </c>
      <c r="B6937">
        <v>96.38</v>
      </c>
      <c r="C6937">
        <f t="shared" si="236"/>
        <v>-5.5716054477920581E-3</v>
      </c>
      <c r="D6937">
        <f t="shared" si="235"/>
        <v>-0.62126313834159896</v>
      </c>
    </row>
    <row r="6938" spans="1:4">
      <c r="A6938" s="1">
        <v>28368</v>
      </c>
      <c r="B6938">
        <v>96.77</v>
      </c>
      <c r="C6938">
        <f t="shared" si="236"/>
        <v>4.0464826727536892E-3</v>
      </c>
      <c r="D6938">
        <f t="shared" si="235"/>
        <v>0.39440369784103047</v>
      </c>
    </row>
    <row r="6939" spans="1:4">
      <c r="A6939" s="1">
        <v>28369</v>
      </c>
      <c r="B6939">
        <v>96.83</v>
      </c>
      <c r="C6939">
        <f t="shared" si="236"/>
        <v>6.2002686783096288E-4</v>
      </c>
      <c r="D6939">
        <f t="shared" si="235"/>
        <v>3.2571129550108935E-2</v>
      </c>
    </row>
    <row r="6940" spans="1:4">
      <c r="A6940" s="1">
        <v>28370</v>
      </c>
      <c r="B6940">
        <v>97.45</v>
      </c>
      <c r="C6940">
        <f t="shared" si="236"/>
        <v>6.4029742848291287E-3</v>
      </c>
      <c r="D6940">
        <f t="shared" si="235"/>
        <v>0.64324841106577879</v>
      </c>
    </row>
    <row r="6941" spans="1:4">
      <c r="A6941" s="1">
        <v>28374</v>
      </c>
      <c r="B6941">
        <v>97.71</v>
      </c>
      <c r="C6941">
        <f t="shared" si="236"/>
        <v>2.6680348896869254E-3</v>
      </c>
      <c r="D6941">
        <f t="shared" si="235"/>
        <v>0.24884008050634768</v>
      </c>
    </row>
    <row r="6942" spans="1:4">
      <c r="A6942" s="1">
        <v>28375</v>
      </c>
      <c r="B6942">
        <v>98.01</v>
      </c>
      <c r="C6942">
        <f t="shared" si="236"/>
        <v>3.0703101013203498E-3</v>
      </c>
      <c r="D6942">
        <f t="shared" si="235"/>
        <v>0.29132020611484899</v>
      </c>
    </row>
    <row r="6943" spans="1:4">
      <c r="A6943" s="1">
        <v>28376</v>
      </c>
      <c r="B6943">
        <v>97.28</v>
      </c>
      <c r="C6943">
        <f t="shared" si="236"/>
        <v>-7.4482195694317308E-3</v>
      </c>
      <c r="D6943">
        <f t="shared" si="235"/>
        <v>-0.81943295169461483</v>
      </c>
    </row>
    <row r="6944" spans="1:4">
      <c r="A6944" s="1">
        <v>28377</v>
      </c>
      <c r="B6944">
        <v>96.37</v>
      </c>
      <c r="C6944">
        <f t="shared" si="236"/>
        <v>-9.3544407894736482E-3</v>
      </c>
      <c r="D6944">
        <f t="shared" si="235"/>
        <v>-1.0207292645749659</v>
      </c>
    </row>
    <row r="6945" spans="1:4">
      <c r="A6945" s="1">
        <v>28380</v>
      </c>
      <c r="B6945">
        <v>96.03</v>
      </c>
      <c r="C6945">
        <f t="shared" si="236"/>
        <v>-3.5280689011103392E-3</v>
      </c>
      <c r="D6945">
        <f t="shared" si="235"/>
        <v>-0.40546637364383203</v>
      </c>
    </row>
    <row r="6946" spans="1:4">
      <c r="A6946" s="1">
        <v>28381</v>
      </c>
      <c r="B6946">
        <v>96.09</v>
      </c>
      <c r="C6946">
        <f t="shared" si="236"/>
        <v>6.2480474851611244E-4</v>
      </c>
      <c r="D6946">
        <f t="shared" si="235"/>
        <v>3.3075672126380171E-2</v>
      </c>
    </row>
    <row r="6947" spans="1:4">
      <c r="A6947" s="1">
        <v>28382</v>
      </c>
      <c r="B6947">
        <v>96.55</v>
      </c>
      <c r="C6947">
        <f t="shared" si="236"/>
        <v>4.7871786866478692E-3</v>
      </c>
      <c r="D6947">
        <f t="shared" si="235"/>
        <v>0.4726209451334476</v>
      </c>
    </row>
    <row r="6948" spans="1:4">
      <c r="A6948" s="1">
        <v>28383</v>
      </c>
      <c r="B6948">
        <v>96.8</v>
      </c>
      <c r="C6948">
        <f t="shared" si="236"/>
        <v>2.5893319523562922E-3</v>
      </c>
      <c r="D6948">
        <f t="shared" si="235"/>
        <v>0.24052907707666105</v>
      </c>
    </row>
    <row r="6949" spans="1:4">
      <c r="A6949" s="1">
        <v>28384</v>
      </c>
      <c r="B6949">
        <v>96.48</v>
      </c>
      <c r="C6949">
        <f t="shared" si="236"/>
        <v>-3.3057851239668718E-3</v>
      </c>
      <c r="D6949">
        <f t="shared" si="235"/>
        <v>-0.38199328233540891</v>
      </c>
    </row>
    <row r="6950" spans="1:4">
      <c r="A6950" s="1">
        <v>28387</v>
      </c>
      <c r="B6950">
        <v>95.85</v>
      </c>
      <c r="C6950">
        <f t="shared" si="236"/>
        <v>-6.5298507462687562E-3</v>
      </c>
      <c r="D6950">
        <f t="shared" si="235"/>
        <v>-0.72245351613733522</v>
      </c>
    </row>
    <row r="6951" spans="1:4">
      <c r="A6951" s="1">
        <v>28388</v>
      </c>
      <c r="B6951">
        <v>95.89</v>
      </c>
      <c r="C6951">
        <f t="shared" si="236"/>
        <v>4.1731872717794738E-4</v>
      </c>
      <c r="D6951">
        <f t="shared" si="235"/>
        <v>1.116521880099537E-2</v>
      </c>
    </row>
    <row r="6952" spans="1:4">
      <c r="A6952" s="1">
        <v>28389</v>
      </c>
      <c r="B6952">
        <v>95.1</v>
      </c>
      <c r="C6952">
        <f t="shared" si="236"/>
        <v>-8.2386067368860807E-3</v>
      </c>
      <c r="D6952">
        <f t="shared" si="235"/>
        <v>-0.90289756791214215</v>
      </c>
    </row>
    <row r="6953" spans="1:4">
      <c r="A6953" s="1">
        <v>28390</v>
      </c>
      <c r="B6953">
        <v>95.09</v>
      </c>
      <c r="C6953">
        <f t="shared" si="236"/>
        <v>-1.0515247108297482E-4</v>
      </c>
      <c r="D6953">
        <f t="shared" si="235"/>
        <v>-4.4007562138768754E-2</v>
      </c>
    </row>
    <row r="6954" spans="1:4">
      <c r="A6954" s="1">
        <v>28391</v>
      </c>
      <c r="B6954">
        <v>95.04</v>
      </c>
      <c r="C6954">
        <f t="shared" si="236"/>
        <v>-5.2581764644018462E-4</v>
      </c>
      <c r="D6954">
        <f t="shared" si="235"/>
        <v>-8.8429661665449424E-2</v>
      </c>
    </row>
    <row r="6955" spans="1:4">
      <c r="A6955" s="1">
        <v>28394</v>
      </c>
      <c r="B6955">
        <v>95.38</v>
      </c>
      <c r="C6955">
        <f t="shared" si="236"/>
        <v>3.5774410774409636E-3</v>
      </c>
      <c r="D6955">
        <f t="shared" si="235"/>
        <v>0.34487306481099145</v>
      </c>
    </row>
    <row r="6956" spans="1:4">
      <c r="A6956" s="1">
        <v>28395</v>
      </c>
      <c r="B6956">
        <v>95.24</v>
      </c>
      <c r="C6956">
        <f t="shared" si="236"/>
        <v>-1.4678129586915556E-3</v>
      </c>
      <c r="D6956">
        <f t="shared" si="235"/>
        <v>-0.18790404643942984</v>
      </c>
    </row>
    <row r="6957" spans="1:4">
      <c r="A6957" s="1">
        <v>28396</v>
      </c>
      <c r="B6957">
        <v>95.31</v>
      </c>
      <c r="C6957">
        <f t="shared" si="236"/>
        <v>7.3498530029407179E-4</v>
      </c>
      <c r="D6957">
        <f t="shared" si="235"/>
        <v>4.4710700941943425E-2</v>
      </c>
    </row>
    <row r="6958" spans="1:4">
      <c r="A6958" s="1">
        <v>28397</v>
      </c>
      <c r="B6958">
        <v>95.85</v>
      </c>
      <c r="C6958">
        <f t="shared" si="236"/>
        <v>5.6657223796033156E-3</v>
      </c>
      <c r="D6958">
        <f t="shared" si="235"/>
        <v>0.56539486047803178</v>
      </c>
    </row>
    <row r="6959" spans="1:4">
      <c r="A6959" s="1">
        <v>28398</v>
      </c>
      <c r="B6959">
        <v>96.53</v>
      </c>
      <c r="C6959">
        <f t="shared" si="236"/>
        <v>7.0944183620240677E-3</v>
      </c>
      <c r="D6959">
        <f t="shared" si="235"/>
        <v>0.71626467058430288</v>
      </c>
    </row>
    <row r="6960" spans="1:4">
      <c r="A6960" s="1">
        <v>28401</v>
      </c>
      <c r="B6960">
        <v>96.74</v>
      </c>
      <c r="C6960">
        <f t="shared" si="236"/>
        <v>2.1754894851340905E-3</v>
      </c>
      <c r="D6960">
        <f t="shared" si="235"/>
        <v>0.19682745320988607</v>
      </c>
    </row>
    <row r="6961" spans="1:4">
      <c r="A6961" s="1">
        <v>28402</v>
      </c>
      <c r="B6961">
        <v>96.03</v>
      </c>
      <c r="C6961">
        <f t="shared" si="236"/>
        <v>-7.3392598718213129E-3</v>
      </c>
      <c r="D6961">
        <f t="shared" si="235"/>
        <v>-0.80792684466415554</v>
      </c>
    </row>
    <row r="6962" spans="1:4">
      <c r="A6962" s="1">
        <v>28403</v>
      </c>
      <c r="B6962">
        <v>95.68</v>
      </c>
      <c r="C6962">
        <f t="shared" si="236"/>
        <v>-3.6446943663437916E-3</v>
      </c>
      <c r="D6962">
        <f t="shared" si="235"/>
        <v>-0.41778198312956288</v>
      </c>
    </row>
    <row r="6963" spans="1:4">
      <c r="A6963" s="1">
        <v>28404</v>
      </c>
      <c r="B6963">
        <v>96.05</v>
      </c>
      <c r="C6963">
        <f t="shared" si="236"/>
        <v>3.8670568561871895E-3</v>
      </c>
      <c r="D6963">
        <f t="shared" si="235"/>
        <v>0.37545639260140645</v>
      </c>
    </row>
    <row r="6964" spans="1:4">
      <c r="A6964" s="1">
        <v>28405</v>
      </c>
      <c r="B6964">
        <v>95.97</v>
      </c>
      <c r="C6964">
        <f t="shared" si="236"/>
        <v>-8.3289953149399585E-4</v>
      </c>
      <c r="D6964">
        <f t="shared" si="235"/>
        <v>-0.12085740434492749</v>
      </c>
    </row>
    <row r="6965" spans="1:4">
      <c r="A6965" s="1">
        <v>28408</v>
      </c>
      <c r="B6965">
        <v>95.75</v>
      </c>
      <c r="C6965">
        <f t="shared" si="236"/>
        <v>-2.2923830363655189E-3</v>
      </c>
      <c r="D6965">
        <f t="shared" si="235"/>
        <v>-0.27497836635681261</v>
      </c>
    </row>
    <row r="6966" spans="1:4">
      <c r="A6966" s="1">
        <v>28409</v>
      </c>
      <c r="B6966">
        <v>94.93</v>
      </c>
      <c r="C6966">
        <f t="shared" si="236"/>
        <v>-8.5639686684072392E-3</v>
      </c>
      <c r="D6966">
        <f t="shared" si="235"/>
        <v>-0.93725567728488235</v>
      </c>
    </row>
    <row r="6967" spans="1:4">
      <c r="A6967" s="1">
        <v>28410</v>
      </c>
      <c r="B6967">
        <v>94.04</v>
      </c>
      <c r="C6967">
        <f t="shared" si="236"/>
        <v>-9.3753291899294263E-3</v>
      </c>
      <c r="D6967">
        <f t="shared" si="235"/>
        <v>-1.0229350725627839</v>
      </c>
    </row>
    <row r="6968" spans="1:4">
      <c r="A6968" s="1">
        <v>28411</v>
      </c>
      <c r="B6968">
        <v>93.46</v>
      </c>
      <c r="C6968">
        <f t="shared" si="236"/>
        <v>-6.1675882603148919E-3</v>
      </c>
      <c r="D6968">
        <f t="shared" si="235"/>
        <v>-0.68419872075960919</v>
      </c>
    </row>
    <row r="6969" spans="1:4">
      <c r="A6969" s="1">
        <v>28412</v>
      </c>
      <c r="B6969">
        <v>93.56</v>
      </c>
      <c r="C6969">
        <f t="shared" si="236"/>
        <v>1.06997646051796E-3</v>
      </c>
      <c r="D6969">
        <f t="shared" si="235"/>
        <v>8.0085653592558051E-2</v>
      </c>
    </row>
    <row r="6970" spans="1:4">
      <c r="A6970" s="1">
        <v>28415</v>
      </c>
      <c r="B6970">
        <v>93.47</v>
      </c>
      <c r="C6970">
        <f t="shared" si="236"/>
        <v>-9.6194955109024595E-4</v>
      </c>
      <c r="D6970">
        <f t="shared" si="235"/>
        <v>-0.13448504254805849</v>
      </c>
    </row>
    <row r="6971" spans="1:4">
      <c r="A6971" s="1">
        <v>28416</v>
      </c>
      <c r="B6971">
        <v>93.46</v>
      </c>
      <c r="C6971">
        <f t="shared" si="236"/>
        <v>-1.0698619878041207E-4</v>
      </c>
      <c r="D6971">
        <f t="shared" si="235"/>
        <v>-4.4201203160303799E-2</v>
      </c>
    </row>
    <row r="6972" spans="1:4">
      <c r="A6972" s="1">
        <v>28417</v>
      </c>
      <c r="B6972">
        <v>92.38</v>
      </c>
      <c r="C6972">
        <f t="shared" si="236"/>
        <v>-1.1555745773592963E-2</v>
      </c>
      <c r="D6972">
        <f t="shared" si="235"/>
        <v>-1.2531863226380455</v>
      </c>
    </row>
    <row r="6973" spans="1:4">
      <c r="A6973" s="1">
        <v>28418</v>
      </c>
      <c r="B6973">
        <v>92.67</v>
      </c>
      <c r="C6973">
        <f t="shared" si="236"/>
        <v>3.1392076206971883E-3</v>
      </c>
      <c r="D6973">
        <f t="shared" si="235"/>
        <v>0.29859576074163841</v>
      </c>
    </row>
    <row r="6974" spans="1:4">
      <c r="A6974" s="1">
        <v>28419</v>
      </c>
      <c r="B6974">
        <v>92.32</v>
      </c>
      <c r="C6974">
        <f t="shared" si="236"/>
        <v>-3.7768425596202493E-3</v>
      </c>
      <c r="D6974">
        <f t="shared" si="235"/>
        <v>-0.43173678742020338</v>
      </c>
    </row>
    <row r="6975" spans="1:4">
      <c r="A6975" s="1">
        <v>28422</v>
      </c>
      <c r="B6975">
        <v>91.63</v>
      </c>
      <c r="C6975">
        <f t="shared" si="236"/>
        <v>-7.474003466204482E-3</v>
      </c>
      <c r="D6975">
        <f t="shared" si="235"/>
        <v>-0.82215572242944501</v>
      </c>
    </row>
    <row r="6976" spans="1:4">
      <c r="A6976" s="1">
        <v>28423</v>
      </c>
      <c r="B6976">
        <v>91</v>
      </c>
      <c r="C6976">
        <f t="shared" si="236"/>
        <v>-6.8754774637127085E-3</v>
      </c>
      <c r="D6976">
        <f t="shared" si="235"/>
        <v>-0.75895158001518703</v>
      </c>
    </row>
    <row r="6977" spans="1:4">
      <c r="A6977" s="1">
        <v>28424</v>
      </c>
      <c r="B6977">
        <v>92.1</v>
      </c>
      <c r="C6977">
        <f t="shared" si="236"/>
        <v>1.2087912087912026E-2</v>
      </c>
      <c r="D6977">
        <f t="shared" si="235"/>
        <v>1.243575910667083</v>
      </c>
    </row>
    <row r="6978" spans="1:4">
      <c r="A6978" s="1">
        <v>28425</v>
      </c>
      <c r="B6978">
        <v>92.34</v>
      </c>
      <c r="C6978">
        <f t="shared" si="236"/>
        <v>2.6058631921825094E-3</v>
      </c>
      <c r="D6978">
        <f t="shared" si="235"/>
        <v>0.24227477038306813</v>
      </c>
    </row>
    <row r="6979" spans="1:4">
      <c r="A6979" s="1">
        <v>28426</v>
      </c>
      <c r="B6979">
        <v>92.61</v>
      </c>
      <c r="C6979">
        <f t="shared" si="236"/>
        <v>2.9239766081870914E-3</v>
      </c>
      <c r="D6979">
        <f t="shared" ref="D6979:D7042" si="237">(C6979-avg)/sd</f>
        <v>0.27586743898114802</v>
      </c>
    </row>
    <row r="6980" spans="1:4">
      <c r="A6980" s="1">
        <v>28429</v>
      </c>
      <c r="B6980">
        <v>92.34</v>
      </c>
      <c r="C6980">
        <f t="shared" ref="C6980:C7043" si="238">(B6980-B6979)/B6979</f>
        <v>-2.9154518950436888E-3</v>
      </c>
      <c r="D6980">
        <f t="shared" si="237"/>
        <v>-0.34077422604183188</v>
      </c>
    </row>
    <row r="6981" spans="1:4">
      <c r="A6981" s="1">
        <v>28430</v>
      </c>
      <c r="B6981">
        <v>91.35</v>
      </c>
      <c r="C6981">
        <f t="shared" si="238"/>
        <v>-1.0721247563352925E-2</v>
      </c>
      <c r="D6981">
        <f t="shared" si="237"/>
        <v>-1.1650635952964215</v>
      </c>
    </row>
    <row r="6982" spans="1:4">
      <c r="A6982" s="1">
        <v>28431</v>
      </c>
      <c r="B6982">
        <v>90.71</v>
      </c>
      <c r="C6982">
        <f t="shared" si="238"/>
        <v>-7.0060207991242537E-3</v>
      </c>
      <c r="D6982">
        <f t="shared" si="237"/>
        <v>-0.7727369118608105</v>
      </c>
    </row>
    <row r="6983" spans="1:4">
      <c r="A6983" s="1">
        <v>28432</v>
      </c>
      <c r="B6983">
        <v>90.76</v>
      </c>
      <c r="C6983">
        <f t="shared" si="238"/>
        <v>5.5120714364470698E-4</v>
      </c>
      <c r="D6983">
        <f t="shared" si="237"/>
        <v>2.5303790069001166E-2</v>
      </c>
    </row>
    <row r="6984" spans="1:4">
      <c r="A6984" s="1">
        <v>28433</v>
      </c>
      <c r="B6984">
        <v>91.58</v>
      </c>
      <c r="C6984">
        <f t="shared" si="238"/>
        <v>9.0348171000439962E-3</v>
      </c>
      <c r="D6984">
        <f t="shared" si="237"/>
        <v>0.92117011774562929</v>
      </c>
    </row>
    <row r="6985" spans="1:4">
      <c r="A6985" s="1">
        <v>28436</v>
      </c>
      <c r="B6985">
        <v>92.29</v>
      </c>
      <c r="C6985">
        <f t="shared" si="238"/>
        <v>7.7527844507535269E-3</v>
      </c>
      <c r="D6985">
        <f t="shared" si="237"/>
        <v>0.78578790576462676</v>
      </c>
    </row>
    <row r="6986" spans="1:4">
      <c r="A6986" s="1">
        <v>28437</v>
      </c>
      <c r="B6986">
        <v>92.46</v>
      </c>
      <c r="C6986">
        <f t="shared" si="238"/>
        <v>1.8420197204462832E-3</v>
      </c>
      <c r="D6986">
        <f t="shared" si="237"/>
        <v>0.16161315941073409</v>
      </c>
    </row>
    <row r="6987" spans="1:4">
      <c r="A6987" s="1">
        <v>28438</v>
      </c>
      <c r="B6987">
        <v>92.98</v>
      </c>
      <c r="C6987">
        <f t="shared" si="238"/>
        <v>5.6240536448194925E-3</v>
      </c>
      <c r="D6987">
        <f t="shared" si="237"/>
        <v>0.56099465624875111</v>
      </c>
    </row>
    <row r="6988" spans="1:4">
      <c r="A6988" s="1">
        <v>28439</v>
      </c>
      <c r="B6988">
        <v>94.71</v>
      </c>
      <c r="C6988">
        <f t="shared" si="238"/>
        <v>1.8606151860615074E-2</v>
      </c>
      <c r="D6988">
        <f t="shared" si="237"/>
        <v>1.9318998150071724</v>
      </c>
    </row>
    <row r="6989" spans="1:4">
      <c r="A6989" s="1">
        <v>28440</v>
      </c>
      <c r="B6989">
        <v>95.98</v>
      </c>
      <c r="C6989">
        <f t="shared" si="238"/>
        <v>1.3409354872769615E-2</v>
      </c>
      <c r="D6989">
        <f t="shared" si="237"/>
        <v>1.3831198195678172</v>
      </c>
    </row>
    <row r="6990" spans="1:4">
      <c r="A6990" s="1">
        <v>28443</v>
      </c>
      <c r="B6990">
        <v>95.32</v>
      </c>
      <c r="C6990">
        <f t="shared" si="238"/>
        <v>-6.8764325901230546E-3</v>
      </c>
      <c r="D6990">
        <f t="shared" si="237"/>
        <v>-0.75905244103945635</v>
      </c>
    </row>
    <row r="6991" spans="1:4">
      <c r="A6991" s="1">
        <v>28444</v>
      </c>
      <c r="B6991">
        <v>95.93</v>
      </c>
      <c r="C6991">
        <f t="shared" si="238"/>
        <v>6.3994964330677051E-3</v>
      </c>
      <c r="D6991">
        <f t="shared" si="237"/>
        <v>0.64288115110195165</v>
      </c>
    </row>
    <row r="6992" spans="1:4">
      <c r="A6992" s="1">
        <v>28445</v>
      </c>
      <c r="B6992">
        <v>95.45</v>
      </c>
      <c r="C6992">
        <f t="shared" si="238"/>
        <v>-5.0036484936933591E-3</v>
      </c>
      <c r="D6992">
        <f t="shared" si="237"/>
        <v>-0.5612870770467252</v>
      </c>
    </row>
    <row r="6993" spans="1:4">
      <c r="A6993" s="1">
        <v>28446</v>
      </c>
      <c r="B6993">
        <v>95.16</v>
      </c>
      <c r="C6993">
        <f t="shared" si="238"/>
        <v>-3.0382399161865505E-3</v>
      </c>
      <c r="D6993">
        <f t="shared" si="237"/>
        <v>-0.35374059933684177</v>
      </c>
    </row>
    <row r="6994" spans="1:4">
      <c r="A6994" s="1">
        <v>28447</v>
      </c>
      <c r="B6994">
        <v>95.33</v>
      </c>
      <c r="C6994">
        <f t="shared" si="238"/>
        <v>1.7864649012190176E-3</v>
      </c>
      <c r="D6994">
        <f t="shared" si="237"/>
        <v>0.15574658938433544</v>
      </c>
    </row>
    <row r="6995" spans="1:4">
      <c r="A6995" s="1">
        <v>28450</v>
      </c>
      <c r="B6995">
        <v>95.25</v>
      </c>
      <c r="C6995">
        <f t="shared" si="238"/>
        <v>-8.3919018147485887E-4</v>
      </c>
      <c r="D6995">
        <f t="shared" si="237"/>
        <v>-0.1215216948446108</v>
      </c>
    </row>
    <row r="6996" spans="1:4">
      <c r="A6996" s="1">
        <v>28451</v>
      </c>
      <c r="B6996">
        <v>96.09</v>
      </c>
      <c r="C6996">
        <f t="shared" si="238"/>
        <v>8.8188976377953122E-3</v>
      </c>
      <c r="D6996">
        <f t="shared" si="237"/>
        <v>0.89836909592675951</v>
      </c>
    </row>
    <row r="6997" spans="1:4">
      <c r="A6997" s="1">
        <v>28452</v>
      </c>
      <c r="B6997">
        <v>96.49</v>
      </c>
      <c r="C6997">
        <f t="shared" si="238"/>
        <v>4.1627640753459406E-3</v>
      </c>
      <c r="D6997">
        <f t="shared" si="237"/>
        <v>0.40668297442880302</v>
      </c>
    </row>
    <row r="6998" spans="1:4">
      <c r="A6998" s="1">
        <v>28454</v>
      </c>
      <c r="B6998">
        <v>96.69</v>
      </c>
      <c r="C6998">
        <f t="shared" si="238"/>
        <v>2.0727536532283435E-3</v>
      </c>
      <c r="D6998">
        <f t="shared" si="237"/>
        <v>0.18597858428224517</v>
      </c>
    </row>
    <row r="6999" spans="1:4">
      <c r="A6999" s="1">
        <v>28457</v>
      </c>
      <c r="B6999">
        <v>96.04</v>
      </c>
      <c r="C6999">
        <f t="shared" si="238"/>
        <v>-6.7225152549383752E-3</v>
      </c>
      <c r="D6999">
        <f t="shared" si="237"/>
        <v>-0.74279882276299847</v>
      </c>
    </row>
    <row r="7000" spans="1:4">
      <c r="A7000" s="1">
        <v>28458</v>
      </c>
      <c r="B7000">
        <v>94.55</v>
      </c>
      <c r="C7000">
        <f t="shared" si="238"/>
        <v>-1.551436901291138E-2</v>
      </c>
      <c r="D7000">
        <f t="shared" si="237"/>
        <v>-1.6712155911086521</v>
      </c>
    </row>
    <row r="7001" spans="1:4">
      <c r="A7001" s="1">
        <v>28459</v>
      </c>
      <c r="B7001">
        <v>94.83</v>
      </c>
      <c r="C7001">
        <f t="shared" si="238"/>
        <v>2.9613960867266118E-3</v>
      </c>
      <c r="D7001">
        <f t="shared" si="237"/>
        <v>0.27981892319542262</v>
      </c>
    </row>
    <row r="7002" spans="1:4">
      <c r="A7002" s="1">
        <v>28460</v>
      </c>
      <c r="B7002">
        <v>94.69</v>
      </c>
      <c r="C7002">
        <f t="shared" si="238"/>
        <v>-1.4763260571549147E-3</v>
      </c>
      <c r="D7002">
        <f t="shared" si="237"/>
        <v>-0.18880302674341781</v>
      </c>
    </row>
    <row r="7003" spans="1:4">
      <c r="A7003" s="1">
        <v>28461</v>
      </c>
      <c r="B7003">
        <v>94.67</v>
      </c>
      <c r="C7003">
        <f t="shared" si="238"/>
        <v>-2.1121554546410414E-4</v>
      </c>
      <c r="D7003">
        <f t="shared" si="237"/>
        <v>-5.520778674082532E-2</v>
      </c>
    </row>
    <row r="7004" spans="1:4">
      <c r="A7004" s="1">
        <v>28464</v>
      </c>
      <c r="B7004">
        <v>94.27</v>
      </c>
      <c r="C7004">
        <f t="shared" si="238"/>
        <v>-4.2252033379106971E-3</v>
      </c>
      <c r="D7004">
        <f t="shared" si="237"/>
        <v>-0.47908353320244113</v>
      </c>
    </row>
    <row r="7005" spans="1:4">
      <c r="A7005" s="1">
        <v>28465</v>
      </c>
      <c r="B7005">
        <v>92.83</v>
      </c>
      <c r="C7005">
        <f t="shared" si="238"/>
        <v>-1.5275273151585847E-2</v>
      </c>
      <c r="D7005">
        <f t="shared" si="237"/>
        <v>-1.6459671494253076</v>
      </c>
    </row>
    <row r="7006" spans="1:4">
      <c r="A7006" s="1">
        <v>28466</v>
      </c>
      <c r="B7006">
        <v>92.78</v>
      </c>
      <c r="C7006">
        <f t="shared" si="238"/>
        <v>-5.3861898093285744E-4</v>
      </c>
      <c r="D7006">
        <f t="shared" si="237"/>
        <v>-8.9781478236490658E-2</v>
      </c>
    </row>
    <row r="7007" spans="1:4">
      <c r="A7007" s="1">
        <v>28467</v>
      </c>
      <c r="B7007">
        <v>92.96</v>
      </c>
      <c r="C7007">
        <f t="shared" si="238"/>
        <v>1.9400732916576052E-3</v>
      </c>
      <c r="D7007">
        <f t="shared" si="237"/>
        <v>0.17196758320062144</v>
      </c>
    </row>
    <row r="7008" spans="1:4">
      <c r="A7008" s="1">
        <v>28468</v>
      </c>
      <c r="B7008">
        <v>93.65</v>
      </c>
      <c r="C7008">
        <f t="shared" si="238"/>
        <v>7.4225473321860155E-3</v>
      </c>
      <c r="D7008">
        <f t="shared" si="237"/>
        <v>0.75091497829694831</v>
      </c>
    </row>
    <row r="7009" spans="1:4">
      <c r="A7009" s="1">
        <v>28471</v>
      </c>
      <c r="B7009">
        <v>93.63</v>
      </c>
      <c r="C7009">
        <f t="shared" si="238"/>
        <v>-2.1356113187410817E-4</v>
      </c>
      <c r="D7009">
        <f t="shared" si="237"/>
        <v>-5.5455479868418187E-2</v>
      </c>
    </row>
    <row r="7010" spans="1:4">
      <c r="A7010" s="1">
        <v>28472</v>
      </c>
      <c r="B7010">
        <v>93.56</v>
      </c>
      <c r="C7010">
        <f t="shared" si="238"/>
        <v>-7.4762362490647422E-4</v>
      </c>
      <c r="D7010">
        <f t="shared" si="237"/>
        <v>-0.11185229759597425</v>
      </c>
    </row>
    <row r="7011" spans="1:4">
      <c r="A7011" s="1">
        <v>28473</v>
      </c>
      <c r="B7011">
        <v>94.03</v>
      </c>
      <c r="C7011">
        <f t="shared" si="238"/>
        <v>5.0235143223599709E-3</v>
      </c>
      <c r="D7011">
        <f t="shared" si="237"/>
        <v>0.49757790793025969</v>
      </c>
    </row>
    <row r="7012" spans="1:4">
      <c r="A7012" s="1">
        <v>28474</v>
      </c>
      <c r="B7012">
        <v>93.55</v>
      </c>
      <c r="C7012">
        <f t="shared" si="238"/>
        <v>-5.1047538019781341E-3</v>
      </c>
      <c r="D7012">
        <f t="shared" si="237"/>
        <v>-0.57196376323423337</v>
      </c>
    </row>
    <row r="7013" spans="1:4">
      <c r="A7013" s="1">
        <v>28475</v>
      </c>
      <c r="B7013">
        <v>93.4</v>
      </c>
      <c r="C7013">
        <f t="shared" si="238"/>
        <v>-1.6034206306786904E-3</v>
      </c>
      <c r="D7013">
        <f t="shared" si="237"/>
        <v>-0.20222417050598393</v>
      </c>
    </row>
    <row r="7014" spans="1:4">
      <c r="A7014" s="1">
        <v>28478</v>
      </c>
      <c r="B7014">
        <v>92.69</v>
      </c>
      <c r="C7014">
        <f t="shared" si="238"/>
        <v>-7.6017130620985862E-3</v>
      </c>
      <c r="D7014">
        <f t="shared" si="237"/>
        <v>-0.83564181234526147</v>
      </c>
    </row>
    <row r="7015" spans="1:4">
      <c r="A7015" s="1">
        <v>28479</v>
      </c>
      <c r="B7015">
        <v>92.5</v>
      </c>
      <c r="C7015">
        <f t="shared" si="238"/>
        <v>-2.0498435645700478E-3</v>
      </c>
      <c r="D7015">
        <f t="shared" si="237"/>
        <v>-0.24936628057838306</v>
      </c>
    </row>
    <row r="7016" spans="1:4">
      <c r="A7016" s="1">
        <v>28480</v>
      </c>
      <c r="B7016">
        <v>93.05</v>
      </c>
      <c r="C7016">
        <f t="shared" si="238"/>
        <v>5.9459459459459156E-3</v>
      </c>
      <c r="D7016">
        <f t="shared" si="237"/>
        <v>0.59498637383119202</v>
      </c>
    </row>
    <row r="7017" spans="1:4">
      <c r="A7017" s="1">
        <v>28481</v>
      </c>
      <c r="B7017">
        <v>93.8</v>
      </c>
      <c r="C7017">
        <f t="shared" si="238"/>
        <v>8.0601826974744765E-3</v>
      </c>
      <c r="D7017">
        <f t="shared" si="237"/>
        <v>0.81824905612861809</v>
      </c>
    </row>
    <row r="7018" spans="1:4">
      <c r="A7018" s="1">
        <v>28482</v>
      </c>
      <c r="B7018">
        <v>94.69</v>
      </c>
      <c r="C7018">
        <f t="shared" si="238"/>
        <v>9.488272921108749E-3</v>
      </c>
      <c r="D7018">
        <f t="shared" si="237"/>
        <v>0.96905489831294445</v>
      </c>
    </row>
    <row r="7019" spans="1:4">
      <c r="A7019" s="1">
        <v>28486</v>
      </c>
      <c r="B7019">
        <v>94.69</v>
      </c>
      <c r="C7019">
        <f t="shared" si="238"/>
        <v>0</v>
      </c>
      <c r="D7019">
        <f t="shared" si="237"/>
        <v>-3.29034969354682E-2</v>
      </c>
    </row>
    <row r="7020" spans="1:4">
      <c r="A7020" s="1">
        <v>28487</v>
      </c>
      <c r="B7020">
        <v>94.75</v>
      </c>
      <c r="C7020">
        <f t="shared" si="238"/>
        <v>6.3364663639246246E-4</v>
      </c>
      <c r="D7020">
        <f t="shared" si="237"/>
        <v>3.4009372480619013E-2</v>
      </c>
    </row>
    <row r="7021" spans="1:4">
      <c r="A7021" s="1">
        <v>28488</v>
      </c>
      <c r="B7021">
        <v>94.94</v>
      </c>
      <c r="C7021">
        <f t="shared" si="238"/>
        <v>2.0052770448548574E-3</v>
      </c>
      <c r="D7021">
        <f t="shared" si="237"/>
        <v>0.17885307737441866</v>
      </c>
    </row>
    <row r="7022" spans="1:4">
      <c r="A7022" s="1">
        <v>28489</v>
      </c>
      <c r="B7022">
        <v>95.1</v>
      </c>
      <c r="C7022">
        <f t="shared" si="238"/>
        <v>1.6852749104697346E-3</v>
      </c>
      <c r="D7022">
        <f t="shared" si="237"/>
        <v>0.14506096075736022</v>
      </c>
    </row>
    <row r="7023" spans="1:4">
      <c r="A7023" s="1">
        <v>28493</v>
      </c>
      <c r="B7023">
        <v>93.82</v>
      </c>
      <c r="C7023">
        <f t="shared" si="238"/>
        <v>-1.3459516298633031E-2</v>
      </c>
      <c r="D7023">
        <f t="shared" si="237"/>
        <v>-1.4542238429592331</v>
      </c>
    </row>
    <row r="7024" spans="1:4">
      <c r="A7024" s="1">
        <v>28494</v>
      </c>
      <c r="B7024">
        <v>93.52</v>
      </c>
      <c r="C7024">
        <f t="shared" si="238"/>
        <v>-3.1976124493711061E-3</v>
      </c>
      <c r="D7024">
        <f t="shared" si="237"/>
        <v>-0.3705702846677747</v>
      </c>
    </row>
    <row r="7025" spans="1:4">
      <c r="A7025" s="1">
        <v>28495</v>
      </c>
      <c r="B7025">
        <v>92.74</v>
      </c>
      <c r="C7025">
        <f t="shared" si="238"/>
        <v>-8.3404619332763177E-3</v>
      </c>
      <c r="D7025">
        <f t="shared" si="237"/>
        <v>-0.9136534420286877</v>
      </c>
    </row>
    <row r="7026" spans="1:4">
      <c r="A7026" s="1">
        <v>28496</v>
      </c>
      <c r="B7026">
        <v>91.62</v>
      </c>
      <c r="C7026">
        <f t="shared" si="238"/>
        <v>-1.2076773776148268E-2</v>
      </c>
      <c r="D7026">
        <f t="shared" si="237"/>
        <v>-1.3082067026018624</v>
      </c>
    </row>
    <row r="7027" spans="1:4">
      <c r="A7027" s="1">
        <v>28499</v>
      </c>
      <c r="B7027">
        <v>90.64</v>
      </c>
      <c r="C7027">
        <f t="shared" si="238"/>
        <v>-1.0696354507749443E-2</v>
      </c>
      <c r="D7027">
        <f t="shared" si="237"/>
        <v>-1.1624348970862544</v>
      </c>
    </row>
    <row r="7028" spans="1:4">
      <c r="A7028" s="1">
        <v>28500</v>
      </c>
      <c r="B7028">
        <v>90.17</v>
      </c>
      <c r="C7028">
        <f t="shared" si="238"/>
        <v>-5.1853486319505615E-3</v>
      </c>
      <c r="D7028">
        <f t="shared" si="237"/>
        <v>-0.58047454988380787</v>
      </c>
    </row>
    <row r="7029" spans="1:4">
      <c r="A7029" s="1">
        <v>28501</v>
      </c>
      <c r="B7029">
        <v>89.74</v>
      </c>
      <c r="C7029">
        <f t="shared" si="238"/>
        <v>-4.7687701009205587E-3</v>
      </c>
      <c r="D7029">
        <f t="shared" si="237"/>
        <v>-0.53648399860896234</v>
      </c>
    </row>
    <row r="7030" spans="1:4">
      <c r="A7030" s="1">
        <v>28502</v>
      </c>
      <c r="B7030">
        <v>89.82</v>
      </c>
      <c r="C7030">
        <f t="shared" si="238"/>
        <v>8.9146422999775241E-4</v>
      </c>
      <c r="D7030">
        <f t="shared" si="237"/>
        <v>6.1234822728879534E-2</v>
      </c>
    </row>
    <row r="7031" spans="1:4">
      <c r="A7031" s="1">
        <v>28503</v>
      </c>
      <c r="B7031">
        <v>89.69</v>
      </c>
      <c r="C7031">
        <f t="shared" si="238"/>
        <v>-1.4473391226897737E-3</v>
      </c>
      <c r="D7031">
        <f t="shared" si="237"/>
        <v>-0.18574201631703668</v>
      </c>
    </row>
    <row r="7032" spans="1:4">
      <c r="A7032" s="1">
        <v>28506</v>
      </c>
      <c r="B7032">
        <v>89.43</v>
      </c>
      <c r="C7032">
        <f t="shared" si="238"/>
        <v>-2.8988738989852926E-3</v>
      </c>
      <c r="D7032">
        <f t="shared" si="237"/>
        <v>-0.33902359529319992</v>
      </c>
    </row>
    <row r="7033" spans="1:4">
      <c r="A7033" s="1">
        <v>28507</v>
      </c>
      <c r="B7033">
        <v>89.88</v>
      </c>
      <c r="C7033">
        <f t="shared" si="238"/>
        <v>5.0318685005030592E-3</v>
      </c>
      <c r="D7033">
        <f t="shared" si="237"/>
        <v>0.49846010630244669</v>
      </c>
    </row>
    <row r="7034" spans="1:4">
      <c r="A7034" s="1">
        <v>28508</v>
      </c>
      <c r="B7034">
        <v>90.56</v>
      </c>
      <c r="C7034">
        <f t="shared" si="238"/>
        <v>7.5656430796618478E-3</v>
      </c>
      <c r="D7034">
        <f t="shared" si="237"/>
        <v>0.76602584058978829</v>
      </c>
    </row>
    <row r="7035" spans="1:4">
      <c r="A7035" s="1">
        <v>28509</v>
      </c>
      <c r="B7035">
        <v>90.09</v>
      </c>
      <c r="C7035">
        <f t="shared" si="238"/>
        <v>-5.1899293286218956E-3</v>
      </c>
      <c r="D7035">
        <f t="shared" si="237"/>
        <v>-0.58095826989524635</v>
      </c>
    </row>
    <row r="7036" spans="1:4">
      <c r="A7036" s="1">
        <v>28510</v>
      </c>
      <c r="B7036">
        <v>89.89</v>
      </c>
      <c r="C7036">
        <f t="shared" si="238"/>
        <v>-2.2200022200022517E-3</v>
      </c>
      <c r="D7036">
        <f t="shared" si="237"/>
        <v>-0.26733497675228651</v>
      </c>
    </row>
    <row r="7037" spans="1:4">
      <c r="A7037" s="1">
        <v>28513</v>
      </c>
      <c r="B7037">
        <v>89.24</v>
      </c>
      <c r="C7037">
        <f t="shared" si="238"/>
        <v>-7.2310601846702158E-3</v>
      </c>
      <c r="D7037">
        <f t="shared" si="237"/>
        <v>-0.79650099447986034</v>
      </c>
    </row>
    <row r="7038" spans="1:4">
      <c r="A7038" s="1">
        <v>28514</v>
      </c>
      <c r="B7038">
        <v>89.25</v>
      </c>
      <c r="C7038">
        <f t="shared" si="238"/>
        <v>1.1205737337522542E-4</v>
      </c>
      <c r="D7038">
        <f t="shared" si="237"/>
        <v>-2.1070276397196309E-2</v>
      </c>
    </row>
    <row r="7039" spans="1:4">
      <c r="A7039" s="1">
        <v>28515</v>
      </c>
      <c r="B7039">
        <v>89.39</v>
      </c>
      <c r="C7039">
        <f t="shared" si="238"/>
        <v>1.5686274509803986E-3</v>
      </c>
      <c r="D7039">
        <f t="shared" si="237"/>
        <v>0.13274302868568436</v>
      </c>
    </row>
    <row r="7040" spans="1:4">
      <c r="A7040" s="1">
        <v>28516</v>
      </c>
      <c r="B7040">
        <v>88.58</v>
      </c>
      <c r="C7040">
        <f t="shared" si="238"/>
        <v>-9.0614162658015692E-3</v>
      </c>
      <c r="D7040">
        <f t="shared" si="237"/>
        <v>-0.98978597447906957</v>
      </c>
    </row>
    <row r="7041" spans="1:4">
      <c r="A7041" s="1">
        <v>28517</v>
      </c>
      <c r="B7041">
        <v>88.58</v>
      </c>
      <c r="C7041">
        <f t="shared" si="238"/>
        <v>0</v>
      </c>
      <c r="D7041">
        <f t="shared" si="237"/>
        <v>-3.29034969354682E-2</v>
      </c>
    </row>
    <row r="7042" spans="1:4">
      <c r="A7042" s="1">
        <v>28520</v>
      </c>
      <c r="B7042">
        <v>89.34</v>
      </c>
      <c r="C7042">
        <f t="shared" si="238"/>
        <v>8.5798148566268353E-3</v>
      </c>
      <c r="D7042">
        <f t="shared" si="237"/>
        <v>0.87312203550355427</v>
      </c>
    </row>
    <row r="7043" spans="1:4">
      <c r="A7043" s="1">
        <v>28521</v>
      </c>
      <c r="B7043">
        <v>89.25</v>
      </c>
      <c r="C7043">
        <f t="shared" si="238"/>
        <v>-1.007387508394934E-3</v>
      </c>
      <c r="D7043">
        <f t="shared" ref="D7043:D7106" si="239">(C7043-avg)/sd</f>
        <v>-0.13928327539432142</v>
      </c>
    </row>
    <row r="7044" spans="1:4">
      <c r="A7044" s="1">
        <v>28522</v>
      </c>
      <c r="B7044">
        <v>89.93</v>
      </c>
      <c r="C7044">
        <f t="shared" ref="C7044:C7107" si="240">(B7044-B7043)/B7043</f>
        <v>7.6190476190476954E-3</v>
      </c>
      <c r="D7044">
        <f t="shared" si="239"/>
        <v>0.77166534179584878</v>
      </c>
    </row>
    <row r="7045" spans="1:4">
      <c r="A7045" s="1">
        <v>28523</v>
      </c>
      <c r="B7045">
        <v>90.13</v>
      </c>
      <c r="C7045">
        <f t="shared" si="240"/>
        <v>2.2239519626374806E-3</v>
      </c>
      <c r="D7045">
        <f t="shared" si="239"/>
        <v>0.20194507436104756</v>
      </c>
    </row>
    <row r="7046" spans="1:4">
      <c r="A7046" s="1">
        <v>28524</v>
      </c>
      <c r="B7046">
        <v>89.62</v>
      </c>
      <c r="C7046">
        <f t="shared" si="240"/>
        <v>-5.6584932874735481E-3</v>
      </c>
      <c r="D7046">
        <f t="shared" si="239"/>
        <v>-0.63043846467735254</v>
      </c>
    </row>
    <row r="7047" spans="1:4">
      <c r="A7047" s="1">
        <v>28527</v>
      </c>
      <c r="B7047">
        <v>89.5</v>
      </c>
      <c r="C7047">
        <f t="shared" si="240"/>
        <v>-1.33898683329619E-3</v>
      </c>
      <c r="D7047">
        <f t="shared" si="239"/>
        <v>-0.17430005138780691</v>
      </c>
    </row>
    <row r="7048" spans="1:4">
      <c r="A7048" s="1">
        <v>28528</v>
      </c>
      <c r="B7048">
        <v>90.33</v>
      </c>
      <c r="C7048">
        <f t="shared" si="240"/>
        <v>9.2737430167597577E-3</v>
      </c>
      <c r="D7048">
        <f t="shared" si="239"/>
        <v>0.9464006133359486</v>
      </c>
    </row>
    <row r="7049" spans="1:4">
      <c r="A7049" s="1">
        <v>28529</v>
      </c>
      <c r="B7049">
        <v>90.83</v>
      </c>
      <c r="C7049">
        <f t="shared" si="240"/>
        <v>5.5352596036754124E-3</v>
      </c>
      <c r="D7049">
        <f t="shared" si="239"/>
        <v>0.55161803568649737</v>
      </c>
    </row>
    <row r="7050" spans="1:4">
      <c r="A7050" s="1">
        <v>28530</v>
      </c>
      <c r="B7050">
        <v>90.3</v>
      </c>
      <c r="C7050">
        <f t="shared" si="240"/>
        <v>-5.8350765165694277E-3</v>
      </c>
      <c r="D7050">
        <f t="shared" si="239"/>
        <v>-0.64908559364632146</v>
      </c>
    </row>
    <row r="7051" spans="1:4">
      <c r="A7051" s="1">
        <v>28531</v>
      </c>
      <c r="B7051">
        <v>90.08</v>
      </c>
      <c r="C7051">
        <f t="shared" si="240"/>
        <v>-2.4363233665559121E-3</v>
      </c>
      <c r="D7051">
        <f t="shared" si="239"/>
        <v>-0.29017841629722263</v>
      </c>
    </row>
    <row r="7052" spans="1:4">
      <c r="A7052" s="1">
        <v>28534</v>
      </c>
      <c r="B7052">
        <v>89.86</v>
      </c>
      <c r="C7052">
        <f t="shared" si="240"/>
        <v>-2.4422735346358668E-3</v>
      </c>
      <c r="D7052">
        <f t="shared" si="239"/>
        <v>-0.29080675202390549</v>
      </c>
    </row>
    <row r="7053" spans="1:4">
      <c r="A7053" s="1">
        <v>28535</v>
      </c>
      <c r="B7053">
        <v>89.04</v>
      </c>
      <c r="C7053">
        <f t="shared" si="240"/>
        <v>-9.1253060316046422E-3</v>
      </c>
      <c r="D7053">
        <f t="shared" si="239"/>
        <v>-0.9965327120306875</v>
      </c>
    </row>
    <row r="7054" spans="1:4">
      <c r="A7054" s="1">
        <v>28536</v>
      </c>
      <c r="B7054">
        <v>88.83</v>
      </c>
      <c r="C7054">
        <f t="shared" si="240"/>
        <v>-2.3584905660378251E-3</v>
      </c>
      <c r="D7054">
        <f t="shared" si="239"/>
        <v>-0.281959299019167</v>
      </c>
    </row>
    <row r="7055" spans="1:4">
      <c r="A7055" s="1">
        <v>28537</v>
      </c>
      <c r="B7055">
        <v>88.08</v>
      </c>
      <c r="C7055">
        <f t="shared" si="240"/>
        <v>-8.443093549476529E-3</v>
      </c>
      <c r="D7055">
        <f t="shared" si="239"/>
        <v>-0.92449130581324857</v>
      </c>
    </row>
    <row r="7056" spans="1:4">
      <c r="A7056" s="1">
        <v>28538</v>
      </c>
      <c r="B7056">
        <v>87.96</v>
      </c>
      <c r="C7056">
        <f t="shared" si="240"/>
        <v>-1.3623978201635393E-3</v>
      </c>
      <c r="D7056">
        <f t="shared" si="239"/>
        <v>-0.17677224364321792</v>
      </c>
    </row>
    <row r="7057" spans="1:4">
      <c r="A7057" s="1">
        <v>28542</v>
      </c>
      <c r="B7057">
        <v>87.59</v>
      </c>
      <c r="C7057">
        <f t="shared" si="240"/>
        <v>-4.2064574806729236E-3</v>
      </c>
      <c r="D7057">
        <f t="shared" si="239"/>
        <v>-0.47710397705015872</v>
      </c>
    </row>
    <row r="7058" spans="1:4">
      <c r="A7058" s="1">
        <v>28543</v>
      </c>
      <c r="B7058">
        <v>87.56</v>
      </c>
      <c r="C7058">
        <f t="shared" si="240"/>
        <v>-3.425048521520851E-4</v>
      </c>
      <c r="D7058">
        <f t="shared" si="239"/>
        <v>-6.9071892899672443E-2</v>
      </c>
    </row>
    <row r="7059" spans="1:4">
      <c r="A7059" s="1">
        <v>28544</v>
      </c>
      <c r="B7059">
        <v>87.64</v>
      </c>
      <c r="C7059">
        <f t="shared" si="240"/>
        <v>9.1365920511647203E-4</v>
      </c>
      <c r="D7059">
        <f t="shared" si="239"/>
        <v>6.3578604556977725E-2</v>
      </c>
    </row>
    <row r="7060" spans="1:4">
      <c r="A7060" s="1">
        <v>28545</v>
      </c>
      <c r="B7060">
        <v>88.49</v>
      </c>
      <c r="C7060">
        <f t="shared" si="240"/>
        <v>9.6987676859880689E-3</v>
      </c>
      <c r="D7060">
        <f t="shared" si="239"/>
        <v>0.99128307393355364</v>
      </c>
    </row>
    <row r="7061" spans="1:4">
      <c r="A7061" s="1">
        <v>28548</v>
      </c>
      <c r="B7061">
        <v>87.72</v>
      </c>
      <c r="C7061">
        <f t="shared" si="240"/>
        <v>-8.7015481975364004E-3</v>
      </c>
      <c r="D7061">
        <f t="shared" si="239"/>
        <v>-0.95178402879536761</v>
      </c>
    </row>
    <row r="7062" spans="1:4">
      <c r="A7062" s="1">
        <v>28549</v>
      </c>
      <c r="B7062">
        <v>87.04</v>
      </c>
      <c r="C7062">
        <f t="shared" si="240"/>
        <v>-7.7519379844960398E-3</v>
      </c>
      <c r="D7062">
        <f t="shared" si="239"/>
        <v>-0.85150551308650047</v>
      </c>
    </row>
    <row r="7063" spans="1:4">
      <c r="A7063" s="1">
        <v>28550</v>
      </c>
      <c r="B7063">
        <v>87.19</v>
      </c>
      <c r="C7063">
        <f t="shared" si="240"/>
        <v>1.7233455882351961E-3</v>
      </c>
      <c r="D7063">
        <f t="shared" si="239"/>
        <v>0.14908121138854083</v>
      </c>
    </row>
    <row r="7064" spans="1:4">
      <c r="A7064" s="1">
        <v>28551</v>
      </c>
      <c r="B7064">
        <v>87.32</v>
      </c>
      <c r="C7064">
        <f t="shared" si="240"/>
        <v>1.4909966739304445E-3</v>
      </c>
      <c r="D7064">
        <f t="shared" si="239"/>
        <v>0.12454524501719244</v>
      </c>
    </row>
    <row r="7065" spans="1:4">
      <c r="A7065" s="1">
        <v>28552</v>
      </c>
      <c r="B7065">
        <v>87.45</v>
      </c>
      <c r="C7065">
        <f t="shared" si="240"/>
        <v>1.4887769125058368E-3</v>
      </c>
      <c r="D7065">
        <f t="shared" si="239"/>
        <v>0.12431083896528743</v>
      </c>
    </row>
    <row r="7066" spans="1:4">
      <c r="A7066" s="1">
        <v>28555</v>
      </c>
      <c r="B7066">
        <v>86.9</v>
      </c>
      <c r="C7066">
        <f t="shared" si="240"/>
        <v>-6.2893081761005963E-3</v>
      </c>
      <c r="D7066">
        <f t="shared" si="239"/>
        <v>-0.69705230249196992</v>
      </c>
    </row>
    <row r="7067" spans="1:4">
      <c r="A7067" s="1">
        <v>28556</v>
      </c>
      <c r="B7067">
        <v>87.36</v>
      </c>
      <c r="C7067">
        <f t="shared" si="240"/>
        <v>5.2934407364786384E-3</v>
      </c>
      <c r="D7067">
        <f t="shared" si="239"/>
        <v>0.52608204550874482</v>
      </c>
    </row>
    <row r="7068" spans="1:4">
      <c r="A7068" s="1">
        <v>28557</v>
      </c>
      <c r="B7068">
        <v>87.84</v>
      </c>
      <c r="C7068">
        <f t="shared" si="240"/>
        <v>5.49450549450554E-3</v>
      </c>
      <c r="D7068">
        <f t="shared" si="239"/>
        <v>0.54731441561115368</v>
      </c>
    </row>
    <row r="7069" spans="1:4">
      <c r="A7069" s="1">
        <v>28558</v>
      </c>
      <c r="B7069">
        <v>87.89</v>
      </c>
      <c r="C7069">
        <f t="shared" si="240"/>
        <v>5.6921675774131554E-4</v>
      </c>
      <c r="D7069">
        <f t="shared" si="239"/>
        <v>2.7205599195837756E-2</v>
      </c>
    </row>
    <row r="7070" spans="1:4">
      <c r="A7070" s="1">
        <v>28559</v>
      </c>
      <c r="B7070">
        <v>88.88</v>
      </c>
      <c r="C7070">
        <f t="shared" si="240"/>
        <v>1.1264080100125098E-2</v>
      </c>
      <c r="D7070">
        <f t="shared" si="239"/>
        <v>1.1565795327908821</v>
      </c>
    </row>
    <row r="7071" spans="1:4">
      <c r="A7071" s="1">
        <v>28562</v>
      </c>
      <c r="B7071">
        <v>88.95</v>
      </c>
      <c r="C7071">
        <f t="shared" si="240"/>
        <v>7.8757875787587072E-4</v>
      </c>
      <c r="D7071">
        <f t="shared" si="239"/>
        <v>5.0264552185196536E-2</v>
      </c>
    </row>
    <row r="7072" spans="1:4">
      <c r="A7072" s="1">
        <v>28563</v>
      </c>
      <c r="B7072">
        <v>89.35</v>
      </c>
      <c r="C7072">
        <f t="shared" si="240"/>
        <v>4.4969083754917531E-3</v>
      </c>
      <c r="D7072">
        <f t="shared" si="239"/>
        <v>0.44196849894303453</v>
      </c>
    </row>
    <row r="7073" spans="1:4">
      <c r="A7073" s="1">
        <v>28564</v>
      </c>
      <c r="B7073">
        <v>89.12</v>
      </c>
      <c r="C7073">
        <f t="shared" si="240"/>
        <v>-2.5741466144374907E-3</v>
      </c>
      <c r="D7073">
        <f t="shared" si="239"/>
        <v>-0.30473250442511912</v>
      </c>
    </row>
    <row r="7074" spans="1:4">
      <c r="A7074" s="1">
        <v>28565</v>
      </c>
      <c r="B7074">
        <v>89.51</v>
      </c>
      <c r="C7074">
        <f t="shared" si="240"/>
        <v>4.3761220825852846E-3</v>
      </c>
      <c r="D7074">
        <f t="shared" si="239"/>
        <v>0.42921350746936726</v>
      </c>
    </row>
    <row r="7075" spans="1:4">
      <c r="A7075" s="1">
        <v>28566</v>
      </c>
      <c r="B7075">
        <v>90.2</v>
      </c>
      <c r="C7075">
        <f t="shared" si="240"/>
        <v>7.7086359066025883E-3</v>
      </c>
      <c r="D7075">
        <f t="shared" si="239"/>
        <v>0.781125834509107</v>
      </c>
    </row>
    <row r="7076" spans="1:4">
      <c r="A7076" s="1">
        <v>28569</v>
      </c>
      <c r="B7076">
        <v>90.82</v>
      </c>
      <c r="C7076">
        <f t="shared" si="240"/>
        <v>6.8736141906872543E-3</v>
      </c>
      <c r="D7076">
        <f t="shared" si="239"/>
        <v>0.69294782514611986</v>
      </c>
    </row>
    <row r="7077" spans="1:4">
      <c r="A7077" s="1">
        <v>28570</v>
      </c>
      <c r="B7077">
        <v>89.79</v>
      </c>
      <c r="C7077">
        <f t="shared" si="240"/>
        <v>-1.1341114292006023E-2</v>
      </c>
      <c r="D7077">
        <f t="shared" si="239"/>
        <v>-1.2305213111392499</v>
      </c>
    </row>
    <row r="7078" spans="1:4">
      <c r="A7078" s="1">
        <v>28571</v>
      </c>
      <c r="B7078">
        <v>89.47</v>
      </c>
      <c r="C7078">
        <f t="shared" si="240"/>
        <v>-3.5638712551509899E-3</v>
      </c>
      <c r="D7078">
        <f t="shared" si="239"/>
        <v>-0.4092470900607133</v>
      </c>
    </row>
    <row r="7079" spans="1:4">
      <c r="A7079" s="1">
        <v>28572</v>
      </c>
      <c r="B7079">
        <v>89.36</v>
      </c>
      <c r="C7079">
        <f t="shared" si="240"/>
        <v>-1.2294623896278018E-3</v>
      </c>
      <c r="D7079">
        <f t="shared" si="239"/>
        <v>-0.16273430736559241</v>
      </c>
    </row>
    <row r="7080" spans="1:4">
      <c r="A7080" s="1">
        <v>28576</v>
      </c>
      <c r="B7080">
        <v>88.87</v>
      </c>
      <c r="C7080">
        <f t="shared" si="240"/>
        <v>-5.483437779767176E-3</v>
      </c>
      <c r="D7080">
        <f t="shared" si="239"/>
        <v>-0.61195266256781788</v>
      </c>
    </row>
    <row r="7081" spans="1:4">
      <c r="A7081" s="1">
        <v>28577</v>
      </c>
      <c r="B7081">
        <v>89.5</v>
      </c>
      <c r="C7081">
        <f t="shared" si="240"/>
        <v>7.0890064138628946E-3</v>
      </c>
      <c r="D7081">
        <f t="shared" si="239"/>
        <v>0.71569317069809346</v>
      </c>
    </row>
    <row r="7082" spans="1:4">
      <c r="A7082" s="1">
        <v>28578</v>
      </c>
      <c r="B7082">
        <v>89.64</v>
      </c>
      <c r="C7082">
        <f t="shared" si="240"/>
        <v>1.5642458100558723E-3</v>
      </c>
      <c r="D7082">
        <f t="shared" si="239"/>
        <v>0.13228032889344649</v>
      </c>
    </row>
    <row r="7083" spans="1:4">
      <c r="A7083" s="1">
        <v>28579</v>
      </c>
      <c r="B7083">
        <v>89.41</v>
      </c>
      <c r="C7083">
        <f t="shared" si="240"/>
        <v>-2.565818830879116E-3</v>
      </c>
      <c r="D7083">
        <f t="shared" si="239"/>
        <v>-0.30385309331210597</v>
      </c>
    </row>
    <row r="7084" spans="1:4">
      <c r="A7084" s="1">
        <v>28580</v>
      </c>
      <c r="B7084">
        <v>89.21</v>
      </c>
      <c r="C7084">
        <f t="shared" si="240"/>
        <v>-2.2368862543339992E-3</v>
      </c>
      <c r="D7084">
        <f t="shared" si="239"/>
        <v>-0.26911792503855692</v>
      </c>
    </row>
    <row r="7085" spans="1:4">
      <c r="A7085" s="1">
        <v>28583</v>
      </c>
      <c r="B7085">
        <v>88.46</v>
      </c>
      <c r="C7085">
        <f t="shared" si="240"/>
        <v>-8.4071292456002703E-3</v>
      </c>
      <c r="D7085">
        <f t="shared" si="239"/>
        <v>-0.92069348754877656</v>
      </c>
    </row>
    <row r="7086" spans="1:4">
      <c r="A7086" s="1">
        <v>28584</v>
      </c>
      <c r="B7086">
        <v>88.86</v>
      </c>
      <c r="C7086">
        <f t="shared" si="240"/>
        <v>4.5218177707439036E-3</v>
      </c>
      <c r="D7086">
        <f t="shared" si="239"/>
        <v>0.44459892261454675</v>
      </c>
    </row>
    <row r="7087" spans="1:4">
      <c r="A7087" s="1">
        <v>28585</v>
      </c>
      <c r="B7087">
        <v>89.64</v>
      </c>
      <c r="C7087">
        <f t="shared" si="240"/>
        <v>8.7778528021607155E-3</v>
      </c>
      <c r="D7087">
        <f t="shared" si="239"/>
        <v>0.89403477523556363</v>
      </c>
    </row>
    <row r="7088" spans="1:4">
      <c r="A7088" s="1">
        <v>28586</v>
      </c>
      <c r="B7088">
        <v>89.79</v>
      </c>
      <c r="C7088">
        <f t="shared" si="240"/>
        <v>1.6733601070951102E-3</v>
      </c>
      <c r="D7088">
        <f t="shared" si="239"/>
        <v>0.14380276157103833</v>
      </c>
    </row>
    <row r="7089" spans="1:4">
      <c r="A7089" s="1">
        <v>28587</v>
      </c>
      <c r="B7089">
        <v>90.17</v>
      </c>
      <c r="C7089">
        <f t="shared" si="240"/>
        <v>4.2320971154916516E-3</v>
      </c>
      <c r="D7089">
        <f t="shared" si="239"/>
        <v>0.41400451990074461</v>
      </c>
    </row>
    <row r="7090" spans="1:4">
      <c r="A7090" s="1">
        <v>28590</v>
      </c>
      <c r="B7090">
        <v>90.49</v>
      </c>
      <c r="C7090">
        <f t="shared" si="240"/>
        <v>3.5488521681267958E-3</v>
      </c>
      <c r="D7090">
        <f t="shared" si="239"/>
        <v>0.34185408570525777</v>
      </c>
    </row>
    <row r="7091" spans="1:4">
      <c r="A7091" s="1">
        <v>28591</v>
      </c>
      <c r="B7091">
        <v>90.25</v>
      </c>
      <c r="C7091">
        <f t="shared" si="240"/>
        <v>-2.6522267653883843E-3</v>
      </c>
      <c r="D7091">
        <f t="shared" si="239"/>
        <v>-0.31297774182480065</v>
      </c>
    </row>
    <row r="7092" spans="1:4">
      <c r="A7092" s="1">
        <v>28592</v>
      </c>
      <c r="B7092">
        <v>90.11</v>
      </c>
      <c r="C7092">
        <f t="shared" si="240"/>
        <v>-1.5512465373961281E-3</v>
      </c>
      <c r="D7092">
        <f t="shared" si="239"/>
        <v>-0.19671460399018134</v>
      </c>
    </row>
    <row r="7093" spans="1:4">
      <c r="A7093" s="1">
        <v>28593</v>
      </c>
      <c r="B7093">
        <v>90.98</v>
      </c>
      <c r="C7093">
        <f t="shared" si="240"/>
        <v>9.6548662745533746E-3</v>
      </c>
      <c r="D7093">
        <f t="shared" si="239"/>
        <v>0.98664709980886467</v>
      </c>
    </row>
    <row r="7094" spans="1:4">
      <c r="A7094" s="1">
        <v>28594</v>
      </c>
      <c r="B7094">
        <v>92.92</v>
      </c>
      <c r="C7094">
        <f t="shared" si="240"/>
        <v>2.1323367773136929E-2</v>
      </c>
      <c r="D7094">
        <f t="shared" si="239"/>
        <v>2.2188368917429151</v>
      </c>
    </row>
    <row r="7095" spans="1:4">
      <c r="A7095" s="1">
        <v>28597</v>
      </c>
      <c r="B7095">
        <v>94.45</v>
      </c>
      <c r="C7095">
        <f t="shared" si="240"/>
        <v>1.6465777012483869E-2</v>
      </c>
      <c r="D7095">
        <f t="shared" si="239"/>
        <v>1.705876958593278</v>
      </c>
    </row>
    <row r="7096" spans="1:4">
      <c r="A7096" s="1">
        <v>28598</v>
      </c>
      <c r="B7096">
        <v>93.43</v>
      </c>
      <c r="C7096">
        <f t="shared" si="240"/>
        <v>-1.0799364743250354E-2</v>
      </c>
      <c r="D7096">
        <f t="shared" si="239"/>
        <v>-1.1733127429402703</v>
      </c>
    </row>
    <row r="7097" spans="1:4">
      <c r="A7097" s="1">
        <v>28599</v>
      </c>
      <c r="B7097">
        <v>93.86</v>
      </c>
      <c r="C7097">
        <f t="shared" si="240"/>
        <v>4.6023761104569474E-3</v>
      </c>
      <c r="D7097">
        <f t="shared" si="239"/>
        <v>0.45310585590513403</v>
      </c>
    </row>
    <row r="7098" spans="1:4">
      <c r="A7098" s="1">
        <v>28600</v>
      </c>
      <c r="B7098">
        <v>94.54</v>
      </c>
      <c r="C7098">
        <f t="shared" si="240"/>
        <v>7.2448327295973449E-3</v>
      </c>
      <c r="D7098">
        <f t="shared" si="239"/>
        <v>0.73214837667171317</v>
      </c>
    </row>
    <row r="7099" spans="1:4">
      <c r="A7099" s="1">
        <v>28601</v>
      </c>
      <c r="B7099">
        <v>94.34</v>
      </c>
      <c r="C7099">
        <f t="shared" si="240"/>
        <v>-2.1155066638460212E-3</v>
      </c>
      <c r="D7099">
        <f t="shared" si="239"/>
        <v>-0.25630028154195394</v>
      </c>
    </row>
    <row r="7100" spans="1:4">
      <c r="A7100" s="1">
        <v>28604</v>
      </c>
      <c r="B7100">
        <v>95.77</v>
      </c>
      <c r="C7100">
        <f t="shared" si="240"/>
        <v>1.5157939368242447E-2</v>
      </c>
      <c r="D7100">
        <f t="shared" si="239"/>
        <v>1.5677697479169992</v>
      </c>
    </row>
    <row r="7101" spans="1:4">
      <c r="A7101" s="1">
        <v>28605</v>
      </c>
      <c r="B7101">
        <v>96.64</v>
      </c>
      <c r="C7101">
        <f t="shared" si="240"/>
        <v>9.0842643834186543E-3</v>
      </c>
      <c r="D7101">
        <f t="shared" si="239"/>
        <v>0.92639173406204489</v>
      </c>
    </row>
    <row r="7102" spans="1:4">
      <c r="A7102" s="1">
        <v>28606</v>
      </c>
      <c r="B7102">
        <v>96.82</v>
      </c>
      <c r="C7102">
        <f t="shared" si="240"/>
        <v>1.8625827814568771E-3</v>
      </c>
      <c r="D7102">
        <f t="shared" si="239"/>
        <v>0.16378461166372876</v>
      </c>
    </row>
    <row r="7103" spans="1:4">
      <c r="A7103" s="1">
        <v>28607</v>
      </c>
      <c r="B7103">
        <v>95.86</v>
      </c>
      <c r="C7103">
        <f t="shared" si="240"/>
        <v>-9.9153067548026635E-3</v>
      </c>
      <c r="D7103">
        <f t="shared" si="239"/>
        <v>-1.0799565198661052</v>
      </c>
    </row>
    <row r="7104" spans="1:4">
      <c r="A7104" s="1">
        <v>28608</v>
      </c>
      <c r="B7104">
        <v>96.83</v>
      </c>
      <c r="C7104">
        <f t="shared" si="240"/>
        <v>1.0118923430002074E-2</v>
      </c>
      <c r="D7104">
        <f t="shared" si="239"/>
        <v>1.0356513776835561</v>
      </c>
    </row>
    <row r="7105" spans="1:4">
      <c r="A7105" s="1">
        <v>28611</v>
      </c>
      <c r="B7105">
        <v>97.67</v>
      </c>
      <c r="C7105">
        <f t="shared" si="240"/>
        <v>8.674997418155566E-3</v>
      </c>
      <c r="D7105">
        <f t="shared" si="239"/>
        <v>0.88317328164686359</v>
      </c>
    </row>
    <row r="7106" spans="1:4">
      <c r="A7106" s="1">
        <v>28612</v>
      </c>
      <c r="B7106">
        <v>97.25</v>
      </c>
      <c r="C7106">
        <f t="shared" si="240"/>
        <v>-4.3001945326098263E-3</v>
      </c>
      <c r="D7106">
        <f t="shared" si="239"/>
        <v>-0.48700257787192358</v>
      </c>
    </row>
    <row r="7107" spans="1:4">
      <c r="A7107" s="1">
        <v>28613</v>
      </c>
      <c r="B7107">
        <v>96.26</v>
      </c>
      <c r="C7107">
        <f t="shared" si="240"/>
        <v>-1.0179948586118199E-2</v>
      </c>
      <c r="D7107">
        <f t="shared" ref="D7107:D7170" si="241">(C7107-avg)/sd</f>
        <v>-1.1079026072968965</v>
      </c>
    </row>
    <row r="7108" spans="1:4">
      <c r="A7108" s="1">
        <v>28614</v>
      </c>
      <c r="B7108">
        <v>95.93</v>
      </c>
      <c r="C7108">
        <f t="shared" ref="C7108:C7171" si="242">(B7108-B7107)/B7107</f>
        <v>-3.4282152503635806E-3</v>
      </c>
      <c r="D7108">
        <f t="shared" si="241"/>
        <v>-0.39492186206687935</v>
      </c>
    </row>
    <row r="7109" spans="1:4">
      <c r="A7109" s="1">
        <v>28615</v>
      </c>
      <c r="B7109">
        <v>96.53</v>
      </c>
      <c r="C7109">
        <f t="shared" si="242"/>
        <v>6.254560617116588E-3</v>
      </c>
      <c r="D7109">
        <f t="shared" si="241"/>
        <v>0.62757597820359134</v>
      </c>
    </row>
    <row r="7110" spans="1:4">
      <c r="A7110" s="1">
        <v>28618</v>
      </c>
      <c r="B7110">
        <v>96.19</v>
      </c>
      <c r="C7110">
        <f t="shared" si="242"/>
        <v>-3.52222107116962E-3</v>
      </c>
      <c r="D7110">
        <f t="shared" si="241"/>
        <v>-0.40484884478986605</v>
      </c>
    </row>
    <row r="7111" spans="1:4">
      <c r="A7111" s="1">
        <v>28619</v>
      </c>
      <c r="B7111">
        <v>95.9</v>
      </c>
      <c r="C7111">
        <f t="shared" si="242"/>
        <v>-3.0148664102296711E-3</v>
      </c>
      <c r="D7111">
        <f t="shared" si="241"/>
        <v>-0.35127236505283604</v>
      </c>
    </row>
    <row r="7112" spans="1:4">
      <c r="A7112" s="1">
        <v>28620</v>
      </c>
      <c r="B7112">
        <v>95.92</v>
      </c>
      <c r="C7112">
        <f t="shared" si="242"/>
        <v>2.0855057351403566E-4</v>
      </c>
      <c r="D7112">
        <f t="shared" si="241"/>
        <v>-1.0880627262170327E-2</v>
      </c>
    </row>
    <row r="7113" spans="1:4">
      <c r="A7113" s="1">
        <v>28621</v>
      </c>
      <c r="B7113">
        <v>97.2</v>
      </c>
      <c r="C7113">
        <f t="shared" si="242"/>
        <v>1.33444537114262E-2</v>
      </c>
      <c r="D7113">
        <f t="shared" si="241"/>
        <v>1.3762662789909292</v>
      </c>
    </row>
    <row r="7114" spans="1:4">
      <c r="A7114" s="1">
        <v>28622</v>
      </c>
      <c r="B7114">
        <v>98.07</v>
      </c>
      <c r="C7114">
        <f t="shared" si="242"/>
        <v>8.9506172839505169E-3</v>
      </c>
      <c r="D7114">
        <f t="shared" si="241"/>
        <v>0.91227864578706597</v>
      </c>
    </row>
    <row r="7115" spans="1:4">
      <c r="A7115" s="1">
        <v>28625</v>
      </c>
      <c r="B7115">
        <v>98.76</v>
      </c>
      <c r="C7115">
        <f t="shared" si="242"/>
        <v>7.0357907617009481E-3</v>
      </c>
      <c r="D7115">
        <f t="shared" si="241"/>
        <v>0.71007361591867102</v>
      </c>
    </row>
    <row r="7116" spans="1:4">
      <c r="A7116" s="1">
        <v>28626</v>
      </c>
      <c r="B7116">
        <v>99.35</v>
      </c>
      <c r="C7116">
        <f t="shared" si="242"/>
        <v>5.9740785743214782E-3</v>
      </c>
      <c r="D7116">
        <f t="shared" si="241"/>
        <v>0.59795716982490643</v>
      </c>
    </row>
    <row r="7117" spans="1:4">
      <c r="A7117" s="1">
        <v>28627</v>
      </c>
      <c r="B7117">
        <v>99.6</v>
      </c>
      <c r="C7117">
        <f t="shared" si="242"/>
        <v>2.5163563160543532E-3</v>
      </c>
      <c r="D7117">
        <f t="shared" si="241"/>
        <v>0.23282287468880031</v>
      </c>
    </row>
    <row r="7118" spans="1:4">
      <c r="A7118" s="1">
        <v>28628</v>
      </c>
      <c r="B7118">
        <v>98.62</v>
      </c>
      <c r="C7118">
        <f t="shared" si="242"/>
        <v>-9.8393574297187727E-3</v>
      </c>
      <c r="D7118">
        <f t="shared" si="241"/>
        <v>-1.0719362969536763</v>
      </c>
    </row>
    <row r="7119" spans="1:4">
      <c r="A7119" s="1">
        <v>28629</v>
      </c>
      <c r="B7119">
        <v>98.12</v>
      </c>
      <c r="C7119">
        <f t="shared" si="242"/>
        <v>-5.0699655242344346E-3</v>
      </c>
      <c r="D7119">
        <f t="shared" si="241"/>
        <v>-0.56829013292960884</v>
      </c>
    </row>
    <row r="7120" spans="1:4">
      <c r="A7120" s="1">
        <v>28632</v>
      </c>
      <c r="B7120">
        <v>99.09</v>
      </c>
      <c r="C7120">
        <f t="shared" si="242"/>
        <v>9.8858540562576317E-3</v>
      </c>
      <c r="D7120">
        <f t="shared" si="241"/>
        <v>1.0110393310402723</v>
      </c>
    </row>
    <row r="7121" spans="1:4">
      <c r="A7121" s="1">
        <v>28633</v>
      </c>
      <c r="B7121">
        <v>98.05</v>
      </c>
      <c r="C7121">
        <f t="shared" si="242"/>
        <v>-1.0495509133111376E-2</v>
      </c>
      <c r="D7121">
        <f t="shared" si="241"/>
        <v>-1.1412256937951346</v>
      </c>
    </row>
    <row r="7122" spans="1:4">
      <c r="A7122" s="1">
        <v>28634</v>
      </c>
      <c r="B7122">
        <v>97.08</v>
      </c>
      <c r="C7122">
        <f t="shared" si="242"/>
        <v>-9.8929117797042221E-3</v>
      </c>
      <c r="D7122">
        <f t="shared" si="241"/>
        <v>-1.0775916181081318</v>
      </c>
    </row>
    <row r="7123" spans="1:4">
      <c r="A7123" s="1">
        <v>28635</v>
      </c>
      <c r="B7123">
        <v>96.8</v>
      </c>
      <c r="C7123">
        <f t="shared" si="242"/>
        <v>-2.8842192006592617E-3</v>
      </c>
      <c r="D7123">
        <f t="shared" si="241"/>
        <v>-0.33747606413134507</v>
      </c>
    </row>
    <row r="7124" spans="1:4">
      <c r="A7124" s="1">
        <v>28636</v>
      </c>
      <c r="B7124">
        <v>96.58</v>
      </c>
      <c r="C7124">
        <f t="shared" si="242"/>
        <v>-2.2727272727272609E-3</v>
      </c>
      <c r="D7124">
        <f t="shared" si="241"/>
        <v>-0.27290272439793128</v>
      </c>
    </row>
    <row r="7125" spans="1:4">
      <c r="A7125" s="1">
        <v>28640</v>
      </c>
      <c r="B7125">
        <v>96.86</v>
      </c>
      <c r="C7125">
        <f t="shared" si="242"/>
        <v>2.899150962932296E-3</v>
      </c>
      <c r="D7125">
        <f t="shared" si="241"/>
        <v>0.27324585928088846</v>
      </c>
    </row>
    <row r="7126" spans="1:4">
      <c r="A7126" s="1">
        <v>28641</v>
      </c>
      <c r="B7126">
        <v>97.24</v>
      </c>
      <c r="C7126">
        <f t="shared" si="242"/>
        <v>3.9231881065454827E-3</v>
      </c>
      <c r="D7126">
        <f t="shared" si="241"/>
        <v>0.38138383355930322</v>
      </c>
    </row>
    <row r="7127" spans="1:4">
      <c r="A7127" s="1">
        <v>28642</v>
      </c>
      <c r="B7127">
        <v>97.35</v>
      </c>
      <c r="C7127">
        <f t="shared" si="242"/>
        <v>1.1312217194570078E-3</v>
      </c>
      <c r="D7127">
        <f t="shared" si="241"/>
        <v>8.6553132118246473E-2</v>
      </c>
    </row>
    <row r="7128" spans="1:4">
      <c r="A7128" s="1">
        <v>28643</v>
      </c>
      <c r="B7128">
        <v>98.14</v>
      </c>
      <c r="C7128">
        <f t="shared" si="242"/>
        <v>8.115048793014959E-3</v>
      </c>
      <c r="D7128">
        <f t="shared" si="241"/>
        <v>0.82404289716780099</v>
      </c>
    </row>
    <row r="7129" spans="1:4">
      <c r="A7129" s="1">
        <v>28646</v>
      </c>
      <c r="B7129">
        <v>99.95</v>
      </c>
      <c r="C7129">
        <f t="shared" si="242"/>
        <v>1.8443040554310192E-2</v>
      </c>
      <c r="D7129">
        <f t="shared" si="241"/>
        <v>1.9146753165056041</v>
      </c>
    </row>
    <row r="7130" spans="1:4">
      <c r="A7130" s="1">
        <v>28647</v>
      </c>
      <c r="B7130">
        <v>100.32</v>
      </c>
      <c r="C7130">
        <f t="shared" si="242"/>
        <v>3.7018509254626345E-3</v>
      </c>
      <c r="D7130">
        <f t="shared" si="241"/>
        <v>0.35801070247311784</v>
      </c>
    </row>
    <row r="7131" spans="1:4">
      <c r="A7131" s="1">
        <v>28648</v>
      </c>
      <c r="B7131">
        <v>100.12</v>
      </c>
      <c r="C7131">
        <f t="shared" si="242"/>
        <v>-1.9936204146729329E-3</v>
      </c>
      <c r="D7131">
        <f t="shared" si="241"/>
        <v>-0.24342913506042493</v>
      </c>
    </row>
    <row r="7132" spans="1:4">
      <c r="A7132" s="1">
        <v>28649</v>
      </c>
      <c r="B7132">
        <v>100.21</v>
      </c>
      <c r="C7132">
        <f t="shared" si="242"/>
        <v>8.9892129444655612E-4</v>
      </c>
      <c r="D7132">
        <f t="shared" si="241"/>
        <v>6.202228619989384E-2</v>
      </c>
    </row>
    <row r="7133" spans="1:4">
      <c r="A7133" s="1">
        <v>28650</v>
      </c>
      <c r="B7133">
        <v>99.93</v>
      </c>
      <c r="C7133">
        <f t="shared" si="242"/>
        <v>-2.7941323221234104E-3</v>
      </c>
      <c r="D7133">
        <f t="shared" si="241"/>
        <v>-0.32796292037997699</v>
      </c>
    </row>
    <row r="7134" spans="1:4">
      <c r="A7134" s="1">
        <v>28653</v>
      </c>
      <c r="B7134">
        <v>99.55</v>
      </c>
      <c r="C7134">
        <f t="shared" si="242"/>
        <v>-3.8026618633044094E-3</v>
      </c>
      <c r="D7134">
        <f t="shared" si="241"/>
        <v>-0.43446329711284293</v>
      </c>
    </row>
    <row r="7135" spans="1:4">
      <c r="A7135" s="1">
        <v>28654</v>
      </c>
      <c r="B7135">
        <v>99.57</v>
      </c>
      <c r="C7135">
        <f t="shared" si="242"/>
        <v>2.0090406830734325E-4</v>
      </c>
      <c r="D7135">
        <f t="shared" si="241"/>
        <v>-1.1688095612823638E-2</v>
      </c>
    </row>
    <row r="7136" spans="1:4">
      <c r="A7136" s="1">
        <v>28655</v>
      </c>
      <c r="B7136">
        <v>99.48</v>
      </c>
      <c r="C7136">
        <f t="shared" si="242"/>
        <v>-9.0388671286521251E-4</v>
      </c>
      <c r="D7136">
        <f t="shared" si="241"/>
        <v>-0.12835362656801264</v>
      </c>
    </row>
    <row r="7137" spans="1:4">
      <c r="A7137" s="1">
        <v>28656</v>
      </c>
      <c r="B7137">
        <v>98.34</v>
      </c>
      <c r="C7137">
        <f t="shared" si="242"/>
        <v>-1.1459589867310018E-2</v>
      </c>
      <c r="D7137">
        <f t="shared" si="241"/>
        <v>-1.2430322916195471</v>
      </c>
    </row>
    <row r="7138" spans="1:4">
      <c r="A7138" s="1">
        <v>28657</v>
      </c>
      <c r="B7138">
        <v>97.42</v>
      </c>
      <c r="C7138">
        <f t="shared" si="242"/>
        <v>-9.3552979459019889E-3</v>
      </c>
      <c r="D7138">
        <f t="shared" si="241"/>
        <v>-1.0208197800024372</v>
      </c>
    </row>
    <row r="7139" spans="1:4">
      <c r="A7139" s="1">
        <v>28660</v>
      </c>
      <c r="B7139">
        <v>97.49</v>
      </c>
      <c r="C7139">
        <f t="shared" si="242"/>
        <v>7.1853828782583837E-4</v>
      </c>
      <c r="D7139">
        <f t="shared" si="241"/>
        <v>4.2973902015909143E-2</v>
      </c>
    </row>
    <row r="7140" spans="1:4">
      <c r="A7140" s="1">
        <v>28661</v>
      </c>
      <c r="B7140">
        <v>96.51</v>
      </c>
      <c r="C7140">
        <f t="shared" si="242"/>
        <v>-1.0052313057749408E-2</v>
      </c>
      <c r="D7140">
        <f t="shared" si="241"/>
        <v>-1.0944243388865764</v>
      </c>
    </row>
    <row r="7141" spans="1:4">
      <c r="A7141" s="1">
        <v>28662</v>
      </c>
      <c r="B7141">
        <v>96.01</v>
      </c>
      <c r="C7141">
        <f t="shared" si="242"/>
        <v>-5.1808102787275923E-3</v>
      </c>
      <c r="D7141">
        <f t="shared" si="241"/>
        <v>-0.57999530132612354</v>
      </c>
    </row>
    <row r="7142" spans="1:4">
      <c r="A7142" s="1">
        <v>28663</v>
      </c>
      <c r="B7142">
        <v>96.24</v>
      </c>
      <c r="C7142">
        <f t="shared" si="242"/>
        <v>2.3955837933547523E-3</v>
      </c>
      <c r="D7142">
        <f t="shared" si="241"/>
        <v>0.22006933734429757</v>
      </c>
    </row>
    <row r="7143" spans="1:4">
      <c r="A7143" s="1">
        <v>28664</v>
      </c>
      <c r="B7143">
        <v>95.85</v>
      </c>
      <c r="C7143">
        <f t="shared" si="242"/>
        <v>-4.0523690773067392E-3</v>
      </c>
      <c r="D7143">
        <f t="shared" si="241"/>
        <v>-0.46083229403188286</v>
      </c>
    </row>
    <row r="7144" spans="1:4">
      <c r="A7144" s="1">
        <v>28667</v>
      </c>
      <c r="B7144">
        <v>94.6</v>
      </c>
      <c r="C7144">
        <f t="shared" si="242"/>
        <v>-1.3041210224308817E-2</v>
      </c>
      <c r="D7144">
        <f t="shared" si="241"/>
        <v>-1.4100508636997393</v>
      </c>
    </row>
    <row r="7145" spans="1:4">
      <c r="A7145" s="1">
        <v>28668</v>
      </c>
      <c r="B7145">
        <v>94.98</v>
      </c>
      <c r="C7145">
        <f t="shared" si="242"/>
        <v>4.0169133192390028E-3</v>
      </c>
      <c r="D7145">
        <f t="shared" si="241"/>
        <v>0.39128118416099117</v>
      </c>
    </row>
    <row r="7146" spans="1:4">
      <c r="A7146" s="1">
        <v>28669</v>
      </c>
      <c r="B7146">
        <v>95.4</v>
      </c>
      <c r="C7146">
        <f t="shared" si="242"/>
        <v>4.4219835754895943E-3</v>
      </c>
      <c r="D7146">
        <f t="shared" si="241"/>
        <v>0.43405646553098348</v>
      </c>
    </row>
    <row r="7147" spans="1:4">
      <c r="A7147" s="1">
        <v>28670</v>
      </c>
      <c r="B7147">
        <v>95.57</v>
      </c>
      <c r="C7147">
        <f t="shared" si="242"/>
        <v>1.781970649895047E-3</v>
      </c>
      <c r="D7147">
        <f t="shared" si="241"/>
        <v>0.15527199797219438</v>
      </c>
    </row>
    <row r="7148" spans="1:4">
      <c r="A7148" s="1">
        <v>28671</v>
      </c>
      <c r="B7148">
        <v>95.53</v>
      </c>
      <c r="C7148">
        <f t="shared" si="242"/>
        <v>-4.1854138327918847E-4</v>
      </c>
      <c r="D7148">
        <f t="shared" si="241"/>
        <v>-7.7101324740621813E-2</v>
      </c>
    </row>
    <row r="7149" spans="1:4">
      <c r="A7149" s="1">
        <v>28674</v>
      </c>
      <c r="B7149">
        <v>95.09</v>
      </c>
      <c r="C7149">
        <f t="shared" si="242"/>
        <v>-4.6058829687009081E-3</v>
      </c>
      <c r="D7149">
        <f t="shared" si="241"/>
        <v>-0.51928317281459369</v>
      </c>
    </row>
    <row r="7150" spans="1:4">
      <c r="A7150" s="1">
        <v>28676</v>
      </c>
      <c r="B7150">
        <v>94.27</v>
      </c>
      <c r="C7150">
        <f t="shared" si="242"/>
        <v>-8.6234094016195955E-3</v>
      </c>
      <c r="D7150">
        <f t="shared" si="241"/>
        <v>-0.94353259850722027</v>
      </c>
    </row>
    <row r="7151" spans="1:4">
      <c r="A7151" s="1">
        <v>28677</v>
      </c>
      <c r="B7151">
        <v>94.32</v>
      </c>
      <c r="C7151">
        <f t="shared" si="242"/>
        <v>5.3039142887447929E-4</v>
      </c>
      <c r="D7151">
        <f t="shared" si="241"/>
        <v>2.3105657664870358E-2</v>
      </c>
    </row>
    <row r="7152" spans="1:4">
      <c r="A7152" s="1">
        <v>28678</v>
      </c>
      <c r="B7152">
        <v>94.89</v>
      </c>
      <c r="C7152">
        <f t="shared" si="242"/>
        <v>6.0432569974555499E-3</v>
      </c>
      <c r="D7152">
        <f t="shared" si="241"/>
        <v>0.60526238779297581</v>
      </c>
    </row>
    <row r="7153" spans="1:4">
      <c r="A7153" s="1">
        <v>28681</v>
      </c>
      <c r="B7153">
        <v>95.27</v>
      </c>
      <c r="C7153">
        <f t="shared" si="242"/>
        <v>4.0046369480450572E-3</v>
      </c>
      <c r="D7153">
        <f t="shared" si="241"/>
        <v>0.38998480353585185</v>
      </c>
    </row>
    <row r="7154" spans="1:4">
      <c r="A7154" s="1">
        <v>28682</v>
      </c>
      <c r="B7154">
        <v>95.93</v>
      </c>
      <c r="C7154">
        <f t="shared" si="242"/>
        <v>6.9276792274589154E-3</v>
      </c>
      <c r="D7154">
        <f t="shared" si="241"/>
        <v>0.69865707465160842</v>
      </c>
    </row>
    <row r="7155" spans="1:4">
      <c r="A7155" s="1">
        <v>28683</v>
      </c>
      <c r="B7155">
        <v>96.24</v>
      </c>
      <c r="C7155">
        <f t="shared" si="242"/>
        <v>3.2315229855101432E-3</v>
      </c>
      <c r="D7155">
        <f t="shared" si="241"/>
        <v>0.30834423188636934</v>
      </c>
    </row>
    <row r="7156" spans="1:4">
      <c r="A7156" s="1">
        <v>28684</v>
      </c>
      <c r="B7156">
        <v>96.25</v>
      </c>
      <c r="C7156">
        <f t="shared" si="242"/>
        <v>1.0390689941817453E-4</v>
      </c>
      <c r="D7156">
        <f t="shared" si="241"/>
        <v>-2.1930963676580175E-2</v>
      </c>
    </row>
    <row r="7157" spans="1:4">
      <c r="A7157" s="1">
        <v>28685</v>
      </c>
      <c r="B7157">
        <v>97.58</v>
      </c>
      <c r="C7157">
        <f t="shared" si="242"/>
        <v>1.3818181818181801E-2</v>
      </c>
      <c r="D7157">
        <f t="shared" si="241"/>
        <v>1.4262918060363132</v>
      </c>
    </row>
    <row r="7158" spans="1:4">
      <c r="A7158" s="1">
        <v>28688</v>
      </c>
      <c r="B7158">
        <v>97.78</v>
      </c>
      <c r="C7158">
        <f t="shared" si="242"/>
        <v>2.0496003279360814E-3</v>
      </c>
      <c r="D7158">
        <f t="shared" si="241"/>
        <v>0.18353360100157998</v>
      </c>
    </row>
    <row r="7159" spans="1:4">
      <c r="A7159" s="1">
        <v>28689</v>
      </c>
      <c r="B7159">
        <v>96.87</v>
      </c>
      <c r="C7159">
        <f t="shared" si="242"/>
        <v>-9.3066066680302373E-3</v>
      </c>
      <c r="D7159">
        <f t="shared" si="241"/>
        <v>-1.0156779976101498</v>
      </c>
    </row>
    <row r="7160" spans="1:4">
      <c r="A7160" s="1">
        <v>28690</v>
      </c>
      <c r="B7160">
        <v>98.12</v>
      </c>
      <c r="C7160">
        <f t="shared" si="242"/>
        <v>1.2903891813771032E-2</v>
      </c>
      <c r="D7160">
        <f t="shared" si="241"/>
        <v>1.3297430923528086</v>
      </c>
    </row>
    <row r="7161" spans="1:4">
      <c r="A7161" s="1">
        <v>28691</v>
      </c>
      <c r="B7161">
        <v>98.03</v>
      </c>
      <c r="C7161">
        <f t="shared" si="242"/>
        <v>-9.1724419078682644E-4</v>
      </c>
      <c r="D7161">
        <f t="shared" si="241"/>
        <v>-0.12976417169610768</v>
      </c>
    </row>
    <row r="7162" spans="1:4">
      <c r="A7162" s="1">
        <v>28692</v>
      </c>
      <c r="B7162">
        <v>97.75</v>
      </c>
      <c r="C7162">
        <f t="shared" si="242"/>
        <v>-2.8562684892379999E-3</v>
      </c>
      <c r="D7162">
        <f t="shared" si="241"/>
        <v>-0.33452447850616823</v>
      </c>
    </row>
    <row r="7163" spans="1:4">
      <c r="A7163" s="1">
        <v>28695</v>
      </c>
      <c r="B7163">
        <v>97.72</v>
      </c>
      <c r="C7163">
        <f t="shared" si="242"/>
        <v>-3.069053708440014E-4</v>
      </c>
      <c r="D7163">
        <f t="shared" si="241"/>
        <v>-6.531259977439044E-2</v>
      </c>
    </row>
    <row r="7164" spans="1:4">
      <c r="A7164" s="1">
        <v>28696</v>
      </c>
      <c r="B7164">
        <v>98.44</v>
      </c>
      <c r="C7164">
        <f t="shared" si="242"/>
        <v>7.3679901760130874E-3</v>
      </c>
      <c r="D7164">
        <f t="shared" si="241"/>
        <v>0.74515376114996545</v>
      </c>
    </row>
    <row r="7165" spans="1:4">
      <c r="A7165" s="1">
        <v>28697</v>
      </c>
      <c r="B7165">
        <v>99.08</v>
      </c>
      <c r="C7165">
        <f t="shared" si="242"/>
        <v>6.5014221861032159E-3</v>
      </c>
      <c r="D7165">
        <f t="shared" si="241"/>
        <v>0.65364447597625486</v>
      </c>
    </row>
    <row r="7166" spans="1:4">
      <c r="A7166" s="1">
        <v>28698</v>
      </c>
      <c r="B7166">
        <v>99.54</v>
      </c>
      <c r="C7166">
        <f t="shared" si="242"/>
        <v>4.6427129592249488E-3</v>
      </c>
      <c r="D7166">
        <f t="shared" si="241"/>
        <v>0.45736541342387388</v>
      </c>
    </row>
    <row r="7167" spans="1:4">
      <c r="A7167" s="1">
        <v>28699</v>
      </c>
      <c r="B7167">
        <v>100</v>
      </c>
      <c r="C7167">
        <f t="shared" si="242"/>
        <v>4.6212577858146852E-3</v>
      </c>
      <c r="D7167">
        <f t="shared" si="241"/>
        <v>0.45509975440471784</v>
      </c>
    </row>
    <row r="7168" spans="1:4">
      <c r="A7168" s="1">
        <v>28702</v>
      </c>
      <c r="B7168">
        <v>100.68</v>
      </c>
      <c r="C7168">
        <f t="shared" si="242"/>
        <v>6.8000000000000681E-3</v>
      </c>
      <c r="D7168">
        <f t="shared" si="241"/>
        <v>0.68517419163223225</v>
      </c>
    </row>
    <row r="7169" spans="1:4">
      <c r="A7169" s="1">
        <v>28703</v>
      </c>
      <c r="B7169">
        <v>100.66</v>
      </c>
      <c r="C7169">
        <f t="shared" si="242"/>
        <v>-1.9864918553844091E-4</v>
      </c>
      <c r="D7169">
        <f t="shared" si="241"/>
        <v>-5.3880783404188559E-2</v>
      </c>
    </row>
    <row r="7170" spans="1:4">
      <c r="A7170" s="1">
        <v>28704</v>
      </c>
      <c r="B7170">
        <v>102.92</v>
      </c>
      <c r="C7170">
        <f t="shared" si="242"/>
        <v>2.2451818001192184E-2</v>
      </c>
      <c r="D7170">
        <f t="shared" si="241"/>
        <v>2.3380008522466804</v>
      </c>
    </row>
    <row r="7171" spans="1:4">
      <c r="A7171" s="1">
        <v>28705</v>
      </c>
      <c r="B7171">
        <v>103.51</v>
      </c>
      <c r="C7171">
        <f t="shared" si="242"/>
        <v>5.7326078507579032E-3</v>
      </c>
      <c r="D7171">
        <f t="shared" ref="D7171:D7234" si="243">(C7171-avg)/sd</f>
        <v>0.57245794349647983</v>
      </c>
    </row>
    <row r="7172" spans="1:4">
      <c r="A7172" s="1">
        <v>28706</v>
      </c>
      <c r="B7172">
        <v>103.92</v>
      </c>
      <c r="C7172">
        <f t="shared" ref="C7172:C7235" si="244">(B7172-B7171)/B7171</f>
        <v>3.9609699545937261E-3</v>
      </c>
      <c r="D7172">
        <f t="shared" si="243"/>
        <v>0.38537358387052356</v>
      </c>
    </row>
    <row r="7173" spans="1:4">
      <c r="A7173" s="1">
        <v>28709</v>
      </c>
      <c r="B7173">
        <v>103.55</v>
      </c>
      <c r="C7173">
        <f t="shared" si="244"/>
        <v>-3.5604311008468489E-3</v>
      </c>
      <c r="D7173">
        <f t="shared" si="243"/>
        <v>-0.40888381093556125</v>
      </c>
    </row>
    <row r="7174" spans="1:4">
      <c r="A7174" s="1">
        <v>28710</v>
      </c>
      <c r="B7174">
        <v>104.01</v>
      </c>
      <c r="C7174">
        <f t="shared" si="244"/>
        <v>4.4422984065669528E-3</v>
      </c>
      <c r="D7174">
        <f t="shared" si="243"/>
        <v>0.43620170478740594</v>
      </c>
    </row>
    <row r="7175" spans="1:4">
      <c r="A7175" s="1">
        <v>28711</v>
      </c>
      <c r="B7175">
        <v>104.5</v>
      </c>
      <c r="C7175">
        <f t="shared" si="244"/>
        <v>4.7110854725506673E-3</v>
      </c>
      <c r="D7175">
        <f t="shared" si="243"/>
        <v>0.46458552759012328</v>
      </c>
    </row>
    <row r="7176" spans="1:4">
      <c r="A7176" s="1">
        <v>28712</v>
      </c>
      <c r="B7176">
        <v>103.66</v>
      </c>
      <c r="C7176">
        <f t="shared" si="244"/>
        <v>-8.0382775119617559E-3</v>
      </c>
      <c r="D7176">
        <f t="shared" si="243"/>
        <v>-0.88174286985534556</v>
      </c>
    </row>
    <row r="7177" spans="1:4">
      <c r="A7177" s="1">
        <v>28713</v>
      </c>
      <c r="B7177">
        <v>103.96</v>
      </c>
      <c r="C7177">
        <f t="shared" si="244"/>
        <v>2.8940767895041207E-3</v>
      </c>
      <c r="D7177">
        <f t="shared" si="243"/>
        <v>0.27271002829166852</v>
      </c>
    </row>
    <row r="7178" spans="1:4">
      <c r="A7178" s="1">
        <v>28716</v>
      </c>
      <c r="B7178">
        <v>103.97</v>
      </c>
      <c r="C7178">
        <f t="shared" si="244"/>
        <v>9.619084263183067E-5</v>
      </c>
      <c r="D7178">
        <f t="shared" si="243"/>
        <v>-2.2745776650402949E-2</v>
      </c>
    </row>
    <row r="7179" spans="1:4">
      <c r="A7179" s="1">
        <v>28717</v>
      </c>
      <c r="B7179">
        <v>103.85</v>
      </c>
      <c r="C7179">
        <f t="shared" si="244"/>
        <v>-1.1541790901221944E-3</v>
      </c>
      <c r="D7179">
        <f t="shared" si="243"/>
        <v>-0.15478441652783712</v>
      </c>
    </row>
    <row r="7180" spans="1:4">
      <c r="A7180" s="1">
        <v>28718</v>
      </c>
      <c r="B7180">
        <v>104.65</v>
      </c>
      <c r="C7180">
        <f t="shared" si="244"/>
        <v>7.7034183919115207E-3</v>
      </c>
      <c r="D7180">
        <f t="shared" si="243"/>
        <v>0.78057486673124965</v>
      </c>
    </row>
    <row r="7181" spans="1:4">
      <c r="A7181" s="1">
        <v>28719</v>
      </c>
      <c r="B7181">
        <v>105.08</v>
      </c>
      <c r="C7181">
        <f t="shared" si="244"/>
        <v>4.1089345437170816E-3</v>
      </c>
      <c r="D7181">
        <f t="shared" si="243"/>
        <v>0.40099859418634232</v>
      </c>
    </row>
    <row r="7182" spans="1:4">
      <c r="A7182" s="1">
        <v>28720</v>
      </c>
      <c r="B7182">
        <v>104.73</v>
      </c>
      <c r="C7182">
        <f t="shared" si="244"/>
        <v>-3.3307955843166572E-3</v>
      </c>
      <c r="D7182">
        <f t="shared" si="243"/>
        <v>-0.3846343784468777</v>
      </c>
    </row>
    <row r="7183" spans="1:4">
      <c r="A7183" s="1">
        <v>28723</v>
      </c>
      <c r="B7183">
        <v>103.89</v>
      </c>
      <c r="C7183">
        <f t="shared" si="244"/>
        <v>-8.0206244629046439E-3</v>
      </c>
      <c r="D7183">
        <f t="shared" si="243"/>
        <v>-0.87987871387547745</v>
      </c>
    </row>
    <row r="7184" spans="1:4">
      <c r="A7184" s="1">
        <v>28724</v>
      </c>
      <c r="B7184">
        <v>104.31</v>
      </c>
      <c r="C7184">
        <f t="shared" si="244"/>
        <v>4.042737510828778E-3</v>
      </c>
      <c r="D7184">
        <f t="shared" si="243"/>
        <v>0.39400821001480224</v>
      </c>
    </row>
    <row r="7185" spans="1:4">
      <c r="A7185" s="1">
        <v>28725</v>
      </c>
      <c r="B7185">
        <v>104.91</v>
      </c>
      <c r="C7185">
        <f t="shared" si="244"/>
        <v>5.7520851308598825E-3</v>
      </c>
      <c r="D7185">
        <f t="shared" si="243"/>
        <v>0.57451473765459971</v>
      </c>
    </row>
    <row r="7186" spans="1:4">
      <c r="A7186" s="1">
        <v>28726</v>
      </c>
      <c r="B7186">
        <v>105.08</v>
      </c>
      <c r="C7186">
        <f t="shared" si="244"/>
        <v>1.6204365646744993E-3</v>
      </c>
      <c r="D7186">
        <f t="shared" si="243"/>
        <v>0.13821405348100796</v>
      </c>
    </row>
    <row r="7187" spans="1:4">
      <c r="A7187" s="1">
        <v>28727</v>
      </c>
      <c r="B7187">
        <v>104.9</v>
      </c>
      <c r="C7187">
        <f t="shared" si="244"/>
        <v>-1.7129805862199526E-3</v>
      </c>
      <c r="D7187">
        <f t="shared" si="243"/>
        <v>-0.21379366456990287</v>
      </c>
    </row>
    <row r="7188" spans="1:4">
      <c r="A7188" s="1">
        <v>28730</v>
      </c>
      <c r="B7188">
        <v>103.96</v>
      </c>
      <c r="C7188">
        <f t="shared" si="244"/>
        <v>-8.9609151572927724E-3</v>
      </c>
      <c r="D7188">
        <f t="shared" si="243"/>
        <v>-0.97917309158252719</v>
      </c>
    </row>
    <row r="7189" spans="1:4">
      <c r="A7189" s="1">
        <v>28731</v>
      </c>
      <c r="B7189">
        <v>103.39</v>
      </c>
      <c r="C7189">
        <f t="shared" si="244"/>
        <v>-5.4828780300114777E-3</v>
      </c>
      <c r="D7189">
        <f t="shared" si="243"/>
        <v>-0.61189355318388439</v>
      </c>
    </row>
    <row r="7190" spans="1:4">
      <c r="A7190" s="1">
        <v>28732</v>
      </c>
      <c r="B7190">
        <v>103.5</v>
      </c>
      <c r="C7190">
        <f t="shared" si="244"/>
        <v>1.0639326820775649E-3</v>
      </c>
      <c r="D7190">
        <f t="shared" si="243"/>
        <v>7.9447432643632437E-2</v>
      </c>
    </row>
    <row r="7191" spans="1:4">
      <c r="A7191" s="1">
        <v>28733</v>
      </c>
      <c r="B7191">
        <v>103.29</v>
      </c>
      <c r="C7191">
        <f t="shared" si="244"/>
        <v>-2.0289855072463162E-3</v>
      </c>
      <c r="D7191">
        <f t="shared" si="243"/>
        <v>-0.24716367681499518</v>
      </c>
    </row>
    <row r="7192" spans="1:4">
      <c r="A7192" s="1">
        <v>28734</v>
      </c>
      <c r="B7192">
        <v>103.68</v>
      </c>
      <c r="C7192">
        <f t="shared" si="244"/>
        <v>3.7757769387162412E-3</v>
      </c>
      <c r="D7192">
        <f t="shared" si="243"/>
        <v>0.36581726434402584</v>
      </c>
    </row>
    <row r="7193" spans="1:4">
      <c r="A7193" s="1">
        <v>28738</v>
      </c>
      <c r="B7193">
        <v>104.49</v>
      </c>
      <c r="C7193">
        <f t="shared" si="244"/>
        <v>7.8124999999998846E-3</v>
      </c>
      <c r="D7193">
        <f t="shared" si="243"/>
        <v>0.79209384746674072</v>
      </c>
    </row>
    <row r="7194" spans="1:4">
      <c r="A7194" s="1">
        <v>28739</v>
      </c>
      <c r="B7194">
        <v>105.38</v>
      </c>
      <c r="C7194">
        <f t="shared" si="244"/>
        <v>8.5175614891377215E-3</v>
      </c>
      <c r="D7194">
        <f t="shared" si="243"/>
        <v>0.86654810105765168</v>
      </c>
    </row>
    <row r="7195" spans="1:4">
      <c r="A7195" s="1">
        <v>28740</v>
      </c>
      <c r="B7195">
        <v>105.42</v>
      </c>
      <c r="C7195">
        <f t="shared" si="244"/>
        <v>3.7957866767893578E-4</v>
      </c>
      <c r="D7195">
        <f t="shared" si="243"/>
        <v>7.1798813463692717E-3</v>
      </c>
    </row>
    <row r="7196" spans="1:4">
      <c r="A7196" s="1">
        <v>28741</v>
      </c>
      <c r="B7196">
        <v>106.79</v>
      </c>
      <c r="C7196">
        <f t="shared" si="244"/>
        <v>1.299563650161264E-2</v>
      </c>
      <c r="D7196">
        <f t="shared" si="243"/>
        <v>1.3394313002033478</v>
      </c>
    </row>
    <row r="7197" spans="1:4">
      <c r="A7197" s="1">
        <v>28744</v>
      </c>
      <c r="B7197">
        <v>106.98</v>
      </c>
      <c r="C7197">
        <f t="shared" si="244"/>
        <v>1.779192808315364E-3</v>
      </c>
      <c r="D7197">
        <f t="shared" si="243"/>
        <v>0.1549786588456141</v>
      </c>
    </row>
    <row r="7198" spans="1:4">
      <c r="A7198" s="1">
        <v>28745</v>
      </c>
      <c r="B7198">
        <v>106.99</v>
      </c>
      <c r="C7198">
        <f t="shared" si="244"/>
        <v>9.3475415965516028E-5</v>
      </c>
      <c r="D7198">
        <f t="shared" si="243"/>
        <v>-2.3032524783347403E-2</v>
      </c>
    </row>
    <row r="7199" spans="1:4">
      <c r="A7199" s="1">
        <v>28746</v>
      </c>
      <c r="B7199">
        <v>106.34</v>
      </c>
      <c r="C7199">
        <f t="shared" si="244"/>
        <v>-6.0753341433778061E-3</v>
      </c>
      <c r="D7199">
        <f t="shared" si="243"/>
        <v>-0.67445671736975088</v>
      </c>
    </row>
    <row r="7200" spans="1:4">
      <c r="A7200" s="1">
        <v>28747</v>
      </c>
      <c r="B7200">
        <v>105.1</v>
      </c>
      <c r="C7200">
        <f t="shared" si="244"/>
        <v>-1.166071092721468E-2</v>
      </c>
      <c r="D7200">
        <f t="shared" si="243"/>
        <v>-1.2642706071811094</v>
      </c>
    </row>
    <row r="7201" spans="1:4">
      <c r="A7201" s="1">
        <v>28748</v>
      </c>
      <c r="B7201">
        <v>104.12</v>
      </c>
      <c r="C7201">
        <f t="shared" si="244"/>
        <v>-9.324452901998001E-3</v>
      </c>
      <c r="D7201">
        <f t="shared" si="243"/>
        <v>-1.0175625538509159</v>
      </c>
    </row>
    <row r="7202" spans="1:4">
      <c r="A7202" s="1">
        <v>28751</v>
      </c>
      <c r="B7202">
        <v>103.21</v>
      </c>
      <c r="C7202">
        <f t="shared" si="244"/>
        <v>-8.739915482136101E-3</v>
      </c>
      <c r="D7202">
        <f t="shared" si="243"/>
        <v>-0.95583560100742226</v>
      </c>
    </row>
    <row r="7203" spans="1:4">
      <c r="A7203" s="1">
        <v>28752</v>
      </c>
      <c r="B7203">
        <v>102.53</v>
      </c>
      <c r="C7203">
        <f t="shared" si="244"/>
        <v>-6.5885088654199465E-3</v>
      </c>
      <c r="D7203">
        <f t="shared" si="243"/>
        <v>-0.72864779358083742</v>
      </c>
    </row>
    <row r="7204" spans="1:4">
      <c r="A7204" s="1">
        <v>28753</v>
      </c>
      <c r="B7204">
        <v>101.73</v>
      </c>
      <c r="C7204">
        <f t="shared" si="244"/>
        <v>-7.8025943626255454E-3</v>
      </c>
      <c r="D7204">
        <f t="shared" si="243"/>
        <v>-0.8568548093980366</v>
      </c>
    </row>
    <row r="7205" spans="1:4">
      <c r="A7205" s="1">
        <v>28754</v>
      </c>
      <c r="B7205">
        <v>101.9</v>
      </c>
      <c r="C7205">
        <f t="shared" si="244"/>
        <v>1.6710901405681874E-3</v>
      </c>
      <c r="D7205">
        <f t="shared" si="243"/>
        <v>0.1435630538773944</v>
      </c>
    </row>
    <row r="7206" spans="1:4">
      <c r="A7206" s="1">
        <v>28755</v>
      </c>
      <c r="B7206">
        <v>101.84</v>
      </c>
      <c r="C7206">
        <f t="shared" si="244"/>
        <v>-5.8881256133466405E-4</v>
      </c>
      <c r="D7206">
        <f t="shared" si="243"/>
        <v>-9.5081903265294476E-2</v>
      </c>
    </row>
    <row r="7207" spans="1:4">
      <c r="A7207" s="1">
        <v>28758</v>
      </c>
      <c r="B7207">
        <v>101.86</v>
      </c>
      <c r="C7207">
        <f t="shared" si="244"/>
        <v>1.9638648860954459E-4</v>
      </c>
      <c r="D7207">
        <f t="shared" si="243"/>
        <v>-1.2165150493311227E-2</v>
      </c>
    </row>
    <row r="7208" spans="1:4">
      <c r="A7208" s="1">
        <v>28759</v>
      </c>
      <c r="B7208">
        <v>102.62</v>
      </c>
      <c r="C7208">
        <f t="shared" si="244"/>
        <v>7.4612212841155025E-3</v>
      </c>
      <c r="D7208">
        <f t="shared" si="243"/>
        <v>0.75499893447478716</v>
      </c>
    </row>
    <row r="7209" spans="1:4">
      <c r="A7209" s="1">
        <v>28760</v>
      </c>
      <c r="B7209">
        <v>101.66</v>
      </c>
      <c r="C7209">
        <f t="shared" si="244"/>
        <v>-9.3549015786397183E-3</v>
      </c>
      <c r="D7209">
        <f t="shared" si="243"/>
        <v>-1.0207779237542731</v>
      </c>
    </row>
    <row r="7210" spans="1:4">
      <c r="A7210" s="1">
        <v>28761</v>
      </c>
      <c r="B7210">
        <v>101.96</v>
      </c>
      <c r="C7210">
        <f t="shared" si="244"/>
        <v>2.9510131811921816E-3</v>
      </c>
      <c r="D7210">
        <f t="shared" si="243"/>
        <v>0.2787224919003079</v>
      </c>
    </row>
    <row r="7211" spans="1:4">
      <c r="A7211" s="1">
        <v>28762</v>
      </c>
      <c r="B7211">
        <v>102.54</v>
      </c>
      <c r="C7211">
        <f t="shared" si="244"/>
        <v>5.6885052961947093E-3</v>
      </c>
      <c r="D7211">
        <f t="shared" si="243"/>
        <v>0.56780072872579324</v>
      </c>
    </row>
    <row r="7212" spans="1:4">
      <c r="A7212" s="1">
        <v>28765</v>
      </c>
      <c r="B7212">
        <v>102.96</v>
      </c>
      <c r="C7212">
        <f t="shared" si="244"/>
        <v>4.0959625511994098E-3</v>
      </c>
      <c r="D7212">
        <f t="shared" si="243"/>
        <v>0.39962875618587068</v>
      </c>
    </row>
    <row r="7213" spans="1:4">
      <c r="A7213" s="1">
        <v>28766</v>
      </c>
      <c r="B7213">
        <v>102.6</v>
      </c>
      <c r="C7213">
        <f t="shared" si="244"/>
        <v>-3.4965034965034913E-3</v>
      </c>
      <c r="D7213">
        <f t="shared" si="243"/>
        <v>-0.40213307764695122</v>
      </c>
    </row>
    <row r="7214" spans="1:4">
      <c r="A7214" s="1">
        <v>28767</v>
      </c>
      <c r="B7214">
        <v>103.06</v>
      </c>
      <c r="C7214">
        <f t="shared" si="244"/>
        <v>4.4834307992203505E-3</v>
      </c>
      <c r="D7214">
        <f t="shared" si="243"/>
        <v>0.44054527147002515</v>
      </c>
    </row>
    <row r="7215" spans="1:4">
      <c r="A7215" s="1">
        <v>28768</v>
      </c>
      <c r="B7215">
        <v>103.27</v>
      </c>
      <c r="C7215">
        <f t="shared" si="244"/>
        <v>2.0376479720550528E-3</v>
      </c>
      <c r="D7215">
        <f t="shared" si="243"/>
        <v>0.18227143628334652</v>
      </c>
    </row>
    <row r="7216" spans="1:4">
      <c r="A7216" s="1">
        <v>28769</v>
      </c>
      <c r="B7216">
        <v>103.52</v>
      </c>
      <c r="C7216">
        <f t="shared" si="244"/>
        <v>2.4208385784835868E-3</v>
      </c>
      <c r="D7216">
        <f t="shared" si="243"/>
        <v>0.22273623406938392</v>
      </c>
    </row>
    <row r="7217" spans="1:4">
      <c r="A7217" s="1">
        <v>28772</v>
      </c>
      <c r="B7217">
        <v>104.59</v>
      </c>
      <c r="C7217">
        <f t="shared" si="244"/>
        <v>1.0336166924265915E-2</v>
      </c>
      <c r="D7217">
        <f t="shared" si="243"/>
        <v>1.0585922168331658</v>
      </c>
    </row>
    <row r="7218" spans="1:4">
      <c r="A7218" s="1">
        <v>28773</v>
      </c>
      <c r="B7218">
        <v>104.46</v>
      </c>
      <c r="C7218">
        <f t="shared" si="244"/>
        <v>-1.2429486566594289E-3</v>
      </c>
      <c r="D7218">
        <f t="shared" si="243"/>
        <v>-0.16415845257992734</v>
      </c>
    </row>
    <row r="7219" spans="1:4">
      <c r="A7219" s="1">
        <v>28774</v>
      </c>
      <c r="B7219">
        <v>105.39</v>
      </c>
      <c r="C7219">
        <f t="shared" si="244"/>
        <v>8.9029293509477973E-3</v>
      </c>
      <c r="D7219">
        <f t="shared" si="243"/>
        <v>0.90724281627189485</v>
      </c>
    </row>
    <row r="7220" spans="1:4">
      <c r="A7220" s="1">
        <v>28775</v>
      </c>
      <c r="B7220">
        <v>104.88</v>
      </c>
      <c r="C7220">
        <f t="shared" si="244"/>
        <v>-4.8391688015941275E-3</v>
      </c>
      <c r="D7220">
        <f t="shared" si="243"/>
        <v>-0.54391807747041021</v>
      </c>
    </row>
    <row r="7221" spans="1:4">
      <c r="A7221" s="1">
        <v>28776</v>
      </c>
      <c r="B7221">
        <v>104.66</v>
      </c>
      <c r="C7221">
        <f t="shared" si="244"/>
        <v>-2.0976353928298902E-3</v>
      </c>
      <c r="D7221">
        <f t="shared" si="243"/>
        <v>-0.25441308139739066</v>
      </c>
    </row>
    <row r="7222" spans="1:4">
      <c r="A7222" s="1">
        <v>28779</v>
      </c>
      <c r="B7222">
        <v>102.61</v>
      </c>
      <c r="C7222">
        <f t="shared" si="244"/>
        <v>-1.9587234855723269E-2</v>
      </c>
      <c r="D7222">
        <f t="shared" si="243"/>
        <v>-2.1013088396752213</v>
      </c>
    </row>
    <row r="7223" spans="1:4">
      <c r="A7223" s="1">
        <v>28780</v>
      </c>
      <c r="B7223">
        <v>101.26</v>
      </c>
      <c r="C7223">
        <f t="shared" si="244"/>
        <v>-1.315661241594381E-2</v>
      </c>
      <c r="D7223">
        <f t="shared" si="243"/>
        <v>-1.4222372959092837</v>
      </c>
    </row>
    <row r="7224" spans="1:4">
      <c r="A7224" s="1">
        <v>28781</v>
      </c>
      <c r="B7224">
        <v>100.49</v>
      </c>
      <c r="C7224">
        <f t="shared" si="244"/>
        <v>-7.6041872407664451E-3</v>
      </c>
      <c r="D7224">
        <f t="shared" si="243"/>
        <v>-0.83590308477157316</v>
      </c>
    </row>
    <row r="7225" spans="1:4">
      <c r="A7225" s="1">
        <v>28782</v>
      </c>
      <c r="B7225">
        <v>99.33</v>
      </c>
      <c r="C7225">
        <f t="shared" si="244"/>
        <v>-1.1543437157926129E-2</v>
      </c>
      <c r="D7225">
        <f t="shared" si="243"/>
        <v>-1.2518865370075296</v>
      </c>
    </row>
    <row r="7226" spans="1:4">
      <c r="A7226" s="1">
        <v>28783</v>
      </c>
      <c r="B7226">
        <v>97.95</v>
      </c>
      <c r="C7226">
        <f t="shared" si="244"/>
        <v>-1.3893083660525475E-2</v>
      </c>
      <c r="D7226">
        <f t="shared" si="243"/>
        <v>-1.5000084089983683</v>
      </c>
    </row>
    <row r="7227" spans="1:4">
      <c r="A7227" s="1">
        <v>28786</v>
      </c>
      <c r="B7227">
        <v>98.18</v>
      </c>
      <c r="C7227">
        <f t="shared" si="244"/>
        <v>2.3481368044921285E-3</v>
      </c>
      <c r="D7227">
        <f t="shared" si="243"/>
        <v>0.21505895144841963</v>
      </c>
    </row>
    <row r="7228" spans="1:4">
      <c r="A7228" s="1">
        <v>28787</v>
      </c>
      <c r="B7228">
        <v>97.49</v>
      </c>
      <c r="C7228">
        <f t="shared" si="244"/>
        <v>-7.0279079242209401E-3</v>
      </c>
      <c r="D7228">
        <f t="shared" si="243"/>
        <v>-0.77504818483122528</v>
      </c>
    </row>
    <row r="7229" spans="1:4">
      <c r="A7229" s="1">
        <v>28788</v>
      </c>
      <c r="B7229">
        <v>97.31</v>
      </c>
      <c r="C7229">
        <f t="shared" si="244"/>
        <v>-1.8463432146886103E-3</v>
      </c>
      <c r="D7229">
        <f t="shared" si="243"/>
        <v>-0.22787671280403315</v>
      </c>
    </row>
    <row r="7230" spans="1:4">
      <c r="A7230" s="1">
        <v>28789</v>
      </c>
      <c r="B7230">
        <v>96.03</v>
      </c>
      <c r="C7230">
        <f t="shared" si="244"/>
        <v>-1.3153838248895294E-2</v>
      </c>
      <c r="D7230">
        <f t="shared" si="243"/>
        <v>-1.4219443448119458</v>
      </c>
    </row>
    <row r="7231" spans="1:4">
      <c r="A7231" s="1">
        <v>28790</v>
      </c>
      <c r="B7231">
        <v>94.59</v>
      </c>
      <c r="C7231">
        <f t="shared" si="244"/>
        <v>-1.4995313964386105E-2</v>
      </c>
      <c r="D7231">
        <f t="shared" si="243"/>
        <v>-1.6164035544197664</v>
      </c>
    </row>
    <row r="7232" spans="1:4">
      <c r="A7232" s="1">
        <v>28793</v>
      </c>
      <c r="B7232">
        <v>95.06</v>
      </c>
      <c r="C7232">
        <f t="shared" si="244"/>
        <v>4.9688127709060035E-3</v>
      </c>
      <c r="D7232">
        <f t="shared" si="243"/>
        <v>0.49180144269068149</v>
      </c>
    </row>
    <row r="7233" spans="1:4">
      <c r="A7233" s="1">
        <v>28794</v>
      </c>
      <c r="B7233">
        <v>93.15</v>
      </c>
      <c r="C7233">
        <f t="shared" si="244"/>
        <v>-2.009257311171888E-2</v>
      </c>
      <c r="D7233">
        <f t="shared" si="243"/>
        <v>-2.1546723877355385</v>
      </c>
    </row>
    <row r="7234" spans="1:4">
      <c r="A7234" s="1">
        <v>28795</v>
      </c>
      <c r="B7234">
        <v>96.85</v>
      </c>
      <c r="C7234">
        <f t="shared" si="244"/>
        <v>3.9720880300590324E-2</v>
      </c>
      <c r="D7234">
        <f t="shared" si="243"/>
        <v>4.1616079610236385</v>
      </c>
    </row>
    <row r="7235" spans="1:4">
      <c r="A7235" s="1">
        <v>28796</v>
      </c>
      <c r="B7235">
        <v>95.61</v>
      </c>
      <c r="C7235">
        <f t="shared" si="244"/>
        <v>-1.2803304078471812E-2</v>
      </c>
      <c r="D7235">
        <f t="shared" ref="D7235:D7298" si="245">(C7235-avg)/sd</f>
        <v>-1.3849280555675798</v>
      </c>
    </row>
    <row r="7236" spans="1:4">
      <c r="A7236" s="1">
        <v>28797</v>
      </c>
      <c r="B7236">
        <v>96.18</v>
      </c>
      <c r="C7236">
        <f t="shared" ref="C7236:C7299" si="246">(B7236-B7235)/B7235</f>
        <v>5.9617194854095536E-3</v>
      </c>
      <c r="D7236">
        <f t="shared" si="245"/>
        <v>0.59665205423686563</v>
      </c>
    </row>
    <row r="7237" spans="1:4">
      <c r="A7237" s="1">
        <v>28800</v>
      </c>
      <c r="B7237">
        <v>95.19</v>
      </c>
      <c r="C7237">
        <f t="shared" si="246"/>
        <v>-1.0293200249532222E-2</v>
      </c>
      <c r="D7237">
        <f t="shared" si="245"/>
        <v>-1.1198619444573066</v>
      </c>
    </row>
    <row r="7238" spans="1:4">
      <c r="A7238" s="1">
        <v>28801</v>
      </c>
      <c r="B7238">
        <v>93.85</v>
      </c>
      <c r="C7238">
        <f t="shared" si="246"/>
        <v>-1.4077108940014743E-2</v>
      </c>
      <c r="D7238">
        <f t="shared" si="245"/>
        <v>-1.5194414159592031</v>
      </c>
    </row>
    <row r="7239" spans="1:4">
      <c r="A7239" s="1">
        <v>28802</v>
      </c>
      <c r="B7239">
        <v>94.45</v>
      </c>
      <c r="C7239">
        <f t="shared" si="246"/>
        <v>6.3931806073522493E-3</v>
      </c>
      <c r="D7239">
        <f t="shared" si="245"/>
        <v>0.64221420205325308</v>
      </c>
    </row>
    <row r="7240" spans="1:4">
      <c r="A7240" s="1">
        <v>28803</v>
      </c>
      <c r="B7240">
        <v>94.42</v>
      </c>
      <c r="C7240">
        <f t="shared" si="246"/>
        <v>-3.1762837480149429E-4</v>
      </c>
      <c r="D7240">
        <f t="shared" si="245"/>
        <v>-6.644494534737555E-2</v>
      </c>
    </row>
    <row r="7241" spans="1:4">
      <c r="A7241" s="1">
        <v>28804</v>
      </c>
      <c r="B7241">
        <v>94.77</v>
      </c>
      <c r="C7241">
        <f t="shared" si="246"/>
        <v>3.7068417708112085E-3</v>
      </c>
      <c r="D7241">
        <f t="shared" si="245"/>
        <v>0.35853773404545647</v>
      </c>
    </row>
    <row r="7242" spans="1:4">
      <c r="A7242" s="1">
        <v>28807</v>
      </c>
      <c r="B7242">
        <v>93.13</v>
      </c>
      <c r="C7242">
        <f t="shared" si="246"/>
        <v>-1.7305054342091387E-2</v>
      </c>
      <c r="D7242">
        <f t="shared" si="245"/>
        <v>-1.8603113531865429</v>
      </c>
    </row>
    <row r="7243" spans="1:4">
      <c r="A7243" s="1">
        <v>28808</v>
      </c>
      <c r="B7243">
        <v>92.49</v>
      </c>
      <c r="C7243">
        <f t="shared" si="246"/>
        <v>-6.8721142488993945E-3</v>
      </c>
      <c r="D7243">
        <f t="shared" si="245"/>
        <v>-0.75859642567411334</v>
      </c>
    </row>
    <row r="7244" spans="1:4">
      <c r="A7244" s="1">
        <v>28809</v>
      </c>
      <c r="B7244">
        <v>92.71</v>
      </c>
      <c r="C7244">
        <f t="shared" si="246"/>
        <v>2.3786355281651948E-3</v>
      </c>
      <c r="D7244">
        <f t="shared" si="245"/>
        <v>0.21827960630127555</v>
      </c>
    </row>
    <row r="7245" spans="1:4">
      <c r="A7245" s="1">
        <v>28810</v>
      </c>
      <c r="B7245">
        <v>93.71</v>
      </c>
      <c r="C7245">
        <f t="shared" si="246"/>
        <v>1.07863229425089E-2</v>
      </c>
      <c r="D7245">
        <f t="shared" si="245"/>
        <v>1.10612853934416</v>
      </c>
    </row>
    <row r="7246" spans="1:4">
      <c r="A7246" s="1">
        <v>28811</v>
      </c>
      <c r="B7246">
        <v>94.42</v>
      </c>
      <c r="C7246">
        <f t="shared" si="246"/>
        <v>7.5765660014940565E-3</v>
      </c>
      <c r="D7246">
        <f t="shared" si="245"/>
        <v>0.767179297422388</v>
      </c>
    </row>
    <row r="7247" spans="1:4">
      <c r="A7247" s="1">
        <v>28814</v>
      </c>
      <c r="B7247">
        <v>95.25</v>
      </c>
      <c r="C7247">
        <f t="shared" si="246"/>
        <v>8.7905104850667052E-3</v>
      </c>
      <c r="D7247">
        <f t="shared" si="245"/>
        <v>0.89537142224788069</v>
      </c>
    </row>
    <row r="7248" spans="1:4">
      <c r="A7248" s="1">
        <v>28815</v>
      </c>
      <c r="B7248">
        <v>95.01</v>
      </c>
      <c r="C7248">
        <f t="shared" si="246"/>
        <v>-2.5196850393700248E-3</v>
      </c>
      <c r="D7248">
        <f t="shared" si="245"/>
        <v>-0.2989813806103836</v>
      </c>
    </row>
    <row r="7249" spans="1:4">
      <c r="A7249" s="1">
        <v>28816</v>
      </c>
      <c r="B7249">
        <v>95.48</v>
      </c>
      <c r="C7249">
        <f t="shared" si="246"/>
        <v>4.9468477002420673E-3</v>
      </c>
      <c r="D7249">
        <f t="shared" si="245"/>
        <v>0.48948193869486012</v>
      </c>
    </row>
    <row r="7250" spans="1:4">
      <c r="A7250" s="1">
        <v>28818</v>
      </c>
      <c r="B7250">
        <v>95.79</v>
      </c>
      <c r="C7250">
        <f t="shared" si="246"/>
        <v>3.2467532467532704E-3</v>
      </c>
      <c r="D7250">
        <f t="shared" si="245"/>
        <v>0.30995254229662622</v>
      </c>
    </row>
    <row r="7251" spans="1:4">
      <c r="A7251" s="1">
        <v>28821</v>
      </c>
      <c r="B7251">
        <v>95.99</v>
      </c>
      <c r="C7251">
        <f t="shared" si="246"/>
        <v>2.0879006159305628E-3</v>
      </c>
      <c r="D7251">
        <f t="shared" si="245"/>
        <v>0.18757809839489675</v>
      </c>
    </row>
    <row r="7252" spans="1:4">
      <c r="A7252" s="1">
        <v>28822</v>
      </c>
      <c r="B7252">
        <v>95.15</v>
      </c>
      <c r="C7252">
        <f t="shared" si="246"/>
        <v>-8.7509115532866891E-3</v>
      </c>
      <c r="D7252">
        <f t="shared" si="245"/>
        <v>-0.9569967823831782</v>
      </c>
    </row>
    <row r="7253" spans="1:4">
      <c r="A7253" s="1">
        <v>28823</v>
      </c>
      <c r="B7253">
        <v>93.75</v>
      </c>
      <c r="C7253">
        <f t="shared" si="246"/>
        <v>-1.4713610089332691E-2</v>
      </c>
      <c r="D7253">
        <f t="shared" si="245"/>
        <v>-1.5866557209699255</v>
      </c>
    </row>
    <row r="7254" spans="1:4">
      <c r="A7254" s="1">
        <v>28824</v>
      </c>
      <c r="B7254">
        <v>94.7</v>
      </c>
      <c r="C7254">
        <f t="shared" si="246"/>
        <v>1.0133333333333364E-2</v>
      </c>
      <c r="D7254">
        <f t="shared" si="245"/>
        <v>1.0371730585771761</v>
      </c>
    </row>
    <row r="7255" spans="1:4">
      <c r="A7255" s="1">
        <v>28825</v>
      </c>
      <c r="B7255">
        <v>96.28</v>
      </c>
      <c r="C7255">
        <f t="shared" si="246"/>
        <v>1.6684266103484668E-2</v>
      </c>
      <c r="D7255">
        <f t="shared" si="245"/>
        <v>1.7289493323349119</v>
      </c>
    </row>
    <row r="7256" spans="1:4">
      <c r="A7256" s="1">
        <v>28828</v>
      </c>
      <c r="B7256">
        <v>96.15</v>
      </c>
      <c r="C7256">
        <f t="shared" si="246"/>
        <v>-1.3502285002076802E-3</v>
      </c>
      <c r="D7256">
        <f t="shared" si="245"/>
        <v>-0.17548716759243205</v>
      </c>
    </row>
    <row r="7257" spans="1:4">
      <c r="A7257" s="1">
        <v>28829</v>
      </c>
      <c r="B7257">
        <v>97.44</v>
      </c>
      <c r="C7257">
        <f t="shared" si="246"/>
        <v>1.3416536661466374E-2</v>
      </c>
      <c r="D7257">
        <f t="shared" si="245"/>
        <v>1.3838782140129864</v>
      </c>
    </row>
    <row r="7258" spans="1:4">
      <c r="A7258" s="1">
        <v>28830</v>
      </c>
      <c r="B7258">
        <v>97.49</v>
      </c>
      <c r="C7258">
        <f t="shared" si="246"/>
        <v>5.1313628899832882E-4</v>
      </c>
      <c r="D7258">
        <f t="shared" si="245"/>
        <v>2.1283520759255894E-2</v>
      </c>
    </row>
    <row r="7259" spans="1:4">
      <c r="A7259" s="1">
        <v>28831</v>
      </c>
      <c r="B7259">
        <v>97.08</v>
      </c>
      <c r="C7259">
        <f t="shared" si="246"/>
        <v>-4.2055595445686387E-3</v>
      </c>
      <c r="D7259">
        <f t="shared" si="245"/>
        <v>-0.47700915530276955</v>
      </c>
    </row>
    <row r="7260" spans="1:4">
      <c r="A7260" s="1">
        <v>28832</v>
      </c>
      <c r="B7260">
        <v>96.63</v>
      </c>
      <c r="C7260">
        <f t="shared" si="246"/>
        <v>-4.635352286773824E-3</v>
      </c>
      <c r="D7260">
        <f t="shared" si="245"/>
        <v>-0.52239512278598577</v>
      </c>
    </row>
    <row r="7261" spans="1:4">
      <c r="A7261" s="1">
        <v>28835</v>
      </c>
      <c r="B7261">
        <v>97.11</v>
      </c>
      <c r="C7261">
        <f t="shared" si="246"/>
        <v>4.9674014281279521E-3</v>
      </c>
      <c r="D7261">
        <f t="shared" si="245"/>
        <v>0.49165240537305799</v>
      </c>
    </row>
    <row r="7262" spans="1:4">
      <c r="A7262" s="1">
        <v>28836</v>
      </c>
      <c r="B7262">
        <v>96.59</v>
      </c>
      <c r="C7262">
        <f t="shared" si="246"/>
        <v>-5.354752342704109E-3</v>
      </c>
      <c r="D7262">
        <f t="shared" si="245"/>
        <v>-0.59836352415626337</v>
      </c>
    </row>
    <row r="7263" spans="1:4">
      <c r="A7263" s="1">
        <v>28837</v>
      </c>
      <c r="B7263">
        <v>96.06</v>
      </c>
      <c r="C7263">
        <f t="shared" si="246"/>
        <v>-5.487110466922053E-3</v>
      </c>
      <c r="D7263">
        <f t="shared" si="245"/>
        <v>-0.6123404970829659</v>
      </c>
    </row>
    <row r="7264" spans="1:4">
      <c r="A7264" s="1">
        <v>28838</v>
      </c>
      <c r="B7264">
        <v>96.04</v>
      </c>
      <c r="C7264">
        <f t="shared" si="246"/>
        <v>-2.0820320632933603E-4</v>
      </c>
      <c r="D7264">
        <f t="shared" si="245"/>
        <v>-5.4889684752137631E-2</v>
      </c>
    </row>
    <row r="7265" spans="1:4">
      <c r="A7265" s="1">
        <v>28839</v>
      </c>
      <c r="B7265">
        <v>95.33</v>
      </c>
      <c r="C7265">
        <f t="shared" si="246"/>
        <v>-7.3927530195752591E-3</v>
      </c>
      <c r="D7265">
        <f t="shared" si="245"/>
        <v>-0.81357570288376779</v>
      </c>
    </row>
    <row r="7266" spans="1:4">
      <c r="A7266" s="1">
        <v>28842</v>
      </c>
      <c r="B7266">
        <v>93.44</v>
      </c>
      <c r="C7266">
        <f t="shared" si="246"/>
        <v>-1.9825868037343968E-2</v>
      </c>
      <c r="D7266">
        <f t="shared" si="245"/>
        <v>-2.1265084225390076</v>
      </c>
    </row>
    <row r="7267" spans="1:4">
      <c r="A7267" s="1">
        <v>28843</v>
      </c>
      <c r="B7267">
        <v>94.24</v>
      </c>
      <c r="C7267">
        <f t="shared" si="246"/>
        <v>8.5616438356164084E-3</v>
      </c>
      <c r="D7267">
        <f t="shared" si="245"/>
        <v>0.87120318186148338</v>
      </c>
    </row>
    <row r="7268" spans="1:4">
      <c r="A7268" s="1">
        <v>28844</v>
      </c>
      <c r="B7268">
        <v>94.68</v>
      </c>
      <c r="C7268">
        <f t="shared" si="246"/>
        <v>4.6689303904924873E-3</v>
      </c>
      <c r="D7268">
        <f t="shared" si="245"/>
        <v>0.46013396525398809</v>
      </c>
    </row>
    <row r="7269" spans="1:4">
      <c r="A7269" s="1">
        <v>28845</v>
      </c>
      <c r="B7269">
        <v>94.71</v>
      </c>
      <c r="C7269">
        <f t="shared" si="246"/>
        <v>3.1685678073496964E-4</v>
      </c>
      <c r="D7269">
        <f t="shared" si="245"/>
        <v>5.564714052917148E-4</v>
      </c>
    </row>
    <row r="7270" spans="1:4">
      <c r="A7270" s="1">
        <v>28846</v>
      </c>
      <c r="B7270">
        <v>96.31</v>
      </c>
      <c r="C7270">
        <f t="shared" si="246"/>
        <v>1.6893675430260886E-2</v>
      </c>
      <c r="D7270">
        <f t="shared" si="245"/>
        <v>1.7510628860607917</v>
      </c>
    </row>
    <row r="7271" spans="1:4">
      <c r="A7271" s="1">
        <v>28850</v>
      </c>
      <c r="B7271">
        <v>97.52</v>
      </c>
      <c r="C7271">
        <f t="shared" si="246"/>
        <v>1.2563596718928396E-2</v>
      </c>
      <c r="D7271">
        <f t="shared" si="245"/>
        <v>1.2938080460093491</v>
      </c>
    </row>
    <row r="7272" spans="1:4">
      <c r="A7272" s="1">
        <v>28851</v>
      </c>
      <c r="B7272">
        <v>96.66</v>
      </c>
      <c r="C7272">
        <f t="shared" si="246"/>
        <v>-8.8187038556193538E-3</v>
      </c>
      <c r="D7272">
        <f t="shared" si="245"/>
        <v>-0.96415562646578434</v>
      </c>
    </row>
    <row r="7273" spans="1:4">
      <c r="A7273" s="1">
        <v>28852</v>
      </c>
      <c r="B7273">
        <v>96.28</v>
      </c>
      <c r="C7273">
        <f t="shared" si="246"/>
        <v>-3.9313056072832137E-3</v>
      </c>
      <c r="D7273">
        <f t="shared" si="245"/>
        <v>-0.44804803274887145</v>
      </c>
    </row>
    <row r="7274" spans="1:4">
      <c r="A7274" s="1">
        <v>28853</v>
      </c>
      <c r="B7274">
        <v>96.11</v>
      </c>
      <c r="C7274">
        <f t="shared" si="246"/>
        <v>-1.7656834233485844E-3</v>
      </c>
      <c r="D7274">
        <f t="shared" si="245"/>
        <v>-0.21935906625612164</v>
      </c>
    </row>
    <row r="7275" spans="1:4">
      <c r="A7275" s="1">
        <v>28857</v>
      </c>
      <c r="B7275">
        <v>96.73</v>
      </c>
      <c r="C7275">
        <f t="shared" si="246"/>
        <v>6.4509416293830456E-3</v>
      </c>
      <c r="D7275">
        <f t="shared" si="245"/>
        <v>0.64831374634577976</v>
      </c>
    </row>
    <row r="7276" spans="1:4">
      <c r="A7276" s="1">
        <v>28858</v>
      </c>
      <c r="B7276">
        <v>97.8</v>
      </c>
      <c r="C7276">
        <f t="shared" si="246"/>
        <v>1.1061718184637579E-2</v>
      </c>
      <c r="D7276">
        <f t="shared" si="245"/>
        <v>1.1352101833015573</v>
      </c>
    </row>
    <row r="7277" spans="1:4">
      <c r="A7277" s="1">
        <v>28859</v>
      </c>
      <c r="B7277">
        <v>98.58</v>
      </c>
      <c r="C7277">
        <f t="shared" si="246"/>
        <v>7.9754601226993977E-3</v>
      </c>
      <c r="D7277">
        <f t="shared" si="245"/>
        <v>0.80930238103097218</v>
      </c>
    </row>
    <row r="7278" spans="1:4">
      <c r="A7278" s="1">
        <v>28860</v>
      </c>
      <c r="B7278">
        <v>99.13</v>
      </c>
      <c r="C7278">
        <f t="shared" si="246"/>
        <v>5.5792249949279489E-3</v>
      </c>
      <c r="D7278">
        <f t="shared" si="245"/>
        <v>0.55626076605820263</v>
      </c>
    </row>
    <row r="7279" spans="1:4">
      <c r="A7279" s="1">
        <v>28863</v>
      </c>
      <c r="B7279">
        <v>98.8</v>
      </c>
      <c r="C7279">
        <f t="shared" si="246"/>
        <v>-3.3289619691314267E-3</v>
      </c>
      <c r="D7279">
        <f t="shared" si="245"/>
        <v>-0.38444074930659344</v>
      </c>
    </row>
    <row r="7280" spans="1:4">
      <c r="A7280" s="1">
        <v>28864</v>
      </c>
      <c r="B7280">
        <v>99.33</v>
      </c>
      <c r="C7280">
        <f t="shared" si="246"/>
        <v>5.3643724696356395E-3</v>
      </c>
      <c r="D7280">
        <f t="shared" si="245"/>
        <v>0.53357241241925657</v>
      </c>
    </row>
    <row r="7281" spans="1:4">
      <c r="A7281" s="1">
        <v>28865</v>
      </c>
      <c r="B7281">
        <v>98.77</v>
      </c>
      <c r="C7281">
        <f t="shared" si="246"/>
        <v>-5.6377730796335675E-3</v>
      </c>
      <c r="D7281">
        <f t="shared" si="245"/>
        <v>-0.6282504177725915</v>
      </c>
    </row>
    <row r="7282" spans="1:4">
      <c r="A7282" s="1">
        <v>28866</v>
      </c>
      <c r="B7282">
        <v>99.1</v>
      </c>
      <c r="C7282">
        <f t="shared" si="246"/>
        <v>3.341095474334295E-3</v>
      </c>
      <c r="D7282">
        <f t="shared" si="245"/>
        <v>0.31991504946070115</v>
      </c>
    </row>
    <row r="7283" spans="1:4">
      <c r="A7283" s="1">
        <v>28867</v>
      </c>
      <c r="B7283">
        <v>99.93</v>
      </c>
      <c r="C7283">
        <f t="shared" si="246"/>
        <v>8.3753784056509843E-3</v>
      </c>
      <c r="D7283">
        <f t="shared" si="245"/>
        <v>0.85153361577183051</v>
      </c>
    </row>
    <row r="7284" spans="1:4">
      <c r="A7284" s="1">
        <v>28870</v>
      </c>
      <c r="B7284">
        <v>100.69</v>
      </c>
      <c r="C7284">
        <f t="shared" si="246"/>
        <v>7.6053237266085344E-3</v>
      </c>
      <c r="D7284">
        <f t="shared" si="245"/>
        <v>0.77021610341925117</v>
      </c>
    </row>
    <row r="7285" spans="1:4">
      <c r="A7285" s="1">
        <v>28871</v>
      </c>
      <c r="B7285">
        <v>99.46</v>
      </c>
      <c r="C7285">
        <f t="shared" si="246"/>
        <v>-1.2215711590028841E-2</v>
      </c>
      <c r="D7285">
        <f t="shared" si="245"/>
        <v>-1.3228784885203932</v>
      </c>
    </row>
    <row r="7286" spans="1:4">
      <c r="A7286" s="1">
        <v>28872</v>
      </c>
      <c r="B7286">
        <v>99.48</v>
      </c>
      <c r="C7286">
        <f t="shared" si="246"/>
        <v>2.0108586366388733E-4</v>
      </c>
      <c r="D7286">
        <f t="shared" si="245"/>
        <v>-1.1668898084967827E-2</v>
      </c>
    </row>
    <row r="7287" spans="1:4">
      <c r="A7287" s="1">
        <v>28873</v>
      </c>
      <c r="B7287">
        <v>99.72</v>
      </c>
      <c r="C7287">
        <f t="shared" si="246"/>
        <v>2.4125452352231091E-3</v>
      </c>
      <c r="D7287">
        <f t="shared" si="245"/>
        <v>0.22186045984012182</v>
      </c>
    </row>
    <row r="7288" spans="1:4">
      <c r="A7288" s="1">
        <v>28874</v>
      </c>
      <c r="B7288">
        <v>99.75</v>
      </c>
      <c r="C7288">
        <f t="shared" si="246"/>
        <v>3.0084235860410285E-4</v>
      </c>
      <c r="D7288">
        <f t="shared" si="245"/>
        <v>-1.1346461281612464E-3</v>
      </c>
    </row>
    <row r="7289" spans="1:4">
      <c r="A7289" s="1">
        <v>28877</v>
      </c>
      <c r="B7289">
        <v>99.9</v>
      </c>
      <c r="C7289">
        <f t="shared" si="246"/>
        <v>1.5037593984962975E-3</v>
      </c>
      <c r="D7289">
        <f t="shared" si="245"/>
        <v>0.12589298439308563</v>
      </c>
    </row>
    <row r="7290" spans="1:4">
      <c r="A7290" s="1">
        <v>28878</v>
      </c>
      <c r="B7290">
        <v>100.6</v>
      </c>
      <c r="C7290">
        <f t="shared" si="246"/>
        <v>7.0070070070068925E-3</v>
      </c>
      <c r="D7290">
        <f t="shared" si="245"/>
        <v>0.70703406120705237</v>
      </c>
    </row>
    <row r="7291" spans="1:4">
      <c r="A7291" s="1">
        <v>28879</v>
      </c>
      <c r="B7291">
        <v>100.16</v>
      </c>
      <c r="C7291">
        <f t="shared" si="246"/>
        <v>-4.3737574552683671E-3</v>
      </c>
      <c r="D7291">
        <f t="shared" si="245"/>
        <v>-0.49477079749941311</v>
      </c>
    </row>
    <row r="7292" spans="1:4">
      <c r="A7292" s="1">
        <v>28880</v>
      </c>
      <c r="B7292">
        <v>101.19</v>
      </c>
      <c r="C7292">
        <f t="shared" si="246"/>
        <v>1.0283546325878606E-2</v>
      </c>
      <c r="D7292">
        <f t="shared" si="245"/>
        <v>1.0530354995300766</v>
      </c>
    </row>
    <row r="7293" spans="1:4">
      <c r="A7293" s="1">
        <v>28881</v>
      </c>
      <c r="B7293">
        <v>101.86</v>
      </c>
      <c r="C7293">
        <f t="shared" si="246"/>
        <v>6.6212076292123901E-3</v>
      </c>
      <c r="D7293">
        <f t="shared" si="245"/>
        <v>0.66629377805153311</v>
      </c>
    </row>
    <row r="7294" spans="1:4">
      <c r="A7294" s="1">
        <v>28884</v>
      </c>
      <c r="B7294">
        <v>101.55</v>
      </c>
      <c r="C7294">
        <f t="shared" si="246"/>
        <v>-3.0433928922050098E-3</v>
      </c>
      <c r="D7294">
        <f t="shared" si="245"/>
        <v>-0.35428475185280944</v>
      </c>
    </row>
    <row r="7295" spans="1:4">
      <c r="A7295" s="1">
        <v>28885</v>
      </c>
      <c r="B7295">
        <v>101.05</v>
      </c>
      <c r="C7295">
        <f t="shared" si="246"/>
        <v>-4.9236829148202859E-3</v>
      </c>
      <c r="D7295">
        <f t="shared" si="245"/>
        <v>-0.55284273909934967</v>
      </c>
    </row>
    <row r="7296" spans="1:4">
      <c r="A7296" s="1">
        <v>28886</v>
      </c>
      <c r="B7296">
        <v>99.93</v>
      </c>
      <c r="C7296">
        <f t="shared" si="246"/>
        <v>-1.1083621969322022E-2</v>
      </c>
      <c r="D7296">
        <f t="shared" si="245"/>
        <v>-1.2033302093897127</v>
      </c>
    </row>
    <row r="7297" spans="1:4">
      <c r="A7297" s="1">
        <v>28887</v>
      </c>
      <c r="B7297">
        <v>99.96</v>
      </c>
      <c r="C7297">
        <f t="shared" si="246"/>
        <v>3.0021014710284122E-4</v>
      </c>
      <c r="D7297">
        <f t="shared" si="245"/>
        <v>-1.2014074477953438E-3</v>
      </c>
    </row>
    <row r="7298" spans="1:4">
      <c r="A7298" s="1">
        <v>28888</v>
      </c>
      <c r="B7298">
        <v>99.5</v>
      </c>
      <c r="C7298">
        <f t="shared" si="246"/>
        <v>-4.6018407362944554E-3</v>
      </c>
      <c r="D7298">
        <f t="shared" si="245"/>
        <v>-0.51885631444649383</v>
      </c>
    </row>
    <row r="7299" spans="1:4">
      <c r="A7299" s="1">
        <v>28891</v>
      </c>
      <c r="B7299">
        <v>98.09</v>
      </c>
      <c r="C7299">
        <f t="shared" si="246"/>
        <v>-1.417085427135675E-2</v>
      </c>
      <c r="D7299">
        <f t="shared" ref="D7299:D7362" si="247">(C7299-avg)/sd</f>
        <v>-1.5293408910833326</v>
      </c>
    </row>
    <row r="7300" spans="1:4">
      <c r="A7300" s="1">
        <v>28892</v>
      </c>
      <c r="B7300">
        <v>98.05</v>
      </c>
      <c r="C7300">
        <f t="shared" ref="C7300:C7363" si="248">(B7300-B7299)/B7299</f>
        <v>-4.0778876541957643E-4</v>
      </c>
      <c r="D7300">
        <f t="shared" si="247"/>
        <v>-7.5965851949639188E-2</v>
      </c>
    </row>
    <row r="7301" spans="1:4">
      <c r="A7301" s="1">
        <v>28893</v>
      </c>
      <c r="B7301">
        <v>97.16</v>
      </c>
      <c r="C7301">
        <f t="shared" si="248"/>
        <v>-9.0770015298317248E-3</v>
      </c>
      <c r="D7301">
        <f t="shared" si="247"/>
        <v>-0.99143177306296537</v>
      </c>
    </row>
    <row r="7302" spans="1:4">
      <c r="A7302" s="1">
        <v>28894</v>
      </c>
      <c r="B7302">
        <v>97.65</v>
      </c>
      <c r="C7302">
        <f t="shared" si="248"/>
        <v>5.0432276657061455E-3</v>
      </c>
      <c r="D7302">
        <f t="shared" si="247"/>
        <v>0.49965963028672478</v>
      </c>
    </row>
    <row r="7303" spans="1:4">
      <c r="A7303" s="1">
        <v>28895</v>
      </c>
      <c r="B7303">
        <v>97.87</v>
      </c>
      <c r="C7303">
        <f t="shared" si="248"/>
        <v>2.2529441884280477E-3</v>
      </c>
      <c r="D7303">
        <f t="shared" si="247"/>
        <v>0.20500664354959505</v>
      </c>
    </row>
    <row r="7304" spans="1:4">
      <c r="A7304" s="1">
        <v>28898</v>
      </c>
      <c r="B7304">
        <v>98.2</v>
      </c>
      <c r="C7304">
        <f t="shared" si="248"/>
        <v>3.3718197609073084E-3</v>
      </c>
      <c r="D7304">
        <f t="shared" si="247"/>
        <v>0.32315952367911888</v>
      </c>
    </row>
    <row r="7305" spans="1:4">
      <c r="A7305" s="1">
        <v>28899</v>
      </c>
      <c r="B7305">
        <v>98.93</v>
      </c>
      <c r="C7305">
        <f t="shared" si="248"/>
        <v>7.4338085539715267E-3</v>
      </c>
      <c r="D7305">
        <f t="shared" si="247"/>
        <v>0.75210415948962295</v>
      </c>
    </row>
    <row r="7306" spans="1:4">
      <c r="A7306" s="1">
        <v>28900</v>
      </c>
      <c r="B7306">
        <v>98.87</v>
      </c>
      <c r="C7306">
        <f t="shared" si="248"/>
        <v>-6.0648943697566224E-4</v>
      </c>
      <c r="D7306">
        <f t="shared" si="247"/>
        <v>-9.6948575324321898E-2</v>
      </c>
    </row>
    <row r="7307" spans="1:4">
      <c r="A7307" s="1">
        <v>28901</v>
      </c>
      <c r="B7307">
        <v>98.73</v>
      </c>
      <c r="C7307">
        <f t="shared" si="248"/>
        <v>-1.4160008091433252E-3</v>
      </c>
      <c r="D7307">
        <f t="shared" si="247"/>
        <v>-0.18243270105894208</v>
      </c>
    </row>
    <row r="7308" spans="1:4">
      <c r="A7308" s="1">
        <v>28902</v>
      </c>
      <c r="B7308">
        <v>98.67</v>
      </c>
      <c r="C7308">
        <f t="shared" si="248"/>
        <v>-6.0771801883928163E-4</v>
      </c>
      <c r="D7308">
        <f t="shared" si="247"/>
        <v>-9.707831315150485E-2</v>
      </c>
    </row>
    <row r="7309" spans="1:4">
      <c r="A7309" s="1">
        <v>28906</v>
      </c>
      <c r="B7309">
        <v>99.42</v>
      </c>
      <c r="C7309">
        <f t="shared" si="248"/>
        <v>7.601094557616297E-3</v>
      </c>
      <c r="D7309">
        <f t="shared" si="247"/>
        <v>0.76976950461123528</v>
      </c>
    </row>
    <row r="7310" spans="1:4">
      <c r="A7310" s="1">
        <v>28907</v>
      </c>
      <c r="B7310">
        <v>99.07</v>
      </c>
      <c r="C7310">
        <f t="shared" si="248"/>
        <v>-3.520418426875966E-3</v>
      </c>
      <c r="D7310">
        <f t="shared" si="247"/>
        <v>-0.40465848616520478</v>
      </c>
    </row>
    <row r="7311" spans="1:4">
      <c r="A7311" s="1">
        <v>28908</v>
      </c>
      <c r="B7311">
        <v>98.33</v>
      </c>
      <c r="C7311">
        <f t="shared" si="248"/>
        <v>-7.4694660341172395E-3</v>
      </c>
      <c r="D7311">
        <f t="shared" si="247"/>
        <v>-0.82167657114338033</v>
      </c>
    </row>
    <row r="7312" spans="1:4">
      <c r="A7312" s="1">
        <v>28909</v>
      </c>
      <c r="B7312">
        <v>97.78</v>
      </c>
      <c r="C7312">
        <f t="shared" si="248"/>
        <v>-5.5934099460998388E-3</v>
      </c>
      <c r="D7312">
        <f t="shared" si="247"/>
        <v>-0.62356568595119144</v>
      </c>
    </row>
    <row r="7313" spans="1:4">
      <c r="A7313" s="1">
        <v>28912</v>
      </c>
      <c r="B7313">
        <v>97.67</v>
      </c>
      <c r="C7313">
        <f t="shared" si="248"/>
        <v>-1.1249744323992578E-3</v>
      </c>
      <c r="D7313">
        <f t="shared" si="247"/>
        <v>-0.1517004145994405</v>
      </c>
    </row>
    <row r="7314" spans="1:4">
      <c r="A7314" s="1">
        <v>28913</v>
      </c>
      <c r="B7314">
        <v>96.13</v>
      </c>
      <c r="C7314">
        <f t="shared" si="248"/>
        <v>-1.5767379952902696E-2</v>
      </c>
      <c r="D7314">
        <f t="shared" si="247"/>
        <v>-1.6979334603691378</v>
      </c>
    </row>
    <row r="7315" spans="1:4">
      <c r="A7315" s="1">
        <v>28914</v>
      </c>
      <c r="B7315">
        <v>96.28</v>
      </c>
      <c r="C7315">
        <f t="shared" si="248"/>
        <v>1.5603869759700999E-3</v>
      </c>
      <c r="D7315">
        <f t="shared" si="247"/>
        <v>0.13187283732567034</v>
      </c>
    </row>
    <row r="7316" spans="1:4">
      <c r="A7316" s="1">
        <v>28915</v>
      </c>
      <c r="B7316">
        <v>96.9</v>
      </c>
      <c r="C7316">
        <f t="shared" si="248"/>
        <v>6.4395513086830548E-3</v>
      </c>
      <c r="D7316">
        <f t="shared" si="247"/>
        <v>0.64711093235161887</v>
      </c>
    </row>
    <row r="7317" spans="1:4">
      <c r="A7317" s="1">
        <v>28916</v>
      </c>
      <c r="B7317">
        <v>96.97</v>
      </c>
      <c r="C7317">
        <f t="shared" si="248"/>
        <v>7.2239422084616276E-4</v>
      </c>
      <c r="D7317">
        <f t="shared" si="247"/>
        <v>4.3381087232160082E-2</v>
      </c>
    </row>
    <row r="7318" spans="1:4">
      <c r="A7318" s="1">
        <v>28919</v>
      </c>
      <c r="B7318">
        <v>98.06</v>
      </c>
      <c r="C7318">
        <f t="shared" si="248"/>
        <v>1.1240589873156681E-2</v>
      </c>
      <c r="D7318">
        <f t="shared" si="247"/>
        <v>1.1540989728077333</v>
      </c>
    </row>
    <row r="7319" spans="1:4">
      <c r="A7319" s="1">
        <v>28920</v>
      </c>
      <c r="B7319">
        <v>97.87</v>
      </c>
      <c r="C7319">
        <f t="shared" si="248"/>
        <v>-1.9375892310829871E-3</v>
      </c>
      <c r="D7319">
        <f t="shared" si="247"/>
        <v>-0.23751226111925139</v>
      </c>
    </row>
    <row r="7320" spans="1:4">
      <c r="A7320" s="1">
        <v>28921</v>
      </c>
      <c r="B7320">
        <v>98.44</v>
      </c>
      <c r="C7320">
        <f t="shared" si="248"/>
        <v>5.8240523142944027E-3</v>
      </c>
      <c r="D7320">
        <f t="shared" si="247"/>
        <v>0.5821144477624508</v>
      </c>
    </row>
    <row r="7321" spans="1:4">
      <c r="A7321" s="1">
        <v>28922</v>
      </c>
      <c r="B7321">
        <v>99.58</v>
      </c>
      <c r="C7321">
        <f t="shared" si="248"/>
        <v>1.1580658268996348E-2</v>
      </c>
      <c r="D7321">
        <f t="shared" si="247"/>
        <v>1.190010079813538</v>
      </c>
    </row>
    <row r="7322" spans="1:4">
      <c r="A7322" s="1">
        <v>28923</v>
      </c>
      <c r="B7322">
        <v>99.54</v>
      </c>
      <c r="C7322">
        <f t="shared" si="248"/>
        <v>-4.016870857601129E-4</v>
      </c>
      <c r="D7322">
        <f t="shared" si="247"/>
        <v>-7.5321516651661535E-2</v>
      </c>
    </row>
    <row r="7323" spans="1:4">
      <c r="A7323" s="1">
        <v>28926</v>
      </c>
      <c r="B7323">
        <v>99.67</v>
      </c>
      <c r="C7323">
        <f t="shared" si="248"/>
        <v>1.3060076351215134E-3</v>
      </c>
      <c r="D7323">
        <f t="shared" si="247"/>
        <v>0.10501046539979883</v>
      </c>
    </row>
    <row r="7324" spans="1:4">
      <c r="A7324" s="1">
        <v>28927</v>
      </c>
      <c r="B7324">
        <v>99.84</v>
      </c>
      <c r="C7324">
        <f t="shared" si="248"/>
        <v>1.7056285742951911E-3</v>
      </c>
      <c r="D7324">
        <f t="shared" si="247"/>
        <v>0.14721030073878194</v>
      </c>
    </row>
    <row r="7325" spans="1:4">
      <c r="A7325" s="1">
        <v>28928</v>
      </c>
      <c r="B7325">
        <v>99.71</v>
      </c>
      <c r="C7325">
        <f t="shared" si="248"/>
        <v>-1.30208333333343E-3</v>
      </c>
      <c r="D7325">
        <f t="shared" si="247"/>
        <v>-0.1704030543358486</v>
      </c>
    </row>
    <row r="7326" spans="1:4">
      <c r="A7326" s="1">
        <v>28929</v>
      </c>
      <c r="B7326">
        <v>99.86</v>
      </c>
      <c r="C7326">
        <f t="shared" si="248"/>
        <v>1.5043626516899578E-3</v>
      </c>
      <c r="D7326">
        <f t="shared" si="247"/>
        <v>0.12595668772528046</v>
      </c>
    </row>
    <row r="7327" spans="1:4">
      <c r="A7327" s="1">
        <v>28930</v>
      </c>
      <c r="B7327">
        <v>100.69</v>
      </c>
      <c r="C7327">
        <f t="shared" si="248"/>
        <v>8.3116362908071135E-3</v>
      </c>
      <c r="D7327">
        <f t="shared" si="247"/>
        <v>0.84480247011131537</v>
      </c>
    </row>
    <row r="7328" spans="1:4">
      <c r="A7328" s="1">
        <v>28933</v>
      </c>
      <c r="B7328">
        <v>101.06</v>
      </c>
      <c r="C7328">
        <f t="shared" si="248"/>
        <v>3.6746449498461075E-3</v>
      </c>
      <c r="D7328">
        <f t="shared" si="247"/>
        <v>0.35513776069577302</v>
      </c>
    </row>
    <row r="7329" spans="1:4">
      <c r="A7329" s="1">
        <v>28934</v>
      </c>
      <c r="B7329">
        <v>100.5</v>
      </c>
      <c r="C7329">
        <f t="shared" si="248"/>
        <v>-5.5412626162675864E-3</v>
      </c>
      <c r="D7329">
        <f t="shared" si="247"/>
        <v>-0.61805894564664432</v>
      </c>
    </row>
    <row r="7330" spans="1:4">
      <c r="A7330" s="1">
        <v>28935</v>
      </c>
      <c r="B7330">
        <v>101.25</v>
      </c>
      <c r="C7330">
        <f t="shared" si="248"/>
        <v>7.462686567164179E-3</v>
      </c>
      <c r="D7330">
        <f t="shared" si="247"/>
        <v>0.75515366786665339</v>
      </c>
    </row>
    <row r="7331" spans="1:4">
      <c r="A7331" s="1">
        <v>28936</v>
      </c>
      <c r="B7331">
        <v>101.67</v>
      </c>
      <c r="C7331">
        <f t="shared" si="248"/>
        <v>4.1481481481481647E-3</v>
      </c>
      <c r="D7331">
        <f t="shared" si="247"/>
        <v>0.40513953748491288</v>
      </c>
    </row>
    <row r="7332" spans="1:4">
      <c r="A7332" s="1">
        <v>28937</v>
      </c>
      <c r="B7332">
        <v>101.6</v>
      </c>
      <c r="C7332">
        <f t="shared" si="248"/>
        <v>-6.8850201632740624E-4</v>
      </c>
      <c r="D7332">
        <f t="shared" si="247"/>
        <v>-0.10560907582643586</v>
      </c>
    </row>
    <row r="7333" spans="1:4">
      <c r="A7333" s="1">
        <v>28940</v>
      </c>
      <c r="B7333">
        <v>101.04</v>
      </c>
      <c r="C7333">
        <f t="shared" si="248"/>
        <v>-5.5118110236219301E-3</v>
      </c>
      <c r="D7333">
        <f t="shared" si="247"/>
        <v>-0.61494886747434574</v>
      </c>
    </row>
    <row r="7334" spans="1:4">
      <c r="A7334" s="1">
        <v>28941</v>
      </c>
      <c r="B7334">
        <v>102.48</v>
      </c>
      <c r="C7334">
        <f t="shared" si="248"/>
        <v>1.4251781472684062E-2</v>
      </c>
      <c r="D7334">
        <f t="shared" si="247"/>
        <v>1.4720797821640681</v>
      </c>
    </row>
    <row r="7335" spans="1:4">
      <c r="A7335" s="1">
        <v>28942</v>
      </c>
      <c r="B7335">
        <v>102.12</v>
      </c>
      <c r="C7335">
        <f t="shared" si="248"/>
        <v>-3.5128805620608843E-3</v>
      </c>
      <c r="D7335">
        <f t="shared" si="247"/>
        <v>-0.40386249020297688</v>
      </c>
    </row>
    <row r="7336" spans="1:4">
      <c r="A7336" s="1">
        <v>28943</v>
      </c>
      <c r="B7336">
        <v>102.03</v>
      </c>
      <c r="C7336">
        <f t="shared" si="248"/>
        <v>-8.8131609870743637E-4</v>
      </c>
      <c r="D7336">
        <f t="shared" si="247"/>
        <v>-0.12597017738507599</v>
      </c>
    </row>
    <row r="7337" spans="1:4">
      <c r="A7337" s="1">
        <v>28944</v>
      </c>
      <c r="B7337">
        <v>101.59</v>
      </c>
      <c r="C7337">
        <f t="shared" si="248"/>
        <v>-4.3124571204547456E-3</v>
      </c>
      <c r="D7337">
        <f t="shared" si="247"/>
        <v>-0.48829750298009089</v>
      </c>
    </row>
    <row r="7338" spans="1:4">
      <c r="A7338" s="1">
        <v>28947</v>
      </c>
      <c r="B7338">
        <v>100.9</v>
      </c>
      <c r="C7338">
        <f t="shared" si="248"/>
        <v>-6.7920070873117204E-3</v>
      </c>
      <c r="D7338">
        <f t="shared" si="247"/>
        <v>-0.75013713664020221</v>
      </c>
    </row>
    <row r="7339" spans="1:4">
      <c r="A7339" s="1">
        <v>28948</v>
      </c>
      <c r="B7339">
        <v>102.4</v>
      </c>
      <c r="C7339">
        <f t="shared" si="248"/>
        <v>1.4866204162537165E-2</v>
      </c>
      <c r="D7339">
        <f t="shared" si="247"/>
        <v>1.5369626093601361</v>
      </c>
    </row>
    <row r="7340" spans="1:4">
      <c r="A7340" s="1">
        <v>28949</v>
      </c>
      <c r="B7340">
        <v>102.65</v>
      </c>
      <c r="C7340">
        <f t="shared" si="248"/>
        <v>2.44140625E-3</v>
      </c>
      <c r="D7340">
        <f t="shared" si="247"/>
        <v>0.22490817319022591</v>
      </c>
    </row>
    <row r="7341" spans="1:4">
      <c r="A7341" s="1">
        <v>28950</v>
      </c>
      <c r="B7341">
        <v>103.26</v>
      </c>
      <c r="C7341">
        <f t="shared" si="248"/>
        <v>5.9425231368728628E-3</v>
      </c>
      <c r="D7341">
        <f t="shared" si="247"/>
        <v>0.59462492635654696</v>
      </c>
    </row>
    <row r="7342" spans="1:4">
      <c r="A7342" s="1">
        <v>28951</v>
      </c>
      <c r="B7342">
        <v>103.18</v>
      </c>
      <c r="C7342">
        <f t="shared" si="248"/>
        <v>-7.7474336625990982E-4</v>
      </c>
      <c r="D7342">
        <f t="shared" si="247"/>
        <v>-0.11471613306444906</v>
      </c>
    </row>
    <row r="7343" spans="1:4">
      <c r="A7343" s="1">
        <v>28954</v>
      </c>
      <c r="B7343">
        <v>102.87</v>
      </c>
      <c r="C7343">
        <f t="shared" si="248"/>
        <v>-3.0044582283388472E-3</v>
      </c>
      <c r="D7343">
        <f t="shared" si="247"/>
        <v>-0.35017326458307796</v>
      </c>
    </row>
    <row r="7344" spans="1:4">
      <c r="A7344" s="1">
        <v>28955</v>
      </c>
      <c r="B7344">
        <v>103.34</v>
      </c>
      <c r="C7344">
        <f t="shared" si="248"/>
        <v>4.5688733352775238E-3</v>
      </c>
      <c r="D7344">
        <f t="shared" si="247"/>
        <v>0.44956797423433353</v>
      </c>
    </row>
    <row r="7345" spans="1:4">
      <c r="A7345" s="1">
        <v>28956</v>
      </c>
      <c r="B7345">
        <v>102.31</v>
      </c>
      <c r="C7345">
        <f t="shared" si="248"/>
        <v>-9.9670988968453746E-3</v>
      </c>
      <c r="D7345">
        <f t="shared" si="247"/>
        <v>-1.0854257524608111</v>
      </c>
    </row>
    <row r="7346" spans="1:4">
      <c r="A7346" s="1">
        <v>28957</v>
      </c>
      <c r="B7346">
        <v>102</v>
      </c>
      <c r="C7346">
        <f t="shared" si="248"/>
        <v>-3.0300068419509556E-3</v>
      </c>
      <c r="D7346">
        <f t="shared" si="247"/>
        <v>-0.35287118949612084</v>
      </c>
    </row>
    <row r="7347" spans="1:4">
      <c r="A7347" s="1">
        <v>28961</v>
      </c>
      <c r="B7347">
        <v>101.12</v>
      </c>
      <c r="C7347">
        <f t="shared" si="248"/>
        <v>-8.627450980392113E-3</v>
      </c>
      <c r="D7347">
        <f t="shared" si="247"/>
        <v>-0.94395938785179867</v>
      </c>
    </row>
    <row r="7348" spans="1:4">
      <c r="A7348" s="1">
        <v>28962</v>
      </c>
      <c r="B7348">
        <v>101.24</v>
      </c>
      <c r="C7348">
        <f t="shared" si="248"/>
        <v>1.1867088607593981E-3</v>
      </c>
      <c r="D7348">
        <f t="shared" si="247"/>
        <v>9.2412555378783151E-2</v>
      </c>
    </row>
    <row r="7349" spans="1:4">
      <c r="A7349" s="1">
        <v>28963</v>
      </c>
      <c r="B7349">
        <v>101.7</v>
      </c>
      <c r="C7349">
        <f t="shared" si="248"/>
        <v>4.5436586329514811E-3</v>
      </c>
      <c r="D7349">
        <f t="shared" si="247"/>
        <v>0.44690531023959718</v>
      </c>
    </row>
    <row r="7350" spans="1:4">
      <c r="A7350" s="1">
        <v>28964</v>
      </c>
      <c r="B7350">
        <v>101.28</v>
      </c>
      <c r="C7350">
        <f t="shared" si="248"/>
        <v>-4.1297935103245002E-3</v>
      </c>
      <c r="D7350">
        <f t="shared" si="247"/>
        <v>-0.46900828784071491</v>
      </c>
    </row>
    <row r="7351" spans="1:4">
      <c r="A7351" s="1">
        <v>28965</v>
      </c>
      <c r="B7351">
        <v>101.23</v>
      </c>
      <c r="C7351">
        <f t="shared" si="248"/>
        <v>-4.9368088467611722E-4</v>
      </c>
      <c r="D7351">
        <f t="shared" si="247"/>
        <v>-8.5036030546980002E-2</v>
      </c>
    </row>
    <row r="7352" spans="1:4">
      <c r="A7352" s="1">
        <v>28968</v>
      </c>
      <c r="B7352">
        <v>101.57</v>
      </c>
      <c r="C7352">
        <f t="shared" si="248"/>
        <v>3.3586881359279779E-3</v>
      </c>
      <c r="D7352">
        <f t="shared" si="247"/>
        <v>0.32177282854495781</v>
      </c>
    </row>
    <row r="7353" spans="1:4">
      <c r="A7353" s="1">
        <v>28969</v>
      </c>
      <c r="B7353">
        <v>102.2</v>
      </c>
      <c r="C7353">
        <f t="shared" si="248"/>
        <v>6.2026188835286964E-3</v>
      </c>
      <c r="D7353">
        <f t="shared" si="247"/>
        <v>0.62209094879256299</v>
      </c>
    </row>
    <row r="7354" spans="1:4">
      <c r="A7354" s="1">
        <v>28970</v>
      </c>
      <c r="B7354">
        <v>102.5</v>
      </c>
      <c r="C7354">
        <f t="shared" si="248"/>
        <v>2.9354207436398938E-3</v>
      </c>
      <c r="D7354">
        <f t="shared" si="247"/>
        <v>0.2770759357949133</v>
      </c>
    </row>
    <row r="7355" spans="1:4">
      <c r="A7355" s="1">
        <v>28971</v>
      </c>
      <c r="B7355">
        <v>102.01</v>
      </c>
      <c r="C7355">
        <f t="shared" si="248"/>
        <v>-4.7804878048779992E-3</v>
      </c>
      <c r="D7355">
        <f t="shared" si="247"/>
        <v>-0.53772138416382698</v>
      </c>
    </row>
    <row r="7356" spans="1:4">
      <c r="A7356" s="1">
        <v>28972</v>
      </c>
      <c r="B7356">
        <v>101.8</v>
      </c>
      <c r="C7356">
        <f t="shared" si="248"/>
        <v>-2.0586217037546119E-3</v>
      </c>
      <c r="D7356">
        <f t="shared" si="247"/>
        <v>-0.25029324909243855</v>
      </c>
    </row>
    <row r="7357" spans="1:4">
      <c r="A7357" s="1">
        <v>28975</v>
      </c>
      <c r="B7357">
        <v>101.76</v>
      </c>
      <c r="C7357">
        <f t="shared" si="248"/>
        <v>-3.9292730844785894E-4</v>
      </c>
      <c r="D7357">
        <f t="shared" si="247"/>
        <v>-7.43964871450805E-2</v>
      </c>
    </row>
    <row r="7358" spans="1:4">
      <c r="A7358" s="1">
        <v>28976</v>
      </c>
      <c r="B7358">
        <v>101.68</v>
      </c>
      <c r="C7358">
        <f t="shared" si="248"/>
        <v>-7.8616352201256185E-4</v>
      </c>
      <c r="D7358">
        <f t="shared" si="247"/>
        <v>-0.11592209763002957</v>
      </c>
    </row>
    <row r="7359" spans="1:4">
      <c r="A7359" s="1">
        <v>28977</v>
      </c>
      <c r="B7359">
        <v>101.72</v>
      </c>
      <c r="C7359">
        <f t="shared" si="248"/>
        <v>3.9339103068442211E-4</v>
      </c>
      <c r="D7359">
        <f t="shared" si="247"/>
        <v>8.6384621846983221E-3</v>
      </c>
    </row>
    <row r="7360" spans="1:4">
      <c r="A7360" s="1">
        <v>28978</v>
      </c>
      <c r="B7360">
        <v>101.81</v>
      </c>
      <c r="C7360">
        <f t="shared" si="248"/>
        <v>8.8478175383408777E-4</v>
      </c>
      <c r="D7360">
        <f t="shared" si="247"/>
        <v>6.0529155517480553E-2</v>
      </c>
    </row>
    <row r="7361" spans="1:4">
      <c r="A7361" s="1">
        <v>28979</v>
      </c>
      <c r="B7361">
        <v>100.69</v>
      </c>
      <c r="C7361">
        <f t="shared" si="248"/>
        <v>-1.1000883999607155E-2</v>
      </c>
      <c r="D7361">
        <f t="shared" si="247"/>
        <v>-1.194593107911825</v>
      </c>
    </row>
    <row r="7362" spans="1:4">
      <c r="A7362" s="1">
        <v>28982</v>
      </c>
      <c r="B7362">
        <v>99.02</v>
      </c>
      <c r="C7362">
        <f t="shared" si="248"/>
        <v>-1.6585559638494406E-2</v>
      </c>
      <c r="D7362">
        <f t="shared" si="247"/>
        <v>-1.7843329570548345</v>
      </c>
    </row>
    <row r="7363" spans="1:4">
      <c r="A7363" s="1">
        <v>28983</v>
      </c>
      <c r="B7363">
        <v>99.17</v>
      </c>
      <c r="C7363">
        <f t="shared" si="248"/>
        <v>1.5148454857605098E-3</v>
      </c>
      <c r="D7363">
        <f t="shared" ref="D7363:D7426" si="249">(C7363-avg)/sd</f>
        <v>0.12706367143984232</v>
      </c>
    </row>
    <row r="7364" spans="1:4">
      <c r="A7364" s="1">
        <v>28984</v>
      </c>
      <c r="B7364">
        <v>99.46</v>
      </c>
      <c r="C7364">
        <f t="shared" ref="C7364:C7427" si="250">(B7364-B7363)/B7363</f>
        <v>2.924271453060321E-3</v>
      </c>
      <c r="D7364">
        <f t="shared" si="249"/>
        <v>0.27589857449953842</v>
      </c>
    </row>
    <row r="7365" spans="1:4">
      <c r="A7365" s="1">
        <v>28985</v>
      </c>
      <c r="B7365">
        <v>98.52</v>
      </c>
      <c r="C7365">
        <f t="shared" si="250"/>
        <v>-9.4510355921978463E-3</v>
      </c>
      <c r="D7365">
        <f t="shared" si="249"/>
        <v>-1.0309296429084724</v>
      </c>
    </row>
    <row r="7366" spans="1:4">
      <c r="A7366" s="1">
        <v>28986</v>
      </c>
      <c r="B7366">
        <v>98.52</v>
      </c>
      <c r="C7366">
        <f t="shared" si="250"/>
        <v>0</v>
      </c>
      <c r="D7366">
        <f t="shared" si="249"/>
        <v>-3.29034969354682E-2</v>
      </c>
    </row>
    <row r="7367" spans="1:4">
      <c r="A7367" s="1">
        <v>28989</v>
      </c>
      <c r="B7367">
        <v>98.06</v>
      </c>
      <c r="C7367">
        <f t="shared" si="250"/>
        <v>-4.6691027202597829E-3</v>
      </c>
      <c r="D7367">
        <f t="shared" si="249"/>
        <v>-0.52595915708977325</v>
      </c>
    </row>
    <row r="7368" spans="1:4">
      <c r="A7368" s="1">
        <v>28990</v>
      </c>
      <c r="B7368">
        <v>98.14</v>
      </c>
      <c r="C7368">
        <f t="shared" si="250"/>
        <v>8.1582704466651331E-4</v>
      </c>
      <c r="D7368">
        <f t="shared" si="249"/>
        <v>5.3247561668229172E-2</v>
      </c>
    </row>
    <row r="7369" spans="1:4">
      <c r="A7369" s="1">
        <v>28991</v>
      </c>
      <c r="B7369">
        <v>98.42</v>
      </c>
      <c r="C7369">
        <f t="shared" si="250"/>
        <v>2.8530670470756176E-3</v>
      </c>
      <c r="D7369">
        <f t="shared" si="249"/>
        <v>0.26837941343110733</v>
      </c>
    </row>
    <row r="7370" spans="1:4">
      <c r="A7370" s="1">
        <v>28992</v>
      </c>
      <c r="B7370">
        <v>99.94</v>
      </c>
      <c r="C7370">
        <f t="shared" si="250"/>
        <v>1.5444015444015403E-2</v>
      </c>
      <c r="D7370">
        <f t="shared" si="249"/>
        <v>1.5979792842766403</v>
      </c>
    </row>
    <row r="7371" spans="1:4">
      <c r="A7371" s="1">
        <v>28993</v>
      </c>
      <c r="B7371">
        <v>99.93</v>
      </c>
      <c r="C7371">
        <f t="shared" si="250"/>
        <v>-1.0006003602152196E-4</v>
      </c>
      <c r="D7371">
        <f t="shared" si="249"/>
        <v>-4.3469802727282118E-2</v>
      </c>
    </row>
    <row r="7372" spans="1:4">
      <c r="A7372" s="1">
        <v>28996</v>
      </c>
      <c r="B7372">
        <v>100.14</v>
      </c>
      <c r="C7372">
        <f t="shared" si="250"/>
        <v>2.1014710297207416E-3</v>
      </c>
      <c r="D7372">
        <f t="shared" si="249"/>
        <v>0.18901112947833187</v>
      </c>
    </row>
    <row r="7373" spans="1:4">
      <c r="A7373" s="1">
        <v>28997</v>
      </c>
      <c r="B7373">
        <v>100.51</v>
      </c>
      <c r="C7373">
        <f t="shared" si="250"/>
        <v>3.6948272418614397E-3</v>
      </c>
      <c r="D7373">
        <f t="shared" si="249"/>
        <v>0.35726900387229771</v>
      </c>
    </row>
    <row r="7374" spans="1:4">
      <c r="A7374" s="1">
        <v>28998</v>
      </c>
      <c r="B7374">
        <v>99.89</v>
      </c>
      <c r="C7374">
        <f t="shared" si="250"/>
        <v>-6.1685404437369865E-3</v>
      </c>
      <c r="D7374">
        <f t="shared" si="249"/>
        <v>-0.68429927100531951</v>
      </c>
    </row>
    <row r="7375" spans="1:4">
      <c r="A7375" s="1">
        <v>28999</v>
      </c>
      <c r="B7375">
        <v>99.93</v>
      </c>
      <c r="C7375">
        <f t="shared" si="250"/>
        <v>4.0044048453304889E-4</v>
      </c>
      <c r="D7375">
        <f t="shared" si="249"/>
        <v>9.38288211488752E-3</v>
      </c>
    </row>
    <row r="7376" spans="1:4">
      <c r="A7376" s="1">
        <v>29000</v>
      </c>
      <c r="B7376">
        <v>100.22</v>
      </c>
      <c r="C7376">
        <f t="shared" si="250"/>
        <v>2.902031421995317E-3</v>
      </c>
      <c r="D7376">
        <f t="shared" si="249"/>
        <v>0.27355003477882789</v>
      </c>
    </row>
    <row r="7377" spans="1:4">
      <c r="A7377" s="1">
        <v>29004</v>
      </c>
      <c r="B7377">
        <v>100.05</v>
      </c>
      <c r="C7377">
        <f t="shared" si="250"/>
        <v>-1.6962682099381531E-3</v>
      </c>
      <c r="D7377">
        <f t="shared" si="249"/>
        <v>-0.21202884331535757</v>
      </c>
    </row>
    <row r="7378" spans="1:4">
      <c r="A7378" s="1">
        <v>29005</v>
      </c>
      <c r="B7378">
        <v>99.11</v>
      </c>
      <c r="C7378">
        <f t="shared" si="250"/>
        <v>-9.3953023488255651E-3</v>
      </c>
      <c r="D7378">
        <f t="shared" si="249"/>
        <v>-1.0250442313530095</v>
      </c>
    </row>
    <row r="7379" spans="1:4">
      <c r="A7379" s="1">
        <v>29006</v>
      </c>
      <c r="B7379">
        <v>99.08</v>
      </c>
      <c r="C7379">
        <f t="shared" si="250"/>
        <v>-3.0269397638988131E-4</v>
      </c>
      <c r="D7379">
        <f t="shared" si="249"/>
        <v>-6.4867877951557892E-2</v>
      </c>
    </row>
    <row r="7380" spans="1:4">
      <c r="A7380" s="1">
        <v>29007</v>
      </c>
      <c r="B7380">
        <v>99.17</v>
      </c>
      <c r="C7380">
        <f t="shared" si="250"/>
        <v>9.0835688332663918E-4</v>
      </c>
      <c r="D7380">
        <f t="shared" si="249"/>
        <v>6.3018681178318117E-2</v>
      </c>
    </row>
    <row r="7381" spans="1:4">
      <c r="A7381" s="1">
        <v>29010</v>
      </c>
      <c r="B7381">
        <v>99.32</v>
      </c>
      <c r="C7381">
        <f t="shared" si="250"/>
        <v>1.5125541998587423E-3</v>
      </c>
      <c r="D7381">
        <f t="shared" si="249"/>
        <v>0.1268217124274616</v>
      </c>
    </row>
    <row r="7382" spans="1:4">
      <c r="A7382" s="1">
        <v>29011</v>
      </c>
      <c r="B7382">
        <v>100.62</v>
      </c>
      <c r="C7382">
        <f t="shared" si="250"/>
        <v>1.308900523560221E-2</v>
      </c>
      <c r="D7382">
        <f t="shared" si="249"/>
        <v>1.3492910067750716</v>
      </c>
    </row>
    <row r="7383" spans="1:4">
      <c r="A7383" s="1">
        <v>29012</v>
      </c>
      <c r="B7383">
        <v>101.3</v>
      </c>
      <c r="C7383">
        <f t="shared" si="250"/>
        <v>6.7580997813555211E-3</v>
      </c>
      <c r="D7383">
        <f t="shared" si="249"/>
        <v>0.68074954278594446</v>
      </c>
    </row>
    <row r="7384" spans="1:4">
      <c r="A7384" s="1">
        <v>29013</v>
      </c>
      <c r="B7384">
        <v>101.79</v>
      </c>
      <c r="C7384">
        <f t="shared" si="250"/>
        <v>4.8371174728530017E-3</v>
      </c>
      <c r="D7384">
        <f t="shared" si="249"/>
        <v>0.47789446398169139</v>
      </c>
    </row>
    <row r="7385" spans="1:4">
      <c r="A7385" s="1">
        <v>29014</v>
      </c>
      <c r="B7385">
        <v>101.49</v>
      </c>
      <c r="C7385">
        <f t="shared" si="250"/>
        <v>-2.9472443265547827E-3</v>
      </c>
      <c r="D7385">
        <f t="shared" si="249"/>
        <v>-0.34413149600263088</v>
      </c>
    </row>
    <row r="7386" spans="1:4">
      <c r="A7386" s="1">
        <v>29017</v>
      </c>
      <c r="B7386">
        <v>101.91</v>
      </c>
      <c r="C7386">
        <f t="shared" si="250"/>
        <v>4.1383387525864785E-3</v>
      </c>
      <c r="D7386">
        <f t="shared" si="249"/>
        <v>0.40410366864797442</v>
      </c>
    </row>
    <row r="7387" spans="1:4">
      <c r="A7387" s="1">
        <v>29018</v>
      </c>
      <c r="B7387">
        <v>102.85</v>
      </c>
      <c r="C7387">
        <f t="shared" si="250"/>
        <v>9.2238249435776451E-3</v>
      </c>
      <c r="D7387">
        <f t="shared" si="249"/>
        <v>0.94112928177589494</v>
      </c>
    </row>
    <row r="7388" spans="1:4">
      <c r="A7388" s="1">
        <v>29019</v>
      </c>
      <c r="B7388">
        <v>102.31</v>
      </c>
      <c r="C7388">
        <f t="shared" si="250"/>
        <v>-5.2503646086533018E-3</v>
      </c>
      <c r="D7388">
        <f t="shared" si="249"/>
        <v>-0.58734021492361299</v>
      </c>
    </row>
    <row r="7389" spans="1:4">
      <c r="A7389" s="1">
        <v>29020</v>
      </c>
      <c r="B7389">
        <v>102.2</v>
      </c>
      <c r="C7389">
        <f t="shared" si="250"/>
        <v>-1.075163718111616E-3</v>
      </c>
      <c r="D7389">
        <f t="shared" si="249"/>
        <v>-0.14644042010215</v>
      </c>
    </row>
    <row r="7390" spans="1:4">
      <c r="A7390" s="1">
        <v>29021</v>
      </c>
      <c r="B7390">
        <v>102.09</v>
      </c>
      <c r="C7390">
        <f t="shared" si="250"/>
        <v>-1.0763209393346324E-3</v>
      </c>
      <c r="D7390">
        <f t="shared" si="249"/>
        <v>-0.14656262226994191</v>
      </c>
    </row>
    <row r="7391" spans="1:4">
      <c r="A7391" s="1">
        <v>29024</v>
      </c>
      <c r="B7391">
        <v>101.56</v>
      </c>
      <c r="C7391">
        <f t="shared" si="250"/>
        <v>-5.1914976981095222E-3</v>
      </c>
      <c r="D7391">
        <f t="shared" si="249"/>
        <v>-0.581123889180025</v>
      </c>
    </row>
    <row r="7392" spans="1:4">
      <c r="A7392" s="1">
        <v>29025</v>
      </c>
      <c r="B7392">
        <v>101.58</v>
      </c>
      <c r="C7392">
        <f t="shared" si="250"/>
        <v>1.9692792437963786E-4</v>
      </c>
      <c r="D7392">
        <f t="shared" si="249"/>
        <v>-1.2107975060032337E-2</v>
      </c>
    </row>
    <row r="7393" spans="1:4">
      <c r="A7393" s="1">
        <v>29026</v>
      </c>
      <c r="B7393">
        <v>101.63</v>
      </c>
      <c r="C7393">
        <f t="shared" si="250"/>
        <v>4.922228785193656E-4</v>
      </c>
      <c r="D7393">
        <f t="shared" si="249"/>
        <v>1.9075071721490998E-2</v>
      </c>
    </row>
    <row r="7394" spans="1:4">
      <c r="A7394" s="1">
        <v>29027</v>
      </c>
      <c r="B7394">
        <v>102.09</v>
      </c>
      <c r="C7394">
        <f t="shared" si="250"/>
        <v>4.5262225720752534E-3</v>
      </c>
      <c r="D7394">
        <f t="shared" si="249"/>
        <v>0.44506406813787258</v>
      </c>
    </row>
    <row r="7395" spans="1:4">
      <c r="A7395" s="1">
        <v>29028</v>
      </c>
      <c r="B7395">
        <v>102.64</v>
      </c>
      <c r="C7395">
        <f t="shared" si="250"/>
        <v>5.3874032716230494E-3</v>
      </c>
      <c r="D7395">
        <f t="shared" si="249"/>
        <v>0.53600445728057711</v>
      </c>
    </row>
    <row r="7396" spans="1:4">
      <c r="A7396" s="1">
        <v>29031</v>
      </c>
      <c r="B7396">
        <v>102.09</v>
      </c>
      <c r="C7396">
        <f t="shared" si="250"/>
        <v>-5.3585346843335654E-3</v>
      </c>
      <c r="D7396">
        <f t="shared" si="249"/>
        <v>-0.5987629381466536</v>
      </c>
    </row>
    <row r="7397" spans="1:4">
      <c r="A7397" s="1">
        <v>29032</v>
      </c>
      <c r="B7397">
        <v>101.66</v>
      </c>
      <c r="C7397">
        <f t="shared" si="250"/>
        <v>-4.2119698305417459E-3</v>
      </c>
      <c r="D7397">
        <f t="shared" si="249"/>
        <v>-0.47768607932256762</v>
      </c>
    </row>
    <row r="7398" spans="1:4">
      <c r="A7398" s="1">
        <v>29033</v>
      </c>
      <c r="B7398">
        <v>102.27</v>
      </c>
      <c r="C7398">
        <f t="shared" si="250"/>
        <v>6.0003934684241533E-3</v>
      </c>
      <c r="D7398">
        <f t="shared" si="249"/>
        <v>0.6007360136972818</v>
      </c>
    </row>
    <row r="7399" spans="1:4">
      <c r="A7399" s="1">
        <v>29034</v>
      </c>
      <c r="B7399">
        <v>102.8</v>
      </c>
      <c r="C7399">
        <f t="shared" si="250"/>
        <v>5.1823604185000606E-3</v>
      </c>
      <c r="D7399">
        <f t="shared" si="249"/>
        <v>0.51435200168824169</v>
      </c>
    </row>
    <row r="7400" spans="1:4">
      <c r="A7400" s="1">
        <v>29035</v>
      </c>
      <c r="B7400">
        <v>102.91</v>
      </c>
      <c r="C7400">
        <f t="shared" si="250"/>
        <v>1.070038910505831E-3</v>
      </c>
      <c r="D7400">
        <f t="shared" si="249"/>
        <v>8.0092248290049448E-2</v>
      </c>
    </row>
    <row r="7401" spans="1:4">
      <c r="A7401" s="1">
        <v>29038</v>
      </c>
      <c r="B7401">
        <v>101.99</v>
      </c>
      <c r="C7401">
        <f t="shared" si="250"/>
        <v>-8.9398503546788619E-3</v>
      </c>
      <c r="D7401">
        <f t="shared" si="249"/>
        <v>-0.97694865558677257</v>
      </c>
    </row>
    <row r="7402" spans="1:4">
      <c r="A7402" s="1">
        <v>29039</v>
      </c>
      <c r="B7402">
        <v>102.09</v>
      </c>
      <c r="C7402">
        <f t="shared" si="250"/>
        <v>9.8048828316509972E-4</v>
      </c>
      <c r="D7402">
        <f t="shared" si="249"/>
        <v>7.0635732482605448E-2</v>
      </c>
    </row>
    <row r="7403" spans="1:4">
      <c r="A7403" s="1">
        <v>29041</v>
      </c>
      <c r="B7403">
        <v>102.43</v>
      </c>
      <c r="C7403">
        <f t="shared" si="250"/>
        <v>3.3303947497306629E-3</v>
      </c>
      <c r="D7403">
        <f t="shared" si="249"/>
        <v>0.31878505657991063</v>
      </c>
    </row>
    <row r="7404" spans="1:4">
      <c r="A7404" s="1">
        <v>29042</v>
      </c>
      <c r="B7404">
        <v>103.62</v>
      </c>
      <c r="C7404">
        <f t="shared" si="250"/>
        <v>1.1617690129844749E-2</v>
      </c>
      <c r="D7404">
        <f t="shared" si="249"/>
        <v>1.193920631731388</v>
      </c>
    </row>
    <row r="7405" spans="1:4">
      <c r="A7405" s="1">
        <v>29045</v>
      </c>
      <c r="B7405">
        <v>104.47</v>
      </c>
      <c r="C7405">
        <f t="shared" si="250"/>
        <v>8.2030496043234338E-3</v>
      </c>
      <c r="D7405">
        <f t="shared" si="249"/>
        <v>0.83333575292904694</v>
      </c>
    </row>
    <row r="7406" spans="1:4">
      <c r="A7406" s="1">
        <v>29046</v>
      </c>
      <c r="B7406">
        <v>104.2</v>
      </c>
      <c r="C7406">
        <f t="shared" si="250"/>
        <v>-2.5844740116779557E-3</v>
      </c>
      <c r="D7406">
        <f t="shared" si="249"/>
        <v>-0.30582307406325937</v>
      </c>
    </row>
    <row r="7407" spans="1:4">
      <c r="A7407" s="1">
        <v>29047</v>
      </c>
      <c r="B7407">
        <v>103.64</v>
      </c>
      <c r="C7407">
        <f t="shared" si="250"/>
        <v>-5.3742802303263174E-3</v>
      </c>
      <c r="D7407">
        <f t="shared" si="249"/>
        <v>-0.60042566245131712</v>
      </c>
    </row>
    <row r="7408" spans="1:4">
      <c r="A7408" s="1">
        <v>29048</v>
      </c>
      <c r="B7408">
        <v>102.69</v>
      </c>
      <c r="C7408">
        <f t="shared" si="250"/>
        <v>-9.1663450405249213E-3</v>
      </c>
      <c r="D7408">
        <f t="shared" si="249"/>
        <v>-1.0008664174228321</v>
      </c>
    </row>
    <row r="7409" spans="1:4">
      <c r="A7409" s="1">
        <v>29049</v>
      </c>
      <c r="B7409">
        <v>102.32</v>
      </c>
      <c r="C7409">
        <f t="shared" si="250"/>
        <v>-3.6030772227091689E-3</v>
      </c>
      <c r="D7409">
        <f t="shared" si="249"/>
        <v>-0.41338722690810109</v>
      </c>
    </row>
    <row r="7410" spans="1:4">
      <c r="A7410" s="1">
        <v>29052</v>
      </c>
      <c r="B7410">
        <v>102.74</v>
      </c>
      <c r="C7410">
        <f t="shared" si="250"/>
        <v>4.1047693510555287E-3</v>
      </c>
      <c r="D7410">
        <f t="shared" si="249"/>
        <v>0.40055875125710011</v>
      </c>
    </row>
    <row r="7411" spans="1:4">
      <c r="A7411" s="1">
        <v>29053</v>
      </c>
      <c r="B7411">
        <v>101.83</v>
      </c>
      <c r="C7411">
        <f t="shared" si="250"/>
        <v>-8.8573097138407303E-3</v>
      </c>
      <c r="D7411">
        <f t="shared" si="249"/>
        <v>-0.96823239197119293</v>
      </c>
    </row>
    <row r="7412" spans="1:4">
      <c r="A7412" s="1">
        <v>29054</v>
      </c>
      <c r="B7412">
        <v>101.69</v>
      </c>
      <c r="C7412">
        <f t="shared" si="250"/>
        <v>-1.3748404203083628E-3</v>
      </c>
      <c r="D7412">
        <f t="shared" si="249"/>
        <v>-0.17808617798906601</v>
      </c>
    </row>
    <row r="7413" spans="1:4">
      <c r="A7413" s="1">
        <v>29055</v>
      </c>
      <c r="B7413">
        <v>101.61</v>
      </c>
      <c r="C7413">
        <f t="shared" si="250"/>
        <v>-7.8670469072670169E-4</v>
      </c>
      <c r="D7413">
        <f t="shared" si="249"/>
        <v>-0.11597924486229055</v>
      </c>
    </row>
    <row r="7414" spans="1:4">
      <c r="A7414" s="1">
        <v>29056</v>
      </c>
      <c r="B7414">
        <v>101.82</v>
      </c>
      <c r="C7414">
        <f t="shared" si="250"/>
        <v>2.0667257159727756E-3</v>
      </c>
      <c r="D7414">
        <f t="shared" si="249"/>
        <v>0.18534203615705264</v>
      </c>
    </row>
    <row r="7415" spans="1:4">
      <c r="A7415" s="1">
        <v>29059</v>
      </c>
      <c r="B7415">
        <v>101.59</v>
      </c>
      <c r="C7415">
        <f t="shared" si="250"/>
        <v>-2.2588882341385758E-3</v>
      </c>
      <c r="D7415">
        <f t="shared" si="249"/>
        <v>-0.27144132662708392</v>
      </c>
    </row>
    <row r="7416" spans="1:4">
      <c r="A7416" s="1">
        <v>29060</v>
      </c>
      <c r="B7416">
        <v>101.97</v>
      </c>
      <c r="C7416">
        <f t="shared" si="250"/>
        <v>3.7405256422875818E-3</v>
      </c>
      <c r="D7416">
        <f t="shared" si="249"/>
        <v>0.36209473942365727</v>
      </c>
    </row>
    <row r="7417" spans="1:4">
      <c r="A7417" s="1">
        <v>29061</v>
      </c>
      <c r="B7417">
        <v>103.08</v>
      </c>
      <c r="C7417">
        <f t="shared" si="250"/>
        <v>1.0885554574874957E-2</v>
      </c>
      <c r="D7417">
        <f t="shared" si="249"/>
        <v>1.1166073659915448</v>
      </c>
    </row>
    <row r="7418" spans="1:4">
      <c r="A7418" s="1">
        <v>29062</v>
      </c>
      <c r="B7418">
        <v>103.1</v>
      </c>
      <c r="C7418">
        <f t="shared" si="250"/>
        <v>1.9402405898327532E-4</v>
      </c>
      <c r="D7418">
        <f t="shared" si="249"/>
        <v>-1.2414622258816415E-2</v>
      </c>
    </row>
    <row r="7419" spans="1:4">
      <c r="A7419" s="1">
        <v>29063</v>
      </c>
      <c r="B7419">
        <v>103.1</v>
      </c>
      <c r="C7419">
        <f t="shared" si="250"/>
        <v>0</v>
      </c>
      <c r="D7419">
        <f t="shared" si="249"/>
        <v>-3.29034969354682E-2</v>
      </c>
    </row>
    <row r="7420" spans="1:4">
      <c r="A7420" s="1">
        <v>29066</v>
      </c>
      <c r="B7420">
        <v>103.15</v>
      </c>
      <c r="C7420">
        <f t="shared" si="250"/>
        <v>4.8496605237644393E-4</v>
      </c>
      <c r="D7420">
        <f t="shared" si="249"/>
        <v>1.8308753347513529E-2</v>
      </c>
    </row>
    <row r="7421" spans="1:4">
      <c r="A7421" s="1">
        <v>29067</v>
      </c>
      <c r="B7421">
        <v>103.81</v>
      </c>
      <c r="C7421">
        <f t="shared" si="250"/>
        <v>6.3984488608821773E-3</v>
      </c>
      <c r="D7421">
        <f t="shared" si="249"/>
        <v>0.64277052783524702</v>
      </c>
    </row>
    <row r="7422" spans="1:4">
      <c r="A7422" s="1">
        <v>29068</v>
      </c>
      <c r="B7422">
        <v>104.17</v>
      </c>
      <c r="C7422">
        <f t="shared" si="250"/>
        <v>3.4678740005779736E-3</v>
      </c>
      <c r="D7422">
        <f t="shared" si="249"/>
        <v>0.33330281873791867</v>
      </c>
    </row>
    <row r="7423" spans="1:4">
      <c r="A7423" s="1">
        <v>29069</v>
      </c>
      <c r="B7423">
        <v>104.1</v>
      </c>
      <c r="C7423">
        <f t="shared" si="250"/>
        <v>-6.7197849668817686E-4</v>
      </c>
      <c r="D7423">
        <f t="shared" si="249"/>
        <v>-0.10386419776915046</v>
      </c>
    </row>
    <row r="7424" spans="1:4">
      <c r="A7424" s="1">
        <v>29070</v>
      </c>
      <c r="B7424">
        <v>104.04</v>
      </c>
      <c r="C7424">
        <f t="shared" si="250"/>
        <v>-5.7636887608057696E-4</v>
      </c>
      <c r="D7424">
        <f t="shared" si="249"/>
        <v>-9.3767854332277023E-2</v>
      </c>
    </row>
    <row r="7425" spans="1:4">
      <c r="A7425" s="1">
        <v>29073</v>
      </c>
      <c r="B7425">
        <v>104.3</v>
      </c>
      <c r="C7425">
        <f t="shared" si="250"/>
        <v>2.4990388312186745E-3</v>
      </c>
      <c r="D7425">
        <f t="shared" si="249"/>
        <v>0.23099415417665176</v>
      </c>
    </row>
    <row r="7426" spans="1:4">
      <c r="A7426" s="1">
        <v>29074</v>
      </c>
      <c r="B7426">
        <v>105.65</v>
      </c>
      <c r="C7426">
        <f t="shared" si="250"/>
        <v>1.2943432406519738E-2</v>
      </c>
      <c r="D7426">
        <f t="shared" si="249"/>
        <v>1.3339185655065715</v>
      </c>
    </row>
    <row r="7427" spans="1:4">
      <c r="A7427" s="1">
        <v>29075</v>
      </c>
      <c r="B7427">
        <v>105.98</v>
      </c>
      <c r="C7427">
        <f t="shared" si="250"/>
        <v>3.1235210601041011E-3</v>
      </c>
      <c r="D7427">
        <f t="shared" ref="D7427:D7490" si="251">(C7427-avg)/sd</f>
        <v>0.29693926527512943</v>
      </c>
    </row>
    <row r="7428" spans="1:4">
      <c r="A7428" s="1">
        <v>29076</v>
      </c>
      <c r="B7428">
        <v>105.49</v>
      </c>
      <c r="C7428">
        <f t="shared" ref="C7428:C7491" si="252">(B7428-B7427)/B7427</f>
        <v>-4.623513870541697E-3</v>
      </c>
      <c r="D7428">
        <f t="shared" si="251"/>
        <v>-0.52114499005594628</v>
      </c>
    </row>
    <row r="7429" spans="1:4">
      <c r="A7429" s="1">
        <v>29077</v>
      </c>
      <c r="B7429">
        <v>106.4</v>
      </c>
      <c r="C7429">
        <f t="shared" si="252"/>
        <v>8.6264100862642034E-3</v>
      </c>
      <c r="D7429">
        <f t="shared" si="251"/>
        <v>0.87804247591477225</v>
      </c>
    </row>
    <row r="7430" spans="1:4">
      <c r="A7430" s="1">
        <v>29080</v>
      </c>
      <c r="B7430">
        <v>107.42</v>
      </c>
      <c r="C7430">
        <f t="shared" si="252"/>
        <v>9.5864661654134955E-3</v>
      </c>
      <c r="D7430">
        <f t="shared" si="251"/>
        <v>0.97942407153402022</v>
      </c>
    </row>
    <row r="7431" spans="1:4">
      <c r="A7431" s="1">
        <v>29081</v>
      </c>
      <c r="B7431">
        <v>107.52</v>
      </c>
      <c r="C7431">
        <f t="shared" si="252"/>
        <v>9.3092533978769612E-4</v>
      </c>
      <c r="D7431">
        <f t="shared" si="251"/>
        <v>6.5401902509214641E-2</v>
      </c>
    </row>
    <row r="7432" spans="1:4">
      <c r="A7432" s="1">
        <v>29082</v>
      </c>
      <c r="B7432">
        <v>108.25</v>
      </c>
      <c r="C7432">
        <f t="shared" si="252"/>
        <v>6.7894345238095613E-3</v>
      </c>
      <c r="D7432">
        <f t="shared" si="251"/>
        <v>0.68405848093789456</v>
      </c>
    </row>
    <row r="7433" spans="1:4">
      <c r="A7433" s="1">
        <v>29083</v>
      </c>
      <c r="B7433">
        <v>108.09</v>
      </c>
      <c r="C7433">
        <f t="shared" si="252"/>
        <v>-1.4780600461893449E-3</v>
      </c>
      <c r="D7433">
        <f t="shared" si="251"/>
        <v>-0.18898613539604212</v>
      </c>
    </row>
    <row r="7434" spans="1:4">
      <c r="A7434" s="1">
        <v>29084</v>
      </c>
      <c r="B7434">
        <v>108.3</v>
      </c>
      <c r="C7434">
        <f t="shared" si="252"/>
        <v>1.9428254232583379E-3</v>
      </c>
      <c r="D7434">
        <f t="shared" si="251"/>
        <v>0.17225820736216382</v>
      </c>
    </row>
    <row r="7435" spans="1:4">
      <c r="A7435" s="1">
        <v>29087</v>
      </c>
      <c r="B7435">
        <v>108.83</v>
      </c>
      <c r="C7435">
        <f t="shared" si="252"/>
        <v>4.8938134810711095E-3</v>
      </c>
      <c r="D7435">
        <f t="shared" si="251"/>
        <v>0.483881543177614</v>
      </c>
    </row>
    <row r="7436" spans="1:4">
      <c r="A7436" s="1">
        <v>29088</v>
      </c>
      <c r="B7436">
        <v>108.91</v>
      </c>
      <c r="C7436">
        <f t="shared" si="252"/>
        <v>7.3509142699621703E-4</v>
      </c>
      <c r="D7436">
        <f t="shared" si="251"/>
        <v>4.4721907885615739E-2</v>
      </c>
    </row>
    <row r="7437" spans="1:4">
      <c r="A7437" s="1">
        <v>29089</v>
      </c>
      <c r="B7437">
        <v>108.99</v>
      </c>
      <c r="C7437">
        <f t="shared" si="252"/>
        <v>7.3455146451196671E-4</v>
      </c>
      <c r="D7437">
        <f t="shared" si="251"/>
        <v>4.4664888030821075E-2</v>
      </c>
    </row>
    <row r="7438" spans="1:4">
      <c r="A7438" s="1">
        <v>29090</v>
      </c>
      <c r="B7438">
        <v>108.63</v>
      </c>
      <c r="C7438">
        <f t="shared" si="252"/>
        <v>-3.3030553261767085E-3</v>
      </c>
      <c r="D7438">
        <f t="shared" si="251"/>
        <v>-0.381705016616671</v>
      </c>
    </row>
    <row r="7439" spans="1:4">
      <c r="A7439" s="1">
        <v>29091</v>
      </c>
      <c r="B7439">
        <v>108.6</v>
      </c>
      <c r="C7439">
        <f t="shared" si="252"/>
        <v>-2.7616680475007951E-4</v>
      </c>
      <c r="D7439">
        <f t="shared" si="251"/>
        <v>-6.2066617643418566E-2</v>
      </c>
    </row>
    <row r="7440" spans="1:4">
      <c r="A7440" s="1">
        <v>29094</v>
      </c>
      <c r="B7440">
        <v>109.14</v>
      </c>
      <c r="C7440">
        <f t="shared" si="252"/>
        <v>4.9723756906077925E-3</v>
      </c>
      <c r="D7440">
        <f t="shared" si="251"/>
        <v>0.49217768580009519</v>
      </c>
    </row>
    <row r="7441" spans="1:4">
      <c r="A7441" s="1">
        <v>29095</v>
      </c>
      <c r="B7441">
        <v>109.02</v>
      </c>
      <c r="C7441">
        <f t="shared" si="252"/>
        <v>-1.0995052226498493E-3</v>
      </c>
      <c r="D7441">
        <f t="shared" si="251"/>
        <v>-0.14901087470730801</v>
      </c>
    </row>
    <row r="7442" spans="1:4">
      <c r="A7442" s="1">
        <v>29096</v>
      </c>
      <c r="B7442">
        <v>109.02</v>
      </c>
      <c r="C7442">
        <f t="shared" si="252"/>
        <v>0</v>
      </c>
      <c r="D7442">
        <f t="shared" si="251"/>
        <v>-3.29034969354682E-2</v>
      </c>
    </row>
    <row r="7443" spans="1:4">
      <c r="A7443" s="1">
        <v>29097</v>
      </c>
      <c r="B7443">
        <v>109.02</v>
      </c>
      <c r="C7443">
        <f t="shared" si="252"/>
        <v>0</v>
      </c>
      <c r="D7443">
        <f t="shared" si="251"/>
        <v>-3.29034969354682E-2</v>
      </c>
    </row>
    <row r="7444" spans="1:4">
      <c r="A7444" s="1">
        <v>29098</v>
      </c>
      <c r="B7444">
        <v>109.32</v>
      </c>
      <c r="C7444">
        <f t="shared" si="252"/>
        <v>2.7517886626306841E-3</v>
      </c>
      <c r="D7444">
        <f t="shared" si="251"/>
        <v>0.25768445045991795</v>
      </c>
    </row>
    <row r="7445" spans="1:4">
      <c r="A7445" s="1">
        <v>29102</v>
      </c>
      <c r="B7445">
        <v>107.44</v>
      </c>
      <c r="C7445">
        <f t="shared" si="252"/>
        <v>-1.7197219173069846E-2</v>
      </c>
      <c r="D7445">
        <f t="shared" si="251"/>
        <v>-1.8489239959928232</v>
      </c>
    </row>
    <row r="7446" spans="1:4">
      <c r="A7446" s="1">
        <v>29103</v>
      </c>
      <c r="B7446">
        <v>106.4</v>
      </c>
      <c r="C7446">
        <f t="shared" si="252"/>
        <v>-9.6798212956067768E-3</v>
      </c>
      <c r="D7446">
        <f t="shared" si="251"/>
        <v>-1.0550893354204165</v>
      </c>
    </row>
    <row r="7447" spans="1:4">
      <c r="A7447" s="1">
        <v>29104</v>
      </c>
      <c r="B7447">
        <v>106.85</v>
      </c>
      <c r="C7447">
        <f t="shared" si="252"/>
        <v>4.2293233082705698E-3</v>
      </c>
      <c r="D7447">
        <f t="shared" si="251"/>
        <v>0.41371160680106123</v>
      </c>
    </row>
    <row r="7448" spans="1:4">
      <c r="A7448" s="1">
        <v>29105</v>
      </c>
      <c r="B7448">
        <v>107.66</v>
      </c>
      <c r="C7448">
        <f t="shared" si="252"/>
        <v>7.5807206364061986E-3</v>
      </c>
      <c r="D7448">
        <f t="shared" si="251"/>
        <v>0.76761802545688118</v>
      </c>
    </row>
    <row r="7449" spans="1:4">
      <c r="A7449" s="1">
        <v>29108</v>
      </c>
      <c r="B7449">
        <v>108.17</v>
      </c>
      <c r="C7449">
        <f t="shared" si="252"/>
        <v>4.7371354263422358E-3</v>
      </c>
      <c r="D7449">
        <f t="shared" si="251"/>
        <v>0.46733639385570336</v>
      </c>
    </row>
    <row r="7450" spans="1:4">
      <c r="A7450" s="1">
        <v>29109</v>
      </c>
      <c r="B7450">
        <v>107.51</v>
      </c>
      <c r="C7450">
        <f t="shared" si="252"/>
        <v>-6.1015068873069853E-3</v>
      </c>
      <c r="D7450">
        <f t="shared" si="251"/>
        <v>-0.67722055023212424</v>
      </c>
    </row>
    <row r="7451" spans="1:4">
      <c r="A7451" s="1">
        <v>29110</v>
      </c>
      <c r="B7451">
        <v>107.82</v>
      </c>
      <c r="C7451">
        <f t="shared" si="252"/>
        <v>2.8834527020741144E-3</v>
      </c>
      <c r="D7451">
        <f t="shared" si="251"/>
        <v>0.27158812827036266</v>
      </c>
    </row>
    <row r="7452" spans="1:4">
      <c r="A7452" s="1">
        <v>29111</v>
      </c>
      <c r="B7452">
        <v>107.85</v>
      </c>
      <c r="C7452">
        <f t="shared" si="252"/>
        <v>2.7824151363384475E-4</v>
      </c>
      <c r="D7452">
        <f t="shared" si="251"/>
        <v>-3.5212876746200279E-3</v>
      </c>
    </row>
    <row r="7453" spans="1:4">
      <c r="A7453" s="1">
        <v>29112</v>
      </c>
      <c r="B7453">
        <v>108.76</v>
      </c>
      <c r="C7453">
        <f t="shared" si="252"/>
        <v>8.4376448771442819E-3</v>
      </c>
      <c r="D7453">
        <f t="shared" si="251"/>
        <v>0.85810893399612076</v>
      </c>
    </row>
    <row r="7454" spans="1:4">
      <c r="A7454" s="1">
        <v>29115</v>
      </c>
      <c r="B7454">
        <v>108.84</v>
      </c>
      <c r="C7454">
        <f t="shared" si="252"/>
        <v>7.3556454578887728E-4</v>
      </c>
      <c r="D7454">
        <f t="shared" si="251"/>
        <v>4.4771869069299773E-2</v>
      </c>
    </row>
    <row r="7455" spans="1:4">
      <c r="A7455" s="1">
        <v>29116</v>
      </c>
      <c r="B7455">
        <v>108</v>
      </c>
      <c r="C7455">
        <f t="shared" si="252"/>
        <v>-7.7177508269019052E-3</v>
      </c>
      <c r="D7455">
        <f t="shared" si="251"/>
        <v>-0.84789536086533923</v>
      </c>
    </row>
    <row r="7456" spans="1:4">
      <c r="A7456" s="1">
        <v>29117</v>
      </c>
      <c r="B7456">
        <v>108.28</v>
      </c>
      <c r="C7456">
        <f t="shared" si="252"/>
        <v>2.5925925925926029E-3</v>
      </c>
      <c r="D7456">
        <f t="shared" si="251"/>
        <v>0.24087339957727</v>
      </c>
    </row>
    <row r="7457" spans="1:4">
      <c r="A7457" s="1">
        <v>29118</v>
      </c>
      <c r="B7457">
        <v>110.51</v>
      </c>
      <c r="C7457">
        <f t="shared" si="252"/>
        <v>2.0594754340598483E-2</v>
      </c>
      <c r="D7457">
        <f t="shared" si="251"/>
        <v>2.1418955609345947</v>
      </c>
    </row>
    <row r="7458" spans="1:4">
      <c r="A7458" s="1">
        <v>29119</v>
      </c>
      <c r="B7458">
        <v>110.47</v>
      </c>
      <c r="C7458">
        <f t="shared" si="252"/>
        <v>-3.6195819382866938E-4</v>
      </c>
      <c r="D7458">
        <f t="shared" si="251"/>
        <v>-7.1126159168207609E-2</v>
      </c>
    </row>
    <row r="7459" spans="1:4">
      <c r="A7459" s="1">
        <v>29122</v>
      </c>
      <c r="B7459">
        <v>109.61</v>
      </c>
      <c r="C7459">
        <f t="shared" si="252"/>
        <v>-7.7849189825291883E-3</v>
      </c>
      <c r="D7459">
        <f t="shared" si="251"/>
        <v>-0.8549882952680149</v>
      </c>
    </row>
    <row r="7460" spans="1:4">
      <c r="A7460" s="1">
        <v>29123</v>
      </c>
      <c r="B7460">
        <v>109.68</v>
      </c>
      <c r="C7460">
        <f t="shared" si="252"/>
        <v>6.3862786242137933E-4</v>
      </c>
      <c r="D7460">
        <f t="shared" si="251"/>
        <v>3.4535388256071643E-2</v>
      </c>
    </row>
    <row r="7461" spans="1:4">
      <c r="A7461" s="1">
        <v>29124</v>
      </c>
      <c r="B7461">
        <v>109.96</v>
      </c>
      <c r="C7461">
        <f t="shared" si="252"/>
        <v>2.5528811086796763E-3</v>
      </c>
      <c r="D7461">
        <f t="shared" si="251"/>
        <v>0.23667988037465418</v>
      </c>
    </row>
    <row r="7462" spans="1:4">
      <c r="A7462" s="1">
        <v>29125</v>
      </c>
      <c r="B7462">
        <v>110.21</v>
      </c>
      <c r="C7462">
        <f t="shared" si="252"/>
        <v>2.273554019643507E-3</v>
      </c>
      <c r="D7462">
        <f t="shared" si="251"/>
        <v>0.20718303472032554</v>
      </c>
    </row>
    <row r="7463" spans="1:4">
      <c r="A7463" s="1">
        <v>29126</v>
      </c>
      <c r="B7463">
        <v>109.32</v>
      </c>
      <c r="C7463">
        <f t="shared" si="252"/>
        <v>-8.0754922420833014E-3</v>
      </c>
      <c r="D7463">
        <f t="shared" si="251"/>
        <v>-0.88567273270627933</v>
      </c>
    </row>
    <row r="7464" spans="1:4">
      <c r="A7464" s="1">
        <v>29129</v>
      </c>
      <c r="B7464">
        <v>108.56</v>
      </c>
      <c r="C7464">
        <f t="shared" si="252"/>
        <v>-6.9520673252834887E-3</v>
      </c>
      <c r="D7464">
        <f t="shared" si="251"/>
        <v>-0.76703944336290253</v>
      </c>
    </row>
    <row r="7465" spans="1:4">
      <c r="A7465" s="1">
        <v>29130</v>
      </c>
      <c r="B7465">
        <v>109.59</v>
      </c>
      <c r="C7465">
        <f t="shared" si="252"/>
        <v>9.4878408253500478E-3</v>
      </c>
      <c r="D7465">
        <f t="shared" si="251"/>
        <v>0.96900926914770213</v>
      </c>
    </row>
    <row r="7466" spans="1:4">
      <c r="A7466" s="1">
        <v>29131</v>
      </c>
      <c r="B7466">
        <v>109.59</v>
      </c>
      <c r="C7466">
        <f t="shared" si="252"/>
        <v>0</v>
      </c>
      <c r="D7466">
        <f t="shared" si="251"/>
        <v>-3.29034969354682E-2</v>
      </c>
    </row>
    <row r="7467" spans="1:4">
      <c r="A7467" s="1">
        <v>29132</v>
      </c>
      <c r="B7467">
        <v>110.17</v>
      </c>
      <c r="C7467">
        <f t="shared" si="252"/>
        <v>5.2924536910301878E-3</v>
      </c>
      <c r="D7467">
        <f t="shared" si="251"/>
        <v>0.5259778138449015</v>
      </c>
    </row>
    <row r="7468" spans="1:4">
      <c r="A7468" s="1">
        <v>29133</v>
      </c>
      <c r="B7468">
        <v>111.27</v>
      </c>
      <c r="C7468">
        <f t="shared" si="252"/>
        <v>9.9845693019877859E-3</v>
      </c>
      <c r="D7468">
        <f t="shared" si="251"/>
        <v>1.0214636274344342</v>
      </c>
    </row>
    <row r="7469" spans="1:4">
      <c r="A7469" s="1">
        <v>29136</v>
      </c>
      <c r="B7469">
        <v>109.88</v>
      </c>
      <c r="C7469">
        <f t="shared" si="252"/>
        <v>-1.2492136245169413E-2</v>
      </c>
      <c r="D7469">
        <f t="shared" si="251"/>
        <v>-1.3520688381419321</v>
      </c>
    </row>
    <row r="7470" spans="1:4">
      <c r="A7470" s="1">
        <v>29137</v>
      </c>
      <c r="B7470">
        <v>106.63</v>
      </c>
      <c r="C7470">
        <f t="shared" si="252"/>
        <v>-2.9577721150345834E-2</v>
      </c>
      <c r="D7470">
        <f t="shared" si="251"/>
        <v>-3.156300796456073</v>
      </c>
    </row>
    <row r="7471" spans="1:4">
      <c r="A7471" s="1">
        <v>29138</v>
      </c>
      <c r="B7471">
        <v>105.3</v>
      </c>
      <c r="C7471">
        <f t="shared" si="252"/>
        <v>-1.2473037606677281E-2</v>
      </c>
      <c r="D7471">
        <f t="shared" si="251"/>
        <v>-1.3500520284091055</v>
      </c>
    </row>
    <row r="7472" spans="1:4">
      <c r="A7472" s="1">
        <v>29139</v>
      </c>
      <c r="B7472">
        <v>105.05</v>
      </c>
      <c r="C7472">
        <f t="shared" si="252"/>
        <v>-2.3741690408357074E-3</v>
      </c>
      <c r="D7472">
        <f t="shared" si="251"/>
        <v>-0.28361494062845088</v>
      </c>
    </row>
    <row r="7473" spans="1:4">
      <c r="A7473" s="1">
        <v>29140</v>
      </c>
      <c r="B7473">
        <v>104.49</v>
      </c>
      <c r="C7473">
        <f t="shared" si="252"/>
        <v>-5.3307948595906927E-3</v>
      </c>
      <c r="D7473">
        <f t="shared" si="251"/>
        <v>-0.59583362208303081</v>
      </c>
    </row>
    <row r="7474" spans="1:4">
      <c r="A7474" s="1">
        <v>29143</v>
      </c>
      <c r="B7474">
        <v>103.36</v>
      </c>
      <c r="C7474">
        <f t="shared" si="252"/>
        <v>-1.0814432003062452E-2</v>
      </c>
      <c r="D7474">
        <f t="shared" si="251"/>
        <v>-1.1749038404548173</v>
      </c>
    </row>
    <row r="7475" spans="1:4">
      <c r="A7475" s="1">
        <v>29144</v>
      </c>
      <c r="B7475">
        <v>103.19</v>
      </c>
      <c r="C7475">
        <f t="shared" si="252"/>
        <v>-1.6447368421052798E-3</v>
      </c>
      <c r="D7475">
        <f t="shared" si="251"/>
        <v>-0.20658714838856915</v>
      </c>
    </row>
    <row r="7476" spans="1:4">
      <c r="A7476" s="1">
        <v>29145</v>
      </c>
      <c r="B7476">
        <v>103.39</v>
      </c>
      <c r="C7476">
        <f t="shared" si="252"/>
        <v>1.9381723035178102E-3</v>
      </c>
      <c r="D7476">
        <f t="shared" si="251"/>
        <v>0.17176683949923635</v>
      </c>
    </row>
    <row r="7477" spans="1:4">
      <c r="A7477" s="1">
        <v>29146</v>
      </c>
      <c r="B7477">
        <v>103.61</v>
      </c>
      <c r="C7477">
        <f t="shared" si="252"/>
        <v>2.1278653641551297E-3</v>
      </c>
      <c r="D7477">
        <f t="shared" si="251"/>
        <v>0.19179836222273305</v>
      </c>
    </row>
    <row r="7478" spans="1:4">
      <c r="A7478" s="1">
        <v>29147</v>
      </c>
      <c r="B7478">
        <v>101.6</v>
      </c>
      <c r="C7478">
        <f t="shared" si="252"/>
        <v>-1.9399671846346927E-2</v>
      </c>
      <c r="D7478">
        <f t="shared" si="251"/>
        <v>-2.0815022496408444</v>
      </c>
    </row>
    <row r="7479" spans="1:4">
      <c r="A7479" s="1">
        <v>29150</v>
      </c>
      <c r="B7479">
        <v>100.71</v>
      </c>
      <c r="C7479">
        <f t="shared" si="252"/>
        <v>-8.7598425196850453E-3</v>
      </c>
      <c r="D7479">
        <f t="shared" si="251"/>
        <v>-0.95793988939906161</v>
      </c>
    </row>
    <row r="7480" spans="1:4">
      <c r="A7480" s="1">
        <v>29151</v>
      </c>
      <c r="B7480">
        <v>100.28</v>
      </c>
      <c r="C7480">
        <f t="shared" si="252"/>
        <v>-4.2696852348326148E-3</v>
      </c>
      <c r="D7480">
        <f t="shared" si="251"/>
        <v>-0.48378080639726423</v>
      </c>
    </row>
    <row r="7481" spans="1:4">
      <c r="A7481" s="1">
        <v>29152</v>
      </c>
      <c r="B7481">
        <v>100.44</v>
      </c>
      <c r="C7481">
        <f t="shared" si="252"/>
        <v>1.5955325089748364E-3</v>
      </c>
      <c r="D7481">
        <f t="shared" si="251"/>
        <v>0.1355841936644234</v>
      </c>
    </row>
    <row r="7482" spans="1:4">
      <c r="A7482" s="1">
        <v>29153</v>
      </c>
      <c r="B7482">
        <v>100</v>
      </c>
      <c r="C7482">
        <f t="shared" si="252"/>
        <v>-4.3807248108323153E-3</v>
      </c>
      <c r="D7482">
        <f t="shared" si="251"/>
        <v>-0.49550654787864684</v>
      </c>
    </row>
    <row r="7483" spans="1:4">
      <c r="A7483" s="1">
        <v>29154</v>
      </c>
      <c r="B7483">
        <v>100.57</v>
      </c>
      <c r="C7483">
        <f t="shared" si="252"/>
        <v>5.6999999999999317E-3</v>
      </c>
      <c r="D7483">
        <f t="shared" si="251"/>
        <v>0.5690145655403851</v>
      </c>
    </row>
    <row r="7484" spans="1:4">
      <c r="A7484" s="1">
        <v>29157</v>
      </c>
      <c r="B7484">
        <v>100.71</v>
      </c>
      <c r="C7484">
        <f t="shared" si="252"/>
        <v>1.3920652281992699E-3</v>
      </c>
      <c r="D7484">
        <f t="shared" si="251"/>
        <v>0.11409811797641271</v>
      </c>
    </row>
    <row r="7485" spans="1:4">
      <c r="A7485" s="1">
        <v>29158</v>
      </c>
      <c r="B7485">
        <v>102.67</v>
      </c>
      <c r="C7485">
        <f t="shared" si="252"/>
        <v>1.9461821070400238E-2</v>
      </c>
      <c r="D7485">
        <f t="shared" si="251"/>
        <v>2.0222581927043897</v>
      </c>
    </row>
    <row r="7486" spans="1:4">
      <c r="A7486" s="1">
        <v>29159</v>
      </c>
      <c r="B7486">
        <v>101.82</v>
      </c>
      <c r="C7486">
        <f t="shared" si="252"/>
        <v>-8.2789519820785865E-3</v>
      </c>
      <c r="D7486">
        <f t="shared" si="251"/>
        <v>-0.90715801209045555</v>
      </c>
    </row>
    <row r="7487" spans="1:4">
      <c r="A7487" s="1">
        <v>29160</v>
      </c>
      <c r="B7487">
        <v>102.57</v>
      </c>
      <c r="C7487">
        <f t="shared" si="252"/>
        <v>7.3659398939304663E-3</v>
      </c>
      <c r="D7487">
        <f t="shared" si="251"/>
        <v>0.74493725205896544</v>
      </c>
    </row>
    <row r="7488" spans="1:4">
      <c r="A7488" s="1">
        <v>29161</v>
      </c>
      <c r="B7488">
        <v>102.51</v>
      </c>
      <c r="C7488">
        <f t="shared" si="252"/>
        <v>-5.849663644339287E-4</v>
      </c>
      <c r="D7488">
        <f t="shared" si="251"/>
        <v>-9.4675746179962661E-2</v>
      </c>
    </row>
    <row r="7489" spans="1:4">
      <c r="A7489" s="1">
        <v>29164</v>
      </c>
      <c r="B7489">
        <v>101.82</v>
      </c>
      <c r="C7489">
        <f t="shared" si="252"/>
        <v>-6.731050629207023E-3</v>
      </c>
      <c r="D7489">
        <f t="shared" si="251"/>
        <v>-0.743700155384453</v>
      </c>
    </row>
    <row r="7490" spans="1:4">
      <c r="A7490" s="1">
        <v>29165</v>
      </c>
      <c r="B7490">
        <v>101.2</v>
      </c>
      <c r="C7490">
        <f t="shared" si="252"/>
        <v>-6.0891769789824237E-3</v>
      </c>
      <c r="D7490">
        <f t="shared" si="251"/>
        <v>-0.67591851610419007</v>
      </c>
    </row>
    <row r="7491" spans="1:4">
      <c r="A7491" s="1">
        <v>29166</v>
      </c>
      <c r="B7491">
        <v>99.87</v>
      </c>
      <c r="C7491">
        <f t="shared" si="252"/>
        <v>-1.314229249011856E-2</v>
      </c>
      <c r="D7491">
        <f t="shared" ref="D7491:D7554" si="253">(C7491-avg)/sd</f>
        <v>-1.4207251166097166</v>
      </c>
    </row>
    <row r="7492" spans="1:4">
      <c r="A7492" s="1">
        <v>29167</v>
      </c>
      <c r="B7492">
        <v>100.3</v>
      </c>
      <c r="C7492">
        <f t="shared" ref="C7492:C7555" si="254">(B7492-B7491)/B7491</f>
        <v>4.3055972764593229E-3</v>
      </c>
      <c r="D7492">
        <f t="shared" si="253"/>
        <v>0.42176611191501207</v>
      </c>
    </row>
    <row r="7493" spans="1:4">
      <c r="A7493" s="1">
        <v>29168</v>
      </c>
      <c r="B7493">
        <v>101.51</v>
      </c>
      <c r="C7493">
        <f t="shared" si="254"/>
        <v>1.2063808574277248E-2</v>
      </c>
      <c r="D7493">
        <f t="shared" si="253"/>
        <v>1.2410305878204326</v>
      </c>
    </row>
    <row r="7494" spans="1:4">
      <c r="A7494" s="1">
        <v>29171</v>
      </c>
      <c r="B7494">
        <v>103.51</v>
      </c>
      <c r="C7494">
        <f t="shared" si="254"/>
        <v>1.9702492365284208E-2</v>
      </c>
      <c r="D7494">
        <f t="shared" si="253"/>
        <v>2.0476729996359886</v>
      </c>
    </row>
    <row r="7495" spans="1:4">
      <c r="A7495" s="1">
        <v>29172</v>
      </c>
      <c r="B7495">
        <v>102.94</v>
      </c>
      <c r="C7495">
        <f t="shared" si="254"/>
        <v>-5.5067143271182242E-3</v>
      </c>
      <c r="D7495">
        <f t="shared" si="253"/>
        <v>-0.6144106580560057</v>
      </c>
    </row>
    <row r="7496" spans="1:4">
      <c r="A7496" s="1">
        <v>29173</v>
      </c>
      <c r="B7496">
        <v>103.39</v>
      </c>
      <c r="C7496">
        <f t="shared" si="254"/>
        <v>4.3714785311832413E-3</v>
      </c>
      <c r="D7496">
        <f t="shared" si="253"/>
        <v>0.42872315001973132</v>
      </c>
    </row>
    <row r="7497" spans="1:4">
      <c r="A7497" s="1">
        <v>29174</v>
      </c>
      <c r="B7497">
        <v>104.13</v>
      </c>
      <c r="C7497">
        <f t="shared" si="254"/>
        <v>7.1573653157945144E-3</v>
      </c>
      <c r="D7497">
        <f t="shared" si="253"/>
        <v>0.72291184750575277</v>
      </c>
    </row>
    <row r="7498" spans="1:4">
      <c r="A7498" s="1">
        <v>29175</v>
      </c>
      <c r="B7498">
        <v>103.79</v>
      </c>
      <c r="C7498">
        <f t="shared" si="254"/>
        <v>-3.2651493325649593E-3</v>
      </c>
      <c r="D7498">
        <f t="shared" si="253"/>
        <v>-0.37770215657614353</v>
      </c>
    </row>
    <row r="7499" spans="1:4">
      <c r="A7499" s="1">
        <v>29178</v>
      </c>
      <c r="B7499">
        <v>104.23</v>
      </c>
      <c r="C7499">
        <f t="shared" si="254"/>
        <v>4.2393294151652156E-3</v>
      </c>
      <c r="D7499">
        <f t="shared" si="253"/>
        <v>0.41476824828789483</v>
      </c>
    </row>
    <row r="7500" spans="1:4">
      <c r="A7500" s="1">
        <v>29179</v>
      </c>
      <c r="B7500">
        <v>103.69</v>
      </c>
      <c r="C7500">
        <f t="shared" si="254"/>
        <v>-5.1808500431738099E-3</v>
      </c>
      <c r="D7500">
        <f t="shared" si="253"/>
        <v>-0.57999950043812754</v>
      </c>
    </row>
    <row r="7501" spans="1:4">
      <c r="A7501" s="1">
        <v>29180</v>
      </c>
      <c r="B7501">
        <v>103.89</v>
      </c>
      <c r="C7501">
        <f t="shared" si="254"/>
        <v>1.9288263091908847E-3</v>
      </c>
      <c r="D7501">
        <f t="shared" si="253"/>
        <v>0.17077990567517085</v>
      </c>
    </row>
    <row r="7502" spans="1:4">
      <c r="A7502" s="1">
        <v>29182</v>
      </c>
      <c r="B7502">
        <v>104.67</v>
      </c>
      <c r="C7502">
        <f t="shared" si="254"/>
        <v>7.5079410915391389E-3</v>
      </c>
      <c r="D7502">
        <f t="shared" si="253"/>
        <v>0.75993253025788898</v>
      </c>
    </row>
    <row r="7503" spans="1:4">
      <c r="A7503" s="1">
        <v>29185</v>
      </c>
      <c r="B7503">
        <v>106.8</v>
      </c>
      <c r="C7503">
        <f t="shared" si="254"/>
        <v>2.0349670392662611E-2</v>
      </c>
      <c r="D7503">
        <f t="shared" si="253"/>
        <v>2.1160147793406479</v>
      </c>
    </row>
    <row r="7504" spans="1:4">
      <c r="A7504" s="1">
        <v>29186</v>
      </c>
      <c r="B7504">
        <v>106.38</v>
      </c>
      <c r="C7504">
        <f t="shared" si="254"/>
        <v>-3.9325842696629372E-3</v>
      </c>
      <c r="D7504">
        <f t="shared" si="253"/>
        <v>-0.44818305906153177</v>
      </c>
    </row>
    <row r="7505" spans="1:4">
      <c r="A7505" s="1">
        <v>29187</v>
      </c>
      <c r="B7505">
        <v>106.77</v>
      </c>
      <c r="C7505">
        <f t="shared" si="254"/>
        <v>3.66610265087423E-3</v>
      </c>
      <c r="D7505">
        <f t="shared" si="253"/>
        <v>0.35423569682801126</v>
      </c>
    </row>
    <row r="7506" spans="1:4">
      <c r="A7506" s="1">
        <v>29188</v>
      </c>
      <c r="B7506">
        <v>106.81</v>
      </c>
      <c r="C7506">
        <f t="shared" si="254"/>
        <v>3.7463707033816854E-4</v>
      </c>
      <c r="D7506">
        <f t="shared" si="253"/>
        <v>6.6580503469148011E-3</v>
      </c>
    </row>
    <row r="7507" spans="1:4">
      <c r="A7507" s="1">
        <v>29189</v>
      </c>
      <c r="B7507">
        <v>106.16</v>
      </c>
      <c r="C7507">
        <f t="shared" si="254"/>
        <v>-6.0855725119371377E-3</v>
      </c>
      <c r="D7507">
        <f t="shared" si="253"/>
        <v>-0.67553788560942574</v>
      </c>
    </row>
    <row r="7508" spans="1:4">
      <c r="A7508" s="1">
        <v>29192</v>
      </c>
      <c r="B7508">
        <v>105.83</v>
      </c>
      <c r="C7508">
        <f t="shared" si="254"/>
        <v>-3.1085154483797882E-3</v>
      </c>
      <c r="D7508">
        <f t="shared" si="253"/>
        <v>-0.36116167164863366</v>
      </c>
    </row>
    <row r="7509" spans="1:4">
      <c r="A7509" s="1">
        <v>29193</v>
      </c>
      <c r="B7509">
        <v>106.79</v>
      </c>
      <c r="C7509">
        <f t="shared" si="254"/>
        <v>9.0711518473023528E-3</v>
      </c>
      <c r="D7509">
        <f t="shared" si="253"/>
        <v>0.92500705470533107</v>
      </c>
    </row>
    <row r="7510" spans="1:4">
      <c r="A7510" s="1">
        <v>29194</v>
      </c>
      <c r="B7510">
        <v>107.25</v>
      </c>
      <c r="C7510">
        <f t="shared" si="254"/>
        <v>4.3075194306582427E-3</v>
      </c>
      <c r="D7510">
        <f t="shared" si="253"/>
        <v>0.42196909074504602</v>
      </c>
    </row>
    <row r="7511" spans="1:4">
      <c r="A7511" s="1">
        <v>29195</v>
      </c>
      <c r="B7511">
        <v>108</v>
      </c>
      <c r="C7511">
        <f t="shared" si="254"/>
        <v>6.993006993006993E-3</v>
      </c>
      <c r="D7511">
        <f t="shared" si="253"/>
        <v>0.70555566448749896</v>
      </c>
    </row>
    <row r="7512" spans="1:4">
      <c r="A7512" s="1">
        <v>29196</v>
      </c>
      <c r="B7512">
        <v>107.52</v>
      </c>
      <c r="C7512">
        <f t="shared" si="254"/>
        <v>-4.4444444444444809E-3</v>
      </c>
      <c r="D7512">
        <f t="shared" si="253"/>
        <v>-0.50223531952873568</v>
      </c>
    </row>
    <row r="7513" spans="1:4">
      <c r="A7513" s="1">
        <v>29199</v>
      </c>
      <c r="B7513">
        <v>107.67</v>
      </c>
      <c r="C7513">
        <f t="shared" si="254"/>
        <v>1.3950892857143387E-3</v>
      </c>
      <c r="D7513">
        <f t="shared" si="253"/>
        <v>0.11441745742207689</v>
      </c>
    </row>
    <row r="7514" spans="1:4">
      <c r="A7514" s="1">
        <v>29200</v>
      </c>
      <c r="B7514">
        <v>107.49</v>
      </c>
      <c r="C7514">
        <f t="shared" si="254"/>
        <v>-1.6717748676512195E-3</v>
      </c>
      <c r="D7514">
        <f t="shared" si="253"/>
        <v>-0.20944235469554895</v>
      </c>
    </row>
    <row r="7515" spans="1:4">
      <c r="A7515" s="1">
        <v>29201</v>
      </c>
      <c r="B7515">
        <v>107.52</v>
      </c>
      <c r="C7515">
        <f t="shared" si="254"/>
        <v>2.7909572983534411E-4</v>
      </c>
      <c r="D7515">
        <f t="shared" si="253"/>
        <v>-3.4310827341038908E-3</v>
      </c>
    </row>
    <row r="7516" spans="1:4">
      <c r="A7516" s="1">
        <v>29202</v>
      </c>
      <c r="B7516">
        <v>107.67</v>
      </c>
      <c r="C7516">
        <f t="shared" si="254"/>
        <v>1.3950892857143387E-3</v>
      </c>
      <c r="D7516">
        <f t="shared" si="253"/>
        <v>0.11441745742207689</v>
      </c>
    </row>
    <row r="7517" spans="1:4">
      <c r="A7517" s="1">
        <v>29203</v>
      </c>
      <c r="B7517">
        <v>108.92</v>
      </c>
      <c r="C7517">
        <f t="shared" si="254"/>
        <v>1.1609547692021919E-2</v>
      </c>
      <c r="D7517">
        <f t="shared" si="253"/>
        <v>1.1930607930650463</v>
      </c>
    </row>
    <row r="7518" spans="1:4">
      <c r="A7518" s="1">
        <v>29206</v>
      </c>
      <c r="B7518">
        <v>109.33</v>
      </c>
      <c r="C7518">
        <f t="shared" si="254"/>
        <v>3.7642306279838098E-3</v>
      </c>
      <c r="D7518">
        <f t="shared" si="253"/>
        <v>0.36459797785546277</v>
      </c>
    </row>
    <row r="7519" spans="1:4">
      <c r="A7519" s="1">
        <v>29207</v>
      </c>
      <c r="B7519">
        <v>108.3</v>
      </c>
      <c r="C7519">
        <f t="shared" si="254"/>
        <v>-9.4210189335040811E-3</v>
      </c>
      <c r="D7519">
        <f t="shared" si="253"/>
        <v>-1.027759893953569</v>
      </c>
    </row>
    <row r="7520" spans="1:4">
      <c r="A7520" s="1">
        <v>29208</v>
      </c>
      <c r="B7520">
        <v>108.2</v>
      </c>
      <c r="C7520">
        <f t="shared" si="254"/>
        <v>-9.2336103416430575E-4</v>
      </c>
      <c r="D7520">
        <f t="shared" si="253"/>
        <v>-0.13041010827755342</v>
      </c>
    </row>
    <row r="7521" spans="1:4">
      <c r="A7521" s="1">
        <v>29209</v>
      </c>
      <c r="B7521">
        <v>108.26</v>
      </c>
      <c r="C7521">
        <f t="shared" si="254"/>
        <v>5.5452865064697108E-4</v>
      </c>
      <c r="D7521">
        <f t="shared" si="253"/>
        <v>2.5654540079405166E-2</v>
      </c>
    </row>
    <row r="7522" spans="1:4">
      <c r="A7522" s="1">
        <v>29210</v>
      </c>
      <c r="B7522">
        <v>107.59</v>
      </c>
      <c r="C7522">
        <f t="shared" si="254"/>
        <v>-6.1888047293552715E-3</v>
      </c>
      <c r="D7522">
        <f t="shared" si="253"/>
        <v>-0.68643917267844501</v>
      </c>
    </row>
    <row r="7523" spans="1:4">
      <c r="A7523" s="1">
        <v>29213</v>
      </c>
      <c r="B7523">
        <v>107.66</v>
      </c>
      <c r="C7523">
        <f t="shared" si="254"/>
        <v>6.506180871827603E-4</v>
      </c>
      <c r="D7523">
        <f t="shared" si="253"/>
        <v>3.580155191519805E-2</v>
      </c>
    </row>
    <row r="7524" spans="1:4">
      <c r="A7524" s="1">
        <v>29215</v>
      </c>
      <c r="B7524">
        <v>107.78</v>
      </c>
      <c r="C7524">
        <f t="shared" si="254"/>
        <v>1.1146201003158513E-3</v>
      </c>
      <c r="D7524">
        <f t="shared" si="253"/>
        <v>8.4800006780104881E-2</v>
      </c>
    </row>
    <row r="7525" spans="1:4">
      <c r="A7525" s="1">
        <v>29216</v>
      </c>
      <c r="B7525">
        <v>107.96</v>
      </c>
      <c r="C7525">
        <f t="shared" si="254"/>
        <v>1.6700686583781092E-3</v>
      </c>
      <c r="D7525">
        <f t="shared" si="253"/>
        <v>0.14345518570534083</v>
      </c>
    </row>
    <row r="7526" spans="1:4">
      <c r="A7526" s="1">
        <v>29217</v>
      </c>
      <c r="B7526">
        <v>107.84</v>
      </c>
      <c r="C7526">
        <f t="shared" si="254"/>
        <v>-1.1115227862170281E-3</v>
      </c>
      <c r="D7526">
        <f t="shared" si="253"/>
        <v>-0.15027992533503376</v>
      </c>
    </row>
    <row r="7527" spans="1:4">
      <c r="A7527" s="1">
        <v>29220</v>
      </c>
      <c r="B7527">
        <v>107.94</v>
      </c>
      <c r="C7527">
        <f t="shared" si="254"/>
        <v>9.2729970326404219E-4</v>
      </c>
      <c r="D7527">
        <f t="shared" si="253"/>
        <v>6.5019036524730525E-2</v>
      </c>
    </row>
    <row r="7528" spans="1:4">
      <c r="A7528" s="1">
        <v>29222</v>
      </c>
      <c r="B7528">
        <v>105.76</v>
      </c>
      <c r="C7528">
        <f t="shared" si="254"/>
        <v>-2.0196405410413124E-2</v>
      </c>
      <c r="D7528">
        <f t="shared" si="253"/>
        <v>-2.1656370431833376</v>
      </c>
    </row>
    <row r="7529" spans="1:4">
      <c r="A7529" s="1">
        <v>29223</v>
      </c>
      <c r="B7529">
        <v>105.22</v>
      </c>
      <c r="C7529">
        <f t="shared" si="254"/>
        <v>-5.105900151285989E-3</v>
      </c>
      <c r="D7529">
        <f t="shared" si="253"/>
        <v>-0.57208481733147976</v>
      </c>
    </row>
    <row r="7530" spans="1:4">
      <c r="A7530" s="1">
        <v>29224</v>
      </c>
      <c r="B7530">
        <v>106.52</v>
      </c>
      <c r="C7530">
        <f t="shared" si="254"/>
        <v>1.2355065576886497E-2</v>
      </c>
      <c r="D7530">
        <f t="shared" si="253"/>
        <v>1.2717872282929039</v>
      </c>
    </row>
    <row r="7531" spans="1:4">
      <c r="A7531" s="1">
        <v>29227</v>
      </c>
      <c r="B7531">
        <v>106.81</v>
      </c>
      <c r="C7531">
        <f t="shared" si="254"/>
        <v>2.7224934284641972E-3</v>
      </c>
      <c r="D7531">
        <f t="shared" si="253"/>
        <v>0.25459088368987082</v>
      </c>
    </row>
    <row r="7532" spans="1:4">
      <c r="A7532" s="1">
        <v>29228</v>
      </c>
      <c r="B7532">
        <v>108.95</v>
      </c>
      <c r="C7532">
        <f t="shared" si="254"/>
        <v>2.0035577193146713E-2</v>
      </c>
      <c r="D7532">
        <f t="shared" si="253"/>
        <v>2.0828466442372351</v>
      </c>
    </row>
    <row r="7533" spans="1:4">
      <c r="A7533" s="1">
        <v>29229</v>
      </c>
      <c r="B7533">
        <v>109.05</v>
      </c>
      <c r="C7533">
        <f t="shared" si="254"/>
        <v>9.1785222579159531E-4</v>
      </c>
      <c r="D7533">
        <f t="shared" si="253"/>
        <v>6.4021386114993764E-2</v>
      </c>
    </row>
    <row r="7534" spans="1:4">
      <c r="A7534" s="1">
        <v>29230</v>
      </c>
      <c r="B7534">
        <v>109.89</v>
      </c>
      <c r="C7534">
        <f t="shared" si="254"/>
        <v>7.7028885832187387E-3</v>
      </c>
      <c r="D7534">
        <f t="shared" si="253"/>
        <v>0.78051891911338256</v>
      </c>
    </row>
    <row r="7535" spans="1:4">
      <c r="A7535" s="1">
        <v>29231</v>
      </c>
      <c r="B7535">
        <v>109.92</v>
      </c>
      <c r="C7535">
        <f t="shared" si="254"/>
        <v>2.7300027300028332E-4</v>
      </c>
      <c r="D7535">
        <f t="shared" si="253"/>
        <v>-4.0747609039398607E-3</v>
      </c>
    </row>
    <row r="7536" spans="1:4">
      <c r="A7536" s="1">
        <v>29234</v>
      </c>
      <c r="B7536">
        <v>110.38</v>
      </c>
      <c r="C7536">
        <f t="shared" si="254"/>
        <v>4.184861717612752E-3</v>
      </c>
      <c r="D7536">
        <f t="shared" si="253"/>
        <v>0.40901647794082469</v>
      </c>
    </row>
    <row r="7537" spans="1:4">
      <c r="A7537" s="1">
        <v>29235</v>
      </c>
      <c r="B7537">
        <v>111.14</v>
      </c>
      <c r="C7537">
        <f t="shared" si="254"/>
        <v>6.8853053089328242E-3</v>
      </c>
      <c r="D7537">
        <f t="shared" si="253"/>
        <v>0.69418240325884795</v>
      </c>
    </row>
    <row r="7538" spans="1:4">
      <c r="A7538" s="1">
        <v>29236</v>
      </c>
      <c r="B7538">
        <v>111.05</v>
      </c>
      <c r="C7538">
        <f t="shared" si="254"/>
        <v>-8.0978945474179781E-4</v>
      </c>
      <c r="D7538">
        <f t="shared" si="253"/>
        <v>-0.11841698809539214</v>
      </c>
    </row>
    <row r="7539" spans="1:4">
      <c r="A7539" s="1">
        <v>29237</v>
      </c>
      <c r="B7539">
        <v>110.7</v>
      </c>
      <c r="C7539">
        <f t="shared" si="254"/>
        <v>-3.1517334533993184E-3</v>
      </c>
      <c r="D7539">
        <f t="shared" si="253"/>
        <v>-0.36572547828818236</v>
      </c>
    </row>
    <row r="7540" spans="1:4">
      <c r="A7540" s="1">
        <v>29238</v>
      </c>
      <c r="B7540">
        <v>111.07</v>
      </c>
      <c r="C7540">
        <f t="shared" si="254"/>
        <v>3.342366757000816E-3</v>
      </c>
      <c r="D7540">
        <f t="shared" si="253"/>
        <v>0.32004929647815578</v>
      </c>
    </row>
    <row r="7541" spans="1:4">
      <c r="A7541" s="1">
        <v>29241</v>
      </c>
      <c r="B7541">
        <v>112.1</v>
      </c>
      <c r="C7541">
        <f t="shared" si="254"/>
        <v>9.2734311695327372E-3</v>
      </c>
      <c r="D7541">
        <f t="shared" si="253"/>
        <v>0.9463676823747772</v>
      </c>
    </row>
    <row r="7542" spans="1:4">
      <c r="A7542" s="1">
        <v>29242</v>
      </c>
      <c r="B7542">
        <v>111.51</v>
      </c>
      <c r="C7542">
        <f t="shared" si="254"/>
        <v>-5.2631578947367457E-3</v>
      </c>
      <c r="D7542">
        <f t="shared" si="253"/>
        <v>-0.58869118158537548</v>
      </c>
    </row>
    <row r="7543" spans="1:4">
      <c r="A7543" s="1">
        <v>29243</v>
      </c>
      <c r="B7543">
        <v>113.44</v>
      </c>
      <c r="C7543">
        <f t="shared" si="254"/>
        <v>1.7307864765491818E-2</v>
      </c>
      <c r="D7543">
        <f t="shared" si="253"/>
        <v>1.7948011390713825</v>
      </c>
    </row>
    <row r="7544" spans="1:4">
      <c r="A7544" s="1">
        <v>29244</v>
      </c>
      <c r="B7544">
        <v>113.7</v>
      </c>
      <c r="C7544">
        <f t="shared" si="254"/>
        <v>2.2919605077574498E-3</v>
      </c>
      <c r="D7544">
        <f t="shared" si="253"/>
        <v>0.20912675360848859</v>
      </c>
    </row>
    <row r="7545" spans="1:4">
      <c r="A7545" s="1">
        <v>29245</v>
      </c>
      <c r="B7545">
        <v>113.61</v>
      </c>
      <c r="C7545">
        <f t="shared" si="254"/>
        <v>-7.9155672823221998E-4</v>
      </c>
      <c r="D7545">
        <f t="shared" si="253"/>
        <v>-0.1164916183735856</v>
      </c>
    </row>
    <row r="7546" spans="1:4">
      <c r="A7546" s="1">
        <v>29248</v>
      </c>
      <c r="B7546">
        <v>114.85</v>
      </c>
      <c r="C7546">
        <f t="shared" si="254"/>
        <v>1.0914532171463735E-2</v>
      </c>
      <c r="D7546">
        <f t="shared" si="253"/>
        <v>1.1196673903413561</v>
      </c>
    </row>
    <row r="7547" spans="1:4">
      <c r="A7547" s="1">
        <v>29249</v>
      </c>
      <c r="B7547">
        <v>114.07</v>
      </c>
      <c r="C7547">
        <f t="shared" si="254"/>
        <v>-6.7914671310404977E-3</v>
      </c>
      <c r="D7547">
        <f t="shared" si="253"/>
        <v>-0.75008011744150116</v>
      </c>
    </row>
    <row r="7548" spans="1:4">
      <c r="A7548" s="1">
        <v>29250</v>
      </c>
      <c r="B7548">
        <v>115.2</v>
      </c>
      <c r="C7548">
        <f t="shared" si="254"/>
        <v>9.9061979486281208E-3</v>
      </c>
      <c r="D7548">
        <f t="shared" si="253"/>
        <v>1.013187639159371</v>
      </c>
    </row>
    <row r="7549" spans="1:4">
      <c r="A7549" s="1">
        <v>29251</v>
      </c>
      <c r="B7549">
        <v>114.16</v>
      </c>
      <c r="C7549">
        <f t="shared" si="254"/>
        <v>-9.0277777777778324E-3</v>
      </c>
      <c r="D7549">
        <f t="shared" si="253"/>
        <v>-0.98623376157804055</v>
      </c>
    </row>
    <row r="7550" spans="1:4">
      <c r="A7550" s="1">
        <v>29252</v>
      </c>
      <c r="B7550">
        <v>115.12</v>
      </c>
      <c r="C7550">
        <f t="shared" si="254"/>
        <v>8.4092501751927822E-3</v>
      </c>
      <c r="D7550">
        <f t="shared" si="253"/>
        <v>0.85511046312187056</v>
      </c>
    </row>
    <row r="7551" spans="1:4">
      <c r="A7551" s="1">
        <v>29255</v>
      </c>
      <c r="B7551">
        <v>114.37</v>
      </c>
      <c r="C7551">
        <f t="shared" si="254"/>
        <v>-6.5149409312022233E-3</v>
      </c>
      <c r="D7551">
        <f t="shared" si="253"/>
        <v>-0.72087904473440179</v>
      </c>
    </row>
    <row r="7552" spans="1:4">
      <c r="A7552" s="1">
        <v>29256</v>
      </c>
      <c r="B7552">
        <v>114.66</v>
      </c>
      <c r="C7552">
        <f t="shared" si="254"/>
        <v>2.5356299728949202E-3</v>
      </c>
      <c r="D7552">
        <f t="shared" si="253"/>
        <v>0.23485816629972991</v>
      </c>
    </row>
    <row r="7553" spans="1:4">
      <c r="A7553" s="1">
        <v>29257</v>
      </c>
      <c r="B7553">
        <v>115.72</v>
      </c>
      <c r="C7553">
        <f t="shared" si="254"/>
        <v>9.2447235304378358E-3</v>
      </c>
      <c r="D7553">
        <f t="shared" si="253"/>
        <v>0.94333616544455634</v>
      </c>
    </row>
    <row r="7554" spans="1:4">
      <c r="A7554" s="1">
        <v>29258</v>
      </c>
      <c r="B7554">
        <v>116.28</v>
      </c>
      <c r="C7554">
        <f t="shared" si="254"/>
        <v>4.8392671966816653E-3</v>
      </c>
      <c r="D7554">
        <f t="shared" si="253"/>
        <v>0.47812147408727163</v>
      </c>
    </row>
    <row r="7555" spans="1:4">
      <c r="A7555" s="1">
        <v>29259</v>
      </c>
      <c r="B7555">
        <v>117.95</v>
      </c>
      <c r="C7555">
        <f t="shared" si="254"/>
        <v>1.4361885104919175E-2</v>
      </c>
      <c r="D7555">
        <f t="shared" ref="D7555:D7618" si="255">(C7555-avg)/sd</f>
        <v>1.4837066883020531</v>
      </c>
    </row>
    <row r="7556" spans="1:4">
      <c r="A7556" s="1">
        <v>29262</v>
      </c>
      <c r="B7556">
        <v>117.12</v>
      </c>
      <c r="C7556">
        <f t="shared" ref="C7556:C7619" si="256">(B7556-B7555)/B7555</f>
        <v>-7.0368800339126606E-3</v>
      </c>
      <c r="D7556">
        <f t="shared" si="255"/>
        <v>-0.77599563656490267</v>
      </c>
    </row>
    <row r="7557" spans="1:4">
      <c r="A7557" s="1">
        <v>29263</v>
      </c>
      <c r="B7557">
        <v>117.9</v>
      </c>
      <c r="C7557">
        <f t="shared" si="256"/>
        <v>6.6598360655737796E-3</v>
      </c>
      <c r="D7557">
        <f t="shared" si="255"/>
        <v>0.67037292780085245</v>
      </c>
    </row>
    <row r="7558" spans="1:4">
      <c r="A7558" s="1">
        <v>29264</v>
      </c>
      <c r="B7558">
        <v>118.44</v>
      </c>
      <c r="C7558">
        <f t="shared" si="256"/>
        <v>4.5801526717556577E-3</v>
      </c>
      <c r="D7558">
        <f t="shared" si="255"/>
        <v>0.45075906833239171</v>
      </c>
    </row>
    <row r="7559" spans="1:4">
      <c r="A7559" s="1">
        <v>29265</v>
      </c>
      <c r="B7559">
        <v>116.72</v>
      </c>
      <c r="C7559">
        <f t="shared" si="256"/>
        <v>-1.452212090509962E-2</v>
      </c>
      <c r="D7559">
        <f t="shared" si="255"/>
        <v>-1.5664345282052494</v>
      </c>
    </row>
    <row r="7560" spans="1:4">
      <c r="A7560" s="1">
        <v>29266</v>
      </c>
      <c r="B7560">
        <v>115.41</v>
      </c>
      <c r="C7560">
        <f t="shared" si="256"/>
        <v>-1.1223440712817017E-2</v>
      </c>
      <c r="D7560">
        <f t="shared" si="255"/>
        <v>-1.2180950211760839</v>
      </c>
    </row>
    <row r="7561" spans="1:4">
      <c r="A7561" s="1">
        <v>29270</v>
      </c>
      <c r="B7561">
        <v>114.6</v>
      </c>
      <c r="C7561">
        <f t="shared" si="256"/>
        <v>-7.0184559396932874E-3</v>
      </c>
      <c r="D7561">
        <f t="shared" si="255"/>
        <v>-0.7740500584779908</v>
      </c>
    </row>
    <row r="7562" spans="1:4">
      <c r="A7562" s="1">
        <v>29271</v>
      </c>
      <c r="B7562">
        <v>116.47</v>
      </c>
      <c r="C7562">
        <f t="shared" si="256"/>
        <v>1.6317626527050651E-2</v>
      </c>
      <c r="D7562">
        <f t="shared" si="255"/>
        <v>1.6902323176903269</v>
      </c>
    </row>
    <row r="7563" spans="1:4">
      <c r="A7563" s="1">
        <v>29272</v>
      </c>
      <c r="B7563">
        <v>115.28</v>
      </c>
      <c r="C7563">
        <f t="shared" si="256"/>
        <v>-1.0217223319309673E-2</v>
      </c>
      <c r="D7563">
        <f t="shared" si="255"/>
        <v>-1.1118388064516189</v>
      </c>
    </row>
    <row r="7564" spans="1:4">
      <c r="A7564" s="1">
        <v>29273</v>
      </c>
      <c r="B7564">
        <v>115.04</v>
      </c>
      <c r="C7564">
        <f t="shared" si="256"/>
        <v>-2.0818875780707399E-3</v>
      </c>
      <c r="D7564">
        <f t="shared" si="255"/>
        <v>-0.25275011751176674</v>
      </c>
    </row>
    <row r="7565" spans="1:4">
      <c r="A7565" s="1">
        <v>29276</v>
      </c>
      <c r="B7565">
        <v>113.33</v>
      </c>
      <c r="C7565">
        <f t="shared" si="256"/>
        <v>-1.4864394993045966E-2</v>
      </c>
      <c r="D7565">
        <f t="shared" si="255"/>
        <v>-1.6025785555477683</v>
      </c>
    </row>
    <row r="7566" spans="1:4">
      <c r="A7566" s="1">
        <v>29277</v>
      </c>
      <c r="B7566">
        <v>113.98</v>
      </c>
      <c r="C7566">
        <f t="shared" si="256"/>
        <v>5.7354628077296898E-3</v>
      </c>
      <c r="D7566">
        <f t="shared" si="255"/>
        <v>0.57275942598225349</v>
      </c>
    </row>
    <row r="7567" spans="1:4">
      <c r="A7567" s="1">
        <v>29278</v>
      </c>
      <c r="B7567">
        <v>112.38</v>
      </c>
      <c r="C7567">
        <f t="shared" si="256"/>
        <v>-1.4037550447446995E-2</v>
      </c>
      <c r="D7567">
        <f t="shared" si="255"/>
        <v>-1.515264052590634</v>
      </c>
    </row>
    <row r="7568" spans="1:4">
      <c r="A7568" s="1">
        <v>29279</v>
      </c>
      <c r="B7568">
        <v>112.35</v>
      </c>
      <c r="C7568">
        <f t="shared" si="256"/>
        <v>-2.6695141484250879E-4</v>
      </c>
      <c r="D7568">
        <f t="shared" si="255"/>
        <v>-6.1093475601642334E-2</v>
      </c>
    </row>
    <row r="7569" spans="1:4">
      <c r="A7569" s="1">
        <v>29280</v>
      </c>
      <c r="B7569">
        <v>113.66</v>
      </c>
      <c r="C7569">
        <f t="shared" si="256"/>
        <v>1.1659991099243457E-2</v>
      </c>
      <c r="D7569">
        <f t="shared" si="255"/>
        <v>1.1983875997210935</v>
      </c>
    </row>
    <row r="7570" spans="1:4">
      <c r="A7570" s="1">
        <v>29283</v>
      </c>
      <c r="B7570">
        <v>112.5</v>
      </c>
      <c r="C7570">
        <f t="shared" si="256"/>
        <v>-1.020587717754704E-2</v>
      </c>
      <c r="D7570">
        <f t="shared" si="255"/>
        <v>-1.1106406577382257</v>
      </c>
    </row>
    <row r="7571" spans="1:4">
      <c r="A7571" s="1">
        <v>29284</v>
      </c>
      <c r="B7571">
        <v>112.78</v>
      </c>
      <c r="C7571">
        <f t="shared" si="256"/>
        <v>2.488888888888899E-3</v>
      </c>
      <c r="D7571">
        <f t="shared" si="255"/>
        <v>0.22992232371676047</v>
      </c>
    </row>
    <row r="7572" spans="1:4">
      <c r="A7572" s="1">
        <v>29285</v>
      </c>
      <c r="B7572">
        <v>111.13</v>
      </c>
      <c r="C7572">
        <f t="shared" si="256"/>
        <v>-1.4630253591062296E-2</v>
      </c>
      <c r="D7572">
        <f t="shared" si="255"/>
        <v>-1.5778533030868223</v>
      </c>
    </row>
    <row r="7573" spans="1:4">
      <c r="A7573" s="1">
        <v>29286</v>
      </c>
      <c r="B7573">
        <v>108.65</v>
      </c>
      <c r="C7573">
        <f t="shared" si="256"/>
        <v>-2.2316206244938269E-2</v>
      </c>
      <c r="D7573">
        <f t="shared" si="255"/>
        <v>-2.3894872907538791</v>
      </c>
    </row>
    <row r="7574" spans="1:4">
      <c r="A7574" s="1">
        <v>29287</v>
      </c>
      <c r="B7574">
        <v>106.9</v>
      </c>
      <c r="C7574">
        <f t="shared" si="256"/>
        <v>-1.6106764841233318E-2</v>
      </c>
      <c r="D7574">
        <f t="shared" si="255"/>
        <v>-1.7337723892143229</v>
      </c>
    </row>
    <row r="7575" spans="1:4">
      <c r="A7575" s="1">
        <v>29290</v>
      </c>
      <c r="B7575">
        <v>106.51</v>
      </c>
      <c r="C7575">
        <f t="shared" si="256"/>
        <v>-3.6482694106641771E-3</v>
      </c>
      <c r="D7575">
        <f t="shared" si="255"/>
        <v>-0.41815950659457896</v>
      </c>
    </row>
    <row r="7576" spans="1:4">
      <c r="A7576" s="1">
        <v>29291</v>
      </c>
      <c r="B7576">
        <v>107.78</v>
      </c>
      <c r="C7576">
        <f t="shared" si="256"/>
        <v>1.1923763026945788E-2</v>
      </c>
      <c r="D7576">
        <f t="shared" si="255"/>
        <v>1.226241825626025</v>
      </c>
    </row>
    <row r="7577" spans="1:4">
      <c r="A7577" s="1">
        <v>29292</v>
      </c>
      <c r="B7577">
        <v>106.87</v>
      </c>
      <c r="C7577">
        <f t="shared" si="256"/>
        <v>-8.4431248840229779E-3</v>
      </c>
      <c r="D7577">
        <f t="shared" si="255"/>
        <v>-0.92449461473070249</v>
      </c>
    </row>
    <row r="7578" spans="1:4">
      <c r="A7578" s="1">
        <v>29293</v>
      </c>
      <c r="B7578">
        <v>105.62</v>
      </c>
      <c r="C7578">
        <f t="shared" si="256"/>
        <v>-1.169645363525779E-2</v>
      </c>
      <c r="D7578">
        <f t="shared" si="255"/>
        <v>-1.2680450250009252</v>
      </c>
    </row>
    <row r="7579" spans="1:4">
      <c r="A7579" s="1">
        <v>29294</v>
      </c>
      <c r="B7579">
        <v>105.43</v>
      </c>
      <c r="C7579">
        <f t="shared" si="256"/>
        <v>-1.7989017231584711E-3</v>
      </c>
      <c r="D7579">
        <f t="shared" si="255"/>
        <v>-0.22286690742459694</v>
      </c>
    </row>
    <row r="7580" spans="1:4">
      <c r="A7580" s="1">
        <v>29297</v>
      </c>
      <c r="B7580">
        <v>102.26</v>
      </c>
      <c r="C7580">
        <f t="shared" si="256"/>
        <v>-3.0067343260931439E-2</v>
      </c>
      <c r="D7580">
        <f t="shared" si="255"/>
        <v>-3.208004724903271</v>
      </c>
    </row>
    <row r="7581" spans="1:4">
      <c r="A7581" s="1">
        <v>29298</v>
      </c>
      <c r="B7581">
        <v>104.1</v>
      </c>
      <c r="C7581">
        <f t="shared" si="256"/>
        <v>1.7993350283590739E-2</v>
      </c>
      <c r="D7581">
        <f t="shared" si="255"/>
        <v>1.8671881767747798</v>
      </c>
    </row>
    <row r="7582" spans="1:4">
      <c r="A7582" s="1">
        <v>29299</v>
      </c>
      <c r="B7582">
        <v>104.31</v>
      </c>
      <c r="C7582">
        <f t="shared" si="256"/>
        <v>2.0172910662824973E-3</v>
      </c>
      <c r="D7582">
        <f t="shared" si="255"/>
        <v>0.18012175395341315</v>
      </c>
    </row>
    <row r="7583" spans="1:4">
      <c r="A7583" s="1">
        <v>29300</v>
      </c>
      <c r="B7583">
        <v>103.12</v>
      </c>
      <c r="C7583">
        <f t="shared" si="256"/>
        <v>-1.1408302176205519E-2</v>
      </c>
      <c r="D7583">
        <f t="shared" si="255"/>
        <v>-1.2376163288724453</v>
      </c>
    </row>
    <row r="7584" spans="1:4">
      <c r="A7584" s="1">
        <v>29301</v>
      </c>
      <c r="B7584">
        <v>102.31</v>
      </c>
      <c r="C7584">
        <f t="shared" si="256"/>
        <v>-7.8549262994569644E-3</v>
      </c>
      <c r="D7584">
        <f t="shared" si="255"/>
        <v>-0.8623810441389449</v>
      </c>
    </row>
    <row r="7585" spans="1:4">
      <c r="A7585" s="1">
        <v>29304</v>
      </c>
      <c r="B7585">
        <v>99.28</v>
      </c>
      <c r="C7585">
        <f t="shared" si="256"/>
        <v>-2.9615873326165585E-2</v>
      </c>
      <c r="D7585">
        <f t="shared" si="255"/>
        <v>-3.1603296532540837</v>
      </c>
    </row>
    <row r="7586" spans="1:4">
      <c r="A7586" s="1">
        <v>29305</v>
      </c>
      <c r="B7586">
        <v>99.19</v>
      </c>
      <c r="C7586">
        <f t="shared" si="256"/>
        <v>-9.065269943594219E-4</v>
      </c>
      <c r="D7586">
        <f t="shared" si="255"/>
        <v>-0.12863243939632585</v>
      </c>
    </row>
    <row r="7587" spans="1:4">
      <c r="A7587" s="1">
        <v>29306</v>
      </c>
      <c r="B7587">
        <v>98.68</v>
      </c>
      <c r="C7587">
        <f t="shared" si="256"/>
        <v>-5.1416473434821143E-3</v>
      </c>
      <c r="D7587">
        <f t="shared" si="255"/>
        <v>-0.57585970867632963</v>
      </c>
    </row>
    <row r="7588" spans="1:4">
      <c r="A7588" s="1">
        <v>29307</v>
      </c>
      <c r="B7588">
        <v>98.22</v>
      </c>
      <c r="C7588">
        <f t="shared" si="256"/>
        <v>-4.6615322253750298E-3</v>
      </c>
      <c r="D7588">
        <f t="shared" si="255"/>
        <v>-0.52515971540327955</v>
      </c>
    </row>
    <row r="7589" spans="1:4">
      <c r="A7589" s="1">
        <v>29308</v>
      </c>
      <c r="B7589">
        <v>100.68</v>
      </c>
      <c r="C7589">
        <f t="shared" si="256"/>
        <v>2.504581551618823E-2</v>
      </c>
      <c r="D7589">
        <f t="shared" si="255"/>
        <v>2.6119261080876659</v>
      </c>
    </row>
    <row r="7590" spans="1:4">
      <c r="A7590" s="1">
        <v>29311</v>
      </c>
      <c r="B7590">
        <v>102.09</v>
      </c>
      <c r="C7590">
        <f t="shared" si="256"/>
        <v>1.4004767580452885E-2</v>
      </c>
      <c r="D7590">
        <f t="shared" si="255"/>
        <v>1.4459951991085576</v>
      </c>
    </row>
    <row r="7591" spans="1:4">
      <c r="A7591" s="1">
        <v>29312</v>
      </c>
      <c r="B7591">
        <v>102.18</v>
      </c>
      <c r="C7591">
        <f t="shared" si="256"/>
        <v>8.8157508081108244E-4</v>
      </c>
      <c r="D7591">
        <f t="shared" si="255"/>
        <v>6.019053193625231E-2</v>
      </c>
    </row>
    <row r="7592" spans="1:4">
      <c r="A7592" s="1">
        <v>29313</v>
      </c>
      <c r="B7592">
        <v>102.68</v>
      </c>
      <c r="C7592">
        <f t="shared" si="256"/>
        <v>4.8933255040125266E-3</v>
      </c>
      <c r="D7592">
        <f t="shared" si="255"/>
        <v>0.48383001296609912</v>
      </c>
    </row>
    <row r="7593" spans="1:4">
      <c r="A7593" s="1">
        <v>29314</v>
      </c>
      <c r="B7593">
        <v>102.15</v>
      </c>
      <c r="C7593">
        <f t="shared" si="256"/>
        <v>-5.1616673159330063E-3</v>
      </c>
      <c r="D7593">
        <f t="shared" si="255"/>
        <v>-0.57797381096202449</v>
      </c>
    </row>
    <row r="7594" spans="1:4">
      <c r="A7594" s="1">
        <v>29318</v>
      </c>
      <c r="B7594">
        <v>100.19</v>
      </c>
      <c r="C7594">
        <f t="shared" si="256"/>
        <v>-1.91874694077338E-2</v>
      </c>
      <c r="D7594">
        <f t="shared" si="255"/>
        <v>-2.0590937442544117</v>
      </c>
    </row>
    <row r="7595" spans="1:4">
      <c r="A7595" s="1">
        <v>29319</v>
      </c>
      <c r="B7595">
        <v>101.2</v>
      </c>
      <c r="C7595">
        <f t="shared" si="256"/>
        <v>1.0080846391855526E-2</v>
      </c>
      <c r="D7595">
        <f t="shared" si="255"/>
        <v>1.0316304553982947</v>
      </c>
    </row>
    <row r="7596" spans="1:4">
      <c r="A7596" s="1">
        <v>29320</v>
      </c>
      <c r="B7596">
        <v>103.11</v>
      </c>
      <c r="C7596">
        <f t="shared" si="256"/>
        <v>1.8873517786561232E-2</v>
      </c>
      <c r="D7596">
        <f t="shared" si="255"/>
        <v>1.960133565904993</v>
      </c>
    </row>
    <row r="7597" spans="1:4">
      <c r="A7597" s="1">
        <v>29321</v>
      </c>
      <c r="B7597">
        <v>104.08</v>
      </c>
      <c r="C7597">
        <f t="shared" si="256"/>
        <v>9.4074289593637749E-3</v>
      </c>
      <c r="D7597">
        <f t="shared" si="255"/>
        <v>0.96051780343287296</v>
      </c>
    </row>
    <row r="7598" spans="1:4">
      <c r="A7598" s="1">
        <v>29322</v>
      </c>
      <c r="B7598">
        <v>103.79</v>
      </c>
      <c r="C7598">
        <f t="shared" si="256"/>
        <v>-2.7863182167562647E-3</v>
      </c>
      <c r="D7598">
        <f t="shared" si="255"/>
        <v>-0.32713775350934987</v>
      </c>
    </row>
    <row r="7599" spans="1:4">
      <c r="A7599" s="1">
        <v>29325</v>
      </c>
      <c r="B7599">
        <v>102.84</v>
      </c>
      <c r="C7599">
        <f t="shared" si="256"/>
        <v>-9.1530976009249719E-3</v>
      </c>
      <c r="D7599">
        <f t="shared" si="255"/>
        <v>-0.99946749230410092</v>
      </c>
    </row>
    <row r="7600" spans="1:4">
      <c r="A7600" s="1">
        <v>29326</v>
      </c>
      <c r="B7600">
        <v>102.63</v>
      </c>
      <c r="C7600">
        <f t="shared" si="256"/>
        <v>-2.0420070011669383E-3</v>
      </c>
      <c r="D7600">
        <f t="shared" si="255"/>
        <v>-0.248538742146792</v>
      </c>
    </row>
    <row r="7601" spans="1:4">
      <c r="A7601" s="1">
        <v>29327</v>
      </c>
      <c r="B7601">
        <v>101.54</v>
      </c>
      <c r="C7601">
        <f t="shared" si="256"/>
        <v>-1.0620676215531416E-2</v>
      </c>
      <c r="D7601">
        <f t="shared" si="255"/>
        <v>-1.1544432951523322</v>
      </c>
    </row>
    <row r="7602" spans="1:4">
      <c r="A7602" s="1">
        <v>29328</v>
      </c>
      <c r="B7602">
        <v>101.05</v>
      </c>
      <c r="C7602">
        <f t="shared" si="256"/>
        <v>-4.8256844593264634E-3</v>
      </c>
      <c r="D7602">
        <f t="shared" si="255"/>
        <v>-0.54249413551049552</v>
      </c>
    </row>
    <row r="7603" spans="1:4">
      <c r="A7603" s="1">
        <v>29329</v>
      </c>
      <c r="B7603">
        <v>100.55</v>
      </c>
      <c r="C7603">
        <f t="shared" si="256"/>
        <v>-4.9480455220188031E-3</v>
      </c>
      <c r="D7603">
        <f t="shared" si="255"/>
        <v>-0.55541542213826045</v>
      </c>
    </row>
    <row r="7604" spans="1:4">
      <c r="A7604" s="1">
        <v>29332</v>
      </c>
      <c r="B7604">
        <v>99.8</v>
      </c>
      <c r="C7604">
        <f t="shared" si="256"/>
        <v>-7.4589756340129295E-3</v>
      </c>
      <c r="D7604">
        <f t="shared" si="255"/>
        <v>-0.82056878845822545</v>
      </c>
    </row>
    <row r="7605" spans="1:4">
      <c r="A7605" s="1">
        <v>29333</v>
      </c>
      <c r="B7605">
        <v>103.43</v>
      </c>
      <c r="C7605">
        <f t="shared" si="256"/>
        <v>3.6372745490982059E-2</v>
      </c>
      <c r="D7605">
        <f t="shared" si="255"/>
        <v>3.8080460632153241</v>
      </c>
    </row>
    <row r="7606" spans="1:4">
      <c r="A7606" s="1">
        <v>29334</v>
      </c>
      <c r="B7606">
        <v>103.73</v>
      </c>
      <c r="C7606">
        <f t="shared" si="256"/>
        <v>2.900512423861521E-3</v>
      </c>
      <c r="D7606">
        <f t="shared" si="255"/>
        <v>0.27338962909223158</v>
      </c>
    </row>
    <row r="7607" spans="1:4">
      <c r="A7607" s="1">
        <v>29335</v>
      </c>
      <c r="B7607">
        <v>104.4</v>
      </c>
      <c r="C7607">
        <f t="shared" si="256"/>
        <v>6.4590764484720106E-3</v>
      </c>
      <c r="D7607">
        <f t="shared" si="255"/>
        <v>0.64917278047641513</v>
      </c>
    </row>
    <row r="7608" spans="1:4">
      <c r="A7608" s="1">
        <v>29336</v>
      </c>
      <c r="B7608">
        <v>105.16</v>
      </c>
      <c r="C7608">
        <f t="shared" si="256"/>
        <v>7.2796934865899509E-3</v>
      </c>
      <c r="D7608">
        <f t="shared" si="255"/>
        <v>0.73582966076038525</v>
      </c>
    </row>
    <row r="7609" spans="1:4">
      <c r="A7609" s="1">
        <v>29339</v>
      </c>
      <c r="B7609">
        <v>105.64</v>
      </c>
      <c r="C7609">
        <f t="shared" si="256"/>
        <v>4.5644731837200837E-3</v>
      </c>
      <c r="D7609">
        <f t="shared" si="255"/>
        <v>0.44910331972555201</v>
      </c>
    </row>
    <row r="7610" spans="1:4">
      <c r="A7610" s="1">
        <v>29340</v>
      </c>
      <c r="B7610">
        <v>105.86</v>
      </c>
      <c r="C7610">
        <f t="shared" si="256"/>
        <v>2.0825444907232003E-3</v>
      </c>
      <c r="D7610">
        <f t="shared" si="255"/>
        <v>0.18701249339363471</v>
      </c>
    </row>
    <row r="7611" spans="1:4">
      <c r="A7611" s="1">
        <v>29341</v>
      </c>
      <c r="B7611">
        <v>106.29</v>
      </c>
      <c r="C7611">
        <f t="shared" si="256"/>
        <v>4.0619686378236047E-3</v>
      </c>
      <c r="D7611">
        <f t="shared" si="255"/>
        <v>0.39603901048847823</v>
      </c>
    </row>
    <row r="7612" spans="1:4">
      <c r="A7612" s="1">
        <v>29342</v>
      </c>
      <c r="B7612">
        <v>105.46</v>
      </c>
      <c r="C7612">
        <f t="shared" si="256"/>
        <v>-7.8088249129740564E-3</v>
      </c>
      <c r="D7612">
        <f t="shared" si="255"/>
        <v>-0.85751275339697242</v>
      </c>
    </row>
    <row r="7613" spans="1:4">
      <c r="A7613" s="1">
        <v>29343</v>
      </c>
      <c r="B7613">
        <v>105.58</v>
      </c>
      <c r="C7613">
        <f t="shared" si="256"/>
        <v>1.137872179025266E-3</v>
      </c>
      <c r="D7613">
        <f t="shared" si="255"/>
        <v>8.7255418388053507E-2</v>
      </c>
    </row>
    <row r="7614" spans="1:4">
      <c r="A7614" s="1">
        <v>29346</v>
      </c>
      <c r="B7614">
        <v>106.38</v>
      </c>
      <c r="C7614">
        <f t="shared" si="256"/>
        <v>7.5771926501231029E-3</v>
      </c>
      <c r="D7614">
        <f t="shared" si="255"/>
        <v>0.76724547130460707</v>
      </c>
    </row>
    <row r="7615" spans="1:4">
      <c r="A7615" s="1">
        <v>29347</v>
      </c>
      <c r="B7615">
        <v>106.25</v>
      </c>
      <c r="C7615">
        <f t="shared" si="256"/>
        <v>-1.2220342169580321E-3</v>
      </c>
      <c r="D7615">
        <f t="shared" si="255"/>
        <v>-0.16194989485662331</v>
      </c>
    </row>
    <row r="7616" spans="1:4">
      <c r="A7616" s="1">
        <v>29348</v>
      </c>
      <c r="B7616">
        <v>107.18</v>
      </c>
      <c r="C7616">
        <f t="shared" si="256"/>
        <v>8.7529411764706525E-3</v>
      </c>
      <c r="D7616">
        <f t="shared" si="255"/>
        <v>0.89140411603056602</v>
      </c>
    </row>
    <row r="7617" spans="1:4">
      <c r="A7617" s="1">
        <v>29349</v>
      </c>
      <c r="B7617">
        <v>106.13</v>
      </c>
      <c r="C7617">
        <f t="shared" si="256"/>
        <v>-9.7966038440008511E-3</v>
      </c>
      <c r="D7617">
        <f t="shared" si="255"/>
        <v>-1.0674215328345138</v>
      </c>
    </row>
    <row r="7618" spans="1:4">
      <c r="A7618" s="1">
        <v>29350</v>
      </c>
      <c r="B7618">
        <v>104.72</v>
      </c>
      <c r="C7618">
        <f t="shared" si="256"/>
        <v>-1.3285593140488048E-2</v>
      </c>
      <c r="D7618">
        <f t="shared" si="255"/>
        <v>-1.4358576165784769</v>
      </c>
    </row>
    <row r="7619" spans="1:4">
      <c r="A7619" s="1">
        <v>29353</v>
      </c>
      <c r="B7619">
        <v>104.78</v>
      </c>
      <c r="C7619">
        <f t="shared" si="256"/>
        <v>5.7295645530941821E-4</v>
      </c>
      <c r="D7619">
        <f t="shared" ref="D7619:D7682" si="257">(C7619-avg)/sd</f>
        <v>2.7600509987844433E-2</v>
      </c>
    </row>
    <row r="7620" spans="1:4">
      <c r="A7620" s="1">
        <v>29354</v>
      </c>
      <c r="B7620">
        <v>106.3</v>
      </c>
      <c r="C7620">
        <f t="shared" ref="C7620:C7683" si="258">(B7620-B7619)/B7619</f>
        <v>1.4506585226188166E-2</v>
      </c>
      <c r="D7620">
        <f t="shared" si="257"/>
        <v>1.4989869719220974</v>
      </c>
    </row>
    <row r="7621" spans="1:4">
      <c r="A7621" s="1">
        <v>29355</v>
      </c>
      <c r="B7621">
        <v>106.85</v>
      </c>
      <c r="C7621">
        <f t="shared" si="258"/>
        <v>5.1740357478833226E-3</v>
      </c>
      <c r="D7621">
        <f t="shared" si="257"/>
        <v>0.51347291930080718</v>
      </c>
    </row>
    <row r="7622" spans="1:4">
      <c r="A7622" s="1">
        <v>29356</v>
      </c>
      <c r="B7622">
        <v>106.99</v>
      </c>
      <c r="C7622">
        <f t="shared" si="258"/>
        <v>1.3102480112307025E-3</v>
      </c>
      <c r="D7622">
        <f t="shared" si="257"/>
        <v>0.10545824767555532</v>
      </c>
    </row>
    <row r="7623" spans="1:4">
      <c r="A7623" s="1">
        <v>29357</v>
      </c>
      <c r="B7623">
        <v>107.35</v>
      </c>
      <c r="C7623">
        <f t="shared" si="258"/>
        <v>3.3648004486400546E-3</v>
      </c>
      <c r="D7623">
        <f t="shared" si="257"/>
        <v>0.32241828668967709</v>
      </c>
    </row>
    <row r="7624" spans="1:4">
      <c r="A7624" s="1">
        <v>29360</v>
      </c>
      <c r="B7624">
        <v>107.67</v>
      </c>
      <c r="C7624">
        <f t="shared" si="258"/>
        <v>2.9809035863996962E-3</v>
      </c>
      <c r="D7624">
        <f t="shared" si="257"/>
        <v>0.28187890852997904</v>
      </c>
    </row>
    <row r="7625" spans="1:4">
      <c r="A7625" s="1">
        <v>29361</v>
      </c>
      <c r="B7625">
        <v>107.62</v>
      </c>
      <c r="C7625">
        <f t="shared" si="258"/>
        <v>-4.6438190768085033E-4</v>
      </c>
      <c r="D7625">
        <f t="shared" si="257"/>
        <v>-8.1942068535485996E-2</v>
      </c>
    </row>
    <row r="7626" spans="1:4">
      <c r="A7626" s="1">
        <v>29362</v>
      </c>
      <c r="B7626">
        <v>107.72</v>
      </c>
      <c r="C7626">
        <f t="shared" si="258"/>
        <v>9.2919531685555022E-4</v>
      </c>
      <c r="D7626">
        <f t="shared" si="257"/>
        <v>6.5219212675643401E-2</v>
      </c>
    </row>
    <row r="7627" spans="1:4">
      <c r="A7627" s="1">
        <v>29363</v>
      </c>
      <c r="B7627">
        <v>109.01</v>
      </c>
      <c r="C7627">
        <f t="shared" si="258"/>
        <v>1.1975492016338714E-2</v>
      </c>
      <c r="D7627">
        <f t="shared" si="257"/>
        <v>1.2317043893223802</v>
      </c>
    </row>
    <row r="7628" spans="1:4">
      <c r="A7628" s="1">
        <v>29364</v>
      </c>
      <c r="B7628">
        <v>110.62</v>
      </c>
      <c r="C7628">
        <f t="shared" si="258"/>
        <v>1.4769287221355834E-2</v>
      </c>
      <c r="D7628">
        <f t="shared" si="257"/>
        <v>1.5267282133150564</v>
      </c>
    </row>
    <row r="7629" spans="1:4">
      <c r="A7629" s="1">
        <v>29368</v>
      </c>
      <c r="B7629">
        <v>111.4</v>
      </c>
      <c r="C7629">
        <f t="shared" si="258"/>
        <v>7.0511661544024684E-3</v>
      </c>
      <c r="D7629">
        <f t="shared" si="257"/>
        <v>0.71169725216160162</v>
      </c>
    </row>
    <row r="7630" spans="1:4">
      <c r="A7630" s="1">
        <v>29369</v>
      </c>
      <c r="B7630">
        <v>112.06</v>
      </c>
      <c r="C7630">
        <f t="shared" si="258"/>
        <v>5.9245960502692686E-3</v>
      </c>
      <c r="D7630">
        <f t="shared" si="257"/>
        <v>0.5927318321049202</v>
      </c>
    </row>
    <row r="7631" spans="1:4">
      <c r="A7631" s="1">
        <v>29370</v>
      </c>
      <c r="B7631">
        <v>110.27</v>
      </c>
      <c r="C7631">
        <f t="shared" si="258"/>
        <v>-1.5973585579154081E-2</v>
      </c>
      <c r="D7631">
        <f t="shared" si="257"/>
        <v>-1.7197087044085861</v>
      </c>
    </row>
    <row r="7632" spans="1:4">
      <c r="A7632" s="1">
        <v>29371</v>
      </c>
      <c r="B7632">
        <v>111.24</v>
      </c>
      <c r="C7632">
        <f t="shared" si="258"/>
        <v>8.7965901877210383E-3</v>
      </c>
      <c r="D7632">
        <f t="shared" si="257"/>
        <v>0.89601343678158696</v>
      </c>
    </row>
    <row r="7633" spans="1:4">
      <c r="A7633" s="1">
        <v>29374</v>
      </c>
      <c r="B7633">
        <v>110.76</v>
      </c>
      <c r="C7633">
        <f t="shared" si="258"/>
        <v>-4.3149946062566507E-3</v>
      </c>
      <c r="D7633">
        <f t="shared" si="257"/>
        <v>-0.48856546061823874</v>
      </c>
    </row>
    <row r="7634" spans="1:4">
      <c r="A7634" s="1">
        <v>29375</v>
      </c>
      <c r="B7634">
        <v>110.51</v>
      </c>
      <c r="C7634">
        <f t="shared" si="258"/>
        <v>-2.2571325388226794E-3</v>
      </c>
      <c r="D7634">
        <f t="shared" si="257"/>
        <v>-0.2712559257985151</v>
      </c>
    </row>
    <row r="7635" spans="1:4">
      <c r="A7635" s="1">
        <v>29376</v>
      </c>
      <c r="B7635">
        <v>112.61</v>
      </c>
      <c r="C7635">
        <f t="shared" si="258"/>
        <v>1.900280517600212E-2</v>
      </c>
      <c r="D7635">
        <f t="shared" si="257"/>
        <v>1.9737862702830318</v>
      </c>
    </row>
    <row r="7636" spans="1:4">
      <c r="A7636" s="1">
        <v>29377</v>
      </c>
      <c r="B7636">
        <v>112.78</v>
      </c>
      <c r="C7636">
        <f t="shared" si="258"/>
        <v>1.5096350235325612E-3</v>
      </c>
      <c r="D7636">
        <f t="shared" si="257"/>
        <v>0.12651344839969308</v>
      </c>
    </row>
    <row r="7637" spans="1:4">
      <c r="A7637" s="1">
        <v>29378</v>
      </c>
      <c r="B7637">
        <v>113.2</v>
      </c>
      <c r="C7637">
        <f t="shared" si="258"/>
        <v>3.7240645504522229E-3</v>
      </c>
      <c r="D7637">
        <f t="shared" si="257"/>
        <v>0.36035645372124037</v>
      </c>
    </row>
    <row r="7638" spans="1:4">
      <c r="A7638" s="1">
        <v>29381</v>
      </c>
      <c r="B7638">
        <v>113.71</v>
      </c>
      <c r="C7638">
        <f t="shared" si="258"/>
        <v>4.5053003533568102E-3</v>
      </c>
      <c r="D7638">
        <f t="shared" si="257"/>
        <v>0.44285468895301267</v>
      </c>
    </row>
    <row r="7639" spans="1:4">
      <c r="A7639" s="1">
        <v>29382</v>
      </c>
      <c r="B7639">
        <v>114.66</v>
      </c>
      <c r="C7639">
        <f t="shared" si="258"/>
        <v>8.3545862281242007E-3</v>
      </c>
      <c r="D7639">
        <f t="shared" si="257"/>
        <v>0.84933796889260671</v>
      </c>
    </row>
    <row r="7640" spans="1:4">
      <c r="A7640" s="1">
        <v>29383</v>
      </c>
      <c r="B7640">
        <v>116.02</v>
      </c>
      <c r="C7640">
        <f t="shared" si="258"/>
        <v>1.1861154718297571E-2</v>
      </c>
      <c r="D7640">
        <f t="shared" si="257"/>
        <v>1.2196304095143715</v>
      </c>
    </row>
    <row r="7641" spans="1:4">
      <c r="A7641" s="1">
        <v>29384</v>
      </c>
      <c r="B7641">
        <v>115.52</v>
      </c>
      <c r="C7641">
        <f t="shared" si="258"/>
        <v>-4.3096017927943464E-3</v>
      </c>
      <c r="D7641">
        <f t="shared" si="257"/>
        <v>-0.48799598134972577</v>
      </c>
    </row>
    <row r="7642" spans="1:4">
      <c r="A7642" s="1">
        <v>29385</v>
      </c>
      <c r="B7642">
        <v>115.81</v>
      </c>
      <c r="C7642">
        <f t="shared" si="258"/>
        <v>2.5103878116344031E-3</v>
      </c>
      <c r="D7642">
        <f t="shared" si="257"/>
        <v>0.23219260265084682</v>
      </c>
    </row>
    <row r="7643" spans="1:4">
      <c r="A7643" s="1">
        <v>29388</v>
      </c>
      <c r="B7643">
        <v>116.09</v>
      </c>
      <c r="C7643">
        <f t="shared" si="258"/>
        <v>2.4177532164752708E-3</v>
      </c>
      <c r="D7643">
        <f t="shared" si="257"/>
        <v>0.22241042089007126</v>
      </c>
    </row>
    <row r="7644" spans="1:4">
      <c r="A7644" s="1">
        <v>29389</v>
      </c>
      <c r="B7644">
        <v>116.03</v>
      </c>
      <c r="C7644">
        <f t="shared" si="258"/>
        <v>-5.1684038246190261E-4</v>
      </c>
      <c r="D7644">
        <f t="shared" si="257"/>
        <v>-8.7481665640863127E-2</v>
      </c>
    </row>
    <row r="7645" spans="1:4">
      <c r="A7645" s="1">
        <v>29390</v>
      </c>
      <c r="B7645">
        <v>116.26</v>
      </c>
      <c r="C7645">
        <f t="shared" si="258"/>
        <v>1.982245970869637E-3</v>
      </c>
      <c r="D7645">
        <f t="shared" si="257"/>
        <v>0.1764210037902218</v>
      </c>
    </row>
    <row r="7646" spans="1:4">
      <c r="A7646" s="1">
        <v>29391</v>
      </c>
      <c r="B7646">
        <v>114.66</v>
      </c>
      <c r="C7646">
        <f t="shared" si="258"/>
        <v>-1.3762257010149737E-2</v>
      </c>
      <c r="D7646">
        <f t="shared" si="257"/>
        <v>-1.4861931591888293</v>
      </c>
    </row>
    <row r="7647" spans="1:4">
      <c r="A7647" s="1">
        <v>29392</v>
      </c>
      <c r="B7647">
        <v>114.06</v>
      </c>
      <c r="C7647">
        <f t="shared" si="258"/>
        <v>-5.232862375719469E-3</v>
      </c>
      <c r="D7647">
        <f t="shared" si="257"/>
        <v>-0.58549198507509836</v>
      </c>
    </row>
    <row r="7648" spans="1:4">
      <c r="A7648" s="1">
        <v>29395</v>
      </c>
      <c r="B7648">
        <v>114.51</v>
      </c>
      <c r="C7648">
        <f t="shared" si="258"/>
        <v>3.9452919516044438E-3</v>
      </c>
      <c r="D7648">
        <f t="shared" si="257"/>
        <v>0.38371799208406748</v>
      </c>
    </row>
    <row r="7649" spans="1:4">
      <c r="A7649" s="1">
        <v>29396</v>
      </c>
      <c r="B7649">
        <v>115.14</v>
      </c>
      <c r="C7649">
        <f t="shared" si="258"/>
        <v>5.5017029080429254E-3</v>
      </c>
      <c r="D7649">
        <f t="shared" si="257"/>
        <v>0.54807446003418181</v>
      </c>
    </row>
    <row r="7650" spans="1:4">
      <c r="A7650" s="1">
        <v>29397</v>
      </c>
      <c r="B7650">
        <v>116.72</v>
      </c>
      <c r="C7650">
        <f t="shared" si="258"/>
        <v>1.3722424874066339E-2</v>
      </c>
      <c r="D7650">
        <f t="shared" si="257"/>
        <v>1.4161799052870871</v>
      </c>
    </row>
    <row r="7651" spans="1:4">
      <c r="A7651" s="1">
        <v>29398</v>
      </c>
      <c r="B7651">
        <v>116.19</v>
      </c>
      <c r="C7651">
        <f t="shared" si="258"/>
        <v>-4.5407813570939098E-3</v>
      </c>
      <c r="D7651">
        <f t="shared" si="257"/>
        <v>-0.51240846475800772</v>
      </c>
    </row>
    <row r="7652" spans="1:4">
      <c r="A7652" s="1">
        <v>29399</v>
      </c>
      <c r="B7652">
        <v>116</v>
      </c>
      <c r="C7652">
        <f t="shared" si="258"/>
        <v>-1.635252603494257E-3</v>
      </c>
      <c r="D7652">
        <f t="shared" si="257"/>
        <v>-0.20558561601509448</v>
      </c>
    </row>
    <row r="7653" spans="1:4">
      <c r="A7653" s="1">
        <v>29402</v>
      </c>
      <c r="B7653">
        <v>114.24</v>
      </c>
      <c r="C7653">
        <f t="shared" si="258"/>
        <v>-1.5172413793103492E-2</v>
      </c>
      <c r="D7653">
        <f t="shared" si="257"/>
        <v>-1.6351052361331657</v>
      </c>
    </row>
    <row r="7654" spans="1:4">
      <c r="A7654" s="1">
        <v>29403</v>
      </c>
      <c r="B7654">
        <v>114.93</v>
      </c>
      <c r="C7654">
        <f t="shared" si="258"/>
        <v>6.0399159663866598E-3</v>
      </c>
      <c r="D7654">
        <f t="shared" si="257"/>
        <v>0.60490957604777262</v>
      </c>
    </row>
    <row r="7655" spans="1:4">
      <c r="A7655" s="1">
        <v>29404</v>
      </c>
      <c r="B7655">
        <v>115.68</v>
      </c>
      <c r="C7655">
        <f t="shared" si="258"/>
        <v>6.5257113025319752E-3</v>
      </c>
      <c r="D7655">
        <f t="shared" si="257"/>
        <v>0.65620939841485992</v>
      </c>
    </row>
    <row r="7656" spans="1:4">
      <c r="A7656" s="1">
        <v>29405</v>
      </c>
      <c r="B7656">
        <v>117.46</v>
      </c>
      <c r="C7656">
        <f t="shared" si="258"/>
        <v>1.5387275242046913E-2</v>
      </c>
      <c r="D7656">
        <f t="shared" si="257"/>
        <v>1.5919875382356996</v>
      </c>
    </row>
    <row r="7657" spans="1:4">
      <c r="A7657" s="1">
        <v>29409</v>
      </c>
      <c r="B7657">
        <v>118.29</v>
      </c>
      <c r="C7657">
        <f t="shared" si="258"/>
        <v>7.0662353141496045E-3</v>
      </c>
      <c r="D7657">
        <f t="shared" si="257"/>
        <v>0.71328855030864291</v>
      </c>
    </row>
    <row r="7658" spans="1:4">
      <c r="A7658" s="1">
        <v>29410</v>
      </c>
      <c r="B7658">
        <v>117.84</v>
      </c>
      <c r="C7658">
        <f t="shared" si="258"/>
        <v>-3.804209992391604E-3</v>
      </c>
      <c r="D7658">
        <f t="shared" si="257"/>
        <v>-0.43462677901821606</v>
      </c>
    </row>
    <row r="7659" spans="1:4">
      <c r="A7659" s="1">
        <v>29411</v>
      </c>
      <c r="B7659">
        <v>117.98</v>
      </c>
      <c r="C7659">
        <f t="shared" si="258"/>
        <v>1.1880515953835756E-3</v>
      </c>
      <c r="D7659">
        <f t="shared" si="257"/>
        <v>9.2554347698678624E-2</v>
      </c>
    </row>
    <row r="7660" spans="1:4">
      <c r="A7660" s="1">
        <v>29412</v>
      </c>
      <c r="B7660">
        <v>116.95</v>
      </c>
      <c r="C7660">
        <f t="shared" si="258"/>
        <v>-8.7302932700457792E-3</v>
      </c>
      <c r="D7660">
        <f t="shared" si="257"/>
        <v>-0.95481949868143312</v>
      </c>
    </row>
    <row r="7661" spans="1:4">
      <c r="A7661" s="1">
        <v>29413</v>
      </c>
      <c r="B7661">
        <v>117.84</v>
      </c>
      <c r="C7661">
        <f t="shared" si="258"/>
        <v>7.6100897819581063E-3</v>
      </c>
      <c r="D7661">
        <f t="shared" si="257"/>
        <v>0.77071939724410499</v>
      </c>
    </row>
    <row r="7662" spans="1:4">
      <c r="A7662" s="1">
        <v>29416</v>
      </c>
      <c r="B7662">
        <v>120.01</v>
      </c>
      <c r="C7662">
        <f t="shared" si="258"/>
        <v>1.8414799728445362E-2</v>
      </c>
      <c r="D7662">
        <f t="shared" si="257"/>
        <v>1.9116930948938011</v>
      </c>
    </row>
    <row r="7663" spans="1:4">
      <c r="A7663" s="1">
        <v>29417</v>
      </c>
      <c r="B7663">
        <v>119.3</v>
      </c>
      <c r="C7663">
        <f t="shared" si="258"/>
        <v>-5.9161736521957161E-3</v>
      </c>
      <c r="D7663">
        <f t="shared" si="257"/>
        <v>-0.6576494236022018</v>
      </c>
    </row>
    <row r="7664" spans="1:4">
      <c r="A7664" s="1">
        <v>29418</v>
      </c>
      <c r="B7664">
        <v>119.63</v>
      </c>
      <c r="C7664">
        <f t="shared" si="258"/>
        <v>2.7661357921206901E-3</v>
      </c>
      <c r="D7664">
        <f t="shared" si="257"/>
        <v>0.25919950245723627</v>
      </c>
    </row>
    <row r="7665" spans="1:4">
      <c r="A7665" s="1">
        <v>29419</v>
      </c>
      <c r="B7665">
        <v>121.44</v>
      </c>
      <c r="C7665">
        <f t="shared" si="258"/>
        <v>1.5129984117696249E-2</v>
      </c>
      <c r="D7665">
        <f t="shared" si="257"/>
        <v>1.5648176829617719</v>
      </c>
    </row>
    <row r="7666" spans="1:4">
      <c r="A7666" s="1">
        <v>29420</v>
      </c>
      <c r="B7666">
        <v>122.04</v>
      </c>
      <c r="C7666">
        <f t="shared" si="258"/>
        <v>4.9407114624506632E-3</v>
      </c>
      <c r="D7666">
        <f t="shared" si="257"/>
        <v>0.48883395406989644</v>
      </c>
    </row>
    <row r="7667" spans="1:4">
      <c r="A7667" s="1">
        <v>29423</v>
      </c>
      <c r="B7667">
        <v>122.51</v>
      </c>
      <c r="C7667">
        <f t="shared" si="258"/>
        <v>3.8511963290724259E-3</v>
      </c>
      <c r="D7667">
        <f t="shared" si="257"/>
        <v>0.37378152632934253</v>
      </c>
    </row>
    <row r="7668" spans="1:4">
      <c r="A7668" s="1">
        <v>29424</v>
      </c>
      <c r="B7668">
        <v>122.19</v>
      </c>
      <c r="C7668">
        <f t="shared" si="258"/>
        <v>-2.6120316708840696E-3</v>
      </c>
      <c r="D7668">
        <f t="shared" si="257"/>
        <v>-0.30873315350812147</v>
      </c>
    </row>
    <row r="7669" spans="1:4">
      <c r="A7669" s="1">
        <v>29425</v>
      </c>
      <c r="B7669">
        <v>121.93</v>
      </c>
      <c r="C7669">
        <f t="shared" si="258"/>
        <v>-2.127833701612169E-3</v>
      </c>
      <c r="D7669">
        <f t="shared" si="257"/>
        <v>-0.2576020125398954</v>
      </c>
    </row>
    <row r="7670" spans="1:4">
      <c r="A7670" s="1">
        <v>29426</v>
      </c>
      <c r="B7670">
        <v>121.79</v>
      </c>
      <c r="C7670">
        <f t="shared" si="258"/>
        <v>-1.1481997867629013E-3</v>
      </c>
      <c r="D7670">
        <f t="shared" si="257"/>
        <v>-0.15415300412555974</v>
      </c>
    </row>
    <row r="7671" spans="1:4">
      <c r="A7671" s="1">
        <v>29427</v>
      </c>
      <c r="B7671">
        <v>120.78</v>
      </c>
      <c r="C7671">
        <f t="shared" si="258"/>
        <v>-8.292963297479309E-3</v>
      </c>
      <c r="D7671">
        <f t="shared" si="257"/>
        <v>-0.90863760223409429</v>
      </c>
    </row>
    <row r="7672" spans="1:4">
      <c r="A7672" s="1">
        <v>29430</v>
      </c>
      <c r="B7672">
        <v>121.43</v>
      </c>
      <c r="C7672">
        <f t="shared" si="258"/>
        <v>5.3816857095546093E-3</v>
      </c>
      <c r="D7672">
        <f t="shared" si="257"/>
        <v>0.53540068466964352</v>
      </c>
    </row>
    <row r="7673" spans="1:4">
      <c r="A7673" s="1">
        <v>29431</v>
      </c>
      <c r="B7673">
        <v>122.4</v>
      </c>
      <c r="C7673">
        <f t="shared" si="258"/>
        <v>7.9881413159845083E-3</v>
      </c>
      <c r="D7673">
        <f t="shared" si="257"/>
        <v>0.81064151073133284</v>
      </c>
    </row>
    <row r="7674" spans="1:4">
      <c r="A7674" s="1">
        <v>29432</v>
      </c>
      <c r="B7674">
        <v>122.23</v>
      </c>
      <c r="C7674">
        <f t="shared" si="258"/>
        <v>-1.3888888888889028E-3</v>
      </c>
      <c r="D7674">
        <f t="shared" si="257"/>
        <v>-0.17956969149586455</v>
      </c>
    </row>
    <row r="7675" spans="1:4">
      <c r="A7675" s="1">
        <v>29433</v>
      </c>
      <c r="B7675">
        <v>121.67</v>
      </c>
      <c r="C7675">
        <f t="shared" si="258"/>
        <v>-4.5815266301235565E-3</v>
      </c>
      <c r="D7675">
        <f t="shared" si="257"/>
        <v>-0.51671115173994708</v>
      </c>
    </row>
    <row r="7676" spans="1:4">
      <c r="A7676" s="1">
        <v>29434</v>
      </c>
      <c r="B7676">
        <v>121.21</v>
      </c>
      <c r="C7676">
        <f t="shared" si="258"/>
        <v>-3.7807183364839971E-3</v>
      </c>
      <c r="D7676">
        <f t="shared" si="257"/>
        <v>-0.43214606813957451</v>
      </c>
    </row>
    <row r="7677" spans="1:4">
      <c r="A7677" s="1">
        <v>29437</v>
      </c>
      <c r="B7677">
        <v>120.98</v>
      </c>
      <c r="C7677">
        <f t="shared" si="258"/>
        <v>-1.8975332068310352E-3</v>
      </c>
      <c r="D7677">
        <f t="shared" si="257"/>
        <v>-0.23328235857394944</v>
      </c>
    </row>
    <row r="7678" spans="1:4">
      <c r="A7678" s="1">
        <v>29438</v>
      </c>
      <c r="B7678">
        <v>120.74</v>
      </c>
      <c r="C7678">
        <f t="shared" si="258"/>
        <v>-1.9837989750372711E-3</v>
      </c>
      <c r="D7678">
        <f t="shared" si="257"/>
        <v>-0.24239199437336859</v>
      </c>
    </row>
    <row r="7679" spans="1:4">
      <c r="A7679" s="1">
        <v>29439</v>
      </c>
      <c r="B7679">
        <v>121.55</v>
      </c>
      <c r="C7679">
        <f t="shared" si="258"/>
        <v>6.7086301142951985E-3</v>
      </c>
      <c r="D7679">
        <f t="shared" si="257"/>
        <v>0.67552556275993114</v>
      </c>
    </row>
    <row r="7680" spans="1:4">
      <c r="A7680" s="1">
        <v>29440</v>
      </c>
      <c r="B7680">
        <v>123.3</v>
      </c>
      <c r="C7680">
        <f t="shared" si="258"/>
        <v>1.4397367338543809E-2</v>
      </c>
      <c r="D7680">
        <f t="shared" si="257"/>
        <v>1.4874536001118173</v>
      </c>
    </row>
    <row r="7681" spans="1:4">
      <c r="A7681" s="1">
        <v>29441</v>
      </c>
      <c r="B7681">
        <v>123.61</v>
      </c>
      <c r="C7681">
        <f t="shared" si="258"/>
        <v>2.5141930251419489E-3</v>
      </c>
      <c r="D7681">
        <f t="shared" si="257"/>
        <v>0.23259443190378873</v>
      </c>
    </row>
    <row r="7682" spans="1:4">
      <c r="A7682" s="1">
        <v>29444</v>
      </c>
      <c r="B7682">
        <v>124.78</v>
      </c>
      <c r="C7682">
        <f t="shared" si="258"/>
        <v>9.4652536202572742E-3</v>
      </c>
      <c r="D7682">
        <f t="shared" si="257"/>
        <v>0.96662406796766931</v>
      </c>
    </row>
    <row r="7683" spans="1:4">
      <c r="A7683" s="1">
        <v>29445</v>
      </c>
      <c r="B7683">
        <v>123.79</v>
      </c>
      <c r="C7683">
        <f t="shared" si="258"/>
        <v>-7.9339637762461529E-3</v>
      </c>
      <c r="D7683">
        <f t="shared" ref="D7683:D7746" si="259">(C7683-avg)/sd</f>
        <v>-0.87072737482173945</v>
      </c>
    </row>
    <row r="7684" spans="1:4">
      <c r="A7684" s="1">
        <v>29446</v>
      </c>
      <c r="B7684">
        <v>123.28</v>
      </c>
      <c r="C7684">
        <f t="shared" ref="C7684:C7747" si="260">(B7684-B7683)/B7683</f>
        <v>-4.1198804426852342E-3</v>
      </c>
      <c r="D7684">
        <f t="shared" si="259"/>
        <v>-0.46796147126762383</v>
      </c>
    </row>
    <row r="7685" spans="1:4">
      <c r="A7685" s="1">
        <v>29447</v>
      </c>
      <c r="B7685">
        <v>125.25</v>
      </c>
      <c r="C7685">
        <f t="shared" si="260"/>
        <v>1.5979883192731983E-2</v>
      </c>
      <c r="D7685">
        <f t="shared" si="259"/>
        <v>1.654566736390813</v>
      </c>
    </row>
    <row r="7686" spans="1:4">
      <c r="A7686" s="1">
        <v>29448</v>
      </c>
      <c r="B7686">
        <v>125.72</v>
      </c>
      <c r="C7686">
        <f t="shared" si="260"/>
        <v>3.7524950099800309E-3</v>
      </c>
      <c r="D7686">
        <f t="shared" si="259"/>
        <v>0.36335870058339415</v>
      </c>
    </row>
    <row r="7687" spans="1:4">
      <c r="A7687" s="1">
        <v>29451</v>
      </c>
      <c r="B7687">
        <v>123.39</v>
      </c>
      <c r="C7687">
        <f t="shared" si="260"/>
        <v>-1.8533248488705044E-2</v>
      </c>
      <c r="D7687">
        <f t="shared" si="259"/>
        <v>-1.9900082375854702</v>
      </c>
    </row>
    <row r="7688" spans="1:4">
      <c r="A7688" s="1">
        <v>29452</v>
      </c>
      <c r="B7688">
        <v>122.6</v>
      </c>
      <c r="C7688">
        <f t="shared" si="260"/>
        <v>-6.402463732879538E-3</v>
      </c>
      <c r="D7688">
        <f t="shared" si="259"/>
        <v>-0.70900149082438357</v>
      </c>
    </row>
    <row r="7689" spans="1:4">
      <c r="A7689" s="1">
        <v>29453</v>
      </c>
      <c r="B7689">
        <v>123.77</v>
      </c>
      <c r="C7689">
        <f t="shared" si="260"/>
        <v>9.5432300163132283E-3</v>
      </c>
      <c r="D7689">
        <f t="shared" si="259"/>
        <v>0.97485834888571321</v>
      </c>
    </row>
    <row r="7690" spans="1:4">
      <c r="A7690" s="1">
        <v>29454</v>
      </c>
      <c r="B7690">
        <v>125.46</v>
      </c>
      <c r="C7690">
        <f t="shared" si="260"/>
        <v>1.3654358891492266E-2</v>
      </c>
      <c r="D7690">
        <f t="shared" si="259"/>
        <v>1.4089921606640168</v>
      </c>
    </row>
    <row r="7691" spans="1:4">
      <c r="A7691" s="1">
        <v>29455</v>
      </c>
      <c r="B7691">
        <v>126.02</v>
      </c>
      <c r="C7691">
        <f t="shared" si="260"/>
        <v>4.4635740475051991E-3</v>
      </c>
      <c r="D7691">
        <f t="shared" si="259"/>
        <v>0.438448405238543</v>
      </c>
    </row>
    <row r="7692" spans="1:4">
      <c r="A7692" s="1">
        <v>29458</v>
      </c>
      <c r="B7692">
        <v>125.16</v>
      </c>
      <c r="C7692">
        <f t="shared" si="260"/>
        <v>-6.8243136010157071E-3</v>
      </c>
      <c r="D7692">
        <f t="shared" si="259"/>
        <v>-0.75354869350582565</v>
      </c>
    </row>
    <row r="7693" spans="1:4">
      <c r="A7693" s="1">
        <v>29459</v>
      </c>
      <c r="B7693">
        <v>124.84</v>
      </c>
      <c r="C7693">
        <f t="shared" si="260"/>
        <v>-2.5567273889420994E-3</v>
      </c>
      <c r="D7693">
        <f t="shared" si="259"/>
        <v>-0.30289304013388824</v>
      </c>
    </row>
    <row r="7694" spans="1:4">
      <c r="A7694" s="1">
        <v>29460</v>
      </c>
      <c r="B7694">
        <v>123.52</v>
      </c>
      <c r="C7694">
        <f t="shared" si="260"/>
        <v>-1.0573534123678367E-2</v>
      </c>
      <c r="D7694">
        <f t="shared" si="259"/>
        <v>-1.1494651062770258</v>
      </c>
    </row>
    <row r="7695" spans="1:4">
      <c r="A7695" s="1">
        <v>29461</v>
      </c>
      <c r="B7695">
        <v>122.08</v>
      </c>
      <c r="C7695">
        <f t="shared" si="260"/>
        <v>-1.1658031088082884E-2</v>
      </c>
      <c r="D7695">
        <f t="shared" si="259"/>
        <v>-1.2639876170797133</v>
      </c>
    </row>
    <row r="7696" spans="1:4">
      <c r="A7696" s="1">
        <v>29462</v>
      </c>
      <c r="B7696">
        <v>122.38</v>
      </c>
      <c r="C7696">
        <f t="shared" si="260"/>
        <v>2.4574049803407368E-3</v>
      </c>
      <c r="D7696">
        <f t="shared" si="259"/>
        <v>0.22659763367597505</v>
      </c>
    </row>
    <row r="7697" spans="1:4">
      <c r="A7697" s="1">
        <v>29466</v>
      </c>
      <c r="B7697">
        <v>123.74</v>
      </c>
      <c r="C7697">
        <f t="shared" si="260"/>
        <v>1.1112926948847846E-2</v>
      </c>
      <c r="D7697">
        <f t="shared" si="259"/>
        <v>1.1406178113954568</v>
      </c>
    </row>
    <row r="7698" spans="1:4">
      <c r="A7698" s="1">
        <v>29467</v>
      </c>
      <c r="B7698">
        <v>126.12</v>
      </c>
      <c r="C7698">
        <f t="shared" si="260"/>
        <v>1.9233877485049376E-2</v>
      </c>
      <c r="D7698">
        <f t="shared" si="259"/>
        <v>1.9981874275731277</v>
      </c>
    </row>
    <row r="7699" spans="1:4">
      <c r="A7699" s="1">
        <v>29468</v>
      </c>
      <c r="B7699">
        <v>125.42</v>
      </c>
      <c r="C7699">
        <f t="shared" si="260"/>
        <v>-5.5502695845226994E-3</v>
      </c>
      <c r="D7699">
        <f t="shared" si="259"/>
        <v>-0.61901007843276701</v>
      </c>
    </row>
    <row r="7700" spans="1:4">
      <c r="A7700" s="1">
        <v>29469</v>
      </c>
      <c r="B7700">
        <v>124.88</v>
      </c>
      <c r="C7700">
        <f t="shared" si="260"/>
        <v>-4.3055334077500102E-3</v>
      </c>
      <c r="D7700">
        <f t="shared" si="259"/>
        <v>-0.48756636127195518</v>
      </c>
    </row>
    <row r="7701" spans="1:4">
      <c r="A7701" s="1">
        <v>29472</v>
      </c>
      <c r="B7701">
        <v>123.31</v>
      </c>
      <c r="C7701">
        <f t="shared" si="260"/>
        <v>-1.2572069186418908E-2</v>
      </c>
      <c r="D7701">
        <f t="shared" si="259"/>
        <v>-1.3605097295673518</v>
      </c>
    </row>
    <row r="7702" spans="1:4">
      <c r="A7702" s="1">
        <v>29473</v>
      </c>
      <c r="B7702">
        <v>124.07</v>
      </c>
      <c r="C7702">
        <f t="shared" si="260"/>
        <v>6.1633281972264288E-3</v>
      </c>
      <c r="D7702">
        <f t="shared" si="259"/>
        <v>0.61794186567459675</v>
      </c>
    </row>
    <row r="7703" spans="1:4">
      <c r="A7703" s="1">
        <v>29474</v>
      </c>
      <c r="B7703">
        <v>124.81</v>
      </c>
      <c r="C7703">
        <f t="shared" si="260"/>
        <v>5.9643749496252852E-3</v>
      </c>
      <c r="D7703">
        <f t="shared" si="259"/>
        <v>0.59693247035541075</v>
      </c>
    </row>
    <row r="7704" spans="1:4">
      <c r="A7704" s="1">
        <v>29475</v>
      </c>
      <c r="B7704">
        <v>125.66</v>
      </c>
      <c r="C7704">
        <f t="shared" si="260"/>
        <v>6.8103517346366016E-3</v>
      </c>
      <c r="D7704">
        <f t="shared" si="259"/>
        <v>0.6862673312911246</v>
      </c>
    </row>
    <row r="7705" spans="1:4">
      <c r="A7705" s="1">
        <v>29476</v>
      </c>
      <c r="B7705">
        <v>125.54</v>
      </c>
      <c r="C7705">
        <f t="shared" si="260"/>
        <v>-9.5495782269608735E-4</v>
      </c>
      <c r="D7705">
        <f t="shared" si="259"/>
        <v>-0.13374671840623931</v>
      </c>
    </row>
    <row r="7706" spans="1:4">
      <c r="A7706" s="1">
        <v>29479</v>
      </c>
      <c r="B7706">
        <v>125.67</v>
      </c>
      <c r="C7706">
        <f t="shared" si="260"/>
        <v>1.0355265254101916E-3</v>
      </c>
      <c r="D7706">
        <f t="shared" si="259"/>
        <v>7.6447752155279616E-2</v>
      </c>
    </row>
    <row r="7707" spans="1:4">
      <c r="A7707" s="1">
        <v>29480</v>
      </c>
      <c r="B7707">
        <v>126.74</v>
      </c>
      <c r="C7707">
        <f t="shared" si="260"/>
        <v>8.5143630142435998E-3</v>
      </c>
      <c r="D7707">
        <f t="shared" si="259"/>
        <v>0.86621034319604684</v>
      </c>
    </row>
    <row r="7708" spans="1:4">
      <c r="A7708" s="1">
        <v>29481</v>
      </c>
      <c r="B7708">
        <v>128.87</v>
      </c>
      <c r="C7708">
        <f t="shared" si="260"/>
        <v>1.6806059649676582E-2</v>
      </c>
      <c r="D7708">
        <f t="shared" si="259"/>
        <v>1.74181068941314</v>
      </c>
    </row>
    <row r="7709" spans="1:4">
      <c r="A7709" s="1">
        <v>29482</v>
      </c>
      <c r="B7709">
        <v>128.4</v>
      </c>
      <c r="C7709">
        <f t="shared" si="260"/>
        <v>-3.6470862109102106E-3</v>
      </c>
      <c r="D7709">
        <f t="shared" si="259"/>
        <v>-0.41803456110274917</v>
      </c>
    </row>
    <row r="7710" spans="1:4">
      <c r="A7710" s="1">
        <v>29483</v>
      </c>
      <c r="B7710">
        <v>129.25</v>
      </c>
      <c r="C7710">
        <f t="shared" si="260"/>
        <v>6.6199376947040055E-3</v>
      </c>
      <c r="D7710">
        <f t="shared" si="259"/>
        <v>0.66615967339911941</v>
      </c>
    </row>
    <row r="7711" spans="1:4">
      <c r="A7711" s="1">
        <v>29486</v>
      </c>
      <c r="B7711">
        <v>130.4</v>
      </c>
      <c r="C7711">
        <f t="shared" si="260"/>
        <v>8.8974854932302172E-3</v>
      </c>
      <c r="D7711">
        <f t="shared" si="259"/>
        <v>0.9066679467473755</v>
      </c>
    </row>
    <row r="7712" spans="1:4">
      <c r="A7712" s="1">
        <v>29487</v>
      </c>
      <c r="B7712">
        <v>129.43</v>
      </c>
      <c r="C7712">
        <f t="shared" si="260"/>
        <v>-7.4386503067484571E-3</v>
      </c>
      <c r="D7712">
        <f t="shared" si="259"/>
        <v>-0.81842244080801163</v>
      </c>
    </row>
    <row r="7713" spans="1:4">
      <c r="A7713" s="1">
        <v>29488</v>
      </c>
      <c r="B7713">
        <v>130.37</v>
      </c>
      <c r="C7713">
        <f t="shared" si="260"/>
        <v>7.2626129954415338E-3</v>
      </c>
      <c r="D7713">
        <f t="shared" si="259"/>
        <v>0.73402596670105347</v>
      </c>
    </row>
    <row r="7714" spans="1:4">
      <c r="A7714" s="1">
        <v>29489</v>
      </c>
      <c r="B7714">
        <v>128.72</v>
      </c>
      <c r="C7714">
        <f t="shared" si="260"/>
        <v>-1.2656285955357871E-2</v>
      </c>
      <c r="D7714">
        <f t="shared" si="259"/>
        <v>-1.3694029917406356</v>
      </c>
    </row>
    <row r="7715" spans="1:4">
      <c r="A7715" s="1">
        <v>29490</v>
      </c>
      <c r="B7715">
        <v>126.35</v>
      </c>
      <c r="C7715">
        <f t="shared" si="260"/>
        <v>-1.8412057178371695E-2</v>
      </c>
      <c r="D7715">
        <f t="shared" si="259"/>
        <v>-1.9772104764091964</v>
      </c>
    </row>
    <row r="7716" spans="1:4">
      <c r="A7716" s="1">
        <v>29493</v>
      </c>
      <c r="B7716">
        <v>123.54</v>
      </c>
      <c r="C7716">
        <f t="shared" si="260"/>
        <v>-2.2239810051444306E-2</v>
      </c>
      <c r="D7716">
        <f t="shared" si="259"/>
        <v>-2.3814198786892447</v>
      </c>
    </row>
    <row r="7717" spans="1:4">
      <c r="A7717" s="1">
        <v>29494</v>
      </c>
      <c r="B7717">
        <v>125.46</v>
      </c>
      <c r="C7717">
        <f t="shared" si="260"/>
        <v>1.5541525012141715E-2</v>
      </c>
      <c r="D7717">
        <f t="shared" si="259"/>
        <v>1.6082762615256663</v>
      </c>
    </row>
    <row r="7718" spans="1:4">
      <c r="A7718" s="1">
        <v>29495</v>
      </c>
      <c r="B7718">
        <v>127.13</v>
      </c>
      <c r="C7718">
        <f t="shared" si="260"/>
        <v>1.3311015463095821E-2</v>
      </c>
      <c r="D7718">
        <f t="shared" si="259"/>
        <v>1.3727352113334541</v>
      </c>
    </row>
    <row r="7719" spans="1:4">
      <c r="A7719" s="1">
        <v>29496</v>
      </c>
      <c r="B7719">
        <v>128.09</v>
      </c>
      <c r="C7719">
        <f t="shared" si="260"/>
        <v>7.5513254149296629E-3</v>
      </c>
      <c r="D7719">
        <f t="shared" si="259"/>
        <v>0.76451390006088027</v>
      </c>
    </row>
    <row r="7720" spans="1:4">
      <c r="A7720" s="1">
        <v>29497</v>
      </c>
      <c r="B7720">
        <v>129.33000000000001</v>
      </c>
      <c r="C7720">
        <f t="shared" si="260"/>
        <v>9.6806932625498401E-3</v>
      </c>
      <c r="D7720">
        <f t="shared" si="259"/>
        <v>0.98937442096227168</v>
      </c>
    </row>
    <row r="7721" spans="1:4">
      <c r="A7721" s="1">
        <v>29500</v>
      </c>
      <c r="B7721">
        <v>131.72999999999999</v>
      </c>
      <c r="C7721">
        <f t="shared" si="260"/>
        <v>1.8557179308744894E-2</v>
      </c>
      <c r="D7721">
        <f t="shared" si="259"/>
        <v>1.9267283301762608</v>
      </c>
    </row>
    <row r="7722" spans="1:4">
      <c r="A7722" s="1">
        <v>29501</v>
      </c>
      <c r="B7722">
        <v>131</v>
      </c>
      <c r="C7722">
        <f t="shared" si="260"/>
        <v>-5.5416381993470725E-3</v>
      </c>
      <c r="D7722">
        <f t="shared" si="259"/>
        <v>-0.61809860709217113</v>
      </c>
    </row>
    <row r="7723" spans="1:4">
      <c r="A7723" s="1">
        <v>29502</v>
      </c>
      <c r="B7723">
        <v>131.65</v>
      </c>
      <c r="C7723">
        <f t="shared" si="260"/>
        <v>4.9618320610687458E-3</v>
      </c>
      <c r="D7723">
        <f t="shared" si="259"/>
        <v>0.49106428210472564</v>
      </c>
    </row>
    <row r="7724" spans="1:4">
      <c r="A7724" s="1">
        <v>29503</v>
      </c>
      <c r="B7724">
        <v>131.04</v>
      </c>
      <c r="C7724">
        <f t="shared" si="260"/>
        <v>-4.6334979111280943E-3</v>
      </c>
      <c r="D7724">
        <f t="shared" si="259"/>
        <v>-0.52219930134812953</v>
      </c>
    </row>
    <row r="7725" spans="1:4">
      <c r="A7725" s="1">
        <v>29504</v>
      </c>
      <c r="B7725">
        <v>130.29</v>
      </c>
      <c r="C7725">
        <f t="shared" si="260"/>
        <v>-5.7234432234432239E-3</v>
      </c>
      <c r="D7725">
        <f t="shared" si="259"/>
        <v>-0.63729715583819435</v>
      </c>
    </row>
    <row r="7726" spans="1:4">
      <c r="A7726" s="1">
        <v>29507</v>
      </c>
      <c r="B7726">
        <v>132.03</v>
      </c>
      <c r="C7726">
        <f t="shared" si="260"/>
        <v>1.3354823854478542E-2</v>
      </c>
      <c r="D7726">
        <f t="shared" si="259"/>
        <v>1.3773613625722736</v>
      </c>
    </row>
    <row r="7727" spans="1:4">
      <c r="A7727" s="1">
        <v>29508</v>
      </c>
      <c r="B7727">
        <v>132.02000000000001</v>
      </c>
      <c r="C7727">
        <f t="shared" si="260"/>
        <v>-7.5740362038861662E-5</v>
      </c>
      <c r="D7727">
        <f t="shared" si="259"/>
        <v>-4.0901653421372024E-2</v>
      </c>
    </row>
    <row r="7728" spans="1:4">
      <c r="A7728" s="1">
        <v>29509</v>
      </c>
      <c r="B7728">
        <v>133.69999999999999</v>
      </c>
      <c r="C7728">
        <f t="shared" si="260"/>
        <v>1.2725344644750631E-2</v>
      </c>
      <c r="D7728">
        <f t="shared" si="259"/>
        <v>1.3108885719953858</v>
      </c>
    </row>
    <row r="7729" spans="1:4">
      <c r="A7729" s="1">
        <v>29510</v>
      </c>
      <c r="B7729">
        <v>132.22</v>
      </c>
      <c r="C7729">
        <f t="shared" si="260"/>
        <v>-1.1069558713537696E-2</v>
      </c>
      <c r="D7729">
        <f t="shared" si="259"/>
        <v>-1.2018451343592207</v>
      </c>
    </row>
    <row r="7730" spans="1:4">
      <c r="A7730" s="1">
        <v>29511</v>
      </c>
      <c r="B7730">
        <v>131.52000000000001</v>
      </c>
      <c r="C7730">
        <f t="shared" si="260"/>
        <v>-5.2942066253213477E-3</v>
      </c>
      <c r="D7730">
        <f t="shared" si="259"/>
        <v>-0.5919699169811331</v>
      </c>
    </row>
    <row r="7731" spans="1:4">
      <c r="A7731" s="1">
        <v>29514</v>
      </c>
      <c r="B7731">
        <v>132.61000000000001</v>
      </c>
      <c r="C7731">
        <f t="shared" si="260"/>
        <v>8.2877128953771535E-3</v>
      </c>
      <c r="D7731">
        <f t="shared" si="259"/>
        <v>0.84227616768586877</v>
      </c>
    </row>
    <row r="7732" spans="1:4">
      <c r="A7732" s="1">
        <v>29515</v>
      </c>
      <c r="B7732">
        <v>131.84</v>
      </c>
      <c r="C7732">
        <f t="shared" si="260"/>
        <v>-5.8065002639319067E-3</v>
      </c>
      <c r="D7732">
        <f t="shared" si="259"/>
        <v>-0.64606795108133952</v>
      </c>
    </row>
    <row r="7733" spans="1:4">
      <c r="A7733" s="1">
        <v>29516</v>
      </c>
      <c r="B7733">
        <v>131.91999999999999</v>
      </c>
      <c r="C7733">
        <f t="shared" si="260"/>
        <v>6.0679611650473364E-4</v>
      </c>
      <c r="D7733">
        <f t="shared" si="259"/>
        <v>3.1173966707410017E-2</v>
      </c>
    </row>
    <row r="7734" spans="1:4">
      <c r="A7734" s="1">
        <v>29517</v>
      </c>
      <c r="B7734">
        <v>129.53</v>
      </c>
      <c r="C7734">
        <f t="shared" si="260"/>
        <v>-1.8117040630685161E-2</v>
      </c>
      <c r="D7734">
        <f t="shared" si="259"/>
        <v>-1.9460568292544955</v>
      </c>
    </row>
    <row r="7735" spans="1:4">
      <c r="A7735" s="1">
        <v>29518</v>
      </c>
      <c r="B7735">
        <v>129.85</v>
      </c>
      <c r="C7735">
        <f t="shared" si="260"/>
        <v>2.4704701613525296E-3</v>
      </c>
      <c r="D7735">
        <f t="shared" si="259"/>
        <v>0.22797731234974958</v>
      </c>
    </row>
    <row r="7736" spans="1:4">
      <c r="A7736" s="1">
        <v>29521</v>
      </c>
      <c r="B7736">
        <v>127.88</v>
      </c>
      <c r="C7736">
        <f t="shared" si="260"/>
        <v>-1.5171351559491713E-2</v>
      </c>
      <c r="D7736">
        <f t="shared" si="259"/>
        <v>-1.6349930646248325</v>
      </c>
    </row>
    <row r="7737" spans="1:4">
      <c r="A7737" s="1">
        <v>29522</v>
      </c>
      <c r="B7737">
        <v>128.05000000000001</v>
      </c>
      <c r="C7737">
        <f t="shared" si="260"/>
        <v>1.329371285580356E-3</v>
      </c>
      <c r="D7737">
        <f t="shared" si="259"/>
        <v>0.10747765894656194</v>
      </c>
    </row>
    <row r="7738" spans="1:4">
      <c r="A7738" s="1">
        <v>29523</v>
      </c>
      <c r="B7738">
        <v>127.91</v>
      </c>
      <c r="C7738">
        <f t="shared" si="260"/>
        <v>-1.0933229207342036E-3</v>
      </c>
      <c r="D7738">
        <f t="shared" si="259"/>
        <v>-0.14835802572648235</v>
      </c>
    </row>
    <row r="7739" spans="1:4">
      <c r="A7739" s="1">
        <v>29524</v>
      </c>
      <c r="B7739">
        <v>126.29</v>
      </c>
      <c r="C7739">
        <f t="shared" si="260"/>
        <v>-1.2665155187240955E-2</v>
      </c>
      <c r="D7739">
        <f t="shared" si="259"/>
        <v>-1.3703395796126909</v>
      </c>
    </row>
    <row r="7740" spans="1:4">
      <c r="A7740" s="1">
        <v>29525</v>
      </c>
      <c r="B7740">
        <v>127.47</v>
      </c>
      <c r="C7740">
        <f t="shared" si="260"/>
        <v>9.3435743130888642E-3</v>
      </c>
      <c r="D7740">
        <f t="shared" si="259"/>
        <v>0.95377477449149128</v>
      </c>
    </row>
    <row r="7741" spans="1:4">
      <c r="A7741" s="1">
        <v>29528</v>
      </c>
      <c r="B7741">
        <v>129.04</v>
      </c>
      <c r="C7741">
        <f t="shared" si="260"/>
        <v>1.2316623519259381E-2</v>
      </c>
      <c r="D7741">
        <f t="shared" si="259"/>
        <v>1.2677277600745707</v>
      </c>
    </row>
    <row r="7742" spans="1:4">
      <c r="A7742" s="1">
        <v>29530</v>
      </c>
      <c r="B7742">
        <v>131.33000000000001</v>
      </c>
      <c r="C7742">
        <f t="shared" si="260"/>
        <v>1.7746435213887326E-2</v>
      </c>
      <c r="D7742">
        <f t="shared" si="259"/>
        <v>1.8411140293446093</v>
      </c>
    </row>
    <row r="7743" spans="1:4">
      <c r="A7743" s="1">
        <v>29531</v>
      </c>
      <c r="B7743">
        <v>128.91</v>
      </c>
      <c r="C7743">
        <f t="shared" si="260"/>
        <v>-1.8426863625980474E-2</v>
      </c>
      <c r="D7743">
        <f t="shared" si="259"/>
        <v>-1.9787740322437275</v>
      </c>
    </row>
    <row r="7744" spans="1:4">
      <c r="A7744" s="1">
        <v>29532</v>
      </c>
      <c r="B7744">
        <v>129.18</v>
      </c>
      <c r="C7744">
        <f t="shared" si="260"/>
        <v>2.0944845240866514E-3</v>
      </c>
      <c r="D7744">
        <f t="shared" si="259"/>
        <v>0.1882733568582006</v>
      </c>
    </row>
    <row r="7745" spans="1:4">
      <c r="A7745" s="1">
        <v>29535</v>
      </c>
      <c r="B7745">
        <v>129.47999999999999</v>
      </c>
      <c r="C7745">
        <f t="shared" si="260"/>
        <v>2.3223409196468721E-3</v>
      </c>
      <c r="D7745">
        <f t="shared" si="259"/>
        <v>0.21233491477720784</v>
      </c>
    </row>
    <row r="7746" spans="1:4">
      <c r="A7746" s="1">
        <v>29536</v>
      </c>
      <c r="B7746">
        <v>131.26</v>
      </c>
      <c r="C7746">
        <f t="shared" si="260"/>
        <v>1.3747296879827011E-2</v>
      </c>
      <c r="D7746">
        <f t="shared" si="259"/>
        <v>1.4188063806410085</v>
      </c>
    </row>
    <row r="7747" spans="1:4">
      <c r="A7747" s="1">
        <v>29537</v>
      </c>
      <c r="B7747">
        <v>134.59</v>
      </c>
      <c r="C7747">
        <f t="shared" si="260"/>
        <v>2.5369495657473814E-2</v>
      </c>
      <c r="D7747">
        <f t="shared" ref="D7747:D7810" si="261">(C7747-avg)/sd</f>
        <v>2.6461066209831978</v>
      </c>
    </row>
    <row r="7748" spans="1:4">
      <c r="A7748" s="1">
        <v>29538</v>
      </c>
      <c r="B7748">
        <v>136.49</v>
      </c>
      <c r="C7748">
        <f t="shared" ref="C7748:C7811" si="262">(B7748-B7747)/B7747</f>
        <v>1.4116947767293303E-2</v>
      </c>
      <c r="D7748">
        <f t="shared" si="261"/>
        <v>1.4578413887070074</v>
      </c>
    </row>
    <row r="7749" spans="1:4">
      <c r="A7749" s="1">
        <v>29539</v>
      </c>
      <c r="B7749">
        <v>137.15</v>
      </c>
      <c r="C7749">
        <f t="shared" si="262"/>
        <v>4.8355190856472748E-3</v>
      </c>
      <c r="D7749">
        <f t="shared" si="261"/>
        <v>0.4777256748360848</v>
      </c>
    </row>
    <row r="7750" spans="1:4">
      <c r="A7750" s="1">
        <v>29542</v>
      </c>
      <c r="B7750">
        <v>137.75</v>
      </c>
      <c r="C7750">
        <f t="shared" si="262"/>
        <v>4.374772147283954E-3</v>
      </c>
      <c r="D7750">
        <f t="shared" si="261"/>
        <v>0.42907095476041207</v>
      </c>
    </row>
    <row r="7751" spans="1:4">
      <c r="A7751" s="1">
        <v>29543</v>
      </c>
      <c r="B7751">
        <v>139.69999999999999</v>
      </c>
      <c r="C7751">
        <f t="shared" si="262"/>
        <v>1.4156079854809355E-2</v>
      </c>
      <c r="D7751">
        <f t="shared" si="261"/>
        <v>1.4619737238470596</v>
      </c>
    </row>
    <row r="7752" spans="1:4">
      <c r="A7752" s="1">
        <v>29544</v>
      </c>
      <c r="B7752">
        <v>139.06</v>
      </c>
      <c r="C7752">
        <f t="shared" si="262"/>
        <v>-4.5812455261273182E-3</v>
      </c>
      <c r="D7752">
        <f t="shared" si="261"/>
        <v>-0.51668146725349628</v>
      </c>
    </row>
    <row r="7753" spans="1:4">
      <c r="A7753" s="1">
        <v>29545</v>
      </c>
      <c r="B7753">
        <v>140.4</v>
      </c>
      <c r="C7753">
        <f t="shared" si="262"/>
        <v>9.6361282899468104E-3</v>
      </c>
      <c r="D7753">
        <f t="shared" si="261"/>
        <v>0.98466837500376192</v>
      </c>
    </row>
    <row r="7754" spans="1:4">
      <c r="A7754" s="1">
        <v>29546</v>
      </c>
      <c r="B7754">
        <v>139.11000000000001</v>
      </c>
      <c r="C7754">
        <f t="shared" si="262"/>
        <v>-9.1880341880341311E-3</v>
      </c>
      <c r="D7754">
        <f t="shared" si="261"/>
        <v>-1.003156784027305</v>
      </c>
    </row>
    <row r="7755" spans="1:4">
      <c r="A7755" s="1">
        <v>29549</v>
      </c>
      <c r="B7755">
        <v>138.31</v>
      </c>
      <c r="C7755">
        <f t="shared" si="262"/>
        <v>-5.7508446553088295E-3</v>
      </c>
      <c r="D7755">
        <f t="shared" si="261"/>
        <v>-0.64019073772900315</v>
      </c>
    </row>
    <row r="7756" spans="1:4">
      <c r="A7756" s="1">
        <v>29550</v>
      </c>
      <c r="B7756">
        <v>139.33000000000001</v>
      </c>
      <c r="C7756">
        <f t="shared" si="262"/>
        <v>7.3747379075989458E-3</v>
      </c>
      <c r="D7756">
        <f t="shared" si="261"/>
        <v>0.74586631931176672</v>
      </c>
    </row>
    <row r="7757" spans="1:4">
      <c r="A7757" s="1">
        <v>29551</v>
      </c>
      <c r="B7757">
        <v>140.16999999999999</v>
      </c>
      <c r="C7757">
        <f t="shared" si="262"/>
        <v>6.0288523648889319E-3</v>
      </c>
      <c r="D7757">
        <f t="shared" si="261"/>
        <v>0.60374126349031343</v>
      </c>
    </row>
    <row r="7758" spans="1:4">
      <c r="A7758" s="1">
        <v>29553</v>
      </c>
      <c r="B7758">
        <v>140.52000000000001</v>
      </c>
      <c r="C7758">
        <f t="shared" si="262"/>
        <v>2.4969679674682367E-3</v>
      </c>
      <c r="D7758">
        <f t="shared" si="261"/>
        <v>0.2307754716685263</v>
      </c>
    </row>
    <row r="7759" spans="1:4">
      <c r="A7759" s="1">
        <v>29556</v>
      </c>
      <c r="B7759">
        <v>137.21</v>
      </c>
      <c r="C7759">
        <f t="shared" si="262"/>
        <v>-2.3555365784230016E-2</v>
      </c>
      <c r="D7759">
        <f t="shared" si="261"/>
        <v>-2.5203421168922948</v>
      </c>
    </row>
    <row r="7760" spans="1:4">
      <c r="A7760" s="1">
        <v>29557</v>
      </c>
      <c r="B7760">
        <v>136.97</v>
      </c>
      <c r="C7760">
        <f t="shared" si="262"/>
        <v>-1.7491436484221928E-3</v>
      </c>
      <c r="D7760">
        <f t="shared" si="261"/>
        <v>-0.21761247164603736</v>
      </c>
    </row>
    <row r="7761" spans="1:4">
      <c r="A7761" s="1">
        <v>29558</v>
      </c>
      <c r="B7761">
        <v>136.71</v>
      </c>
      <c r="C7761">
        <f t="shared" si="262"/>
        <v>-1.8982258888807105E-3</v>
      </c>
      <c r="D7761">
        <f t="shared" si="261"/>
        <v>-0.2333555055629411</v>
      </c>
    </row>
    <row r="7762" spans="1:4">
      <c r="A7762" s="1">
        <v>29559</v>
      </c>
      <c r="B7762">
        <v>136.47999999999999</v>
      </c>
      <c r="C7762">
        <f t="shared" si="262"/>
        <v>-1.6823933874626448E-3</v>
      </c>
      <c r="D7762">
        <f t="shared" si="261"/>
        <v>-0.21056366677822519</v>
      </c>
    </row>
    <row r="7763" spans="1:4">
      <c r="A7763" s="1">
        <v>29560</v>
      </c>
      <c r="B7763">
        <v>134.03</v>
      </c>
      <c r="C7763">
        <f t="shared" si="262"/>
        <v>-1.7951348182883856E-2</v>
      </c>
      <c r="D7763">
        <f t="shared" si="261"/>
        <v>-1.9285597630882771</v>
      </c>
    </row>
    <row r="7764" spans="1:4">
      <c r="A7764" s="1">
        <v>29563</v>
      </c>
      <c r="B7764">
        <v>130.61000000000001</v>
      </c>
      <c r="C7764">
        <f t="shared" si="262"/>
        <v>-2.5516675371185463E-2</v>
      </c>
      <c r="D7764">
        <f t="shared" si="261"/>
        <v>-2.7274557425932691</v>
      </c>
    </row>
    <row r="7765" spans="1:4">
      <c r="A7765" s="1">
        <v>29564</v>
      </c>
      <c r="B7765">
        <v>130.47999999999999</v>
      </c>
      <c r="C7765">
        <f t="shared" si="262"/>
        <v>-9.9532960722780697E-4</v>
      </c>
      <c r="D7765">
        <f t="shared" si="261"/>
        <v>-0.13800996512975255</v>
      </c>
    </row>
    <row r="7766" spans="1:4">
      <c r="A7766" s="1">
        <v>29565</v>
      </c>
      <c r="B7766">
        <v>128.26</v>
      </c>
      <c r="C7766">
        <f t="shared" si="262"/>
        <v>-1.7014101778050267E-2</v>
      </c>
      <c r="D7766">
        <f t="shared" si="261"/>
        <v>-1.8295868613233826</v>
      </c>
    </row>
    <row r="7767" spans="1:4">
      <c r="A7767" s="1">
        <v>29566</v>
      </c>
      <c r="B7767">
        <v>127.36</v>
      </c>
      <c r="C7767">
        <f t="shared" si="262"/>
        <v>-7.0169967254014622E-3</v>
      </c>
      <c r="D7767">
        <f t="shared" si="261"/>
        <v>-0.77389596594478516</v>
      </c>
    </row>
    <row r="7768" spans="1:4">
      <c r="A7768" s="1">
        <v>29567</v>
      </c>
      <c r="B7768">
        <v>129.22999999999999</v>
      </c>
      <c r="C7768">
        <f t="shared" si="262"/>
        <v>1.4682788944723543E-2</v>
      </c>
      <c r="D7768">
        <f t="shared" si="261"/>
        <v>1.5175940247048791</v>
      </c>
    </row>
    <row r="7769" spans="1:4">
      <c r="A7769" s="1">
        <v>29570</v>
      </c>
      <c r="B7769">
        <v>129.44999999999999</v>
      </c>
      <c r="C7769">
        <f t="shared" si="262"/>
        <v>1.7023910856612155E-3</v>
      </c>
      <c r="D7769">
        <f t="shared" si="261"/>
        <v>0.14686842303950998</v>
      </c>
    </row>
    <row r="7770" spans="1:4">
      <c r="A7770" s="1">
        <v>29571</v>
      </c>
      <c r="B7770">
        <v>130.6</v>
      </c>
      <c r="C7770">
        <f t="shared" si="262"/>
        <v>8.8837388953264262E-3</v>
      </c>
      <c r="D7770">
        <f t="shared" si="261"/>
        <v>0.90521631068143082</v>
      </c>
    </row>
    <row r="7771" spans="1:4">
      <c r="A7771" s="1">
        <v>29572</v>
      </c>
      <c r="B7771">
        <v>132.88999999999999</v>
      </c>
      <c r="C7771">
        <f t="shared" si="262"/>
        <v>1.7534456355283248E-2</v>
      </c>
      <c r="D7771">
        <f t="shared" si="261"/>
        <v>1.8187291339311338</v>
      </c>
    </row>
    <row r="7772" spans="1:4">
      <c r="A7772" s="1">
        <v>29573</v>
      </c>
      <c r="B7772">
        <v>133</v>
      </c>
      <c r="C7772">
        <f t="shared" si="262"/>
        <v>8.2775227631886261E-4</v>
      </c>
      <c r="D7772">
        <f t="shared" si="261"/>
        <v>5.4506862077134066E-2</v>
      </c>
    </row>
    <row r="7773" spans="1:4">
      <c r="A7773" s="1">
        <v>29574</v>
      </c>
      <c r="B7773">
        <v>133.69999999999999</v>
      </c>
      <c r="C7773">
        <f t="shared" si="262"/>
        <v>5.263157894736757E-3</v>
      </c>
      <c r="D7773">
        <f t="shared" si="261"/>
        <v>0.52288418771444023</v>
      </c>
    </row>
    <row r="7774" spans="1:4">
      <c r="A7774" s="1">
        <v>29577</v>
      </c>
      <c r="B7774">
        <v>135.78</v>
      </c>
      <c r="C7774">
        <f t="shared" si="262"/>
        <v>1.5557217651458583E-2</v>
      </c>
      <c r="D7774">
        <f t="shared" si="261"/>
        <v>1.6099333989033402</v>
      </c>
    </row>
    <row r="7775" spans="1:4">
      <c r="A7775" s="1">
        <v>29578</v>
      </c>
      <c r="B7775">
        <v>135.30000000000001</v>
      </c>
      <c r="C7775">
        <f t="shared" si="262"/>
        <v>-3.5351303579318734E-3</v>
      </c>
      <c r="D7775">
        <f t="shared" si="261"/>
        <v>-0.40621206108388025</v>
      </c>
    </row>
    <row r="7776" spans="1:4">
      <c r="A7776" s="1">
        <v>29579</v>
      </c>
      <c r="B7776">
        <v>135.88</v>
      </c>
      <c r="C7776">
        <f t="shared" si="262"/>
        <v>4.286770140428559E-3</v>
      </c>
      <c r="D7776">
        <f t="shared" si="261"/>
        <v>0.41977797274981787</v>
      </c>
    </row>
    <row r="7777" spans="1:4">
      <c r="A7777" s="1">
        <v>29581</v>
      </c>
      <c r="B7777">
        <v>136.57</v>
      </c>
      <c r="C7777">
        <f t="shared" si="262"/>
        <v>5.0780100088313055E-3</v>
      </c>
      <c r="D7777">
        <f t="shared" si="261"/>
        <v>0.50333263389764882</v>
      </c>
    </row>
    <row r="7778" spans="1:4">
      <c r="A7778" s="1">
        <v>29584</v>
      </c>
      <c r="B7778">
        <v>135.03</v>
      </c>
      <c r="C7778">
        <f t="shared" si="262"/>
        <v>-1.1276268580215217E-2</v>
      </c>
      <c r="D7778">
        <f t="shared" si="261"/>
        <v>-1.2236736260162693</v>
      </c>
    </row>
    <row r="7779" spans="1:4">
      <c r="A7779" s="1">
        <v>29585</v>
      </c>
      <c r="B7779">
        <v>135.33000000000001</v>
      </c>
      <c r="C7779">
        <f t="shared" si="262"/>
        <v>2.2217285047768003E-3</v>
      </c>
      <c r="D7779">
        <f t="shared" si="261"/>
        <v>0.20171027796674976</v>
      </c>
    </row>
    <row r="7780" spans="1:4">
      <c r="A7780" s="1">
        <v>29586</v>
      </c>
      <c r="B7780">
        <v>135.76</v>
      </c>
      <c r="C7780">
        <f t="shared" si="262"/>
        <v>3.1774181630087814E-3</v>
      </c>
      <c r="D7780">
        <f t="shared" si="261"/>
        <v>0.30263078102134827</v>
      </c>
    </row>
    <row r="7781" spans="1:4">
      <c r="A7781" s="1">
        <v>29588</v>
      </c>
      <c r="B7781">
        <v>136.34</v>
      </c>
      <c r="C7781">
        <f t="shared" si="262"/>
        <v>4.2722451384797624E-3</v>
      </c>
      <c r="D7781">
        <f t="shared" si="261"/>
        <v>0.41824413748131301</v>
      </c>
    </row>
    <row r="7782" spans="1:4">
      <c r="A7782" s="1">
        <v>29591</v>
      </c>
      <c r="B7782">
        <v>137.97</v>
      </c>
      <c r="C7782">
        <f t="shared" si="262"/>
        <v>1.195540560363793E-2</v>
      </c>
      <c r="D7782">
        <f t="shared" si="261"/>
        <v>1.2295832709688808</v>
      </c>
    </row>
    <row r="7783" spans="1:4">
      <c r="A7783" s="1">
        <v>29592</v>
      </c>
      <c r="B7783">
        <v>138.12</v>
      </c>
      <c r="C7783">
        <f t="shared" si="262"/>
        <v>1.087192868014827E-3</v>
      </c>
      <c r="D7783">
        <f t="shared" si="261"/>
        <v>8.1903700372085955E-2</v>
      </c>
    </row>
    <row r="7784" spans="1:4">
      <c r="A7784" s="1">
        <v>29593</v>
      </c>
      <c r="B7784">
        <v>135.08000000000001</v>
      </c>
      <c r="C7784">
        <f t="shared" si="262"/>
        <v>-2.2009846510280855E-2</v>
      </c>
      <c r="D7784">
        <f t="shared" si="261"/>
        <v>-2.3571358069107897</v>
      </c>
    </row>
    <row r="7785" spans="1:4">
      <c r="A7785" s="1">
        <v>29594</v>
      </c>
      <c r="B7785">
        <v>133.06</v>
      </c>
      <c r="C7785">
        <f t="shared" si="262"/>
        <v>-1.4954101273319588E-2</v>
      </c>
      <c r="D7785">
        <f t="shared" si="261"/>
        <v>-1.6120515082520166</v>
      </c>
    </row>
    <row r="7786" spans="1:4">
      <c r="A7786" s="1">
        <v>29595</v>
      </c>
      <c r="B7786">
        <v>133.47999999999999</v>
      </c>
      <c r="C7786">
        <f t="shared" si="262"/>
        <v>3.1564707650682962E-3</v>
      </c>
      <c r="D7786">
        <f t="shared" si="261"/>
        <v>0.30041874291919957</v>
      </c>
    </row>
    <row r="7787" spans="1:4">
      <c r="A7787" s="1">
        <v>29598</v>
      </c>
      <c r="B7787">
        <v>133.52000000000001</v>
      </c>
      <c r="C7787">
        <f t="shared" si="262"/>
        <v>2.9967036260129207E-4</v>
      </c>
      <c r="D7787">
        <f t="shared" si="261"/>
        <v>-1.2584085076772669E-3</v>
      </c>
    </row>
    <row r="7788" spans="1:4">
      <c r="A7788" s="1">
        <v>29599</v>
      </c>
      <c r="B7788">
        <v>133.29</v>
      </c>
      <c r="C7788">
        <f t="shared" si="262"/>
        <v>-1.7225883762733536E-3</v>
      </c>
      <c r="D7788">
        <f t="shared" si="261"/>
        <v>-0.21480824393369552</v>
      </c>
    </row>
    <row r="7789" spans="1:4">
      <c r="A7789" s="1">
        <v>29600</v>
      </c>
      <c r="B7789">
        <v>133.47</v>
      </c>
      <c r="C7789">
        <f t="shared" si="262"/>
        <v>1.3504388926401593E-3</v>
      </c>
      <c r="D7789">
        <f t="shared" si="261"/>
        <v>0.10970239109084959</v>
      </c>
    </row>
    <row r="7790" spans="1:4">
      <c r="A7790" s="1">
        <v>29601</v>
      </c>
      <c r="B7790">
        <v>134.22</v>
      </c>
      <c r="C7790">
        <f t="shared" si="262"/>
        <v>5.6192402787143183E-3</v>
      </c>
      <c r="D7790">
        <f t="shared" si="261"/>
        <v>0.56048636642418737</v>
      </c>
    </row>
    <row r="7791" spans="1:4">
      <c r="A7791" s="1">
        <v>29602</v>
      </c>
      <c r="B7791">
        <v>134.77000000000001</v>
      </c>
      <c r="C7791">
        <f t="shared" si="262"/>
        <v>4.0977499627478124E-3</v>
      </c>
      <c r="D7791">
        <f t="shared" si="261"/>
        <v>0.39981750623781126</v>
      </c>
    </row>
    <row r="7792" spans="1:4">
      <c r="A7792" s="1">
        <v>29605</v>
      </c>
      <c r="B7792">
        <v>134.37</v>
      </c>
      <c r="C7792">
        <f t="shared" si="262"/>
        <v>-2.968019588929329E-3</v>
      </c>
      <c r="D7792">
        <f t="shared" si="261"/>
        <v>-0.34632535664752817</v>
      </c>
    </row>
    <row r="7793" spans="1:4">
      <c r="A7793" s="1">
        <v>29606</v>
      </c>
      <c r="B7793">
        <v>131.65</v>
      </c>
      <c r="C7793">
        <f t="shared" si="262"/>
        <v>-2.0242613678648498E-2</v>
      </c>
      <c r="D7793">
        <f t="shared" si="261"/>
        <v>-2.1705166206020396</v>
      </c>
    </row>
    <row r="7794" spans="1:4">
      <c r="A7794" s="1">
        <v>29607</v>
      </c>
      <c r="B7794">
        <v>131.36000000000001</v>
      </c>
      <c r="C7794">
        <f t="shared" si="262"/>
        <v>-2.202810482339476E-3</v>
      </c>
      <c r="D7794">
        <f t="shared" si="261"/>
        <v>-0.26551953509885295</v>
      </c>
    </row>
    <row r="7795" spans="1:4">
      <c r="A7795" s="1">
        <v>29608</v>
      </c>
      <c r="B7795">
        <v>130.26</v>
      </c>
      <c r="C7795">
        <f t="shared" si="262"/>
        <v>-8.373934226553156E-3</v>
      </c>
      <c r="D7795">
        <f t="shared" si="261"/>
        <v>-0.91718810482093649</v>
      </c>
    </row>
    <row r="7796" spans="1:4">
      <c r="A7796" s="1">
        <v>29609</v>
      </c>
      <c r="B7796">
        <v>130.22999999999999</v>
      </c>
      <c r="C7796">
        <f t="shared" si="262"/>
        <v>-2.3030861354215521E-4</v>
      </c>
      <c r="D7796">
        <f t="shared" si="261"/>
        <v>-5.7224008239818339E-2</v>
      </c>
    </row>
    <row r="7797" spans="1:4">
      <c r="A7797" s="1">
        <v>29612</v>
      </c>
      <c r="B7797">
        <v>129.84</v>
      </c>
      <c r="C7797">
        <f t="shared" si="262"/>
        <v>-2.9947016816400706E-3</v>
      </c>
      <c r="D7797">
        <f t="shared" si="261"/>
        <v>-0.34914297656809851</v>
      </c>
    </row>
    <row r="7798" spans="1:4">
      <c r="A7798" s="1">
        <v>29613</v>
      </c>
      <c r="B7798">
        <v>131.12</v>
      </c>
      <c r="C7798">
        <f t="shared" si="262"/>
        <v>9.8582871226124552E-3</v>
      </c>
      <c r="D7798">
        <f t="shared" si="261"/>
        <v>1.0081282722177978</v>
      </c>
    </row>
    <row r="7799" spans="1:4">
      <c r="A7799" s="1">
        <v>29614</v>
      </c>
      <c r="B7799">
        <v>130.34</v>
      </c>
      <c r="C7799">
        <f t="shared" si="262"/>
        <v>-5.9487492373398497E-3</v>
      </c>
      <c r="D7799">
        <f t="shared" si="261"/>
        <v>-0.66108939432044289</v>
      </c>
    </row>
    <row r="7800" spans="1:4">
      <c r="A7800" s="1">
        <v>29615</v>
      </c>
      <c r="B7800">
        <v>130.24</v>
      </c>
      <c r="C7800">
        <f t="shared" si="262"/>
        <v>-7.6722418290620152E-4</v>
      </c>
      <c r="D7800">
        <f t="shared" si="261"/>
        <v>-0.11392210985819208</v>
      </c>
    </row>
    <row r="7801" spans="1:4">
      <c r="A7801" s="1">
        <v>29616</v>
      </c>
      <c r="B7801">
        <v>129.55000000000001</v>
      </c>
      <c r="C7801">
        <f t="shared" si="262"/>
        <v>-5.2979115479115301E-3</v>
      </c>
      <c r="D7801">
        <f t="shared" si="261"/>
        <v>-0.59236115554729196</v>
      </c>
    </row>
    <row r="7802" spans="1:4">
      <c r="A7802" s="1">
        <v>29619</v>
      </c>
      <c r="B7802">
        <v>126.91</v>
      </c>
      <c r="C7802">
        <f t="shared" si="262"/>
        <v>-2.0378232342724928E-2</v>
      </c>
      <c r="D7802">
        <f t="shared" si="261"/>
        <v>-2.1848379054294869</v>
      </c>
    </row>
    <row r="7803" spans="1:4">
      <c r="A7803" s="1">
        <v>29620</v>
      </c>
      <c r="B7803">
        <v>128.46</v>
      </c>
      <c r="C7803">
        <f t="shared" si="262"/>
        <v>1.2213379560318425E-2</v>
      </c>
      <c r="D7803">
        <f t="shared" si="261"/>
        <v>1.2568252331047325</v>
      </c>
    </row>
    <row r="7804" spans="1:4">
      <c r="A7804" s="1">
        <v>29621</v>
      </c>
      <c r="B7804">
        <v>128.59</v>
      </c>
      <c r="C7804">
        <f t="shared" si="262"/>
        <v>1.0119881675229288E-3</v>
      </c>
      <c r="D7804">
        <f t="shared" si="261"/>
        <v>7.3962109563461262E-2</v>
      </c>
    </row>
    <row r="7805" spans="1:4">
      <c r="A7805" s="1">
        <v>29622</v>
      </c>
      <c r="B7805">
        <v>129.63</v>
      </c>
      <c r="C7805">
        <f t="shared" si="262"/>
        <v>8.0877206625709006E-3</v>
      </c>
      <c r="D7805">
        <f t="shared" si="261"/>
        <v>0.82115705588219134</v>
      </c>
    </row>
    <row r="7806" spans="1:4">
      <c r="A7806" s="1">
        <v>29623</v>
      </c>
      <c r="B7806">
        <v>130.6</v>
      </c>
      <c r="C7806">
        <f t="shared" si="262"/>
        <v>7.4828357633263823E-3</v>
      </c>
      <c r="D7806">
        <f t="shared" si="261"/>
        <v>0.75728141613233757</v>
      </c>
    </row>
    <row r="7807" spans="1:4">
      <c r="A7807" s="1">
        <v>29626</v>
      </c>
      <c r="B7807">
        <v>129.27000000000001</v>
      </c>
      <c r="C7807">
        <f t="shared" si="262"/>
        <v>-1.018376722817752E-2</v>
      </c>
      <c r="D7807">
        <f t="shared" si="261"/>
        <v>-1.1083058546003415</v>
      </c>
    </row>
    <row r="7808" spans="1:4">
      <c r="A7808" s="1">
        <v>29627</v>
      </c>
      <c r="B7808">
        <v>129.24</v>
      </c>
      <c r="C7808">
        <f t="shared" si="262"/>
        <v>-2.3207240659086511E-4</v>
      </c>
      <c r="D7808">
        <f t="shared" si="261"/>
        <v>-5.7410264186219723E-2</v>
      </c>
    </row>
    <row r="7809" spans="1:4">
      <c r="A7809" s="1">
        <v>29628</v>
      </c>
      <c r="B7809">
        <v>128.24</v>
      </c>
      <c r="C7809">
        <f t="shared" si="262"/>
        <v>-7.7375425564840603E-3</v>
      </c>
      <c r="D7809">
        <f t="shared" si="261"/>
        <v>-0.84998536078167908</v>
      </c>
    </row>
    <row r="7810" spans="1:4">
      <c r="A7810" s="1">
        <v>29629</v>
      </c>
      <c r="B7810">
        <v>127.48</v>
      </c>
      <c r="C7810">
        <f t="shared" si="262"/>
        <v>-5.9263880224579308E-3</v>
      </c>
      <c r="D7810">
        <f t="shared" si="261"/>
        <v>-0.65872805762985853</v>
      </c>
    </row>
    <row r="7811" spans="1:4">
      <c r="A7811" s="1">
        <v>29630</v>
      </c>
      <c r="B7811">
        <v>126.98</v>
      </c>
      <c r="C7811">
        <f t="shared" si="262"/>
        <v>-3.9221838719799181E-3</v>
      </c>
      <c r="D7811">
        <f t="shared" ref="D7811:D7874" si="263">(C7811-avg)/sd</f>
        <v>-0.44708478060147189</v>
      </c>
    </row>
    <row r="7812" spans="1:4">
      <c r="A7812" s="1">
        <v>29634</v>
      </c>
      <c r="B7812">
        <v>127.81</v>
      </c>
      <c r="C7812">
        <f t="shared" ref="C7812:C7875" si="264">(B7812-B7811)/B7811</f>
        <v>6.5364624350291245E-3</v>
      </c>
      <c r="D7812">
        <f t="shared" si="263"/>
        <v>0.65734471435207142</v>
      </c>
    </row>
    <row r="7813" spans="1:4">
      <c r="A7813" s="1">
        <v>29635</v>
      </c>
      <c r="B7813">
        <v>128.47999999999999</v>
      </c>
      <c r="C7813">
        <f t="shared" si="264"/>
        <v>5.242156325796006E-3</v>
      </c>
      <c r="D7813">
        <f t="shared" si="263"/>
        <v>0.52066642917307704</v>
      </c>
    </row>
    <row r="7814" spans="1:4">
      <c r="A7814" s="1">
        <v>29636</v>
      </c>
      <c r="B7814">
        <v>126.61</v>
      </c>
      <c r="C7814">
        <f t="shared" si="264"/>
        <v>-1.4554794520547872E-2</v>
      </c>
      <c r="D7814">
        <f t="shared" si="263"/>
        <v>-1.5698848508902834</v>
      </c>
    </row>
    <row r="7815" spans="1:4">
      <c r="A7815" s="1">
        <v>29637</v>
      </c>
      <c r="B7815">
        <v>126.58</v>
      </c>
      <c r="C7815">
        <f t="shared" si="264"/>
        <v>-2.369481083642772E-4</v>
      </c>
      <c r="D7815">
        <f t="shared" si="263"/>
        <v>-5.7925136636160474E-2</v>
      </c>
    </row>
    <row r="7816" spans="1:4">
      <c r="A7816" s="1">
        <v>29640</v>
      </c>
      <c r="B7816">
        <v>127.35</v>
      </c>
      <c r="C7816">
        <f t="shared" si="264"/>
        <v>6.083109495970896E-3</v>
      </c>
      <c r="D7816">
        <f t="shared" si="263"/>
        <v>0.60947079808967397</v>
      </c>
    </row>
    <row r="7817" spans="1:4">
      <c r="A7817" s="1">
        <v>29641</v>
      </c>
      <c r="B7817">
        <v>127.39</v>
      </c>
      <c r="C7817">
        <f t="shared" si="264"/>
        <v>3.1409501374170598E-4</v>
      </c>
      <c r="D7817">
        <f t="shared" si="263"/>
        <v>2.6482974957328621E-4</v>
      </c>
    </row>
    <row r="7818" spans="1:4">
      <c r="A7818" s="1">
        <v>29642</v>
      </c>
      <c r="B7818">
        <v>128.52000000000001</v>
      </c>
      <c r="C7818">
        <f t="shared" si="264"/>
        <v>8.8703979904231865E-3</v>
      </c>
      <c r="D7818">
        <f t="shared" si="263"/>
        <v>0.90380751565844264</v>
      </c>
    </row>
    <row r="7819" spans="1:4">
      <c r="A7819" s="1">
        <v>29643</v>
      </c>
      <c r="B7819">
        <v>130.1</v>
      </c>
      <c r="C7819">
        <f t="shared" si="264"/>
        <v>1.2293806411453346E-2</v>
      </c>
      <c r="D7819">
        <f t="shared" si="263"/>
        <v>1.2653182812461652</v>
      </c>
    </row>
    <row r="7820" spans="1:4">
      <c r="A7820" s="1">
        <v>29644</v>
      </c>
      <c r="B7820">
        <v>131.27000000000001</v>
      </c>
      <c r="C7820">
        <f t="shared" si="264"/>
        <v>8.9930822444274864E-3</v>
      </c>
      <c r="D7820">
        <f t="shared" si="263"/>
        <v>0.91676293117889252</v>
      </c>
    </row>
    <row r="7821" spans="1:4">
      <c r="A7821" s="1">
        <v>29647</v>
      </c>
      <c r="B7821">
        <v>132.01</v>
      </c>
      <c r="C7821">
        <f t="shared" si="264"/>
        <v>5.6372362306694648E-3</v>
      </c>
      <c r="D7821">
        <f t="shared" si="263"/>
        <v>0.56238673283352958</v>
      </c>
    </row>
    <row r="7822" spans="1:4">
      <c r="A7822" s="1">
        <v>29648</v>
      </c>
      <c r="B7822">
        <v>130.56</v>
      </c>
      <c r="C7822">
        <f t="shared" si="264"/>
        <v>-1.0984016362396702E-2</v>
      </c>
      <c r="D7822">
        <f t="shared" si="263"/>
        <v>-1.1928118911559897</v>
      </c>
    </row>
    <row r="7823" spans="1:4">
      <c r="A7823" s="1">
        <v>29649</v>
      </c>
      <c r="B7823">
        <v>130.86000000000001</v>
      </c>
      <c r="C7823">
        <f t="shared" si="264"/>
        <v>2.2977941176471461E-3</v>
      </c>
      <c r="D7823">
        <f t="shared" si="263"/>
        <v>0.20974278082990019</v>
      </c>
    </row>
    <row r="7824" spans="1:4">
      <c r="A7824" s="1">
        <v>29650</v>
      </c>
      <c r="B7824">
        <v>129.93</v>
      </c>
      <c r="C7824">
        <f t="shared" si="264"/>
        <v>-7.1068317285649298E-3</v>
      </c>
      <c r="D7824">
        <f t="shared" si="263"/>
        <v>-0.783382511742446</v>
      </c>
    </row>
    <row r="7825" spans="1:4">
      <c r="A7825" s="1">
        <v>29651</v>
      </c>
      <c r="B7825">
        <v>129.85</v>
      </c>
      <c r="C7825">
        <f t="shared" si="264"/>
        <v>-6.157161548527092E-4</v>
      </c>
      <c r="D7825">
        <f t="shared" si="263"/>
        <v>-9.7922913595824279E-2</v>
      </c>
    </row>
    <row r="7826" spans="1:4">
      <c r="A7826" s="1">
        <v>29654</v>
      </c>
      <c r="B7826">
        <v>131.12</v>
      </c>
      <c r="C7826">
        <f t="shared" si="264"/>
        <v>9.7805159799769763E-3</v>
      </c>
      <c r="D7826">
        <f t="shared" si="263"/>
        <v>0.99991566599118697</v>
      </c>
    </row>
    <row r="7827" spans="1:4">
      <c r="A7827" s="1">
        <v>29655</v>
      </c>
      <c r="B7827">
        <v>130.46</v>
      </c>
      <c r="C7827">
        <f t="shared" si="264"/>
        <v>-5.0335570469798394E-3</v>
      </c>
      <c r="D7827">
        <f t="shared" si="263"/>
        <v>-0.56444541010736637</v>
      </c>
    </row>
    <row r="7828" spans="1:4">
      <c r="A7828" s="1">
        <v>29656</v>
      </c>
      <c r="B7828">
        <v>129.94999999999999</v>
      </c>
      <c r="C7828">
        <f t="shared" si="264"/>
        <v>-3.9092442127856763E-3</v>
      </c>
      <c r="D7828">
        <f t="shared" si="263"/>
        <v>-0.44571835698896384</v>
      </c>
    </row>
    <row r="7829" spans="1:4">
      <c r="A7829" s="1">
        <v>29657</v>
      </c>
      <c r="B7829">
        <v>133.19</v>
      </c>
      <c r="C7829">
        <f t="shared" si="264"/>
        <v>2.4932666410157824E-2</v>
      </c>
      <c r="D7829">
        <f t="shared" si="263"/>
        <v>2.599977600952105</v>
      </c>
    </row>
    <row r="7830" spans="1:4">
      <c r="A7830" s="1">
        <v>29658</v>
      </c>
      <c r="B7830">
        <v>133.11000000000001</v>
      </c>
      <c r="C7830">
        <f t="shared" si="264"/>
        <v>-6.0064569412106078E-4</v>
      </c>
      <c r="D7830">
        <f t="shared" si="263"/>
        <v>-9.6331478065260712E-2</v>
      </c>
    </row>
    <row r="7831" spans="1:4">
      <c r="A7831" s="1">
        <v>29661</v>
      </c>
      <c r="B7831">
        <v>134.68</v>
      </c>
      <c r="C7831">
        <f t="shared" si="264"/>
        <v>1.1794756216662858E-2</v>
      </c>
      <c r="D7831">
        <f t="shared" si="263"/>
        <v>1.212618750311693</v>
      </c>
    </row>
    <row r="7832" spans="1:4">
      <c r="A7832" s="1">
        <v>29662</v>
      </c>
      <c r="B7832">
        <v>133.91999999999999</v>
      </c>
      <c r="C7832">
        <f t="shared" si="264"/>
        <v>-5.6430056430057862E-3</v>
      </c>
      <c r="D7832">
        <f t="shared" si="263"/>
        <v>-0.62880297468606305</v>
      </c>
    </row>
    <row r="7833" spans="1:4">
      <c r="A7833" s="1">
        <v>29663</v>
      </c>
      <c r="B7833">
        <v>134.22</v>
      </c>
      <c r="C7833">
        <f t="shared" si="264"/>
        <v>2.2401433691757121E-3</v>
      </c>
      <c r="D7833">
        <f t="shared" si="263"/>
        <v>0.20365488138775831</v>
      </c>
    </row>
    <row r="7834" spans="1:4">
      <c r="A7834" s="1">
        <v>29664</v>
      </c>
      <c r="B7834">
        <v>133.46</v>
      </c>
      <c r="C7834">
        <f t="shared" si="264"/>
        <v>-5.6623454030695197E-3</v>
      </c>
      <c r="D7834">
        <f t="shared" si="263"/>
        <v>-0.6308452467748894</v>
      </c>
    </row>
    <row r="7835" spans="1:4">
      <c r="A7835" s="1">
        <v>29665</v>
      </c>
      <c r="B7835">
        <v>134.08000000000001</v>
      </c>
      <c r="C7835">
        <f t="shared" si="264"/>
        <v>4.6455866926420238E-3</v>
      </c>
      <c r="D7835">
        <f t="shared" si="263"/>
        <v>0.45766887869588757</v>
      </c>
    </row>
    <row r="7836" spans="1:4">
      <c r="A7836" s="1">
        <v>29668</v>
      </c>
      <c r="B7836">
        <v>135.69</v>
      </c>
      <c r="C7836">
        <f t="shared" si="264"/>
        <v>1.2007756563245712E-2</v>
      </c>
      <c r="D7836">
        <f t="shared" si="263"/>
        <v>1.2351115145085068</v>
      </c>
    </row>
    <row r="7837" spans="1:4">
      <c r="A7837" s="1">
        <v>29669</v>
      </c>
      <c r="B7837">
        <v>134.66999999999999</v>
      </c>
      <c r="C7837">
        <f t="shared" si="264"/>
        <v>-7.5171346451471015E-3</v>
      </c>
      <c r="D7837">
        <f t="shared" si="263"/>
        <v>-0.82671036026478562</v>
      </c>
    </row>
    <row r="7838" spans="1:4">
      <c r="A7838" s="1">
        <v>29670</v>
      </c>
      <c r="B7838">
        <v>137.11000000000001</v>
      </c>
      <c r="C7838">
        <f t="shared" si="264"/>
        <v>1.8118363406846562E-2</v>
      </c>
      <c r="D7838">
        <f t="shared" si="263"/>
        <v>1.8803895200965692</v>
      </c>
    </row>
    <row r="7839" spans="1:4">
      <c r="A7839" s="1">
        <v>29671</v>
      </c>
      <c r="B7839">
        <v>136.27000000000001</v>
      </c>
      <c r="C7839">
        <f t="shared" si="264"/>
        <v>-6.1264677995770062E-3</v>
      </c>
      <c r="D7839">
        <f t="shared" si="263"/>
        <v>-0.67985641408321218</v>
      </c>
    </row>
    <row r="7840" spans="1:4">
      <c r="A7840" s="1">
        <v>29672</v>
      </c>
      <c r="B7840">
        <v>134.65</v>
      </c>
      <c r="C7840">
        <f t="shared" si="264"/>
        <v>-1.1888163205401075E-2</v>
      </c>
      <c r="D7840">
        <f t="shared" si="263"/>
        <v>-1.2882894904428068</v>
      </c>
    </row>
    <row r="7841" spans="1:4">
      <c r="A7841" s="1">
        <v>29675</v>
      </c>
      <c r="B7841">
        <v>134.28</v>
      </c>
      <c r="C7841">
        <f t="shared" si="264"/>
        <v>-2.7478648347568106E-3</v>
      </c>
      <c r="D7841">
        <f t="shared" si="263"/>
        <v>-0.32307708944114716</v>
      </c>
    </row>
    <row r="7842" spans="1:4">
      <c r="A7842" s="1">
        <v>29676</v>
      </c>
      <c r="B7842">
        <v>136</v>
      </c>
      <c r="C7842">
        <f t="shared" si="264"/>
        <v>1.2809055704498055E-2</v>
      </c>
      <c r="D7842">
        <f t="shared" si="263"/>
        <v>1.319728431449942</v>
      </c>
    </row>
    <row r="7843" spans="1:4">
      <c r="A7843" s="1">
        <v>29677</v>
      </c>
      <c r="B7843">
        <v>136.57</v>
      </c>
      <c r="C7843">
        <f t="shared" si="264"/>
        <v>4.1911764705881852E-3</v>
      </c>
      <c r="D7843">
        <f t="shared" si="263"/>
        <v>0.40968331370854161</v>
      </c>
    </row>
    <row r="7844" spans="1:4">
      <c r="A7844" s="1">
        <v>29678</v>
      </c>
      <c r="B7844">
        <v>136.32</v>
      </c>
      <c r="C7844">
        <f t="shared" si="264"/>
        <v>-1.8305630812037784E-3</v>
      </c>
      <c r="D7844">
        <f t="shared" si="263"/>
        <v>-0.22621033607196286</v>
      </c>
    </row>
    <row r="7845" spans="1:4">
      <c r="A7845" s="1">
        <v>29679</v>
      </c>
      <c r="B7845">
        <v>135.49</v>
      </c>
      <c r="C7845">
        <f t="shared" si="264"/>
        <v>-6.0886150234740616E-3</v>
      </c>
      <c r="D7845">
        <f t="shared" si="263"/>
        <v>-0.675859173793525</v>
      </c>
    </row>
    <row r="7846" spans="1:4">
      <c r="A7846" s="1">
        <v>29682</v>
      </c>
      <c r="B7846">
        <v>133.93</v>
      </c>
      <c r="C7846">
        <f t="shared" si="264"/>
        <v>-1.1513764853494739E-2</v>
      </c>
      <c r="D7846">
        <f t="shared" si="263"/>
        <v>-1.2487531517456811</v>
      </c>
    </row>
    <row r="7847" spans="1:4">
      <c r="A7847" s="1">
        <v>29683</v>
      </c>
      <c r="B7847">
        <v>133.91</v>
      </c>
      <c r="C7847">
        <f t="shared" si="264"/>
        <v>-1.4933174046151147E-4</v>
      </c>
      <c r="D7847">
        <f t="shared" si="263"/>
        <v>-4.8672877967878905E-2</v>
      </c>
    </row>
    <row r="7848" spans="1:4">
      <c r="A7848" s="1">
        <v>29684</v>
      </c>
      <c r="B7848">
        <v>134.31</v>
      </c>
      <c r="C7848">
        <f t="shared" si="264"/>
        <v>2.9870808752147388E-3</v>
      </c>
      <c r="D7848">
        <f t="shared" si="263"/>
        <v>0.28253122812908504</v>
      </c>
    </row>
    <row r="7849" spans="1:4">
      <c r="A7849" s="1">
        <v>29685</v>
      </c>
      <c r="B7849">
        <v>134.66999999999999</v>
      </c>
      <c r="C7849">
        <f t="shared" si="264"/>
        <v>2.6803663167298429E-3</v>
      </c>
      <c r="D7849">
        <f t="shared" si="263"/>
        <v>0.25014227501042408</v>
      </c>
    </row>
    <row r="7850" spans="1:4">
      <c r="A7850" s="1">
        <v>29686</v>
      </c>
      <c r="B7850">
        <v>134.51</v>
      </c>
      <c r="C7850">
        <f t="shared" si="264"/>
        <v>-1.1880894037276052E-3</v>
      </c>
      <c r="D7850">
        <f t="shared" si="263"/>
        <v>-0.15836533411789286</v>
      </c>
    </row>
    <row r="7851" spans="1:4">
      <c r="A7851" s="1">
        <v>29689</v>
      </c>
      <c r="B7851">
        <v>133.15</v>
      </c>
      <c r="C7851">
        <f t="shared" si="264"/>
        <v>-1.0110772433276228E-2</v>
      </c>
      <c r="D7851">
        <f t="shared" si="263"/>
        <v>-1.1005976290709014</v>
      </c>
    </row>
    <row r="7852" spans="1:4">
      <c r="A7852" s="1">
        <v>29690</v>
      </c>
      <c r="B7852">
        <v>132.68</v>
      </c>
      <c r="C7852">
        <f t="shared" si="264"/>
        <v>-3.5298535486293567E-3</v>
      </c>
      <c r="D7852">
        <f t="shared" si="263"/>
        <v>-0.40565483181520912</v>
      </c>
    </row>
    <row r="7853" spans="1:4">
      <c r="A7853" s="1">
        <v>29691</v>
      </c>
      <c r="B7853">
        <v>134.16999999999999</v>
      </c>
      <c r="C7853">
        <f t="shared" si="264"/>
        <v>1.1230027132951317E-2</v>
      </c>
      <c r="D7853">
        <f t="shared" si="263"/>
        <v>1.1529835510324968</v>
      </c>
    </row>
    <row r="7854" spans="1:4">
      <c r="A7854" s="1">
        <v>29692</v>
      </c>
      <c r="B7854">
        <v>134.69999999999999</v>
      </c>
      <c r="C7854">
        <f t="shared" si="264"/>
        <v>3.9502124170828143E-3</v>
      </c>
      <c r="D7854">
        <f t="shared" si="263"/>
        <v>0.38423759156603593</v>
      </c>
    </row>
    <row r="7855" spans="1:4">
      <c r="A7855" s="1">
        <v>29696</v>
      </c>
      <c r="B7855">
        <v>135.44999999999999</v>
      </c>
      <c r="C7855">
        <f t="shared" si="264"/>
        <v>5.5679287305122503E-3</v>
      </c>
      <c r="D7855">
        <f t="shared" si="263"/>
        <v>0.55506788437569166</v>
      </c>
    </row>
    <row r="7856" spans="1:4">
      <c r="A7856" s="1">
        <v>29697</v>
      </c>
      <c r="B7856">
        <v>134.22999999999999</v>
      </c>
      <c r="C7856">
        <f t="shared" si="264"/>
        <v>-9.0070136581764416E-3</v>
      </c>
      <c r="D7856">
        <f t="shared" si="263"/>
        <v>-0.98404107760620085</v>
      </c>
    </row>
    <row r="7857" spans="1:4">
      <c r="A7857" s="1">
        <v>29698</v>
      </c>
      <c r="B7857">
        <v>134.13999999999999</v>
      </c>
      <c r="C7857">
        <f t="shared" si="264"/>
        <v>-6.7049094837222248E-4</v>
      </c>
      <c r="D7857">
        <f t="shared" si="263"/>
        <v>-0.10370711317262792</v>
      </c>
    </row>
    <row r="7858" spans="1:4">
      <c r="A7858" s="1">
        <v>29699</v>
      </c>
      <c r="B7858">
        <v>133.94</v>
      </c>
      <c r="C7858">
        <f t="shared" si="264"/>
        <v>-1.4909795735797574E-3</v>
      </c>
      <c r="D7858">
        <f t="shared" si="263"/>
        <v>-0.19035043309690894</v>
      </c>
    </row>
    <row r="7859" spans="1:4">
      <c r="A7859" s="1">
        <v>29700</v>
      </c>
      <c r="B7859">
        <v>135.13999999999999</v>
      </c>
      <c r="C7859">
        <f t="shared" si="264"/>
        <v>8.9592354785724103E-3</v>
      </c>
      <c r="D7859">
        <f t="shared" si="263"/>
        <v>0.91318872420967123</v>
      </c>
    </row>
    <row r="7860" spans="1:4">
      <c r="A7860" s="1">
        <v>29703</v>
      </c>
      <c r="B7860">
        <v>135.47999999999999</v>
      </c>
      <c r="C7860">
        <f t="shared" si="264"/>
        <v>2.5159094272606442E-3</v>
      </c>
      <c r="D7860">
        <f t="shared" si="263"/>
        <v>0.23277568338408952</v>
      </c>
    </row>
    <row r="7861" spans="1:4">
      <c r="A7861" s="1">
        <v>29704</v>
      </c>
      <c r="B7861">
        <v>134.33000000000001</v>
      </c>
      <c r="C7861">
        <f t="shared" si="264"/>
        <v>-8.4883377620311295E-3</v>
      </c>
      <c r="D7861">
        <f t="shared" si="263"/>
        <v>-0.92926907927975932</v>
      </c>
    </row>
    <row r="7862" spans="1:4">
      <c r="A7862" s="1">
        <v>29705</v>
      </c>
      <c r="B7862">
        <v>133.05000000000001</v>
      </c>
      <c r="C7862">
        <f t="shared" si="264"/>
        <v>-9.5287724261147993E-3</v>
      </c>
      <c r="D7862">
        <f t="shared" si="263"/>
        <v>-1.0391386261460691</v>
      </c>
    </row>
    <row r="7863" spans="1:4">
      <c r="A7863" s="1">
        <v>29706</v>
      </c>
      <c r="B7863">
        <v>132.81</v>
      </c>
      <c r="C7863">
        <f t="shared" si="264"/>
        <v>-1.8038331454341156E-3</v>
      </c>
      <c r="D7863">
        <f t="shared" si="263"/>
        <v>-0.22338766394063311</v>
      </c>
    </row>
    <row r="7864" spans="1:4">
      <c r="A7864" s="1">
        <v>29707</v>
      </c>
      <c r="B7864">
        <v>132.72</v>
      </c>
      <c r="C7864">
        <f t="shared" si="264"/>
        <v>-6.7765981477300964E-4</v>
      </c>
      <c r="D7864">
        <f t="shared" si="263"/>
        <v>-0.10446414302773495</v>
      </c>
    </row>
    <row r="7865" spans="1:4">
      <c r="A7865" s="1">
        <v>29710</v>
      </c>
      <c r="B7865">
        <v>130.66999999999999</v>
      </c>
      <c r="C7865">
        <f t="shared" si="264"/>
        <v>-1.5446051838456987E-2</v>
      </c>
      <c r="D7865">
        <f t="shared" si="263"/>
        <v>-1.6640013207084039</v>
      </c>
    </row>
    <row r="7866" spans="1:4">
      <c r="A7866" s="1">
        <v>29711</v>
      </c>
      <c r="B7866">
        <v>130.32</v>
      </c>
      <c r="C7866">
        <f t="shared" si="264"/>
        <v>-2.6785030994106859E-3</v>
      </c>
      <c r="D7866">
        <f t="shared" si="263"/>
        <v>-0.31575251376579577</v>
      </c>
    </row>
    <row r="7867" spans="1:4">
      <c r="A7867" s="1">
        <v>29712</v>
      </c>
      <c r="B7867">
        <v>130.78</v>
      </c>
      <c r="C7867">
        <f t="shared" si="264"/>
        <v>3.5297728667895026E-3</v>
      </c>
      <c r="D7867">
        <f t="shared" si="263"/>
        <v>0.33983931796940919</v>
      </c>
    </row>
    <row r="7868" spans="1:4">
      <c r="A7868" s="1">
        <v>29713</v>
      </c>
      <c r="B7868">
        <v>131.66999999999999</v>
      </c>
      <c r="C7868">
        <f t="shared" si="264"/>
        <v>6.8053219146657464E-3</v>
      </c>
      <c r="D7868">
        <f t="shared" si="263"/>
        <v>0.68573618401192116</v>
      </c>
    </row>
    <row r="7869" spans="1:4">
      <c r="A7869" s="1">
        <v>29714</v>
      </c>
      <c r="B7869">
        <v>131.66</v>
      </c>
      <c r="C7869">
        <f t="shared" si="264"/>
        <v>-7.5947444368427928E-5</v>
      </c>
      <c r="D7869">
        <f t="shared" si="263"/>
        <v>-4.0923521244983524E-2</v>
      </c>
    </row>
    <row r="7870" spans="1:4">
      <c r="A7870" s="1">
        <v>29717</v>
      </c>
      <c r="B7870">
        <v>129.71</v>
      </c>
      <c r="C7870">
        <f t="shared" si="264"/>
        <v>-1.4810876500075867E-2</v>
      </c>
      <c r="D7870">
        <f t="shared" si="263"/>
        <v>-1.5969270208819455</v>
      </c>
    </row>
    <row r="7871" spans="1:4">
      <c r="A7871" s="1">
        <v>29718</v>
      </c>
      <c r="B7871">
        <v>130.72</v>
      </c>
      <c r="C7871">
        <f t="shared" si="264"/>
        <v>7.7866008788835929E-3</v>
      </c>
      <c r="D7871">
        <f t="shared" si="263"/>
        <v>0.7893589090803993</v>
      </c>
    </row>
    <row r="7872" spans="1:4">
      <c r="A7872" s="1">
        <v>29719</v>
      </c>
      <c r="B7872">
        <v>130.55000000000001</v>
      </c>
      <c r="C7872">
        <f t="shared" si="264"/>
        <v>-1.3004895960831357E-3</v>
      </c>
      <c r="D7872">
        <f t="shared" si="263"/>
        <v>-0.17023475622395512</v>
      </c>
    </row>
    <row r="7873" spans="1:4">
      <c r="A7873" s="1">
        <v>29720</v>
      </c>
      <c r="B7873">
        <v>131.28</v>
      </c>
      <c r="C7873">
        <f t="shared" si="264"/>
        <v>5.591727307544923E-3</v>
      </c>
      <c r="D7873">
        <f t="shared" si="263"/>
        <v>0.55758100602081251</v>
      </c>
    </row>
    <row r="7874" spans="1:4">
      <c r="A7874" s="1">
        <v>29721</v>
      </c>
      <c r="B7874">
        <v>132.16999999999999</v>
      </c>
      <c r="C7874">
        <f t="shared" si="264"/>
        <v>6.779402803168696E-3</v>
      </c>
      <c r="D7874">
        <f t="shared" si="263"/>
        <v>0.68299913464816675</v>
      </c>
    </row>
    <row r="7875" spans="1:4">
      <c r="A7875" s="1">
        <v>29724</v>
      </c>
      <c r="B7875">
        <v>132.54</v>
      </c>
      <c r="C7875">
        <f t="shared" si="264"/>
        <v>2.7994249829765045E-3</v>
      </c>
      <c r="D7875">
        <f t="shared" ref="D7875:D7938" si="265">(C7875-avg)/sd</f>
        <v>0.26271482969606452</v>
      </c>
    </row>
    <row r="7876" spans="1:4">
      <c r="A7876" s="1">
        <v>29725</v>
      </c>
      <c r="B7876">
        <v>132.09</v>
      </c>
      <c r="C7876">
        <f t="shared" ref="C7876:C7939" si="266">(B7876-B7875)/B7875</f>
        <v>-3.3952014486191991E-3</v>
      </c>
      <c r="D7876">
        <f t="shared" si="265"/>
        <v>-0.39143561582460912</v>
      </c>
    </row>
    <row r="7877" spans="1:4">
      <c r="A7877" s="1">
        <v>29726</v>
      </c>
      <c r="B7877">
        <v>132</v>
      </c>
      <c r="C7877">
        <f t="shared" si="266"/>
        <v>-6.8135362253011892E-4</v>
      </c>
      <c r="D7877">
        <f t="shared" si="265"/>
        <v>-0.10485420787129944</v>
      </c>
    </row>
    <row r="7878" spans="1:4">
      <c r="A7878" s="1">
        <v>29727</v>
      </c>
      <c r="B7878">
        <v>131.75</v>
      </c>
      <c r="C7878">
        <f t="shared" si="266"/>
        <v>-1.893939393939394E-3</v>
      </c>
      <c r="D7878">
        <f t="shared" si="265"/>
        <v>-0.23290285315418849</v>
      </c>
    </row>
    <row r="7879" spans="1:4">
      <c r="A7879" s="1">
        <v>29728</v>
      </c>
      <c r="B7879">
        <v>131.33000000000001</v>
      </c>
      <c r="C7879">
        <f t="shared" si="266"/>
        <v>-3.1878557874761861E-3</v>
      </c>
      <c r="D7879">
        <f t="shared" si="265"/>
        <v>-0.36953998448812164</v>
      </c>
    </row>
    <row r="7880" spans="1:4">
      <c r="A7880" s="1">
        <v>29732</v>
      </c>
      <c r="B7880">
        <v>132.77000000000001</v>
      </c>
      <c r="C7880">
        <f t="shared" si="266"/>
        <v>1.0964745298103994E-2</v>
      </c>
      <c r="D7880">
        <f t="shared" si="265"/>
        <v>1.1249698794462966</v>
      </c>
    </row>
    <row r="7881" spans="1:4">
      <c r="A7881" s="1">
        <v>29733</v>
      </c>
      <c r="B7881">
        <v>133.77000000000001</v>
      </c>
      <c r="C7881">
        <f t="shared" si="266"/>
        <v>7.5318219477291549E-3</v>
      </c>
      <c r="D7881">
        <f t="shared" si="265"/>
        <v>0.76245434055405725</v>
      </c>
    </row>
    <row r="7882" spans="1:4">
      <c r="A7882" s="1">
        <v>29734</v>
      </c>
      <c r="B7882">
        <v>133.44999999999999</v>
      </c>
      <c r="C7882">
        <f t="shared" si="266"/>
        <v>-2.3921656574719414E-3</v>
      </c>
      <c r="D7882">
        <f t="shared" si="265"/>
        <v>-0.28551537722788994</v>
      </c>
    </row>
    <row r="7883" spans="1:4">
      <c r="A7883" s="1">
        <v>29735</v>
      </c>
      <c r="B7883">
        <v>132.59</v>
      </c>
      <c r="C7883">
        <f t="shared" si="266"/>
        <v>-6.4443611839639214E-3</v>
      </c>
      <c r="D7883">
        <f t="shared" si="265"/>
        <v>-0.71342584741725878</v>
      </c>
    </row>
    <row r="7884" spans="1:4">
      <c r="A7884" s="1">
        <v>29738</v>
      </c>
      <c r="B7884">
        <v>132.41</v>
      </c>
      <c r="C7884">
        <f t="shared" si="266"/>
        <v>-1.3575684440757735E-3</v>
      </c>
      <c r="D7884">
        <f t="shared" si="265"/>
        <v>-0.17626226316993454</v>
      </c>
    </row>
    <row r="7885" spans="1:4">
      <c r="A7885" s="1">
        <v>29739</v>
      </c>
      <c r="B7885">
        <v>130.62</v>
      </c>
      <c r="C7885">
        <f t="shared" si="266"/>
        <v>-1.3518616418699433E-2</v>
      </c>
      <c r="D7885">
        <f t="shared" si="265"/>
        <v>-1.4604647955491383</v>
      </c>
    </row>
    <row r="7886" spans="1:4">
      <c r="A7886" s="1">
        <v>29740</v>
      </c>
      <c r="B7886">
        <v>130.71</v>
      </c>
      <c r="C7886">
        <f t="shared" si="266"/>
        <v>6.8902158934315886E-4</v>
      </c>
      <c r="D7886">
        <f t="shared" si="265"/>
        <v>3.9856948689351489E-2</v>
      </c>
    </row>
    <row r="7887" spans="1:4">
      <c r="A7887" s="1">
        <v>29741</v>
      </c>
      <c r="B7887">
        <v>130.96</v>
      </c>
      <c r="C7887">
        <f t="shared" si="266"/>
        <v>1.9126310152245427E-3</v>
      </c>
      <c r="D7887">
        <f t="shared" si="265"/>
        <v>0.16906968813737303</v>
      </c>
    </row>
    <row r="7888" spans="1:4">
      <c r="A7888" s="1">
        <v>29742</v>
      </c>
      <c r="B7888">
        <v>132.22</v>
      </c>
      <c r="C7888">
        <f t="shared" si="266"/>
        <v>9.621258399511232E-3</v>
      </c>
      <c r="D7888">
        <f t="shared" si="265"/>
        <v>0.98309811962828619</v>
      </c>
    </row>
    <row r="7889" spans="1:4">
      <c r="A7889" s="1">
        <v>29745</v>
      </c>
      <c r="B7889">
        <v>132.24</v>
      </c>
      <c r="C7889">
        <f t="shared" si="266"/>
        <v>1.5126304643783264E-4</v>
      </c>
      <c r="D7889">
        <f t="shared" si="265"/>
        <v>-1.6930170648440768E-2</v>
      </c>
    </row>
    <row r="7890" spans="1:4">
      <c r="A7890" s="1">
        <v>29746</v>
      </c>
      <c r="B7890">
        <v>131.97</v>
      </c>
      <c r="C7890">
        <f t="shared" si="266"/>
        <v>-2.0417422867514386E-3</v>
      </c>
      <c r="D7890">
        <f t="shared" si="265"/>
        <v>-0.24851078839449606</v>
      </c>
    </row>
    <row r="7891" spans="1:4">
      <c r="A7891" s="1">
        <v>29747</v>
      </c>
      <c r="B7891">
        <v>132.32</v>
      </c>
      <c r="C7891">
        <f t="shared" si="266"/>
        <v>2.6521179055845594E-3</v>
      </c>
      <c r="D7891">
        <f t="shared" si="265"/>
        <v>0.24715925239558362</v>
      </c>
    </row>
    <row r="7892" spans="1:4">
      <c r="A7892" s="1">
        <v>29748</v>
      </c>
      <c r="B7892">
        <v>133.75</v>
      </c>
      <c r="C7892">
        <f t="shared" si="266"/>
        <v>1.0807134220072604E-2</v>
      </c>
      <c r="D7892">
        <f t="shared" si="265"/>
        <v>1.1083262031807901</v>
      </c>
    </row>
    <row r="7893" spans="1:4">
      <c r="A7893" s="1">
        <v>29749</v>
      </c>
      <c r="B7893">
        <v>133.49</v>
      </c>
      <c r="C7893">
        <f t="shared" si="266"/>
        <v>-1.9439252336447919E-3</v>
      </c>
      <c r="D7893">
        <f t="shared" si="265"/>
        <v>-0.23818134083606601</v>
      </c>
    </row>
    <row r="7894" spans="1:4">
      <c r="A7894" s="1">
        <v>29752</v>
      </c>
      <c r="B7894">
        <v>133.61000000000001</v>
      </c>
      <c r="C7894">
        <f t="shared" si="266"/>
        <v>8.989437411042366E-4</v>
      </c>
      <c r="D7894">
        <f t="shared" si="265"/>
        <v>6.2024656559314904E-2</v>
      </c>
    </row>
    <row r="7895" spans="1:4">
      <c r="A7895" s="1">
        <v>29753</v>
      </c>
      <c r="B7895">
        <v>132.15</v>
      </c>
      <c r="C7895">
        <f t="shared" si="266"/>
        <v>-1.0927325798967201E-2</v>
      </c>
      <c r="D7895">
        <f t="shared" si="265"/>
        <v>-1.1868253869278931</v>
      </c>
    </row>
    <row r="7896" spans="1:4">
      <c r="A7896" s="1">
        <v>29754</v>
      </c>
      <c r="B7896">
        <v>133.32</v>
      </c>
      <c r="C7896">
        <f t="shared" si="266"/>
        <v>8.8535754824062615E-3</v>
      </c>
      <c r="D7896">
        <f t="shared" si="265"/>
        <v>0.90203106453010362</v>
      </c>
    </row>
    <row r="7897" spans="1:4">
      <c r="A7897" s="1">
        <v>29755</v>
      </c>
      <c r="B7897">
        <v>131.63999999999999</v>
      </c>
      <c r="C7897">
        <f t="shared" si="266"/>
        <v>-1.2601260126012653E-2</v>
      </c>
      <c r="D7897">
        <f t="shared" si="265"/>
        <v>-1.363592282865969</v>
      </c>
    </row>
    <row r="7898" spans="1:4">
      <c r="A7898" s="1">
        <v>29756</v>
      </c>
      <c r="B7898">
        <v>132.27000000000001</v>
      </c>
      <c r="C7898">
        <f t="shared" si="266"/>
        <v>4.7857793983593433E-3</v>
      </c>
      <c r="D7898">
        <f t="shared" si="265"/>
        <v>0.47247318076582046</v>
      </c>
    </row>
    <row r="7899" spans="1:4">
      <c r="A7899" s="1">
        <v>29759</v>
      </c>
      <c r="B7899">
        <v>131.94999999999999</v>
      </c>
      <c r="C7899">
        <f t="shared" si="266"/>
        <v>-2.4192938686022651E-3</v>
      </c>
      <c r="D7899">
        <f t="shared" si="265"/>
        <v>-0.28838010710192513</v>
      </c>
    </row>
    <row r="7900" spans="1:4">
      <c r="A7900" s="1">
        <v>29760</v>
      </c>
      <c r="B7900">
        <v>133.35</v>
      </c>
      <c r="C7900">
        <f t="shared" si="266"/>
        <v>1.0610079575596862E-2</v>
      </c>
      <c r="D7900">
        <f t="shared" si="265"/>
        <v>1.0875172997062799</v>
      </c>
    </row>
    <row r="7901" spans="1:4">
      <c r="A7901" s="1">
        <v>29761</v>
      </c>
      <c r="B7901">
        <v>132.66</v>
      </c>
      <c r="C7901">
        <f t="shared" si="266"/>
        <v>-5.1743532058492522E-3</v>
      </c>
      <c r="D7901">
        <f t="shared" si="265"/>
        <v>-0.57931343662503654</v>
      </c>
    </row>
    <row r="7902" spans="1:4">
      <c r="A7902" s="1">
        <v>29762</v>
      </c>
      <c r="B7902">
        <v>132.81</v>
      </c>
      <c r="C7902">
        <f t="shared" si="266"/>
        <v>1.1307100859340093E-3</v>
      </c>
      <c r="D7902">
        <f t="shared" si="265"/>
        <v>8.6499103792130522E-2</v>
      </c>
    </row>
    <row r="7903" spans="1:4">
      <c r="A7903" s="1">
        <v>29763</v>
      </c>
      <c r="B7903">
        <v>132.56</v>
      </c>
      <c r="C7903">
        <f t="shared" si="266"/>
        <v>-1.8823883743693999E-3</v>
      </c>
      <c r="D7903">
        <f t="shared" si="265"/>
        <v>-0.23168306941397945</v>
      </c>
    </row>
    <row r="7904" spans="1:4">
      <c r="A7904" s="1">
        <v>29766</v>
      </c>
      <c r="B7904">
        <v>131.88999999999999</v>
      </c>
      <c r="C7904">
        <f t="shared" si="266"/>
        <v>-5.054315027157634E-3</v>
      </c>
      <c r="D7904">
        <f t="shared" si="265"/>
        <v>-0.56663744575816111</v>
      </c>
    </row>
    <row r="7905" spans="1:4">
      <c r="A7905" s="1">
        <v>29767</v>
      </c>
      <c r="B7905">
        <v>131.21</v>
      </c>
      <c r="C7905">
        <f t="shared" si="266"/>
        <v>-5.1558116612326821E-3</v>
      </c>
      <c r="D7905">
        <f t="shared" si="265"/>
        <v>-0.57735545581610404</v>
      </c>
    </row>
    <row r="7906" spans="1:4">
      <c r="A7906" s="1">
        <v>29768</v>
      </c>
      <c r="B7906">
        <v>129.77000000000001</v>
      </c>
      <c r="C7906">
        <f t="shared" si="266"/>
        <v>-1.0974773264232891E-2</v>
      </c>
      <c r="D7906">
        <f t="shared" si="265"/>
        <v>-1.1918358231317729</v>
      </c>
    </row>
    <row r="7907" spans="1:4">
      <c r="A7907" s="1">
        <v>29769</v>
      </c>
      <c r="B7907">
        <v>128.63999999999999</v>
      </c>
      <c r="C7907">
        <f t="shared" si="266"/>
        <v>-8.7077136472221914E-3</v>
      </c>
      <c r="D7907">
        <f t="shared" si="265"/>
        <v>-0.95243509818644889</v>
      </c>
    </row>
    <row r="7908" spans="1:4">
      <c r="A7908" s="1">
        <v>29773</v>
      </c>
      <c r="B7908">
        <v>127.37</v>
      </c>
      <c r="C7908">
        <f t="shared" si="266"/>
        <v>-9.8725124378108049E-3</v>
      </c>
      <c r="D7908">
        <f t="shared" si="265"/>
        <v>-1.0754374545382601</v>
      </c>
    </row>
    <row r="7909" spans="1:4">
      <c r="A7909" s="1">
        <v>29774</v>
      </c>
      <c r="B7909">
        <v>128.24</v>
      </c>
      <c r="C7909">
        <f t="shared" si="266"/>
        <v>6.8304938368532976E-3</v>
      </c>
      <c r="D7909">
        <f t="shared" si="265"/>
        <v>0.68839433043857445</v>
      </c>
    </row>
    <row r="7910" spans="1:4">
      <c r="A7910" s="1">
        <v>29775</v>
      </c>
      <c r="B7910">
        <v>128.32</v>
      </c>
      <c r="C7910">
        <f t="shared" si="266"/>
        <v>6.2383031815333812E-4</v>
      </c>
      <c r="D7910">
        <f t="shared" si="265"/>
        <v>3.2972772611296178E-2</v>
      </c>
    </row>
    <row r="7911" spans="1:4">
      <c r="A7911" s="1">
        <v>29776</v>
      </c>
      <c r="B7911">
        <v>129.30000000000001</v>
      </c>
      <c r="C7911">
        <f t="shared" si="266"/>
        <v>7.6371571072320621E-3</v>
      </c>
      <c r="D7911">
        <f t="shared" si="265"/>
        <v>0.7735776975924038</v>
      </c>
    </row>
    <row r="7912" spans="1:4">
      <c r="A7912" s="1">
        <v>29777</v>
      </c>
      <c r="B7912">
        <v>129.37</v>
      </c>
      <c r="C7912">
        <f t="shared" si="266"/>
        <v>5.413766434647577E-4</v>
      </c>
      <c r="D7912">
        <f t="shared" si="265"/>
        <v>2.4265692591547892E-2</v>
      </c>
    </row>
    <row r="7913" spans="1:4">
      <c r="A7913" s="1">
        <v>29780</v>
      </c>
      <c r="B7913">
        <v>129.63999999999999</v>
      </c>
      <c r="C7913">
        <f t="shared" si="266"/>
        <v>2.0870371801807357E-3</v>
      </c>
      <c r="D7913">
        <f t="shared" si="265"/>
        <v>0.18748691987321109</v>
      </c>
    </row>
    <row r="7914" spans="1:4">
      <c r="A7914" s="1">
        <v>29781</v>
      </c>
      <c r="B7914">
        <v>129.65</v>
      </c>
      <c r="C7914">
        <f t="shared" si="266"/>
        <v>7.7136686208109596E-5</v>
      </c>
      <c r="D7914">
        <f t="shared" si="265"/>
        <v>-2.4757889091925431E-2</v>
      </c>
    </row>
    <row r="7915" spans="1:4">
      <c r="A7915" s="1">
        <v>29782</v>
      </c>
      <c r="B7915">
        <v>130.22999999999999</v>
      </c>
      <c r="C7915">
        <f t="shared" si="266"/>
        <v>4.4735827227148786E-3</v>
      </c>
      <c r="D7915">
        <f t="shared" si="265"/>
        <v>0.43950531793857117</v>
      </c>
    </row>
    <row r="7916" spans="1:4">
      <c r="A7916" s="1">
        <v>29783</v>
      </c>
      <c r="B7916">
        <v>130.34</v>
      </c>
      <c r="C7916">
        <f t="shared" si="266"/>
        <v>8.4465944866784646E-4</v>
      </c>
      <c r="D7916">
        <f t="shared" si="265"/>
        <v>5.6292253730159642E-2</v>
      </c>
    </row>
    <row r="7917" spans="1:4">
      <c r="A7917" s="1">
        <v>29784</v>
      </c>
      <c r="B7917">
        <v>130.76</v>
      </c>
      <c r="C7917">
        <f t="shared" si="266"/>
        <v>3.2223415682061337E-3</v>
      </c>
      <c r="D7917">
        <f t="shared" si="265"/>
        <v>0.30737467733998131</v>
      </c>
    </row>
    <row r="7918" spans="1:4">
      <c r="A7918" s="1">
        <v>29787</v>
      </c>
      <c r="B7918">
        <v>128.72</v>
      </c>
      <c r="C7918">
        <f t="shared" si="266"/>
        <v>-1.5601101254206119E-2</v>
      </c>
      <c r="D7918">
        <f t="shared" si="265"/>
        <v>-1.6803744863076551</v>
      </c>
    </row>
    <row r="7919" spans="1:4">
      <c r="A7919" s="1">
        <v>29788</v>
      </c>
      <c r="B7919">
        <v>128.34</v>
      </c>
      <c r="C7919">
        <f t="shared" si="266"/>
        <v>-2.9521441889371926E-3</v>
      </c>
      <c r="D7919">
        <f t="shared" si="265"/>
        <v>-0.34464891980466922</v>
      </c>
    </row>
    <row r="7920" spans="1:4">
      <c r="A7920" s="1">
        <v>29789</v>
      </c>
      <c r="B7920">
        <v>127.13</v>
      </c>
      <c r="C7920">
        <f t="shared" si="266"/>
        <v>-9.4280816580957459E-3</v>
      </c>
      <c r="D7920">
        <f t="shared" si="265"/>
        <v>-1.0285057152697121</v>
      </c>
    </row>
    <row r="7921" spans="1:4">
      <c r="A7921" s="1">
        <v>29790</v>
      </c>
      <c r="B7921">
        <v>127.4</v>
      </c>
      <c r="C7921">
        <f t="shared" si="266"/>
        <v>2.1238102729490304E-3</v>
      </c>
      <c r="D7921">
        <f t="shared" si="265"/>
        <v>0.19137014596976146</v>
      </c>
    </row>
    <row r="7922" spans="1:4">
      <c r="A7922" s="1">
        <v>29791</v>
      </c>
      <c r="B7922">
        <v>128.46</v>
      </c>
      <c r="C7922">
        <f t="shared" si="266"/>
        <v>8.3202511773940516E-3</v>
      </c>
      <c r="D7922">
        <f t="shared" si="265"/>
        <v>0.84571219920655383</v>
      </c>
    </row>
    <row r="7923" spans="1:4">
      <c r="A7923" s="1">
        <v>29794</v>
      </c>
      <c r="B7923">
        <v>129.9</v>
      </c>
      <c r="C7923">
        <f t="shared" si="266"/>
        <v>1.1209715086408202E-2</v>
      </c>
      <c r="D7923">
        <f t="shared" si="265"/>
        <v>1.150838605821944</v>
      </c>
    </row>
    <row r="7924" spans="1:4">
      <c r="A7924" s="1">
        <v>29795</v>
      </c>
      <c r="B7924">
        <v>129.13999999999999</v>
      </c>
      <c r="C7924">
        <f t="shared" si="266"/>
        <v>-5.8506543494997636E-3</v>
      </c>
      <c r="D7924">
        <f t="shared" si="265"/>
        <v>-0.65073060750860223</v>
      </c>
    </row>
    <row r="7925" spans="1:4">
      <c r="A7925" s="1">
        <v>29796</v>
      </c>
      <c r="B7925">
        <v>129.16</v>
      </c>
      <c r="C7925">
        <f t="shared" si="266"/>
        <v>1.548706829797912E-4</v>
      </c>
      <c r="D7925">
        <f t="shared" si="265"/>
        <v>-1.6549205455905189E-2</v>
      </c>
    </row>
    <row r="7926" spans="1:4">
      <c r="A7926" s="1">
        <v>29797</v>
      </c>
      <c r="B7926">
        <v>130.01</v>
      </c>
      <c r="C7926">
        <f t="shared" si="266"/>
        <v>6.5809848250231832E-3</v>
      </c>
      <c r="D7926">
        <f t="shared" si="265"/>
        <v>0.66204626360154839</v>
      </c>
    </row>
    <row r="7927" spans="1:4">
      <c r="A7927" s="1">
        <v>29798</v>
      </c>
      <c r="B7927">
        <v>130.91999999999999</v>
      </c>
      <c r="C7927">
        <f t="shared" si="266"/>
        <v>6.999461579878445E-3</v>
      </c>
      <c r="D7927">
        <f t="shared" si="265"/>
        <v>0.70623726666710362</v>
      </c>
    </row>
    <row r="7928" spans="1:4">
      <c r="A7928" s="1">
        <v>29801</v>
      </c>
      <c r="B7928">
        <v>130.47999999999999</v>
      </c>
      <c r="C7928">
        <f t="shared" si="266"/>
        <v>-3.3608310418576058E-3</v>
      </c>
      <c r="D7928">
        <f t="shared" si="265"/>
        <v>-0.38780611255365377</v>
      </c>
    </row>
    <row r="7929" spans="1:4">
      <c r="A7929" s="1">
        <v>29802</v>
      </c>
      <c r="B7929">
        <v>131.18</v>
      </c>
      <c r="C7929">
        <f t="shared" si="266"/>
        <v>5.3648068669529207E-3</v>
      </c>
      <c r="D7929">
        <f t="shared" si="265"/>
        <v>0.53361828462830263</v>
      </c>
    </row>
    <row r="7930" spans="1:4">
      <c r="A7930" s="1">
        <v>29803</v>
      </c>
      <c r="B7930">
        <v>132.66999999999999</v>
      </c>
      <c r="C7930">
        <f t="shared" si="266"/>
        <v>1.1358438786400218E-2</v>
      </c>
      <c r="D7930">
        <f t="shared" si="265"/>
        <v>1.1665437779874588</v>
      </c>
    </row>
    <row r="7931" spans="1:4">
      <c r="A7931" s="1">
        <v>29804</v>
      </c>
      <c r="B7931">
        <v>132.63999999999999</v>
      </c>
      <c r="C7931">
        <f t="shared" si="266"/>
        <v>-2.2612497173438712E-4</v>
      </c>
      <c r="D7931">
        <f t="shared" si="265"/>
        <v>-5.6782217087006974E-2</v>
      </c>
    </row>
    <row r="7932" spans="1:4">
      <c r="A7932" s="1">
        <v>29805</v>
      </c>
      <c r="B7932">
        <v>131.75</v>
      </c>
      <c r="C7932">
        <f t="shared" si="266"/>
        <v>-6.709891435464313E-3</v>
      </c>
      <c r="D7932">
        <f t="shared" si="265"/>
        <v>-0.74146575171758222</v>
      </c>
    </row>
    <row r="7933" spans="1:4">
      <c r="A7933" s="1">
        <v>29808</v>
      </c>
      <c r="B7933">
        <v>132.54</v>
      </c>
      <c r="C7933">
        <f t="shared" si="266"/>
        <v>5.9962049335862775E-3</v>
      </c>
      <c r="D7933">
        <f t="shared" si="265"/>
        <v>0.60029370584215425</v>
      </c>
    </row>
    <row r="7934" spans="1:4">
      <c r="A7934" s="1">
        <v>29809</v>
      </c>
      <c r="B7934">
        <v>133.85</v>
      </c>
      <c r="C7934">
        <f t="shared" si="266"/>
        <v>9.8838086615361583E-3</v>
      </c>
      <c r="D7934">
        <f t="shared" si="265"/>
        <v>1.0108233380529481</v>
      </c>
    </row>
    <row r="7935" spans="1:4">
      <c r="A7935" s="1">
        <v>29810</v>
      </c>
      <c r="B7935">
        <v>133.4</v>
      </c>
      <c r="C7935">
        <f t="shared" si="266"/>
        <v>-3.3619723571160901E-3</v>
      </c>
      <c r="D7935">
        <f t="shared" si="265"/>
        <v>-0.38792663505699782</v>
      </c>
    </row>
    <row r="7936" spans="1:4">
      <c r="A7936" s="1">
        <v>29811</v>
      </c>
      <c r="B7936">
        <v>133.51</v>
      </c>
      <c r="C7936">
        <f t="shared" si="266"/>
        <v>8.2458770614681572E-4</v>
      </c>
      <c r="D7936">
        <f t="shared" si="265"/>
        <v>5.4172684542655579E-2</v>
      </c>
    </row>
    <row r="7937" spans="1:4">
      <c r="A7937" s="1">
        <v>29812</v>
      </c>
      <c r="B7937">
        <v>132.49</v>
      </c>
      <c r="C7937">
        <f t="shared" si="266"/>
        <v>-7.6398771627592078E-3</v>
      </c>
      <c r="D7937">
        <f t="shared" si="265"/>
        <v>-0.83967192840241511</v>
      </c>
    </row>
    <row r="7938" spans="1:4">
      <c r="A7938" s="1">
        <v>29815</v>
      </c>
      <c r="B7938">
        <v>131.22</v>
      </c>
      <c r="C7938">
        <f t="shared" si="266"/>
        <v>-9.5856291040834034E-3</v>
      </c>
      <c r="D7938">
        <f t="shared" si="265"/>
        <v>-1.0451426720130297</v>
      </c>
    </row>
    <row r="7939" spans="1:4">
      <c r="A7939" s="1">
        <v>29816</v>
      </c>
      <c r="B7939">
        <v>130.11000000000001</v>
      </c>
      <c r="C7939">
        <f t="shared" si="266"/>
        <v>-8.4590763603108153E-3</v>
      </c>
      <c r="D7939">
        <f t="shared" ref="D7939:D8002" si="267">(C7939-avg)/sd</f>
        <v>-0.92617908520452785</v>
      </c>
    </row>
    <row r="7940" spans="1:4">
      <c r="A7940" s="1">
        <v>29817</v>
      </c>
      <c r="B7940">
        <v>130.49</v>
      </c>
      <c r="C7940">
        <f t="shared" ref="C7940:C8003" si="268">(B7940-B7939)/B7939</f>
        <v>2.9206056413803353E-3</v>
      </c>
      <c r="D7940">
        <f t="shared" si="267"/>
        <v>0.27551146603220189</v>
      </c>
    </row>
    <row r="7941" spans="1:4">
      <c r="A7941" s="1">
        <v>29818</v>
      </c>
      <c r="B7941">
        <v>130.69</v>
      </c>
      <c r="C7941">
        <f t="shared" si="268"/>
        <v>1.5326844968962267E-3</v>
      </c>
      <c r="D7941">
        <f t="shared" si="267"/>
        <v>0.12894746495199952</v>
      </c>
    </row>
    <row r="7942" spans="1:4">
      <c r="A7942" s="1">
        <v>29819</v>
      </c>
      <c r="B7942">
        <v>129.22999999999999</v>
      </c>
      <c r="C7942">
        <f t="shared" si="268"/>
        <v>-1.1171474481597735E-2</v>
      </c>
      <c r="D7942">
        <f t="shared" si="267"/>
        <v>-1.212607404823508</v>
      </c>
    </row>
    <row r="7943" spans="1:4">
      <c r="A7943" s="1">
        <v>29822</v>
      </c>
      <c r="B7943">
        <v>125.5</v>
      </c>
      <c r="C7943">
        <f t="shared" si="268"/>
        <v>-2.8863267043256133E-2</v>
      </c>
      <c r="D7943">
        <f t="shared" si="267"/>
        <v>-3.080854685602151</v>
      </c>
    </row>
    <row r="7944" spans="1:4">
      <c r="A7944" s="1">
        <v>29823</v>
      </c>
      <c r="B7944">
        <v>125.13</v>
      </c>
      <c r="C7944">
        <f t="shared" si="268"/>
        <v>-2.9482071713147775E-3</v>
      </c>
      <c r="D7944">
        <f t="shared" si="267"/>
        <v>-0.34423317208199949</v>
      </c>
    </row>
    <row r="7945" spans="1:4">
      <c r="A7945" s="1">
        <v>29824</v>
      </c>
      <c r="B7945">
        <v>124.96</v>
      </c>
      <c r="C7945">
        <f t="shared" si="268"/>
        <v>-1.3585870694477881E-3</v>
      </c>
      <c r="D7945">
        <f t="shared" si="267"/>
        <v>-0.17636982966297171</v>
      </c>
    </row>
    <row r="7946" spans="1:4">
      <c r="A7946" s="1">
        <v>29825</v>
      </c>
      <c r="B7946">
        <v>123.51</v>
      </c>
      <c r="C7946">
        <f t="shared" si="268"/>
        <v>-1.1603713188220141E-2</v>
      </c>
      <c r="D7946">
        <f t="shared" si="267"/>
        <v>-1.2582516653177589</v>
      </c>
    </row>
    <row r="7947" spans="1:4">
      <c r="A7947" s="1">
        <v>29826</v>
      </c>
      <c r="B7947">
        <v>124.08</v>
      </c>
      <c r="C7947">
        <f t="shared" si="268"/>
        <v>4.6150109302889901E-3</v>
      </c>
      <c r="D7947">
        <f t="shared" si="267"/>
        <v>0.45444008858461382</v>
      </c>
    </row>
    <row r="7948" spans="1:4">
      <c r="A7948" s="1">
        <v>29829</v>
      </c>
      <c r="B7948">
        <v>122.79</v>
      </c>
      <c r="C7948">
        <f t="shared" si="268"/>
        <v>-1.0396518375241715E-2</v>
      </c>
      <c r="D7948">
        <f t="shared" si="267"/>
        <v>-1.1307723034126917</v>
      </c>
    </row>
    <row r="7949" spans="1:4">
      <c r="A7949" s="1">
        <v>29830</v>
      </c>
      <c r="B7949">
        <v>123.02</v>
      </c>
      <c r="C7949">
        <f t="shared" si="268"/>
        <v>1.8731167033145188E-3</v>
      </c>
      <c r="D7949">
        <f t="shared" si="267"/>
        <v>0.16489699023124171</v>
      </c>
    </row>
    <row r="7950" spans="1:4">
      <c r="A7950" s="1">
        <v>29831</v>
      </c>
      <c r="B7950">
        <v>123.49</v>
      </c>
      <c r="C7950">
        <f t="shared" si="268"/>
        <v>3.820516989107453E-3</v>
      </c>
      <c r="D7950">
        <f t="shared" si="267"/>
        <v>0.37054179845745577</v>
      </c>
    </row>
    <row r="7951" spans="1:4">
      <c r="A7951" s="1">
        <v>29832</v>
      </c>
      <c r="B7951">
        <v>121.24</v>
      </c>
      <c r="C7951">
        <f t="shared" si="268"/>
        <v>-1.822009879342457E-2</v>
      </c>
      <c r="D7951">
        <f t="shared" si="267"/>
        <v>-1.9569397362086054</v>
      </c>
    </row>
    <row r="7952" spans="1:4">
      <c r="A7952" s="1">
        <v>29833</v>
      </c>
      <c r="B7952">
        <v>120.07</v>
      </c>
      <c r="C7952">
        <f t="shared" si="268"/>
        <v>-9.6502804354998487E-3</v>
      </c>
      <c r="D7952">
        <f t="shared" si="267"/>
        <v>-1.0519698306345511</v>
      </c>
    </row>
    <row r="7953" spans="1:4">
      <c r="A7953" s="1">
        <v>29837</v>
      </c>
      <c r="B7953">
        <v>117.98</v>
      </c>
      <c r="C7953">
        <f t="shared" si="268"/>
        <v>-1.7406512867493874E-2</v>
      </c>
      <c r="D7953">
        <f t="shared" si="267"/>
        <v>-1.8710253389816172</v>
      </c>
    </row>
    <row r="7954" spans="1:4">
      <c r="A7954" s="1">
        <v>29838</v>
      </c>
      <c r="B7954">
        <v>118.4</v>
      </c>
      <c r="C7954">
        <f t="shared" si="268"/>
        <v>3.5599254110866394E-3</v>
      </c>
      <c r="D7954">
        <f t="shared" si="267"/>
        <v>0.34302341639783906</v>
      </c>
    </row>
    <row r="7955" spans="1:4">
      <c r="A7955" s="1">
        <v>29839</v>
      </c>
      <c r="B7955">
        <v>120.14</v>
      </c>
      <c r="C7955">
        <f t="shared" si="268"/>
        <v>1.4695945945945902E-2</v>
      </c>
      <c r="D7955">
        <f t="shared" si="267"/>
        <v>1.5189833995616784</v>
      </c>
    </row>
    <row r="7956" spans="1:4">
      <c r="A7956" s="1">
        <v>29840</v>
      </c>
      <c r="B7956">
        <v>121.61</v>
      </c>
      <c r="C7956">
        <f t="shared" si="268"/>
        <v>1.2235724987514556E-2</v>
      </c>
      <c r="D7956">
        <f t="shared" si="267"/>
        <v>1.2591849026210642</v>
      </c>
    </row>
    <row r="7957" spans="1:4">
      <c r="A7957" s="1">
        <v>29843</v>
      </c>
      <c r="B7957">
        <v>120.66</v>
      </c>
      <c r="C7957">
        <f t="shared" si="268"/>
        <v>-7.8118575775018738E-3</v>
      </c>
      <c r="D7957">
        <f t="shared" si="267"/>
        <v>-0.85783300174025723</v>
      </c>
    </row>
    <row r="7958" spans="1:4">
      <c r="A7958" s="1">
        <v>29844</v>
      </c>
      <c r="B7958">
        <v>119.77</v>
      </c>
      <c r="C7958">
        <f t="shared" si="268"/>
        <v>-7.3760981269683458E-3</v>
      </c>
      <c r="D7958">
        <f t="shared" si="267"/>
        <v>-0.81181695188575087</v>
      </c>
    </row>
    <row r="7959" spans="1:4">
      <c r="A7959" s="1">
        <v>29845</v>
      </c>
      <c r="B7959">
        <v>118.87</v>
      </c>
      <c r="C7959">
        <f t="shared" si="268"/>
        <v>-7.5144026049928318E-3</v>
      </c>
      <c r="D7959">
        <f t="shared" si="267"/>
        <v>-0.82642185775316013</v>
      </c>
    </row>
    <row r="7960" spans="1:4">
      <c r="A7960" s="1">
        <v>29846</v>
      </c>
      <c r="B7960">
        <v>117.15</v>
      </c>
      <c r="C7960">
        <f t="shared" si="268"/>
        <v>-1.4469588626230325E-2</v>
      </c>
      <c r="D7960">
        <f t="shared" si="267"/>
        <v>-1.5608871374132411</v>
      </c>
    </row>
    <row r="7961" spans="1:4">
      <c r="A7961" s="1">
        <v>29847</v>
      </c>
      <c r="B7961">
        <v>116.26</v>
      </c>
      <c r="C7961">
        <f t="shared" si="268"/>
        <v>-7.5970977379428125E-3</v>
      </c>
      <c r="D7961">
        <f t="shared" si="267"/>
        <v>-0.83515443568323677</v>
      </c>
    </row>
    <row r="7962" spans="1:4">
      <c r="A7962" s="1">
        <v>29850</v>
      </c>
      <c r="B7962">
        <v>117.24</v>
      </c>
      <c r="C7962">
        <f t="shared" si="268"/>
        <v>8.4293824187165814E-3</v>
      </c>
      <c r="D7962">
        <f t="shared" si="267"/>
        <v>0.85723642119470167</v>
      </c>
    </row>
    <row r="7963" spans="1:4">
      <c r="A7963" s="1">
        <v>29851</v>
      </c>
      <c r="B7963">
        <v>116.68</v>
      </c>
      <c r="C7963">
        <f t="shared" si="268"/>
        <v>-4.7765267826679302E-3</v>
      </c>
      <c r="D7963">
        <f t="shared" si="267"/>
        <v>-0.53730310156486061</v>
      </c>
    </row>
    <row r="7964" spans="1:4">
      <c r="A7964" s="1">
        <v>29852</v>
      </c>
      <c r="B7964">
        <v>115.65</v>
      </c>
      <c r="C7964">
        <f t="shared" si="268"/>
        <v>-8.8275625642783781E-3</v>
      </c>
      <c r="D7964">
        <f t="shared" si="267"/>
        <v>-0.96509110308895596</v>
      </c>
    </row>
    <row r="7965" spans="1:4">
      <c r="A7965" s="1">
        <v>29853</v>
      </c>
      <c r="B7965">
        <v>115.01</v>
      </c>
      <c r="C7965">
        <f t="shared" si="268"/>
        <v>-5.5339386078685736E-3</v>
      </c>
      <c r="D7965">
        <f t="shared" si="267"/>
        <v>-0.61728553284925991</v>
      </c>
    </row>
    <row r="7966" spans="1:4">
      <c r="A7966" s="1">
        <v>29854</v>
      </c>
      <c r="B7966">
        <v>112.77</v>
      </c>
      <c r="C7966">
        <f t="shared" si="268"/>
        <v>-1.9476567255021379E-2</v>
      </c>
      <c r="D7966">
        <f t="shared" si="267"/>
        <v>-2.0896223786588468</v>
      </c>
    </row>
    <row r="7967" spans="1:4">
      <c r="A7967" s="1">
        <v>29857</v>
      </c>
      <c r="B7967">
        <v>115.53</v>
      </c>
      <c r="C7967">
        <f t="shared" si="268"/>
        <v>2.4474594306996587E-2</v>
      </c>
      <c r="D7967">
        <f t="shared" si="267"/>
        <v>2.5516053425645513</v>
      </c>
    </row>
    <row r="7968" spans="1:4">
      <c r="A7968" s="1">
        <v>29858</v>
      </c>
      <c r="B7968">
        <v>115.94</v>
      </c>
      <c r="C7968">
        <f t="shared" si="268"/>
        <v>3.548861767506246E-3</v>
      </c>
      <c r="D7968">
        <f t="shared" si="267"/>
        <v>0.34185509939646469</v>
      </c>
    </row>
    <row r="7969" spans="1:4">
      <c r="A7969" s="1">
        <v>29859</v>
      </c>
      <c r="B7969">
        <v>116.18</v>
      </c>
      <c r="C7969">
        <f t="shared" si="268"/>
        <v>2.070036225634027E-3</v>
      </c>
      <c r="D7969">
        <f t="shared" si="267"/>
        <v>0.18569162485198387</v>
      </c>
    </row>
    <row r="7970" spans="1:4">
      <c r="A7970" s="1">
        <v>29860</v>
      </c>
      <c r="B7970">
        <v>117.08</v>
      </c>
      <c r="C7970">
        <f t="shared" si="268"/>
        <v>7.7466001032879279E-3</v>
      </c>
      <c r="D7970">
        <f t="shared" si="267"/>
        <v>0.78513484077442142</v>
      </c>
    </row>
    <row r="7971" spans="1:4">
      <c r="A7971" s="1">
        <v>29861</v>
      </c>
      <c r="B7971">
        <v>119.36</v>
      </c>
      <c r="C7971">
        <f t="shared" si="268"/>
        <v>1.9473864024598574E-2</v>
      </c>
      <c r="D7971">
        <f t="shared" si="267"/>
        <v>2.0235299245741349</v>
      </c>
    </row>
    <row r="7972" spans="1:4">
      <c r="A7972" s="1">
        <v>29864</v>
      </c>
      <c r="B7972">
        <v>119.51</v>
      </c>
      <c r="C7972">
        <f t="shared" si="268"/>
        <v>1.2567024128686804E-3</v>
      </c>
      <c r="D7972">
        <f t="shared" si="267"/>
        <v>9.9803850689559007E-2</v>
      </c>
    </row>
    <row r="7973" spans="1:4">
      <c r="A7973" s="1">
        <v>29865</v>
      </c>
      <c r="B7973">
        <v>119.39</v>
      </c>
      <c r="C7973">
        <f t="shared" si="268"/>
        <v>-1.0041000753075436E-3</v>
      </c>
      <c r="D7973">
        <f t="shared" si="267"/>
        <v>-0.13893612357774579</v>
      </c>
    </row>
    <row r="7974" spans="1:4">
      <c r="A7974" s="1">
        <v>29866</v>
      </c>
      <c r="B7974">
        <v>121.31</v>
      </c>
      <c r="C7974">
        <f t="shared" si="268"/>
        <v>1.6081748890191823E-2</v>
      </c>
      <c r="D7974">
        <f t="shared" si="267"/>
        <v>1.6653237194167392</v>
      </c>
    </row>
    <row r="7975" spans="1:4">
      <c r="A7975" s="1">
        <v>29867</v>
      </c>
      <c r="B7975">
        <v>122.31</v>
      </c>
      <c r="C7975">
        <f t="shared" si="268"/>
        <v>8.2433435001236493E-3</v>
      </c>
      <c r="D7975">
        <f t="shared" si="267"/>
        <v>0.83759077462898901</v>
      </c>
    </row>
    <row r="7976" spans="1:4">
      <c r="A7976" s="1">
        <v>29868</v>
      </c>
      <c r="B7976">
        <v>121.45</v>
      </c>
      <c r="C7976">
        <f t="shared" si="268"/>
        <v>-7.0313138745809779E-3</v>
      </c>
      <c r="D7976">
        <f t="shared" si="267"/>
        <v>-0.77540785203150653</v>
      </c>
    </row>
    <row r="7977" spans="1:4">
      <c r="A7977" s="1">
        <v>29871</v>
      </c>
      <c r="B7977">
        <v>121.21</v>
      </c>
      <c r="C7977">
        <f t="shared" si="268"/>
        <v>-1.9761218608481605E-3</v>
      </c>
      <c r="D7977">
        <f t="shared" si="267"/>
        <v>-0.24158129372457643</v>
      </c>
    </row>
    <row r="7978" spans="1:4">
      <c r="A7978" s="1">
        <v>29872</v>
      </c>
      <c r="B7978">
        <v>120.78</v>
      </c>
      <c r="C7978">
        <f t="shared" si="268"/>
        <v>-3.5475620823363801E-3</v>
      </c>
      <c r="D7978">
        <f t="shared" si="267"/>
        <v>-0.40752484695524771</v>
      </c>
    </row>
    <row r="7979" spans="1:4">
      <c r="A7979" s="1">
        <v>29873</v>
      </c>
      <c r="B7979">
        <v>118.8</v>
      </c>
      <c r="C7979">
        <f t="shared" si="268"/>
        <v>-1.6393442622950852E-2</v>
      </c>
      <c r="D7979">
        <f t="shared" si="267"/>
        <v>-1.7640454655171818</v>
      </c>
    </row>
    <row r="7980" spans="1:4">
      <c r="A7980" s="1">
        <v>29874</v>
      </c>
      <c r="B7980">
        <v>119.71</v>
      </c>
      <c r="C7980">
        <f t="shared" si="268"/>
        <v>7.6599326599326315E-3</v>
      </c>
      <c r="D7980">
        <f t="shared" si="267"/>
        <v>0.77598278821579747</v>
      </c>
    </row>
    <row r="7981" spans="1:4">
      <c r="A7981" s="1">
        <v>29875</v>
      </c>
      <c r="B7981">
        <v>119.19</v>
      </c>
      <c r="C7981">
        <f t="shared" si="268"/>
        <v>-4.3438309247347427E-3</v>
      </c>
      <c r="D7981">
        <f t="shared" si="267"/>
        <v>-0.49161056604758435</v>
      </c>
    </row>
    <row r="7982" spans="1:4">
      <c r="A7982" s="1">
        <v>29878</v>
      </c>
      <c r="B7982">
        <v>118.98</v>
      </c>
      <c r="C7982">
        <f t="shared" si="268"/>
        <v>-1.761892776239565E-3</v>
      </c>
      <c r="D7982">
        <f t="shared" si="267"/>
        <v>-0.21895877520991272</v>
      </c>
    </row>
    <row r="7983" spans="1:4">
      <c r="A7983" s="1">
        <v>29879</v>
      </c>
      <c r="B7983">
        <v>120.28</v>
      </c>
      <c r="C7983">
        <f t="shared" si="268"/>
        <v>1.0926206085056287E-2</v>
      </c>
      <c r="D7983">
        <f t="shared" si="267"/>
        <v>1.1209001516485737</v>
      </c>
    </row>
    <row r="7984" spans="1:4">
      <c r="A7984" s="1">
        <v>29880</v>
      </c>
      <c r="B7984">
        <v>120.1</v>
      </c>
      <c r="C7984">
        <f t="shared" si="268"/>
        <v>-1.4965081476555273E-3</v>
      </c>
      <c r="D7984">
        <f t="shared" si="267"/>
        <v>-0.19093424864005662</v>
      </c>
    </row>
    <row r="7985" spans="1:4">
      <c r="A7985" s="1">
        <v>29881</v>
      </c>
      <c r="B7985">
        <v>119.64</v>
      </c>
      <c r="C7985">
        <f t="shared" si="268"/>
        <v>-3.830141548709357E-3</v>
      </c>
      <c r="D7985">
        <f t="shared" si="267"/>
        <v>-0.4373651425508065</v>
      </c>
    </row>
    <row r="7986" spans="1:4">
      <c r="A7986" s="1">
        <v>29882</v>
      </c>
      <c r="B7986">
        <v>118.6</v>
      </c>
      <c r="C7986">
        <f t="shared" si="268"/>
        <v>-8.6927449013708309E-3</v>
      </c>
      <c r="D7986">
        <f t="shared" si="267"/>
        <v>-0.95085440371266916</v>
      </c>
    </row>
    <row r="7987" spans="1:4">
      <c r="A7987" s="1">
        <v>29885</v>
      </c>
      <c r="B7987">
        <v>118.16</v>
      </c>
      <c r="C7987">
        <f t="shared" si="268"/>
        <v>-3.7099494097807568E-3</v>
      </c>
      <c r="D7987">
        <f t="shared" si="267"/>
        <v>-0.4246728935352394</v>
      </c>
    </row>
    <row r="7988" spans="1:4">
      <c r="A7988" s="1">
        <v>29886</v>
      </c>
      <c r="B7988">
        <v>119.29</v>
      </c>
      <c r="C7988">
        <f t="shared" si="268"/>
        <v>9.5633039945836971E-3</v>
      </c>
      <c r="D7988">
        <f t="shared" si="267"/>
        <v>0.97697815416759792</v>
      </c>
    </row>
    <row r="7989" spans="1:4">
      <c r="A7989" s="1">
        <v>29887</v>
      </c>
      <c r="B7989">
        <v>119.45</v>
      </c>
      <c r="C7989">
        <f t="shared" si="268"/>
        <v>1.3412691759577215E-3</v>
      </c>
      <c r="D7989">
        <f t="shared" si="267"/>
        <v>0.10873407212612229</v>
      </c>
    </row>
    <row r="7990" spans="1:4">
      <c r="A7990" s="1">
        <v>29888</v>
      </c>
      <c r="B7990">
        <v>119.06</v>
      </c>
      <c r="C7990">
        <f t="shared" si="268"/>
        <v>-3.2649644202595277E-3</v>
      </c>
      <c r="D7990">
        <f t="shared" si="267"/>
        <v>-0.37768262989954471</v>
      </c>
    </row>
    <row r="7991" spans="1:4">
      <c r="A7991" s="1">
        <v>29889</v>
      </c>
      <c r="B7991">
        <v>121.89</v>
      </c>
      <c r="C7991">
        <f t="shared" si="268"/>
        <v>2.3769527969091198E-2</v>
      </c>
      <c r="D7991">
        <f t="shared" si="267"/>
        <v>2.4771505769454354</v>
      </c>
    </row>
    <row r="7992" spans="1:4">
      <c r="A7992" s="1">
        <v>29892</v>
      </c>
      <c r="B7992">
        <v>124.2</v>
      </c>
      <c r="C7992">
        <f t="shared" si="268"/>
        <v>1.8951513659857266E-2</v>
      </c>
      <c r="D7992">
        <f t="shared" si="267"/>
        <v>1.9683699036129685</v>
      </c>
    </row>
    <row r="7993" spans="1:4">
      <c r="A7993" s="1">
        <v>29893</v>
      </c>
      <c r="B7993">
        <v>124.8</v>
      </c>
      <c r="C7993">
        <f t="shared" si="268"/>
        <v>4.8309178743960891E-3</v>
      </c>
      <c r="D7993">
        <f t="shared" si="267"/>
        <v>0.47723978849198728</v>
      </c>
    </row>
    <row r="7994" spans="1:4">
      <c r="A7994" s="1">
        <v>29894</v>
      </c>
      <c r="B7994">
        <v>124.74</v>
      </c>
      <c r="C7994">
        <f t="shared" si="268"/>
        <v>-4.8076923076924901E-4</v>
      </c>
      <c r="D7994">
        <f t="shared" si="267"/>
        <v>-8.3672564283299111E-2</v>
      </c>
    </row>
    <row r="7995" spans="1:4">
      <c r="A7995" s="1">
        <v>29895</v>
      </c>
      <c r="B7995">
        <v>123.54</v>
      </c>
      <c r="C7995">
        <f t="shared" si="268"/>
        <v>-9.6200096200095286E-3</v>
      </c>
      <c r="D7995">
        <f t="shared" si="267"/>
        <v>-1.0487732428083234</v>
      </c>
    </row>
    <row r="7996" spans="1:4">
      <c r="A7996" s="1">
        <v>29896</v>
      </c>
      <c r="B7996">
        <v>122.67</v>
      </c>
      <c r="C7996">
        <f t="shared" si="268"/>
        <v>-7.0422535211267972E-3</v>
      </c>
      <c r="D7996">
        <f t="shared" si="267"/>
        <v>-0.77656307498817845</v>
      </c>
    </row>
    <row r="7997" spans="1:4">
      <c r="A7997" s="1">
        <v>29899</v>
      </c>
      <c r="B7997">
        <v>123.29</v>
      </c>
      <c r="C7997">
        <f t="shared" si="268"/>
        <v>5.0542104834108139E-3</v>
      </c>
      <c r="D7997">
        <f t="shared" si="267"/>
        <v>0.50081941210309666</v>
      </c>
    </row>
    <row r="7998" spans="1:4">
      <c r="A7998" s="1">
        <v>29900</v>
      </c>
      <c r="B7998">
        <v>122.7</v>
      </c>
      <c r="C7998">
        <f t="shared" si="268"/>
        <v>-4.7854651634358291E-3</v>
      </c>
      <c r="D7998">
        <f t="shared" si="267"/>
        <v>-0.53824699153564748</v>
      </c>
    </row>
    <row r="7999" spans="1:4">
      <c r="A7999" s="1">
        <v>29901</v>
      </c>
      <c r="B7999">
        <v>122.92</v>
      </c>
      <c r="C7999">
        <f t="shared" si="268"/>
        <v>1.7929910350448154E-3</v>
      </c>
      <c r="D7999">
        <f t="shared" si="267"/>
        <v>0.15643574689799902</v>
      </c>
    </row>
    <row r="8000" spans="1:4">
      <c r="A8000" s="1">
        <v>29902</v>
      </c>
      <c r="B8000">
        <v>123.19</v>
      </c>
      <c r="C8000">
        <f t="shared" si="268"/>
        <v>2.1965506020175398E-3</v>
      </c>
      <c r="D8000">
        <f t="shared" si="267"/>
        <v>0.19905149999375682</v>
      </c>
    </row>
    <row r="8001" spans="1:4">
      <c r="A8001" s="1">
        <v>29903</v>
      </c>
      <c r="B8001">
        <v>121.67</v>
      </c>
      <c r="C8001">
        <f t="shared" si="268"/>
        <v>-1.2338663852585405E-2</v>
      </c>
      <c r="D8001">
        <f t="shared" si="267"/>
        <v>-1.3358622056528617</v>
      </c>
    </row>
    <row r="8002" spans="1:4">
      <c r="A8002" s="1">
        <v>29906</v>
      </c>
      <c r="B8002">
        <v>120.24</v>
      </c>
      <c r="C8002">
        <f t="shared" si="268"/>
        <v>-1.1753102654721844E-2</v>
      </c>
      <c r="D8002">
        <f t="shared" si="267"/>
        <v>-1.2740271422003919</v>
      </c>
    </row>
    <row r="8003" spans="1:4">
      <c r="A8003" s="1">
        <v>29907</v>
      </c>
      <c r="B8003">
        <v>121.15</v>
      </c>
      <c r="C8003">
        <f t="shared" si="268"/>
        <v>7.5681969394545143E-3</v>
      </c>
      <c r="D8003">
        <f t="shared" ref="D8003:D8066" si="269">(C8003-avg)/sd</f>
        <v>0.76629552731579476</v>
      </c>
    </row>
    <row r="8004" spans="1:4">
      <c r="A8004" s="1">
        <v>29908</v>
      </c>
      <c r="B8004">
        <v>120.26</v>
      </c>
      <c r="C8004">
        <f t="shared" ref="C8004:C8067" si="270">(B8004-B8003)/B8003</f>
        <v>-7.3462649607924108E-3</v>
      </c>
      <c r="D8004">
        <f t="shared" si="269"/>
        <v>-0.80866657967835798</v>
      </c>
    </row>
    <row r="8005" spans="1:4">
      <c r="A8005" s="1">
        <v>29909</v>
      </c>
      <c r="B8005">
        <v>120.71</v>
      </c>
      <c r="C8005">
        <f t="shared" si="270"/>
        <v>3.7418925661066738E-3</v>
      </c>
      <c r="D8005">
        <f t="shared" si="269"/>
        <v>0.36223908611431338</v>
      </c>
    </row>
    <row r="8006" spans="1:4">
      <c r="A8006" s="1">
        <v>29910</v>
      </c>
      <c r="B8006">
        <v>121.71</v>
      </c>
      <c r="C8006">
        <f t="shared" si="270"/>
        <v>8.2843177864302883E-3</v>
      </c>
      <c r="D8006">
        <f t="shared" si="269"/>
        <v>0.84191764533513347</v>
      </c>
    </row>
    <row r="8007" spans="1:4">
      <c r="A8007" s="1">
        <v>29913</v>
      </c>
      <c r="B8007">
        <v>121.6</v>
      </c>
      <c r="C8007">
        <f t="shared" si="270"/>
        <v>-9.0378769205487995E-4</v>
      </c>
      <c r="D8007">
        <f t="shared" si="269"/>
        <v>-0.12834317000410031</v>
      </c>
    </row>
    <row r="8008" spans="1:4">
      <c r="A8008" s="1">
        <v>29914</v>
      </c>
      <c r="B8008">
        <v>123.51</v>
      </c>
      <c r="C8008">
        <f t="shared" si="270"/>
        <v>1.5707236842105354E-2</v>
      </c>
      <c r="D8008">
        <f t="shared" si="269"/>
        <v>1.6257753744416386</v>
      </c>
    </row>
    <row r="8009" spans="1:4">
      <c r="A8009" s="1">
        <v>29915</v>
      </c>
      <c r="B8009">
        <v>124.05</v>
      </c>
      <c r="C8009">
        <f t="shared" si="270"/>
        <v>4.3721156181685044E-3</v>
      </c>
      <c r="D8009">
        <f t="shared" si="269"/>
        <v>0.42879042618881869</v>
      </c>
    </row>
    <row r="8010" spans="1:4">
      <c r="A8010" s="1">
        <v>29917</v>
      </c>
      <c r="B8010">
        <v>125.09</v>
      </c>
      <c r="C8010">
        <f t="shared" si="270"/>
        <v>8.3837162434502715E-3</v>
      </c>
      <c r="D8010">
        <f t="shared" si="269"/>
        <v>0.85241408860926648</v>
      </c>
    </row>
    <row r="8011" spans="1:4">
      <c r="A8011" s="1">
        <v>29920</v>
      </c>
      <c r="B8011">
        <v>126.35</v>
      </c>
      <c r="C8011">
        <f t="shared" si="270"/>
        <v>1.0072747621712294E-2</v>
      </c>
      <c r="D8011">
        <f t="shared" si="269"/>
        <v>1.0307752280240752</v>
      </c>
    </row>
    <row r="8012" spans="1:4">
      <c r="A8012" s="1">
        <v>29921</v>
      </c>
      <c r="B8012">
        <v>126.1</v>
      </c>
      <c r="C8012">
        <f t="shared" si="270"/>
        <v>-1.9786307874950534E-3</v>
      </c>
      <c r="D8012">
        <f t="shared" si="269"/>
        <v>-0.2418462355256627</v>
      </c>
    </row>
    <row r="8013" spans="1:4">
      <c r="A8013" s="1">
        <v>29922</v>
      </c>
      <c r="B8013">
        <v>124.69</v>
      </c>
      <c r="C8013">
        <f t="shared" si="270"/>
        <v>-1.1181601903251362E-2</v>
      </c>
      <c r="D8013">
        <f t="shared" si="269"/>
        <v>-1.2136768571076531</v>
      </c>
    </row>
    <row r="8014" spans="1:4">
      <c r="A8014" s="1">
        <v>29923</v>
      </c>
      <c r="B8014">
        <v>125.12</v>
      </c>
      <c r="C8014">
        <f t="shared" si="270"/>
        <v>3.448552409976797E-3</v>
      </c>
      <c r="D8014">
        <f t="shared" si="269"/>
        <v>0.33126246533816217</v>
      </c>
    </row>
    <row r="8015" spans="1:4">
      <c r="A8015" s="1">
        <v>29924</v>
      </c>
      <c r="B8015">
        <v>126.26</v>
      </c>
      <c r="C8015">
        <f t="shared" si="270"/>
        <v>9.1112531969309504E-3</v>
      </c>
      <c r="D8015">
        <f t="shared" si="269"/>
        <v>0.92924174359499989</v>
      </c>
    </row>
    <row r="8016" spans="1:4">
      <c r="A8016" s="1">
        <v>29927</v>
      </c>
      <c r="B8016">
        <v>125.19</v>
      </c>
      <c r="C8016">
        <f t="shared" si="270"/>
        <v>-8.4745762711864996E-3</v>
      </c>
      <c r="D8016">
        <f t="shared" si="269"/>
        <v>-0.92781587052432446</v>
      </c>
    </row>
    <row r="8017" spans="1:4">
      <c r="A8017" s="1">
        <v>29928</v>
      </c>
      <c r="B8017">
        <v>124.82</v>
      </c>
      <c r="C8017">
        <f t="shared" si="270"/>
        <v>-2.9555076284048611E-3</v>
      </c>
      <c r="D8017">
        <f t="shared" si="269"/>
        <v>-0.34500409786916636</v>
      </c>
    </row>
    <row r="8018" spans="1:4">
      <c r="A8018" s="1">
        <v>29929</v>
      </c>
      <c r="B8018">
        <v>125.48</v>
      </c>
      <c r="C8018">
        <f t="shared" si="270"/>
        <v>5.2876141643968177E-3</v>
      </c>
      <c r="D8018">
        <f t="shared" si="269"/>
        <v>0.52546676147745264</v>
      </c>
    </row>
    <row r="8019" spans="1:4">
      <c r="A8019" s="1">
        <v>29930</v>
      </c>
      <c r="B8019">
        <v>125.71</v>
      </c>
      <c r="C8019">
        <f t="shared" si="270"/>
        <v>1.8329614281159528E-3</v>
      </c>
      <c r="D8019">
        <f t="shared" si="269"/>
        <v>0.16065660681971439</v>
      </c>
    </row>
    <row r="8020" spans="1:4">
      <c r="A8020" s="1">
        <v>29931</v>
      </c>
      <c r="B8020">
        <v>124.93</v>
      </c>
      <c r="C8020">
        <f t="shared" si="270"/>
        <v>-6.2047569803514993E-3</v>
      </c>
      <c r="D8020">
        <f t="shared" si="269"/>
        <v>-0.6881237249612131</v>
      </c>
    </row>
    <row r="8021" spans="1:4">
      <c r="A8021" s="1">
        <v>29934</v>
      </c>
      <c r="B8021">
        <v>122.78</v>
      </c>
      <c r="C8021">
        <f t="shared" si="270"/>
        <v>-1.7209637396942333E-2</v>
      </c>
      <c r="D8021">
        <f t="shared" si="269"/>
        <v>-1.8502353562125984</v>
      </c>
    </row>
    <row r="8022" spans="1:4">
      <c r="A8022" s="1">
        <v>29935</v>
      </c>
      <c r="B8022">
        <v>122.99</v>
      </c>
      <c r="C8022">
        <f t="shared" si="270"/>
        <v>1.7103762827821612E-3</v>
      </c>
      <c r="D8022">
        <f t="shared" si="269"/>
        <v>0.14771165714118145</v>
      </c>
    </row>
    <row r="8023" spans="1:4">
      <c r="A8023" s="1">
        <v>29936</v>
      </c>
      <c r="B8023">
        <v>122.42</v>
      </c>
      <c r="C8023">
        <f t="shared" si="270"/>
        <v>-4.6345231319618926E-3</v>
      </c>
      <c r="D8023">
        <f t="shared" si="269"/>
        <v>-0.52230756431968917</v>
      </c>
    </row>
    <row r="8024" spans="1:4">
      <c r="A8024" s="1">
        <v>29937</v>
      </c>
      <c r="B8024">
        <v>123.12</v>
      </c>
      <c r="C8024">
        <f t="shared" si="270"/>
        <v>5.7180199313837839E-3</v>
      </c>
      <c r="D8024">
        <f t="shared" si="269"/>
        <v>0.5709174641692476</v>
      </c>
    </row>
    <row r="8025" spans="1:4">
      <c r="A8025" s="1">
        <v>29938</v>
      </c>
      <c r="B8025">
        <v>124</v>
      </c>
      <c r="C8025">
        <f t="shared" si="270"/>
        <v>7.1474983755685142E-3</v>
      </c>
      <c r="D8025">
        <f t="shared" si="269"/>
        <v>0.7218699019718231</v>
      </c>
    </row>
    <row r="8026" spans="1:4">
      <c r="A8026" s="1">
        <v>29941</v>
      </c>
      <c r="B8026">
        <v>123.34</v>
      </c>
      <c r="C8026">
        <f t="shared" si="270"/>
        <v>-5.3225806451612625E-3</v>
      </c>
      <c r="D8026">
        <f t="shared" si="269"/>
        <v>-0.59496620383143017</v>
      </c>
    </row>
    <row r="8027" spans="1:4">
      <c r="A8027" s="1">
        <v>29942</v>
      </c>
      <c r="B8027">
        <v>122.88</v>
      </c>
      <c r="C8027">
        <f t="shared" si="270"/>
        <v>-3.7295281336144634E-3</v>
      </c>
      <c r="D8027">
        <f t="shared" si="269"/>
        <v>-0.42674040011694719</v>
      </c>
    </row>
    <row r="8028" spans="1:4">
      <c r="A8028" s="1">
        <v>29943</v>
      </c>
      <c r="B8028">
        <v>122.31</v>
      </c>
      <c r="C8028">
        <f t="shared" si="270"/>
        <v>-4.6386718749999445E-3</v>
      </c>
      <c r="D8028">
        <f t="shared" si="269"/>
        <v>-0.5227456701742812</v>
      </c>
    </row>
    <row r="8029" spans="1:4">
      <c r="A8029" s="1">
        <v>29944</v>
      </c>
      <c r="B8029">
        <v>122.54</v>
      </c>
      <c r="C8029">
        <f t="shared" si="270"/>
        <v>1.8804676641321558E-3</v>
      </c>
      <c r="D8029">
        <f t="shared" si="269"/>
        <v>0.1656732491948712</v>
      </c>
    </row>
    <row r="8030" spans="1:4">
      <c r="A8030" s="1">
        <v>29948</v>
      </c>
      <c r="B8030">
        <v>122.27</v>
      </c>
      <c r="C8030">
        <f t="shared" si="270"/>
        <v>-2.2033621674556079E-3</v>
      </c>
      <c r="D8030">
        <f t="shared" si="269"/>
        <v>-0.2655777928595896</v>
      </c>
    </row>
    <row r="8031" spans="1:4">
      <c r="A8031" s="1">
        <v>29949</v>
      </c>
      <c r="B8031">
        <v>121.67</v>
      </c>
      <c r="C8031">
        <f t="shared" si="270"/>
        <v>-4.9071726506910475E-3</v>
      </c>
      <c r="D8031">
        <f t="shared" si="269"/>
        <v>-0.55109926081941352</v>
      </c>
    </row>
    <row r="8032" spans="1:4">
      <c r="A8032" s="1">
        <v>29950</v>
      </c>
      <c r="B8032">
        <v>122.3</v>
      </c>
      <c r="C8032">
        <f t="shared" si="270"/>
        <v>5.1779403304018697E-3</v>
      </c>
      <c r="D8032">
        <f t="shared" si="269"/>
        <v>0.51388524188753359</v>
      </c>
    </row>
    <row r="8033" spans="1:4">
      <c r="A8033" s="1">
        <v>29951</v>
      </c>
      <c r="B8033">
        <v>122.55</v>
      </c>
      <c r="C8033">
        <f t="shared" si="270"/>
        <v>2.0441537203597709E-3</v>
      </c>
      <c r="D8033">
        <f t="shared" si="269"/>
        <v>0.18295844109291345</v>
      </c>
    </row>
    <row r="8034" spans="1:4">
      <c r="A8034" s="1">
        <v>29955</v>
      </c>
      <c r="B8034">
        <v>122.74</v>
      </c>
      <c r="C8034">
        <f t="shared" si="270"/>
        <v>1.5503875968992064E-3</v>
      </c>
      <c r="D8034">
        <f t="shared" si="269"/>
        <v>0.13081690629473808</v>
      </c>
    </row>
    <row r="8035" spans="1:4">
      <c r="A8035" s="1">
        <v>29956</v>
      </c>
      <c r="B8035">
        <v>120.05</v>
      </c>
      <c r="C8035">
        <f t="shared" si="270"/>
        <v>-2.1916245722665779E-2</v>
      </c>
      <c r="D8035">
        <f t="shared" si="269"/>
        <v>-2.3472515955550914</v>
      </c>
    </row>
    <row r="8036" spans="1:4">
      <c r="A8036" s="1">
        <v>29957</v>
      </c>
      <c r="B8036">
        <v>119.18</v>
      </c>
      <c r="C8036">
        <f t="shared" si="270"/>
        <v>-7.2469804248229104E-3</v>
      </c>
      <c r="D8036">
        <f t="shared" si="269"/>
        <v>-0.79818216642843232</v>
      </c>
    </row>
    <row r="8037" spans="1:4">
      <c r="A8037" s="1">
        <v>29958</v>
      </c>
      <c r="B8037">
        <v>118.93</v>
      </c>
      <c r="C8037">
        <f t="shared" si="270"/>
        <v>-2.0976673938580296E-3</v>
      </c>
      <c r="D8037">
        <f t="shared" si="269"/>
        <v>-0.2544164606950845</v>
      </c>
    </row>
    <row r="8038" spans="1:4">
      <c r="A8038" s="1">
        <v>29959</v>
      </c>
      <c r="B8038">
        <v>119.55</v>
      </c>
      <c r="C8038">
        <f t="shared" si="270"/>
        <v>5.2131505927855903E-3</v>
      </c>
      <c r="D8038">
        <f t="shared" si="269"/>
        <v>0.5176034336267048</v>
      </c>
    </row>
    <row r="8039" spans="1:4">
      <c r="A8039" s="1">
        <v>29962</v>
      </c>
      <c r="B8039">
        <v>116.78</v>
      </c>
      <c r="C8039">
        <f t="shared" si="270"/>
        <v>-2.3170221664575458E-2</v>
      </c>
      <c r="D8039">
        <f t="shared" si="269"/>
        <v>-2.4796710287736206</v>
      </c>
    </row>
    <row r="8040" spans="1:4">
      <c r="A8040" s="1">
        <v>29963</v>
      </c>
      <c r="B8040">
        <v>116.3</v>
      </c>
      <c r="C8040">
        <f t="shared" si="270"/>
        <v>-4.110292858366193E-3</v>
      </c>
      <c r="D8040">
        <f t="shared" si="269"/>
        <v>-0.46694902562251134</v>
      </c>
    </row>
    <row r="8041" spans="1:4">
      <c r="A8041" s="1">
        <v>29964</v>
      </c>
      <c r="B8041">
        <v>114.88</v>
      </c>
      <c r="C8041">
        <f t="shared" si="270"/>
        <v>-1.2209802235597608E-2</v>
      </c>
      <c r="D8041">
        <f t="shared" si="269"/>
        <v>-1.3222544627011423</v>
      </c>
    </row>
    <row r="8042" spans="1:4">
      <c r="A8042" s="1">
        <v>29965</v>
      </c>
      <c r="B8042">
        <v>115.54</v>
      </c>
      <c r="C8042">
        <f t="shared" si="270"/>
        <v>5.7451253481895096E-3</v>
      </c>
      <c r="D8042">
        <f t="shared" si="269"/>
        <v>0.57377978697035337</v>
      </c>
    </row>
    <row r="8043" spans="1:4">
      <c r="A8043" s="1">
        <v>29966</v>
      </c>
      <c r="B8043">
        <v>116.33</v>
      </c>
      <c r="C8043">
        <f t="shared" si="270"/>
        <v>6.8374588886964864E-3</v>
      </c>
      <c r="D8043">
        <f t="shared" si="269"/>
        <v>0.68912983754567914</v>
      </c>
    </row>
    <row r="8044" spans="1:4">
      <c r="A8044" s="1">
        <v>29969</v>
      </c>
      <c r="B8044">
        <v>117.22</v>
      </c>
      <c r="C8044">
        <f t="shared" si="270"/>
        <v>7.650649015731115E-3</v>
      </c>
      <c r="D8044">
        <f t="shared" si="269"/>
        <v>0.77500243854378126</v>
      </c>
    </row>
    <row r="8045" spans="1:4">
      <c r="A8045" s="1">
        <v>29970</v>
      </c>
      <c r="B8045">
        <v>115.97</v>
      </c>
      <c r="C8045">
        <f t="shared" si="270"/>
        <v>-1.0663709264630609E-2</v>
      </c>
      <c r="D8045">
        <f t="shared" si="269"/>
        <v>-1.1589875705095629</v>
      </c>
    </row>
    <row r="8046" spans="1:4">
      <c r="A8046" s="1">
        <v>29971</v>
      </c>
      <c r="B8046">
        <v>115.27</v>
      </c>
      <c r="C8046">
        <f t="shared" si="270"/>
        <v>-6.0360438044322054E-3</v>
      </c>
      <c r="D8046">
        <f t="shared" si="269"/>
        <v>-0.67030767093253052</v>
      </c>
    </row>
    <row r="8047" spans="1:4">
      <c r="A8047" s="1">
        <v>29972</v>
      </c>
      <c r="B8047">
        <v>115.75</v>
      </c>
      <c r="C8047">
        <f t="shared" si="270"/>
        <v>4.1641363754663313E-3</v>
      </c>
      <c r="D8047">
        <f t="shared" si="269"/>
        <v>0.40682788885504878</v>
      </c>
    </row>
    <row r="8048" spans="1:4">
      <c r="A8048" s="1">
        <v>29973</v>
      </c>
      <c r="B8048">
        <v>115.38</v>
      </c>
      <c r="C8048">
        <f t="shared" si="270"/>
        <v>-3.1965442764579225E-3</v>
      </c>
      <c r="D8048">
        <f t="shared" si="269"/>
        <v>-0.37045748597123207</v>
      </c>
    </row>
    <row r="8049" spans="1:4">
      <c r="A8049" s="1">
        <v>29976</v>
      </c>
      <c r="B8049">
        <v>115.41</v>
      </c>
      <c r="C8049">
        <f t="shared" si="270"/>
        <v>2.6001040041602648E-4</v>
      </c>
      <c r="D8049">
        <f t="shared" si="269"/>
        <v>-5.4464870333651551E-3</v>
      </c>
    </row>
    <row r="8050" spans="1:4">
      <c r="A8050" s="1">
        <v>29977</v>
      </c>
      <c r="B8050">
        <v>115.19</v>
      </c>
      <c r="C8050">
        <f t="shared" si="270"/>
        <v>-1.9062472922623591E-3</v>
      </c>
      <c r="D8050">
        <f t="shared" si="269"/>
        <v>-0.23420256303343567</v>
      </c>
    </row>
    <row r="8051" spans="1:4">
      <c r="A8051" s="1">
        <v>29978</v>
      </c>
      <c r="B8051">
        <v>115.74</v>
      </c>
      <c r="C8051">
        <f t="shared" si="270"/>
        <v>4.774720027780165E-3</v>
      </c>
      <c r="D8051">
        <f t="shared" si="269"/>
        <v>0.47130531499192191</v>
      </c>
    </row>
    <row r="8052" spans="1:4">
      <c r="A8052" s="1">
        <v>29979</v>
      </c>
      <c r="B8052">
        <v>118.92</v>
      </c>
      <c r="C8052">
        <f t="shared" si="270"/>
        <v>2.7475375842405451E-2</v>
      </c>
      <c r="D8052">
        <f t="shared" si="269"/>
        <v>2.8684868526885237</v>
      </c>
    </row>
    <row r="8053" spans="1:4">
      <c r="A8053" s="1">
        <v>29980</v>
      </c>
      <c r="B8053">
        <v>120.4</v>
      </c>
      <c r="C8053">
        <f t="shared" si="270"/>
        <v>1.2445341405987251E-2</v>
      </c>
      <c r="D8053">
        <f t="shared" si="269"/>
        <v>1.2813203251596983</v>
      </c>
    </row>
    <row r="8054" spans="1:4">
      <c r="A8054" s="1">
        <v>29983</v>
      </c>
      <c r="B8054">
        <v>117.78</v>
      </c>
      <c r="C8054">
        <f t="shared" si="270"/>
        <v>-2.1760797342192727E-2</v>
      </c>
      <c r="D8054">
        <f t="shared" si="269"/>
        <v>-2.330836299416609</v>
      </c>
    </row>
    <row r="8055" spans="1:4">
      <c r="A8055" s="1">
        <v>29984</v>
      </c>
      <c r="B8055">
        <v>118.01</v>
      </c>
      <c r="C8055">
        <f t="shared" si="270"/>
        <v>1.9527933435218542E-3</v>
      </c>
      <c r="D8055">
        <f t="shared" si="269"/>
        <v>0.17331081635373041</v>
      </c>
    </row>
    <row r="8056" spans="1:4">
      <c r="A8056" s="1">
        <v>29985</v>
      </c>
      <c r="B8056">
        <v>116.48</v>
      </c>
      <c r="C8056">
        <f t="shared" si="270"/>
        <v>-1.2965002965850361E-2</v>
      </c>
      <c r="D8056">
        <f t="shared" si="269"/>
        <v>-1.4020034031106321</v>
      </c>
    </row>
    <row r="8057" spans="1:4">
      <c r="A8057" s="1">
        <v>29986</v>
      </c>
      <c r="B8057">
        <v>116.42</v>
      </c>
      <c r="C8057">
        <f t="shared" si="270"/>
        <v>-5.1510989010990964E-4</v>
      </c>
      <c r="D8057">
        <f t="shared" si="269"/>
        <v>-8.7298926236715618E-2</v>
      </c>
    </row>
    <row r="8058" spans="1:4">
      <c r="A8058" s="1">
        <v>29987</v>
      </c>
      <c r="B8058">
        <v>117.26</v>
      </c>
      <c r="C8058">
        <f t="shared" si="270"/>
        <v>7.2152551108057329E-3</v>
      </c>
      <c r="D8058">
        <f t="shared" si="269"/>
        <v>0.72902499018124001</v>
      </c>
    </row>
    <row r="8059" spans="1:4">
      <c r="A8059" s="1">
        <v>29990</v>
      </c>
      <c r="B8059">
        <v>114.63</v>
      </c>
      <c r="C8059">
        <f t="shared" si="270"/>
        <v>-2.2428790721473729E-2</v>
      </c>
      <c r="D8059">
        <f t="shared" si="269"/>
        <v>-2.4013761732067009</v>
      </c>
    </row>
    <row r="8060" spans="1:4">
      <c r="A8060" s="1">
        <v>29991</v>
      </c>
      <c r="B8060">
        <v>113.68</v>
      </c>
      <c r="C8060">
        <f t="shared" si="270"/>
        <v>-8.2875338044141027E-3</v>
      </c>
      <c r="D8060">
        <f t="shared" si="269"/>
        <v>-0.90806424961198295</v>
      </c>
    </row>
    <row r="8061" spans="1:4">
      <c r="A8061" s="1">
        <v>29992</v>
      </c>
      <c r="B8061">
        <v>114.66</v>
      </c>
      <c r="C8061">
        <f t="shared" si="270"/>
        <v>8.6206896551723235E-3</v>
      </c>
      <c r="D8061">
        <f t="shared" si="269"/>
        <v>0.87743840033593878</v>
      </c>
    </row>
    <row r="8062" spans="1:4">
      <c r="A8062" s="1">
        <v>29993</v>
      </c>
      <c r="B8062">
        <v>114.43</v>
      </c>
      <c r="C8062">
        <f t="shared" si="270"/>
        <v>-2.0059305773590598E-3</v>
      </c>
      <c r="D8062">
        <f t="shared" si="269"/>
        <v>-0.24472908405565233</v>
      </c>
    </row>
    <row r="8063" spans="1:4">
      <c r="A8063" s="1">
        <v>29994</v>
      </c>
      <c r="B8063">
        <v>114.38</v>
      </c>
      <c r="C8063">
        <f t="shared" si="270"/>
        <v>-4.3694835270480963E-4</v>
      </c>
      <c r="D8063">
        <f t="shared" si="269"/>
        <v>-7.904509445513451E-2</v>
      </c>
    </row>
    <row r="8064" spans="1:4">
      <c r="A8064" s="1">
        <v>29998</v>
      </c>
      <c r="B8064">
        <v>114.06</v>
      </c>
      <c r="C8064">
        <f t="shared" si="270"/>
        <v>-2.7976919041789927E-3</v>
      </c>
      <c r="D8064">
        <f t="shared" si="269"/>
        <v>-0.32833881103508578</v>
      </c>
    </row>
    <row r="8065" spans="1:4">
      <c r="A8065" s="1">
        <v>29999</v>
      </c>
      <c r="B8065">
        <v>113.69</v>
      </c>
      <c r="C8065">
        <f t="shared" si="270"/>
        <v>-3.2439067157636731E-3</v>
      </c>
      <c r="D8065">
        <f t="shared" si="269"/>
        <v>-0.37545894346264402</v>
      </c>
    </row>
    <row r="8066" spans="1:4">
      <c r="A8066" s="1">
        <v>30000</v>
      </c>
      <c r="B8066">
        <v>113.82</v>
      </c>
      <c r="C8066">
        <f t="shared" si="270"/>
        <v>1.1434602867446166E-3</v>
      </c>
      <c r="D8066">
        <f t="shared" si="269"/>
        <v>8.7845520663726806E-2</v>
      </c>
    </row>
    <row r="8067" spans="1:4">
      <c r="A8067" s="1">
        <v>30001</v>
      </c>
      <c r="B8067">
        <v>113.22</v>
      </c>
      <c r="C8067">
        <f t="shared" si="270"/>
        <v>-5.2714812862413845E-3</v>
      </c>
      <c r="D8067">
        <f t="shared" ref="D8067:D8130" si="271">(C8067-avg)/sd</f>
        <v>-0.58957012889900706</v>
      </c>
    </row>
    <row r="8068" spans="1:4">
      <c r="A8068" s="1">
        <v>30004</v>
      </c>
      <c r="B8068">
        <v>111.59</v>
      </c>
      <c r="C8068">
        <f t="shared" ref="C8068:C8131" si="272">(B8068-B8067)/B8067</f>
        <v>-1.4396749690867298E-2</v>
      </c>
      <c r="D8068">
        <f t="shared" si="271"/>
        <v>-1.5531953705980626</v>
      </c>
    </row>
    <row r="8069" spans="1:4">
      <c r="A8069" s="1">
        <v>30005</v>
      </c>
      <c r="B8069">
        <v>111.51</v>
      </c>
      <c r="C8069">
        <f t="shared" si="272"/>
        <v>-7.1691011739401646E-4</v>
      </c>
      <c r="D8069">
        <f t="shared" si="271"/>
        <v>-0.10860896164268716</v>
      </c>
    </row>
    <row r="8070" spans="1:4">
      <c r="A8070" s="1">
        <v>30006</v>
      </c>
      <c r="B8070">
        <v>113.47</v>
      </c>
      <c r="C8070">
        <f t="shared" si="272"/>
        <v>1.757689893283108E-2</v>
      </c>
      <c r="D8070">
        <f t="shared" si="271"/>
        <v>1.8232110556932517</v>
      </c>
    </row>
    <row r="8071" spans="1:4">
      <c r="A8071" s="1">
        <v>30007</v>
      </c>
      <c r="B8071">
        <v>113.21</v>
      </c>
      <c r="C8071">
        <f t="shared" si="272"/>
        <v>-2.2913545430510718E-3</v>
      </c>
      <c r="D8071">
        <f t="shared" si="271"/>
        <v>-0.27486975781240885</v>
      </c>
    </row>
    <row r="8072" spans="1:4">
      <c r="A8072" s="1">
        <v>30008</v>
      </c>
      <c r="B8072">
        <v>113.11</v>
      </c>
      <c r="C8072">
        <f t="shared" si="272"/>
        <v>-8.8331419485906124E-4</v>
      </c>
      <c r="D8072">
        <f t="shared" si="271"/>
        <v>-0.12618117565950168</v>
      </c>
    </row>
    <row r="8073" spans="1:4">
      <c r="A8073" s="1">
        <v>30011</v>
      </c>
      <c r="B8073">
        <v>113.31</v>
      </c>
      <c r="C8073">
        <f t="shared" si="272"/>
        <v>1.7681902572717076E-3</v>
      </c>
      <c r="D8073">
        <f t="shared" si="271"/>
        <v>0.1538167931953528</v>
      </c>
    </row>
    <row r="8074" spans="1:4">
      <c r="A8074" s="1">
        <v>30012</v>
      </c>
      <c r="B8074">
        <v>112.68</v>
      </c>
      <c r="C8074">
        <f t="shared" si="272"/>
        <v>-5.5599682287529387E-3</v>
      </c>
      <c r="D8074">
        <f t="shared" si="271"/>
        <v>-0.62003425196675088</v>
      </c>
    </row>
    <row r="8075" spans="1:4">
      <c r="A8075" s="1">
        <v>30013</v>
      </c>
      <c r="B8075">
        <v>110.92</v>
      </c>
      <c r="C8075">
        <f t="shared" si="272"/>
        <v>-1.5619453319133874E-2</v>
      </c>
      <c r="D8075">
        <f t="shared" si="271"/>
        <v>-1.6823124581258562</v>
      </c>
    </row>
    <row r="8076" spans="1:4">
      <c r="A8076" s="1">
        <v>30014</v>
      </c>
      <c r="B8076">
        <v>109.88</v>
      </c>
      <c r="C8076">
        <f t="shared" si="272"/>
        <v>-9.3761269383339906E-3</v>
      </c>
      <c r="D8076">
        <f t="shared" si="271"/>
        <v>-1.0230193145231379</v>
      </c>
    </row>
    <row r="8077" spans="1:4">
      <c r="A8077" s="1">
        <v>30015</v>
      </c>
      <c r="B8077">
        <v>109.34</v>
      </c>
      <c r="C8077">
        <f t="shared" si="272"/>
        <v>-4.9144521295958503E-3</v>
      </c>
      <c r="D8077">
        <f t="shared" si="271"/>
        <v>-0.55186797131734555</v>
      </c>
    </row>
    <row r="8078" spans="1:4">
      <c r="A8078" s="1">
        <v>30018</v>
      </c>
      <c r="B8078">
        <v>107.34</v>
      </c>
      <c r="C8078">
        <f t="shared" si="272"/>
        <v>-1.8291567587342236E-2</v>
      </c>
      <c r="D8078">
        <f t="shared" si="271"/>
        <v>-1.9644868165528875</v>
      </c>
    </row>
    <row r="8079" spans="1:4">
      <c r="A8079" s="1">
        <v>30019</v>
      </c>
      <c r="B8079">
        <v>108.83</v>
      </c>
      <c r="C8079">
        <f t="shared" si="272"/>
        <v>1.3881125395938092E-2</v>
      </c>
      <c r="D8079">
        <f t="shared" si="271"/>
        <v>1.432938626451816</v>
      </c>
    </row>
    <row r="8080" spans="1:4">
      <c r="A8080" s="1">
        <v>30020</v>
      </c>
      <c r="B8080">
        <v>109.41</v>
      </c>
      <c r="C8080">
        <f t="shared" si="272"/>
        <v>5.3294128457226711E-3</v>
      </c>
      <c r="D8080">
        <f t="shared" si="271"/>
        <v>0.52988068801740063</v>
      </c>
    </row>
    <row r="8081" spans="1:4">
      <c r="A8081" s="1">
        <v>30021</v>
      </c>
      <c r="B8081">
        <v>109.36</v>
      </c>
      <c r="C8081">
        <f t="shared" si="272"/>
        <v>-4.5699661822499917E-4</v>
      </c>
      <c r="D8081">
        <f t="shared" si="271"/>
        <v>-8.1162184479329963E-2</v>
      </c>
    </row>
    <row r="8082" spans="1:4">
      <c r="A8082" s="1">
        <v>30022</v>
      </c>
      <c r="B8082">
        <v>108.61</v>
      </c>
      <c r="C8082">
        <f t="shared" si="272"/>
        <v>-6.8580833942940749E-3</v>
      </c>
      <c r="D8082">
        <f t="shared" si="271"/>
        <v>-0.75711477219711087</v>
      </c>
    </row>
    <row r="8083" spans="1:4">
      <c r="A8083" s="1">
        <v>30025</v>
      </c>
      <c r="B8083">
        <v>109.45</v>
      </c>
      <c r="C8083">
        <f t="shared" si="272"/>
        <v>7.7340944664395861E-3</v>
      </c>
      <c r="D8083">
        <f t="shared" si="271"/>
        <v>0.78381424977410896</v>
      </c>
    </row>
    <row r="8084" spans="1:4">
      <c r="A8084" s="1">
        <v>30026</v>
      </c>
      <c r="B8084">
        <v>109.28</v>
      </c>
      <c r="C8084">
        <f t="shared" si="272"/>
        <v>-1.5532206486980511E-3</v>
      </c>
      <c r="D8084">
        <f t="shared" si="271"/>
        <v>-0.19692306947263138</v>
      </c>
    </row>
    <row r="8085" spans="1:4">
      <c r="A8085" s="1">
        <v>30027</v>
      </c>
      <c r="B8085">
        <v>109.08</v>
      </c>
      <c r="C8085">
        <f t="shared" si="272"/>
        <v>-1.8301610541727933E-3</v>
      </c>
      <c r="D8085">
        <f t="shared" si="271"/>
        <v>-0.22616788215414646</v>
      </c>
    </row>
    <row r="8086" spans="1:4">
      <c r="A8086" s="1">
        <v>30028</v>
      </c>
      <c r="B8086">
        <v>110.3</v>
      </c>
      <c r="C8086">
        <f t="shared" si="272"/>
        <v>1.1184451778511174E-2</v>
      </c>
      <c r="D8086">
        <f t="shared" si="271"/>
        <v>1.1481708090954332</v>
      </c>
    </row>
    <row r="8087" spans="1:4">
      <c r="A8087" s="1">
        <v>30029</v>
      </c>
      <c r="B8087">
        <v>110.61</v>
      </c>
      <c r="C8087">
        <f t="shared" si="272"/>
        <v>2.8105167724388242E-3</v>
      </c>
      <c r="D8087">
        <f t="shared" si="271"/>
        <v>0.26388611889300306</v>
      </c>
    </row>
    <row r="8088" spans="1:4">
      <c r="A8088" s="1">
        <v>30032</v>
      </c>
      <c r="B8088">
        <v>112.77</v>
      </c>
      <c r="C8088">
        <f t="shared" si="272"/>
        <v>1.952807160292918E-2</v>
      </c>
      <c r="D8088">
        <f t="shared" si="271"/>
        <v>2.0292542264197957</v>
      </c>
    </row>
    <row r="8089" spans="1:4">
      <c r="A8089" s="1">
        <v>30033</v>
      </c>
      <c r="B8089">
        <v>113.55</v>
      </c>
      <c r="C8089">
        <f t="shared" si="272"/>
        <v>6.9167331737164245E-3</v>
      </c>
      <c r="D8089">
        <f t="shared" si="271"/>
        <v>0.69750117509714582</v>
      </c>
    </row>
    <row r="8090" spans="1:4">
      <c r="A8090" s="1">
        <v>30034</v>
      </c>
      <c r="B8090">
        <v>112.97</v>
      </c>
      <c r="C8090">
        <f t="shared" si="272"/>
        <v>-5.1078819903126226E-3</v>
      </c>
      <c r="D8090">
        <f t="shared" si="271"/>
        <v>-0.57229409885903249</v>
      </c>
    </row>
    <row r="8091" spans="1:4">
      <c r="A8091" s="1">
        <v>30035</v>
      </c>
      <c r="B8091">
        <v>113.21</v>
      </c>
      <c r="C8091">
        <f t="shared" si="272"/>
        <v>2.1244578206603072E-3</v>
      </c>
      <c r="D8091">
        <f t="shared" si="271"/>
        <v>0.19143852678796011</v>
      </c>
    </row>
    <row r="8092" spans="1:4">
      <c r="A8092" s="1">
        <v>30036</v>
      </c>
      <c r="B8092">
        <v>111.94</v>
      </c>
      <c r="C8092">
        <f t="shared" si="272"/>
        <v>-1.121809027471068E-2</v>
      </c>
      <c r="D8092">
        <f t="shared" si="271"/>
        <v>-1.217530016730757</v>
      </c>
    </row>
    <row r="8093" spans="1:4">
      <c r="A8093" s="1">
        <v>30039</v>
      </c>
      <c r="B8093">
        <v>112.3</v>
      </c>
      <c r="C8093">
        <f t="shared" si="272"/>
        <v>3.2160085760228642E-3</v>
      </c>
      <c r="D8093">
        <f t="shared" si="271"/>
        <v>0.30670591551811666</v>
      </c>
    </row>
    <row r="8094" spans="1:4">
      <c r="A8094" s="1">
        <v>30040</v>
      </c>
      <c r="B8094">
        <v>112.27</v>
      </c>
      <c r="C8094">
        <f t="shared" si="272"/>
        <v>-2.6714158504008136E-4</v>
      </c>
      <c r="D8094">
        <f t="shared" si="271"/>
        <v>-6.1113557509864004E-2</v>
      </c>
    </row>
    <row r="8095" spans="1:4">
      <c r="A8095" s="1">
        <v>30041</v>
      </c>
      <c r="B8095">
        <v>111.96</v>
      </c>
      <c r="C8095">
        <f t="shared" si="272"/>
        <v>-2.761200676939541E-3</v>
      </c>
      <c r="D8095">
        <f t="shared" si="271"/>
        <v>-0.32448534984257049</v>
      </c>
    </row>
    <row r="8096" spans="1:4">
      <c r="A8096" s="1">
        <v>30042</v>
      </c>
      <c r="B8096">
        <v>113.79</v>
      </c>
      <c r="C8096">
        <f t="shared" si="272"/>
        <v>1.634512325830665E-2</v>
      </c>
      <c r="D8096">
        <f t="shared" si="271"/>
        <v>1.6931359631643674</v>
      </c>
    </row>
    <row r="8097" spans="1:4">
      <c r="A8097" s="1">
        <v>30043</v>
      </c>
      <c r="B8097">
        <v>115.12</v>
      </c>
      <c r="C8097">
        <f t="shared" si="272"/>
        <v>1.1688197556903051E-2</v>
      </c>
      <c r="D8097">
        <f t="shared" si="271"/>
        <v>1.2013661920621057</v>
      </c>
    </row>
    <row r="8098" spans="1:4">
      <c r="A8098" s="1">
        <v>30046</v>
      </c>
      <c r="B8098">
        <v>114.73</v>
      </c>
      <c r="C8098">
        <f t="shared" si="272"/>
        <v>-3.3877692842251613E-3</v>
      </c>
      <c r="D8098">
        <f t="shared" si="271"/>
        <v>-0.39065078179091417</v>
      </c>
    </row>
    <row r="8099" spans="1:4">
      <c r="A8099" s="1">
        <v>30047</v>
      </c>
      <c r="B8099">
        <v>115.36</v>
      </c>
      <c r="C8099">
        <f t="shared" si="272"/>
        <v>5.4911531421598138E-3</v>
      </c>
      <c r="D8099">
        <f t="shared" si="271"/>
        <v>0.54696040834296489</v>
      </c>
    </row>
    <row r="8100" spans="1:4">
      <c r="A8100" s="1">
        <v>30048</v>
      </c>
      <c r="B8100">
        <v>115.46</v>
      </c>
      <c r="C8100">
        <f t="shared" si="272"/>
        <v>8.6685159500688553E-4</v>
      </c>
      <c r="D8100">
        <f t="shared" si="271"/>
        <v>5.8635736840085113E-2</v>
      </c>
    </row>
    <row r="8101" spans="1:4">
      <c r="A8101" s="1">
        <v>30049</v>
      </c>
      <c r="B8101">
        <v>116.22</v>
      </c>
      <c r="C8101">
        <f t="shared" si="272"/>
        <v>6.5823661874242611E-3</v>
      </c>
      <c r="D8101">
        <f t="shared" si="271"/>
        <v>0.66219213500155427</v>
      </c>
    </row>
    <row r="8102" spans="1:4">
      <c r="A8102" s="1">
        <v>30053</v>
      </c>
      <c r="B8102">
        <v>116</v>
      </c>
      <c r="C8102">
        <f t="shared" si="272"/>
        <v>-1.8929616245052388E-3</v>
      </c>
      <c r="D8102">
        <f t="shared" si="271"/>
        <v>-0.2327996010343017</v>
      </c>
    </row>
    <row r="8103" spans="1:4">
      <c r="A8103" s="1">
        <v>30054</v>
      </c>
      <c r="B8103">
        <v>115.99</v>
      </c>
      <c r="C8103">
        <f t="shared" si="272"/>
        <v>-8.6206896551768245E-5</v>
      </c>
      <c r="D8103">
        <f t="shared" si="271"/>
        <v>-4.2006915908187017E-2</v>
      </c>
    </row>
    <row r="8104" spans="1:4">
      <c r="A8104" s="1">
        <v>30055</v>
      </c>
      <c r="B8104">
        <v>115.83</v>
      </c>
      <c r="C8104">
        <f t="shared" si="272"/>
        <v>-1.3794292611431726E-3</v>
      </c>
      <c r="D8104">
        <f t="shared" si="271"/>
        <v>-0.17857075802139913</v>
      </c>
    </row>
    <row r="8105" spans="1:4">
      <c r="A8105" s="1">
        <v>30056</v>
      </c>
      <c r="B8105">
        <v>116.35</v>
      </c>
      <c r="C8105">
        <f t="shared" si="272"/>
        <v>4.4893378226711217E-3</v>
      </c>
      <c r="D8105">
        <f t="shared" si="271"/>
        <v>0.44116905113853178</v>
      </c>
    </row>
    <row r="8106" spans="1:4">
      <c r="A8106" s="1">
        <v>30057</v>
      </c>
      <c r="B8106">
        <v>116.81</v>
      </c>
      <c r="C8106">
        <f t="shared" si="272"/>
        <v>3.9535883111302796E-3</v>
      </c>
      <c r="D8106">
        <f t="shared" si="271"/>
        <v>0.38459408482992613</v>
      </c>
    </row>
    <row r="8107" spans="1:4">
      <c r="A8107" s="1">
        <v>30060</v>
      </c>
      <c r="B8107">
        <v>116.7</v>
      </c>
      <c r="C8107">
        <f t="shared" si="272"/>
        <v>-9.4170019690094538E-4</v>
      </c>
      <c r="D8107">
        <f t="shared" si="271"/>
        <v>-0.13234671762875827</v>
      </c>
    </row>
    <row r="8108" spans="1:4">
      <c r="A8108" s="1">
        <v>30061</v>
      </c>
      <c r="B8108">
        <v>115.44</v>
      </c>
      <c r="C8108">
        <f t="shared" si="272"/>
        <v>-1.079691516709516E-2</v>
      </c>
      <c r="D8108">
        <f t="shared" si="271"/>
        <v>-1.1730540685309332</v>
      </c>
    </row>
    <row r="8109" spans="1:4">
      <c r="A8109" s="1">
        <v>30062</v>
      </c>
      <c r="B8109">
        <v>115.72</v>
      </c>
      <c r="C8109">
        <f t="shared" si="272"/>
        <v>2.4255024255024353E-3</v>
      </c>
      <c r="D8109">
        <f t="shared" si="271"/>
        <v>0.2232287347292557</v>
      </c>
    </row>
    <row r="8110" spans="1:4">
      <c r="A8110" s="1">
        <v>30063</v>
      </c>
      <c r="B8110">
        <v>117.19</v>
      </c>
      <c r="C8110">
        <f t="shared" si="272"/>
        <v>1.2703076391289309E-2</v>
      </c>
      <c r="D8110">
        <f t="shared" si="271"/>
        <v>1.3085370519992174</v>
      </c>
    </row>
    <row r="8111" spans="1:4">
      <c r="A8111" s="1">
        <v>30064</v>
      </c>
      <c r="B8111">
        <v>118.64</v>
      </c>
      <c r="C8111">
        <f t="shared" si="272"/>
        <v>1.2373069374520035E-2</v>
      </c>
      <c r="D8111">
        <f t="shared" si="271"/>
        <v>1.2736884232032173</v>
      </c>
    </row>
    <row r="8112" spans="1:4">
      <c r="A8112" s="1">
        <v>30067</v>
      </c>
      <c r="B8112">
        <v>119.26</v>
      </c>
      <c r="C8112">
        <f t="shared" si="272"/>
        <v>5.2258934592043539E-3</v>
      </c>
      <c r="D8112">
        <f t="shared" si="271"/>
        <v>0.51894907598901552</v>
      </c>
    </row>
    <row r="8113" spans="1:4">
      <c r="A8113" s="1">
        <v>30068</v>
      </c>
      <c r="B8113">
        <v>118</v>
      </c>
      <c r="C8113">
        <f t="shared" si="272"/>
        <v>-1.0565151769243712E-2</v>
      </c>
      <c r="D8113">
        <f t="shared" si="271"/>
        <v>-1.148579932498027</v>
      </c>
    </row>
    <row r="8114" spans="1:4">
      <c r="A8114" s="1">
        <v>30069</v>
      </c>
      <c r="B8114">
        <v>117.26</v>
      </c>
      <c r="C8114">
        <f t="shared" si="272"/>
        <v>-6.2711864406779227E-3</v>
      </c>
      <c r="D8114">
        <f t="shared" si="271"/>
        <v>-0.69513865339121272</v>
      </c>
    </row>
    <row r="8115" spans="1:4">
      <c r="A8115" s="1">
        <v>30070</v>
      </c>
      <c r="B8115">
        <v>116.14</v>
      </c>
      <c r="C8115">
        <f t="shared" si="272"/>
        <v>-9.5514241855705652E-3</v>
      </c>
      <c r="D8115">
        <f t="shared" si="271"/>
        <v>-1.0415306442448908</v>
      </c>
    </row>
    <row r="8116" spans="1:4">
      <c r="A8116" s="1">
        <v>30071</v>
      </c>
      <c r="B8116">
        <v>116.44</v>
      </c>
      <c r="C8116">
        <f t="shared" si="272"/>
        <v>2.583089374892347E-3</v>
      </c>
      <c r="D8116">
        <f t="shared" si="271"/>
        <v>0.23986986301842361</v>
      </c>
    </row>
    <row r="8117" spans="1:4">
      <c r="A8117" s="1">
        <v>30074</v>
      </c>
      <c r="B8117">
        <v>116.82</v>
      </c>
      <c r="C8117">
        <f t="shared" si="272"/>
        <v>3.2634833390587036E-3</v>
      </c>
      <c r="D8117">
        <f t="shared" si="271"/>
        <v>0.3117192343572453</v>
      </c>
    </row>
    <row r="8118" spans="1:4">
      <c r="A8118" s="1">
        <v>30075</v>
      </c>
      <c r="B8118">
        <v>117.46</v>
      </c>
      <c r="C8118">
        <f t="shared" si="272"/>
        <v>5.4785139530902291E-3</v>
      </c>
      <c r="D8118">
        <f t="shared" si="271"/>
        <v>0.54562571427348583</v>
      </c>
    </row>
    <row r="8119" spans="1:4">
      <c r="A8119" s="1">
        <v>30076</v>
      </c>
      <c r="B8119">
        <v>117.67</v>
      </c>
      <c r="C8119">
        <f t="shared" si="272"/>
        <v>1.7878426698451214E-3</v>
      </c>
      <c r="D8119">
        <f t="shared" si="271"/>
        <v>0.1558920812829257</v>
      </c>
    </row>
    <row r="8120" spans="1:4">
      <c r="A8120" s="1">
        <v>30077</v>
      </c>
      <c r="B8120">
        <v>118.68</v>
      </c>
      <c r="C8120">
        <f t="shared" si="272"/>
        <v>8.5833262513810241E-3</v>
      </c>
      <c r="D8120">
        <f t="shared" si="271"/>
        <v>0.87349283759601559</v>
      </c>
    </row>
    <row r="8121" spans="1:4">
      <c r="A8121" s="1">
        <v>30078</v>
      </c>
      <c r="B8121">
        <v>119.47</v>
      </c>
      <c r="C8121">
        <f t="shared" si="272"/>
        <v>6.6565554432085608E-3</v>
      </c>
      <c r="D8121">
        <f t="shared" si="271"/>
        <v>0.67002649519422297</v>
      </c>
    </row>
    <row r="8122" spans="1:4">
      <c r="A8122" s="1">
        <v>30081</v>
      </c>
      <c r="B8122">
        <v>118.38</v>
      </c>
      <c r="C8122">
        <f t="shared" si="272"/>
        <v>-9.1236293630200336E-3</v>
      </c>
      <c r="D8122">
        <f t="shared" si="271"/>
        <v>-0.9963556563980801</v>
      </c>
    </row>
    <row r="8123" spans="1:4">
      <c r="A8123" s="1">
        <v>30082</v>
      </c>
      <c r="B8123">
        <v>119.42</v>
      </c>
      <c r="C8123">
        <f t="shared" si="272"/>
        <v>8.7852677817199382E-3</v>
      </c>
      <c r="D8123">
        <f t="shared" si="271"/>
        <v>0.89481779455654353</v>
      </c>
    </row>
    <row r="8124" spans="1:4">
      <c r="A8124" s="1">
        <v>30083</v>
      </c>
      <c r="B8124">
        <v>119.17</v>
      </c>
      <c r="C8124">
        <f t="shared" si="272"/>
        <v>-2.0934516831351531E-3</v>
      </c>
      <c r="D8124">
        <f t="shared" si="271"/>
        <v>-0.25397128307573846</v>
      </c>
    </row>
    <row r="8125" spans="1:4">
      <c r="A8125" s="1">
        <v>30084</v>
      </c>
      <c r="B8125">
        <v>118.22</v>
      </c>
      <c r="C8125">
        <f t="shared" si="272"/>
        <v>-7.9718049844759824E-3</v>
      </c>
      <c r="D8125">
        <f t="shared" si="271"/>
        <v>-0.87472339354795781</v>
      </c>
    </row>
    <row r="8126" spans="1:4">
      <c r="A8126" s="1">
        <v>30085</v>
      </c>
      <c r="B8126">
        <v>118.01</v>
      </c>
      <c r="C8126">
        <f t="shared" si="272"/>
        <v>-1.7763491794958023E-3</v>
      </c>
      <c r="D8126">
        <f t="shared" si="271"/>
        <v>-0.22048536647980116</v>
      </c>
    </row>
    <row r="8127" spans="1:4">
      <c r="A8127" s="1">
        <v>30088</v>
      </c>
      <c r="B8127">
        <v>116.71</v>
      </c>
      <c r="C8127">
        <f t="shared" si="272"/>
        <v>-1.1016015591899088E-2</v>
      </c>
      <c r="D8127">
        <f t="shared" si="271"/>
        <v>-1.1961909989143751</v>
      </c>
    </row>
    <row r="8128" spans="1:4">
      <c r="A8128" s="1">
        <v>30089</v>
      </c>
      <c r="B8128">
        <v>115.84</v>
      </c>
      <c r="C8128">
        <f t="shared" si="272"/>
        <v>-7.4543740896237717E-3</v>
      </c>
      <c r="D8128">
        <f t="shared" si="271"/>
        <v>-0.82008286693487131</v>
      </c>
    </row>
    <row r="8129" spans="1:4">
      <c r="A8129" s="1">
        <v>30090</v>
      </c>
      <c r="B8129">
        <v>114.89</v>
      </c>
      <c r="C8129">
        <f t="shared" si="272"/>
        <v>-8.2009668508287534E-3</v>
      </c>
      <c r="D8129">
        <f t="shared" si="271"/>
        <v>-0.89892280873890729</v>
      </c>
    </row>
    <row r="8130" spans="1:4">
      <c r="A8130" s="1">
        <v>30091</v>
      </c>
      <c r="B8130">
        <v>114.59</v>
      </c>
      <c r="C8130">
        <f t="shared" si="272"/>
        <v>-2.6111933153450881E-3</v>
      </c>
      <c r="D8130">
        <f t="shared" si="271"/>
        <v>-0.30864462344817595</v>
      </c>
    </row>
    <row r="8131" spans="1:4">
      <c r="A8131" s="1">
        <v>30092</v>
      </c>
      <c r="B8131">
        <v>114.89</v>
      </c>
      <c r="C8131">
        <f t="shared" si="272"/>
        <v>2.6180294964656351E-3</v>
      </c>
      <c r="D8131">
        <f t="shared" ref="D8131:D8194" si="273">(C8131-avg)/sd</f>
        <v>0.24355952797983846</v>
      </c>
    </row>
    <row r="8132" spans="1:4">
      <c r="A8132" s="1">
        <v>30095</v>
      </c>
      <c r="B8132">
        <v>114.79</v>
      </c>
      <c r="C8132">
        <f t="shared" ref="C8132:C8195" si="274">(B8132-B8131)/B8131</f>
        <v>-8.7039777178165472E-4</v>
      </c>
      <c r="D8132">
        <f t="shared" si="273"/>
        <v>-0.1248172057730331</v>
      </c>
    </row>
    <row r="8133" spans="1:4">
      <c r="A8133" s="1">
        <v>30096</v>
      </c>
      <c r="B8133">
        <v>114.4</v>
      </c>
      <c r="C8133">
        <f t="shared" si="274"/>
        <v>-3.3975084937712392E-3</v>
      </c>
      <c r="D8133">
        <f t="shared" si="273"/>
        <v>-0.3916792390084618</v>
      </c>
    </row>
    <row r="8134" spans="1:4">
      <c r="A8134" s="1">
        <v>30097</v>
      </c>
      <c r="B8134">
        <v>113.11</v>
      </c>
      <c r="C8134">
        <f t="shared" si="274"/>
        <v>-1.127622377622383E-2</v>
      </c>
      <c r="D8134">
        <f t="shared" si="273"/>
        <v>-1.2236688947300085</v>
      </c>
    </row>
    <row r="8135" spans="1:4">
      <c r="A8135" s="1">
        <v>30098</v>
      </c>
      <c r="B8135">
        <v>112.66</v>
      </c>
      <c r="C8135">
        <f t="shared" si="274"/>
        <v>-3.9784280788613107E-3</v>
      </c>
      <c r="D8135">
        <f t="shared" si="273"/>
        <v>-0.45302414972981214</v>
      </c>
    </row>
    <row r="8136" spans="1:4">
      <c r="A8136" s="1">
        <v>30099</v>
      </c>
      <c r="B8136">
        <v>111.88</v>
      </c>
      <c r="C8136">
        <f t="shared" si="274"/>
        <v>-6.9234865968400604E-3</v>
      </c>
      <c r="D8136">
        <f t="shared" si="273"/>
        <v>-0.76402132815433821</v>
      </c>
    </row>
    <row r="8137" spans="1:4">
      <c r="A8137" s="1">
        <v>30103</v>
      </c>
      <c r="B8137">
        <v>111.68</v>
      </c>
      <c r="C8137">
        <f t="shared" si="274"/>
        <v>-1.7876296031461266E-3</v>
      </c>
      <c r="D8137">
        <f t="shared" si="273"/>
        <v>-0.22167657538287311</v>
      </c>
    </row>
    <row r="8138" spans="1:4">
      <c r="A8138" s="1">
        <v>30104</v>
      </c>
      <c r="B8138">
        <v>112.04</v>
      </c>
      <c r="C8138">
        <f t="shared" si="274"/>
        <v>3.2234957020057255E-3</v>
      </c>
      <c r="D8138">
        <f t="shared" si="273"/>
        <v>0.30749655347690902</v>
      </c>
    </row>
    <row r="8139" spans="1:4">
      <c r="A8139" s="1">
        <v>30105</v>
      </c>
      <c r="B8139">
        <v>111.86</v>
      </c>
      <c r="C8139">
        <f t="shared" si="274"/>
        <v>-1.6065690824706071E-3</v>
      </c>
      <c r="D8139">
        <f t="shared" si="273"/>
        <v>-0.20255664594499956</v>
      </c>
    </row>
    <row r="8140" spans="1:4">
      <c r="A8140" s="1">
        <v>30106</v>
      </c>
      <c r="B8140">
        <v>110.09</v>
      </c>
      <c r="C8140">
        <f t="shared" si="274"/>
        <v>-1.5823350616842445E-2</v>
      </c>
      <c r="D8140">
        <f t="shared" si="273"/>
        <v>-1.7038439434558224</v>
      </c>
    </row>
    <row r="8141" spans="1:4">
      <c r="A8141" s="1">
        <v>30109</v>
      </c>
      <c r="B8141">
        <v>110.12</v>
      </c>
      <c r="C8141">
        <f t="shared" si="274"/>
        <v>2.7250431465165897E-4</v>
      </c>
      <c r="D8141">
        <f t="shared" si="273"/>
        <v>-4.1271339369701584E-3</v>
      </c>
    </row>
    <row r="8142" spans="1:4">
      <c r="A8142" s="1">
        <v>30110</v>
      </c>
      <c r="B8142">
        <v>109.63</v>
      </c>
      <c r="C8142">
        <f t="shared" si="274"/>
        <v>-4.449691245913631E-3</v>
      </c>
      <c r="D8142">
        <f t="shared" si="273"/>
        <v>-0.50278937998040341</v>
      </c>
    </row>
    <row r="8143" spans="1:4">
      <c r="A8143" s="1">
        <v>30111</v>
      </c>
      <c r="B8143">
        <v>108.99</v>
      </c>
      <c r="C8143">
        <f t="shared" si="274"/>
        <v>-5.8378181154793447E-3</v>
      </c>
      <c r="D8143">
        <f t="shared" si="273"/>
        <v>-0.64937510555929401</v>
      </c>
    </row>
    <row r="8144" spans="1:4">
      <c r="A8144" s="1">
        <v>30112</v>
      </c>
      <c r="B8144">
        <v>109.61</v>
      </c>
      <c r="C8144">
        <f t="shared" si="274"/>
        <v>5.6885952839710483E-3</v>
      </c>
      <c r="D8144">
        <f t="shared" si="273"/>
        <v>0.56781023140438636</v>
      </c>
    </row>
    <row r="8145" spans="1:4">
      <c r="A8145" s="1">
        <v>30113</v>
      </c>
      <c r="B8145">
        <v>111.24</v>
      </c>
      <c r="C8145">
        <f t="shared" si="274"/>
        <v>1.4870905939239079E-2</v>
      </c>
      <c r="D8145">
        <f t="shared" si="273"/>
        <v>1.5374591153816466</v>
      </c>
    </row>
    <row r="8146" spans="1:4">
      <c r="A8146" s="1">
        <v>30116</v>
      </c>
      <c r="B8146">
        <v>109.96</v>
      </c>
      <c r="C8146">
        <f t="shared" si="274"/>
        <v>-1.1506652283351322E-2</v>
      </c>
      <c r="D8146">
        <f t="shared" si="273"/>
        <v>-1.2480020667562164</v>
      </c>
    </row>
    <row r="8147" spans="1:4">
      <c r="A8147" s="1">
        <v>30117</v>
      </c>
      <c r="B8147">
        <v>109.69</v>
      </c>
      <c r="C8147">
        <f t="shared" si="274"/>
        <v>-2.4554383412149512E-3</v>
      </c>
      <c r="D8147">
        <f t="shared" si="273"/>
        <v>-0.29219695112372157</v>
      </c>
    </row>
    <row r="8148" spans="1:4">
      <c r="A8148" s="1">
        <v>30118</v>
      </c>
      <c r="B8148">
        <v>108.87</v>
      </c>
      <c r="C8148">
        <f t="shared" si="274"/>
        <v>-7.4756130914394496E-3</v>
      </c>
      <c r="D8148">
        <f t="shared" si="273"/>
        <v>-0.82232569830711943</v>
      </c>
    </row>
    <row r="8149" spans="1:4">
      <c r="A8149" s="1">
        <v>30119</v>
      </c>
      <c r="B8149">
        <v>107.6</v>
      </c>
      <c r="C8149">
        <f t="shared" si="274"/>
        <v>-1.166528887664196E-2</v>
      </c>
      <c r="D8149">
        <f t="shared" si="273"/>
        <v>-1.2647540370845096</v>
      </c>
    </row>
    <row r="8150" spans="1:4">
      <c r="A8150" s="1">
        <v>30120</v>
      </c>
      <c r="B8150">
        <v>107.28</v>
      </c>
      <c r="C8150">
        <f t="shared" si="274"/>
        <v>-2.9739776951672229E-3</v>
      </c>
      <c r="D8150">
        <f t="shared" si="273"/>
        <v>-0.34695453064099102</v>
      </c>
    </row>
    <row r="8151" spans="1:4">
      <c r="A8151" s="1">
        <v>30123</v>
      </c>
      <c r="B8151">
        <v>107.2</v>
      </c>
      <c r="C8151">
        <f t="shared" si="274"/>
        <v>-7.4571215510811238E-4</v>
      </c>
      <c r="D8151">
        <f t="shared" si="273"/>
        <v>-0.1116504470350074</v>
      </c>
    </row>
    <row r="8152" spans="1:4">
      <c r="A8152" s="1">
        <v>30124</v>
      </c>
      <c r="B8152">
        <v>108.3</v>
      </c>
      <c r="C8152">
        <f t="shared" si="274"/>
        <v>1.0261194029850693E-2</v>
      </c>
      <c r="D8152">
        <f t="shared" si="273"/>
        <v>1.0506751046674436</v>
      </c>
    </row>
    <row r="8153" spans="1:4">
      <c r="A8153" s="1">
        <v>30125</v>
      </c>
      <c r="B8153">
        <v>110.14</v>
      </c>
      <c r="C8153">
        <f t="shared" si="274"/>
        <v>1.6989843028624226E-2</v>
      </c>
      <c r="D8153">
        <f t="shared" si="273"/>
        <v>1.7612181517590053</v>
      </c>
    </row>
    <row r="8154" spans="1:4">
      <c r="A8154" s="1">
        <v>30126</v>
      </c>
      <c r="B8154">
        <v>109.83</v>
      </c>
      <c r="C8154">
        <f t="shared" si="274"/>
        <v>-2.8145996005084642E-3</v>
      </c>
      <c r="D8154">
        <f t="shared" si="273"/>
        <v>-0.33012425802027273</v>
      </c>
    </row>
    <row r="8155" spans="1:4">
      <c r="A8155" s="1">
        <v>30127</v>
      </c>
      <c r="B8155">
        <v>109.14</v>
      </c>
      <c r="C8155">
        <f t="shared" si="274"/>
        <v>-6.2824364927615197E-3</v>
      </c>
      <c r="D8155">
        <f t="shared" si="273"/>
        <v>-0.69632665506716207</v>
      </c>
    </row>
    <row r="8156" spans="1:4">
      <c r="A8156" s="1">
        <v>30130</v>
      </c>
      <c r="B8156">
        <v>110.26</v>
      </c>
      <c r="C8156">
        <f t="shared" si="274"/>
        <v>1.026204874473158E-2</v>
      </c>
      <c r="D8156">
        <f t="shared" si="273"/>
        <v>1.0507653622683335</v>
      </c>
    </row>
    <row r="8157" spans="1:4">
      <c r="A8157" s="1">
        <v>30131</v>
      </c>
      <c r="B8157">
        <v>110.21</v>
      </c>
      <c r="C8157">
        <f t="shared" si="274"/>
        <v>-4.5347360783612705E-4</v>
      </c>
      <c r="D8157">
        <f t="shared" si="273"/>
        <v>-8.0790155779794481E-2</v>
      </c>
    </row>
    <row r="8158" spans="1:4">
      <c r="A8158" s="1">
        <v>30132</v>
      </c>
      <c r="B8158">
        <v>109.61</v>
      </c>
      <c r="C8158">
        <f t="shared" si="274"/>
        <v>-5.4441520733145296E-3</v>
      </c>
      <c r="D8158">
        <f t="shared" si="273"/>
        <v>-0.60780410532027895</v>
      </c>
    </row>
    <row r="8159" spans="1:4">
      <c r="A8159" s="1">
        <v>30133</v>
      </c>
      <c r="B8159">
        <v>108.71</v>
      </c>
      <c r="C8159">
        <f t="shared" si="274"/>
        <v>-8.2109296597026333E-3</v>
      </c>
      <c r="D8159">
        <f t="shared" si="273"/>
        <v>-0.89997487796946574</v>
      </c>
    </row>
    <row r="8160" spans="1:4">
      <c r="A8160" s="1">
        <v>30134</v>
      </c>
      <c r="B8160">
        <v>107.65</v>
      </c>
      <c r="C8160">
        <f t="shared" si="274"/>
        <v>-9.7507129058963127E-3</v>
      </c>
      <c r="D8160">
        <f t="shared" si="273"/>
        <v>-1.0625754653697623</v>
      </c>
    </row>
    <row r="8161" spans="1:4">
      <c r="A8161" s="1">
        <v>30138</v>
      </c>
      <c r="B8161">
        <v>107.29</v>
      </c>
      <c r="C8161">
        <f t="shared" si="274"/>
        <v>-3.3441709242916806E-3</v>
      </c>
      <c r="D8161">
        <f t="shared" si="273"/>
        <v>-0.38604680980174122</v>
      </c>
    </row>
    <row r="8162" spans="1:4">
      <c r="A8162" s="1">
        <v>30139</v>
      </c>
      <c r="B8162">
        <v>107.22</v>
      </c>
      <c r="C8162">
        <f t="shared" si="274"/>
        <v>-6.5243731941473941E-4</v>
      </c>
      <c r="D8162">
        <f t="shared" si="273"/>
        <v>-0.10180065609144436</v>
      </c>
    </row>
    <row r="8163" spans="1:4">
      <c r="A8163" s="1">
        <v>30140</v>
      </c>
      <c r="B8163">
        <v>107.53</v>
      </c>
      <c r="C8163">
        <f t="shared" si="274"/>
        <v>2.8912516321582009E-3</v>
      </c>
      <c r="D8163">
        <f t="shared" si="273"/>
        <v>0.27241169263625703</v>
      </c>
    </row>
    <row r="8164" spans="1:4">
      <c r="A8164" s="1">
        <v>30141</v>
      </c>
      <c r="B8164">
        <v>108.83</v>
      </c>
      <c r="C8164">
        <f t="shared" si="274"/>
        <v>1.2089649400167369E-2</v>
      </c>
      <c r="D8164">
        <f t="shared" si="273"/>
        <v>1.2437593702507059</v>
      </c>
    </row>
    <row r="8165" spans="1:4">
      <c r="A8165" s="1">
        <v>30144</v>
      </c>
      <c r="B8165">
        <v>109.57</v>
      </c>
      <c r="C8165">
        <f t="shared" si="274"/>
        <v>6.7995956997151056E-3</v>
      </c>
      <c r="D8165">
        <f t="shared" si="273"/>
        <v>0.68513149765956849</v>
      </c>
    </row>
    <row r="8166" spans="1:4">
      <c r="A8166" s="1">
        <v>30145</v>
      </c>
      <c r="B8166">
        <v>109.45</v>
      </c>
      <c r="C8166">
        <f t="shared" si="274"/>
        <v>-1.0951902893126799E-3</v>
      </c>
      <c r="D8166">
        <f t="shared" si="273"/>
        <v>-0.14855521921362003</v>
      </c>
    </row>
    <row r="8167" spans="1:4">
      <c r="A8167" s="1">
        <v>30146</v>
      </c>
      <c r="B8167">
        <v>110.44</v>
      </c>
      <c r="C8167">
        <f t="shared" si="274"/>
        <v>9.0452261306532191E-3</v>
      </c>
      <c r="D8167">
        <f t="shared" si="273"/>
        <v>0.9222693078397618</v>
      </c>
    </row>
    <row r="8168" spans="1:4">
      <c r="A8168" s="1">
        <v>30147</v>
      </c>
      <c r="B8168">
        <v>110.47</v>
      </c>
      <c r="C8168">
        <f t="shared" si="274"/>
        <v>2.7164070988773212E-4</v>
      </c>
      <c r="D8168">
        <f t="shared" si="273"/>
        <v>-4.2183303064873123E-3</v>
      </c>
    </row>
    <row r="8169" spans="1:4">
      <c r="A8169" s="1">
        <v>30148</v>
      </c>
      <c r="B8169">
        <v>111.07</v>
      </c>
      <c r="C8169">
        <f t="shared" si="274"/>
        <v>5.4313388250203159E-3</v>
      </c>
      <c r="D8169">
        <f t="shared" si="273"/>
        <v>0.54064403678490813</v>
      </c>
    </row>
    <row r="8170" spans="1:4">
      <c r="A8170" s="1">
        <v>30151</v>
      </c>
      <c r="B8170">
        <v>110.73</v>
      </c>
      <c r="C8170">
        <f t="shared" si="274"/>
        <v>-3.0611326190689587E-3</v>
      </c>
      <c r="D8170">
        <f t="shared" si="273"/>
        <v>-0.35615806097961628</v>
      </c>
    </row>
    <row r="8171" spans="1:4">
      <c r="A8171" s="1">
        <v>30152</v>
      </c>
      <c r="B8171">
        <v>111.54</v>
      </c>
      <c r="C8171">
        <f t="shared" si="274"/>
        <v>7.3150907613113176E-3</v>
      </c>
      <c r="D8171">
        <f t="shared" si="273"/>
        <v>0.73956760093884333</v>
      </c>
    </row>
    <row r="8172" spans="1:4">
      <c r="A8172" s="1">
        <v>30153</v>
      </c>
      <c r="B8172">
        <v>111.42</v>
      </c>
      <c r="C8172">
        <f t="shared" si="274"/>
        <v>-1.0758472296934242E-3</v>
      </c>
      <c r="D8172">
        <f t="shared" si="273"/>
        <v>-0.14651259869285205</v>
      </c>
    </row>
    <row r="8173" spans="1:4">
      <c r="A8173" s="1">
        <v>30154</v>
      </c>
      <c r="B8173">
        <v>111.48</v>
      </c>
      <c r="C8173">
        <f t="shared" si="274"/>
        <v>5.3850296176631009E-4</v>
      </c>
      <c r="D8173">
        <f t="shared" si="273"/>
        <v>2.3962232781003696E-2</v>
      </c>
    </row>
    <row r="8174" spans="1:4">
      <c r="A8174" s="1">
        <v>30155</v>
      </c>
      <c r="B8174">
        <v>111.17</v>
      </c>
      <c r="C8174">
        <f t="shared" si="274"/>
        <v>-2.7807678507355783E-3</v>
      </c>
      <c r="D8174">
        <f t="shared" si="273"/>
        <v>-0.32655163674422649</v>
      </c>
    </row>
    <row r="8175" spans="1:4">
      <c r="A8175" s="1">
        <v>30158</v>
      </c>
      <c r="B8175">
        <v>110.36</v>
      </c>
      <c r="C8175">
        <f t="shared" si="274"/>
        <v>-7.2861383466762816E-3</v>
      </c>
      <c r="D8175">
        <f t="shared" si="273"/>
        <v>-0.80231722966572394</v>
      </c>
    </row>
    <row r="8176" spans="1:4">
      <c r="A8176" s="1">
        <v>30159</v>
      </c>
      <c r="B8176">
        <v>109.43</v>
      </c>
      <c r="C8176">
        <f t="shared" si="274"/>
        <v>-8.4269662921347653E-3</v>
      </c>
      <c r="D8176">
        <f t="shared" si="273"/>
        <v>-0.92278827291987953</v>
      </c>
    </row>
    <row r="8177" spans="1:4">
      <c r="A8177" s="1">
        <v>30160</v>
      </c>
      <c r="B8177">
        <v>107.74</v>
      </c>
      <c r="C8177">
        <f t="shared" si="274"/>
        <v>-1.5443662615370665E-2</v>
      </c>
      <c r="D8177">
        <f t="shared" si="273"/>
        <v>-1.6637490195626248</v>
      </c>
    </row>
    <row r="8178" spans="1:4">
      <c r="A8178" s="1">
        <v>30161</v>
      </c>
      <c r="B8178">
        <v>107.72</v>
      </c>
      <c r="C8178">
        <f t="shared" si="274"/>
        <v>-1.8563207722290721E-4</v>
      </c>
      <c r="D8178">
        <f t="shared" si="273"/>
        <v>-5.2506181190798307E-2</v>
      </c>
    </row>
    <row r="8179" spans="1:4">
      <c r="A8179" s="1">
        <v>30162</v>
      </c>
      <c r="B8179">
        <v>107.09</v>
      </c>
      <c r="C8179">
        <f t="shared" si="274"/>
        <v>-5.8484961010025569E-3</v>
      </c>
      <c r="D8179">
        <f t="shared" si="273"/>
        <v>-0.65050269720092158</v>
      </c>
    </row>
    <row r="8180" spans="1:4">
      <c r="A8180" s="1">
        <v>30165</v>
      </c>
      <c r="B8180">
        <v>108.98</v>
      </c>
      <c r="C8180">
        <f t="shared" si="274"/>
        <v>1.764870669530302E-2</v>
      </c>
      <c r="D8180">
        <f t="shared" si="273"/>
        <v>1.8307939310016443</v>
      </c>
    </row>
    <row r="8181" spans="1:4">
      <c r="A8181" s="1">
        <v>30166</v>
      </c>
      <c r="B8181">
        <v>107.83</v>
      </c>
      <c r="C8181">
        <f t="shared" si="274"/>
        <v>-1.0552394934850483E-2</v>
      </c>
      <c r="D8181">
        <f t="shared" si="273"/>
        <v>-1.1472328151223607</v>
      </c>
    </row>
    <row r="8182" spans="1:4">
      <c r="A8182" s="1">
        <v>30167</v>
      </c>
      <c r="B8182">
        <v>106.14</v>
      </c>
      <c r="C8182">
        <f t="shared" si="274"/>
        <v>-1.5672818325141405E-2</v>
      </c>
      <c r="D8182">
        <f t="shared" si="273"/>
        <v>-1.6879477846206046</v>
      </c>
    </row>
    <row r="8183" spans="1:4">
      <c r="A8183" s="1">
        <v>30168</v>
      </c>
      <c r="B8183">
        <v>105.16</v>
      </c>
      <c r="C8183">
        <f t="shared" si="274"/>
        <v>-9.2330883738459008E-3</v>
      </c>
      <c r="D8183">
        <f t="shared" si="273"/>
        <v>-1.0079144907343662</v>
      </c>
    </row>
    <row r="8184" spans="1:4">
      <c r="A8184" s="1">
        <v>30169</v>
      </c>
      <c r="B8184">
        <v>103.71</v>
      </c>
      <c r="C8184">
        <f t="shared" si="274"/>
        <v>-1.3788512742487666E-2</v>
      </c>
      <c r="D8184">
        <f t="shared" si="273"/>
        <v>-1.4889657555989577</v>
      </c>
    </row>
    <row r="8185" spans="1:4">
      <c r="A8185" s="1">
        <v>30172</v>
      </c>
      <c r="B8185">
        <v>103.08</v>
      </c>
      <c r="C8185">
        <f t="shared" si="274"/>
        <v>-6.0746311831066961E-3</v>
      </c>
      <c r="D8185">
        <f t="shared" si="273"/>
        <v>-0.6743824850040695</v>
      </c>
    </row>
    <row r="8186" spans="1:4">
      <c r="A8186" s="1">
        <v>30173</v>
      </c>
      <c r="B8186">
        <v>102.84</v>
      </c>
      <c r="C8186">
        <f t="shared" si="274"/>
        <v>-2.3282887077997177E-3</v>
      </c>
      <c r="D8186">
        <f t="shared" si="273"/>
        <v>-0.27876999305533329</v>
      </c>
    </row>
    <row r="8187" spans="1:4">
      <c r="A8187" s="1">
        <v>30174</v>
      </c>
      <c r="B8187">
        <v>102.6</v>
      </c>
      <c r="C8187">
        <f t="shared" si="274"/>
        <v>-2.3337222870479296E-3</v>
      </c>
      <c r="D8187">
        <f t="shared" si="273"/>
        <v>-0.27934377717698117</v>
      </c>
    </row>
    <row r="8188" spans="1:4">
      <c r="A8188" s="1">
        <v>30175</v>
      </c>
      <c r="B8188">
        <v>102.42</v>
      </c>
      <c r="C8188">
        <f t="shared" si="274"/>
        <v>-1.7543859649122087E-3</v>
      </c>
      <c r="D8188">
        <f t="shared" si="273"/>
        <v>-0.21816605848543308</v>
      </c>
    </row>
    <row r="8189" spans="1:4">
      <c r="A8189" s="1">
        <v>30176</v>
      </c>
      <c r="B8189">
        <v>103.85</v>
      </c>
      <c r="C8189">
        <f t="shared" si="274"/>
        <v>1.3962116774067493E-2</v>
      </c>
      <c r="D8189">
        <f t="shared" si="273"/>
        <v>1.4414912884519735</v>
      </c>
    </row>
    <row r="8190" spans="1:4">
      <c r="A8190" s="1">
        <v>30179</v>
      </c>
      <c r="B8190">
        <v>104.09</v>
      </c>
      <c r="C8190">
        <f t="shared" si="274"/>
        <v>2.3110255175735109E-3</v>
      </c>
      <c r="D8190">
        <f t="shared" si="273"/>
        <v>0.21114001216455294</v>
      </c>
    </row>
    <row r="8191" spans="1:4">
      <c r="A8191" s="1">
        <v>30180</v>
      </c>
      <c r="B8191">
        <v>109.04</v>
      </c>
      <c r="C8191">
        <f t="shared" si="274"/>
        <v>4.7555000480353563E-2</v>
      </c>
      <c r="D8191">
        <f t="shared" si="273"/>
        <v>4.9888883890598015</v>
      </c>
    </row>
    <row r="8192" spans="1:4">
      <c r="A8192" s="1">
        <v>30181</v>
      </c>
      <c r="B8192">
        <v>108.54</v>
      </c>
      <c r="C8192">
        <f t="shared" si="274"/>
        <v>-4.5854732208363905E-3</v>
      </c>
      <c r="D8192">
        <f t="shared" si="273"/>
        <v>-0.517127910377711</v>
      </c>
    </row>
    <row r="8193" spans="1:4">
      <c r="A8193" s="1">
        <v>30182</v>
      </c>
      <c r="B8193">
        <v>109.16</v>
      </c>
      <c r="C8193">
        <f t="shared" si="274"/>
        <v>5.712179841532986E-3</v>
      </c>
      <c r="D8193">
        <f t="shared" si="273"/>
        <v>0.57030075266614633</v>
      </c>
    </row>
    <row r="8194" spans="1:4">
      <c r="A8194" s="1">
        <v>30183</v>
      </c>
      <c r="B8194">
        <v>113.02</v>
      </c>
      <c r="C8194">
        <f t="shared" si="274"/>
        <v>3.5360938072554048E-2</v>
      </c>
      <c r="D8194">
        <f t="shared" si="273"/>
        <v>3.7011995437593783</v>
      </c>
    </row>
    <row r="8195" spans="1:4">
      <c r="A8195" s="1">
        <v>30186</v>
      </c>
      <c r="B8195">
        <v>116.11</v>
      </c>
      <c r="C8195">
        <f t="shared" si="274"/>
        <v>2.7340293753318028E-2</v>
      </c>
      <c r="D8195">
        <f t="shared" ref="D8195:D8258" si="275">(C8195-avg)/sd</f>
        <v>2.8542222299975246</v>
      </c>
    </row>
    <row r="8196" spans="1:4">
      <c r="A8196" s="1">
        <v>30187</v>
      </c>
      <c r="B8196">
        <v>115.35</v>
      </c>
      <c r="C8196">
        <f t="shared" ref="C8196:C8259" si="276">(B8196-B8195)/B8195</f>
        <v>-6.5455171819826467E-3</v>
      </c>
      <c r="D8196">
        <f t="shared" si="275"/>
        <v>-0.72410788642344182</v>
      </c>
    </row>
    <row r="8197" spans="1:4">
      <c r="A8197" s="1">
        <v>30188</v>
      </c>
      <c r="B8197">
        <v>117.58</v>
      </c>
      <c r="C8197">
        <f t="shared" si="276"/>
        <v>1.9332466406588679E-2</v>
      </c>
      <c r="D8197">
        <f t="shared" si="275"/>
        <v>2.0085983841756754</v>
      </c>
    </row>
    <row r="8198" spans="1:4">
      <c r="A8198" s="1">
        <v>30189</v>
      </c>
      <c r="B8198">
        <v>118.55</v>
      </c>
      <c r="C8198">
        <f t="shared" si="276"/>
        <v>8.249702330328278E-3</v>
      </c>
      <c r="D8198">
        <f t="shared" si="275"/>
        <v>0.83826226493712641</v>
      </c>
    </row>
    <row r="8199" spans="1:4">
      <c r="A8199" s="1">
        <v>30190</v>
      </c>
      <c r="B8199">
        <v>117.11</v>
      </c>
      <c r="C8199">
        <f t="shared" si="276"/>
        <v>-1.2146773513285514E-2</v>
      </c>
      <c r="D8199">
        <f t="shared" si="275"/>
        <v>-1.3155986510494888</v>
      </c>
    </row>
    <row r="8200" spans="1:4">
      <c r="A8200" s="1">
        <v>30193</v>
      </c>
      <c r="B8200">
        <v>117.66</v>
      </c>
      <c r="C8200">
        <f t="shared" si="276"/>
        <v>4.6964392451541047E-3</v>
      </c>
      <c r="D8200">
        <f t="shared" si="275"/>
        <v>0.46303889095554085</v>
      </c>
    </row>
    <row r="8201" spans="1:4">
      <c r="A8201" s="1">
        <v>30194</v>
      </c>
      <c r="B8201">
        <v>119.51</v>
      </c>
      <c r="C8201">
        <f t="shared" si="276"/>
        <v>1.5723270440251645E-2</v>
      </c>
      <c r="D8201">
        <f t="shared" si="275"/>
        <v>1.6274685169558023</v>
      </c>
    </row>
    <row r="8202" spans="1:4">
      <c r="A8202" s="1">
        <v>30195</v>
      </c>
      <c r="B8202">
        <v>118.25</v>
      </c>
      <c r="C8202">
        <f t="shared" si="276"/>
        <v>-1.0543050790728852E-2</v>
      </c>
      <c r="D8202">
        <f t="shared" si="275"/>
        <v>-1.1462460766793454</v>
      </c>
    </row>
    <row r="8203" spans="1:4">
      <c r="A8203" s="1">
        <v>30196</v>
      </c>
      <c r="B8203">
        <v>120.29</v>
      </c>
      <c r="C8203">
        <f t="shared" si="276"/>
        <v>1.7251585623678699E-2</v>
      </c>
      <c r="D8203">
        <f t="shared" si="275"/>
        <v>1.788858080826127</v>
      </c>
    </row>
    <row r="8204" spans="1:4">
      <c r="A8204" s="1">
        <v>30197</v>
      </c>
      <c r="B8204">
        <v>122.68</v>
      </c>
      <c r="C8204">
        <f t="shared" si="276"/>
        <v>1.9868650760661737E-2</v>
      </c>
      <c r="D8204">
        <f t="shared" si="275"/>
        <v>2.0652192697078728</v>
      </c>
    </row>
    <row r="8205" spans="1:4">
      <c r="A8205" s="1">
        <v>30201</v>
      </c>
      <c r="B8205">
        <v>121.37</v>
      </c>
      <c r="C8205">
        <f t="shared" si="276"/>
        <v>-1.0678187153570282E-2</v>
      </c>
      <c r="D8205">
        <f t="shared" si="275"/>
        <v>-1.1605164306603188</v>
      </c>
    </row>
    <row r="8206" spans="1:4">
      <c r="A8206" s="1">
        <v>30202</v>
      </c>
      <c r="B8206">
        <v>122.2</v>
      </c>
      <c r="C8206">
        <f t="shared" si="276"/>
        <v>6.8385927329652988E-3</v>
      </c>
      <c r="D8206">
        <f t="shared" si="275"/>
        <v>0.68924957111505325</v>
      </c>
    </row>
    <row r="8207" spans="1:4">
      <c r="A8207" s="1">
        <v>30203</v>
      </c>
      <c r="B8207">
        <v>121.97</v>
      </c>
      <c r="C8207">
        <f t="shared" si="276"/>
        <v>-1.8821603927987231E-3</v>
      </c>
      <c r="D8207">
        <f t="shared" si="275"/>
        <v>-0.23165899463761067</v>
      </c>
    </row>
    <row r="8208" spans="1:4">
      <c r="A8208" s="1">
        <v>30204</v>
      </c>
      <c r="B8208">
        <v>120.97</v>
      </c>
      <c r="C8208">
        <f t="shared" si="276"/>
        <v>-8.1987373944412568E-3</v>
      </c>
      <c r="D8208">
        <f t="shared" si="275"/>
        <v>-0.89868737890221662</v>
      </c>
    </row>
    <row r="8209" spans="1:4">
      <c r="A8209" s="1">
        <v>30207</v>
      </c>
      <c r="B8209">
        <v>122.24</v>
      </c>
      <c r="C8209">
        <f t="shared" si="276"/>
        <v>1.0498470695213657E-2</v>
      </c>
      <c r="D8209">
        <f t="shared" si="275"/>
        <v>1.0757314398755151</v>
      </c>
    </row>
    <row r="8210" spans="1:4">
      <c r="A8210" s="1">
        <v>30208</v>
      </c>
      <c r="B8210">
        <v>123.1</v>
      </c>
      <c r="C8210">
        <f t="shared" si="276"/>
        <v>7.0353403141361209E-3</v>
      </c>
      <c r="D8210">
        <f t="shared" si="275"/>
        <v>0.71002604880893982</v>
      </c>
    </row>
    <row r="8211" spans="1:4">
      <c r="A8211" s="1">
        <v>30209</v>
      </c>
      <c r="B8211">
        <v>124.29</v>
      </c>
      <c r="C8211">
        <f t="shared" si="276"/>
        <v>9.6669374492283668E-3</v>
      </c>
      <c r="D8211">
        <f t="shared" si="275"/>
        <v>0.98792181175135219</v>
      </c>
    </row>
    <row r="8212" spans="1:4">
      <c r="A8212" s="1">
        <v>30210</v>
      </c>
      <c r="B8212">
        <v>123.77</v>
      </c>
      <c r="C8212">
        <f t="shared" si="276"/>
        <v>-4.1837637782606019E-3</v>
      </c>
      <c r="D8212">
        <f t="shared" si="275"/>
        <v>-0.4747075297893818</v>
      </c>
    </row>
    <row r="8213" spans="1:4">
      <c r="A8213" s="1">
        <v>30211</v>
      </c>
      <c r="B8213">
        <v>122.55</v>
      </c>
      <c r="C8213">
        <f t="shared" si="276"/>
        <v>-9.8569928092429419E-3</v>
      </c>
      <c r="D8213">
        <f t="shared" si="275"/>
        <v>-1.0737985870368718</v>
      </c>
    </row>
    <row r="8214" spans="1:4">
      <c r="A8214" s="1">
        <v>30214</v>
      </c>
      <c r="B8214">
        <v>122.51</v>
      </c>
      <c r="C8214">
        <f t="shared" si="276"/>
        <v>-3.2639738882082452E-4</v>
      </c>
      <c r="D8214">
        <f t="shared" si="275"/>
        <v>-6.737095024708413E-2</v>
      </c>
    </row>
    <row r="8215" spans="1:4">
      <c r="A8215" s="1">
        <v>30215</v>
      </c>
      <c r="B8215">
        <v>124.88</v>
      </c>
      <c r="C8215">
        <f t="shared" si="276"/>
        <v>1.9345359562484614E-2</v>
      </c>
      <c r="D8215">
        <f t="shared" si="275"/>
        <v>2.0099598970556896</v>
      </c>
    </row>
    <row r="8216" spans="1:4">
      <c r="A8216" s="1">
        <v>30216</v>
      </c>
      <c r="B8216">
        <v>123.99</v>
      </c>
      <c r="C8216">
        <f t="shared" si="276"/>
        <v>-7.1268417680973783E-3</v>
      </c>
      <c r="D8216">
        <f t="shared" si="275"/>
        <v>-0.7854955651153297</v>
      </c>
    </row>
    <row r="8217" spans="1:4">
      <c r="A8217" s="1">
        <v>30217</v>
      </c>
      <c r="B8217">
        <v>123.81</v>
      </c>
      <c r="C8217">
        <f t="shared" si="276"/>
        <v>-1.4517299782239909E-3</v>
      </c>
      <c r="D8217">
        <f t="shared" si="275"/>
        <v>-0.18620568916892571</v>
      </c>
    </row>
    <row r="8218" spans="1:4">
      <c r="A8218" s="1">
        <v>30218</v>
      </c>
      <c r="B8218">
        <v>123.32</v>
      </c>
      <c r="C8218">
        <f t="shared" si="276"/>
        <v>-3.9576770858574355E-3</v>
      </c>
      <c r="D8218">
        <f t="shared" si="275"/>
        <v>-0.45083285192220818</v>
      </c>
    </row>
    <row r="8219" spans="1:4">
      <c r="A8219" s="1">
        <v>30221</v>
      </c>
      <c r="B8219">
        <v>123.62</v>
      </c>
      <c r="C8219">
        <f t="shared" si="276"/>
        <v>2.4326954265326906E-3</v>
      </c>
      <c r="D8219">
        <f t="shared" si="275"/>
        <v>0.22398831319303081</v>
      </c>
    </row>
    <row r="8220" spans="1:4">
      <c r="A8220" s="1">
        <v>30222</v>
      </c>
      <c r="B8220">
        <v>123.24</v>
      </c>
      <c r="C8220">
        <f t="shared" si="276"/>
        <v>-3.0739362562692903E-3</v>
      </c>
      <c r="D8220">
        <f t="shared" si="275"/>
        <v>-0.35751012071580357</v>
      </c>
    </row>
    <row r="8221" spans="1:4">
      <c r="A8221" s="1">
        <v>30223</v>
      </c>
      <c r="B8221">
        <v>121.63</v>
      </c>
      <c r="C8221">
        <f t="shared" si="276"/>
        <v>-1.3063940279130149E-2</v>
      </c>
      <c r="D8221">
        <f t="shared" si="275"/>
        <v>-1.4124511497625509</v>
      </c>
    </row>
    <row r="8222" spans="1:4">
      <c r="A8222" s="1">
        <v>30224</v>
      </c>
      <c r="B8222">
        <v>120.42</v>
      </c>
      <c r="C8222">
        <f t="shared" si="276"/>
        <v>-9.9482035681985846E-3</v>
      </c>
      <c r="D8222">
        <f t="shared" si="275"/>
        <v>-1.0834304121785443</v>
      </c>
    </row>
    <row r="8223" spans="1:4">
      <c r="A8223" s="1">
        <v>30225</v>
      </c>
      <c r="B8223">
        <v>121.97</v>
      </c>
      <c r="C8223">
        <f t="shared" si="276"/>
        <v>1.2871616010629439E-2</v>
      </c>
      <c r="D8223">
        <f t="shared" si="275"/>
        <v>1.3263347785121349</v>
      </c>
    </row>
    <row r="8224" spans="1:4">
      <c r="A8224" s="1">
        <v>30228</v>
      </c>
      <c r="B8224">
        <v>121.51</v>
      </c>
      <c r="C8224">
        <f t="shared" si="276"/>
        <v>-3.7714192014429264E-3</v>
      </c>
      <c r="D8224">
        <f t="shared" si="275"/>
        <v>-0.43116408264016709</v>
      </c>
    </row>
    <row r="8225" spans="1:4">
      <c r="A8225" s="1">
        <v>30229</v>
      </c>
      <c r="B8225">
        <v>121.98</v>
      </c>
      <c r="C8225">
        <f t="shared" si="276"/>
        <v>3.8679944037527682E-3</v>
      </c>
      <c r="D8225">
        <f t="shared" si="275"/>
        <v>0.37555539730564369</v>
      </c>
    </row>
    <row r="8226" spans="1:4">
      <c r="A8226" s="1">
        <v>30230</v>
      </c>
      <c r="B8226">
        <v>125.97</v>
      </c>
      <c r="C8226">
        <f t="shared" si="276"/>
        <v>3.2710280373831731E-2</v>
      </c>
      <c r="D8226">
        <f t="shared" si="275"/>
        <v>3.421290991776631</v>
      </c>
    </row>
    <row r="8227" spans="1:4">
      <c r="A8227" s="1">
        <v>30231</v>
      </c>
      <c r="B8227">
        <v>128.80000000000001</v>
      </c>
      <c r="C8227">
        <f t="shared" si="276"/>
        <v>2.2465666428514827E-2</v>
      </c>
      <c r="D8227">
        <f t="shared" si="275"/>
        <v>2.3394632414646424</v>
      </c>
    </row>
    <row r="8228" spans="1:4">
      <c r="A8228" s="1">
        <v>30232</v>
      </c>
      <c r="B8228">
        <v>131.05000000000001</v>
      </c>
      <c r="C8228">
        <f t="shared" si="276"/>
        <v>1.746894409937888E-2</v>
      </c>
      <c r="D8228">
        <f t="shared" si="275"/>
        <v>1.8118110619763304</v>
      </c>
    </row>
    <row r="8229" spans="1:4">
      <c r="A8229" s="1">
        <v>30235</v>
      </c>
      <c r="B8229">
        <v>134.47</v>
      </c>
      <c r="C8229">
        <f t="shared" si="276"/>
        <v>2.6096909576497421E-2</v>
      </c>
      <c r="D8229">
        <f t="shared" si="275"/>
        <v>2.7229212835720857</v>
      </c>
    </row>
    <row r="8230" spans="1:4">
      <c r="A8230" s="1">
        <v>30236</v>
      </c>
      <c r="B8230">
        <v>134.44</v>
      </c>
      <c r="C8230">
        <f t="shared" si="276"/>
        <v>-2.2309808879304781E-4</v>
      </c>
      <c r="D8230">
        <f t="shared" si="275"/>
        <v>-5.6462579277289052E-2</v>
      </c>
    </row>
    <row r="8231" spans="1:4">
      <c r="A8231" s="1">
        <v>30237</v>
      </c>
      <c r="B8231">
        <v>136.71</v>
      </c>
      <c r="C8231">
        <f t="shared" si="276"/>
        <v>1.6884855697709093E-2</v>
      </c>
      <c r="D8231">
        <f t="shared" si="275"/>
        <v>1.750131525301295</v>
      </c>
    </row>
    <row r="8232" spans="1:4">
      <c r="A8232" s="1">
        <v>30238</v>
      </c>
      <c r="B8232">
        <v>134.57</v>
      </c>
      <c r="C8232">
        <f t="shared" si="276"/>
        <v>-1.5653573257260002E-2</v>
      </c>
      <c r="D8232">
        <f t="shared" si="275"/>
        <v>-1.6859155119940448</v>
      </c>
    </row>
    <row r="8233" spans="1:4">
      <c r="A8233" s="1">
        <v>30239</v>
      </c>
      <c r="B8233">
        <v>133.57</v>
      </c>
      <c r="C8233">
        <f t="shared" si="276"/>
        <v>-7.4310767630229625E-3</v>
      </c>
      <c r="D8233">
        <f t="shared" si="275"/>
        <v>-0.81762267716497194</v>
      </c>
    </row>
    <row r="8234" spans="1:4">
      <c r="A8234" s="1">
        <v>30242</v>
      </c>
      <c r="B8234">
        <v>136.72999999999999</v>
      </c>
      <c r="C8234">
        <f t="shared" si="276"/>
        <v>2.3658007037508397E-2</v>
      </c>
      <c r="D8234">
        <f t="shared" si="275"/>
        <v>2.4653740044780981</v>
      </c>
    </row>
    <row r="8235" spans="1:4">
      <c r="A8235" s="1">
        <v>30243</v>
      </c>
      <c r="B8235">
        <v>136.58000000000001</v>
      </c>
      <c r="C8235">
        <f t="shared" si="276"/>
        <v>-1.0970525853870935E-3</v>
      </c>
      <c r="D8235">
        <f t="shared" si="275"/>
        <v>-0.14875187704605292</v>
      </c>
    </row>
    <row r="8236" spans="1:4">
      <c r="A8236" s="1">
        <v>30244</v>
      </c>
      <c r="B8236">
        <v>139.22999999999999</v>
      </c>
      <c r="C8236">
        <f t="shared" si="276"/>
        <v>1.9402547957241008E-2</v>
      </c>
      <c r="D8236">
        <f t="shared" si="275"/>
        <v>2.0159989721026847</v>
      </c>
    </row>
    <row r="8237" spans="1:4">
      <c r="A8237" s="1">
        <v>30245</v>
      </c>
      <c r="B8237">
        <v>139.06</v>
      </c>
      <c r="C8237">
        <f t="shared" si="276"/>
        <v>-1.2210012210011312E-3</v>
      </c>
      <c r="D8237">
        <f t="shared" si="275"/>
        <v>-0.16184081083470694</v>
      </c>
    </row>
    <row r="8238" spans="1:4">
      <c r="A8238" s="1">
        <v>30246</v>
      </c>
      <c r="B8238">
        <v>138.83000000000001</v>
      </c>
      <c r="C8238">
        <f t="shared" si="276"/>
        <v>-1.6539623184236283E-3</v>
      </c>
      <c r="D8238">
        <f t="shared" si="275"/>
        <v>-0.20756135555189498</v>
      </c>
    </row>
    <row r="8239" spans="1:4">
      <c r="A8239" s="1">
        <v>30249</v>
      </c>
      <c r="B8239">
        <v>133.32</v>
      </c>
      <c r="C8239">
        <f t="shared" si="276"/>
        <v>-3.968882806309889E-2</v>
      </c>
      <c r="D8239">
        <f t="shared" si="275"/>
        <v>-4.2240302495105633</v>
      </c>
    </row>
    <row r="8240" spans="1:4">
      <c r="A8240" s="1">
        <v>30250</v>
      </c>
      <c r="B8240">
        <v>134.47999999999999</v>
      </c>
      <c r="C8240">
        <f t="shared" si="276"/>
        <v>8.7008700870086757E-3</v>
      </c>
      <c r="D8240">
        <f t="shared" si="275"/>
        <v>0.88590542668320449</v>
      </c>
    </row>
    <row r="8241" spans="1:4">
      <c r="A8241" s="1">
        <v>30251</v>
      </c>
      <c r="B8241">
        <v>135.29</v>
      </c>
      <c r="C8241">
        <f t="shared" si="276"/>
        <v>6.0232004759072158E-3</v>
      </c>
      <c r="D8241">
        <f t="shared" si="275"/>
        <v>0.60314442593501461</v>
      </c>
    </row>
    <row r="8242" spans="1:4">
      <c r="A8242" s="1">
        <v>30252</v>
      </c>
      <c r="B8242">
        <v>133.59</v>
      </c>
      <c r="C8242">
        <f t="shared" si="276"/>
        <v>-1.2565599822603213E-2</v>
      </c>
      <c r="D8242">
        <f t="shared" si="275"/>
        <v>-1.3598265669474581</v>
      </c>
    </row>
    <row r="8243" spans="1:4">
      <c r="A8243" s="1">
        <v>30253</v>
      </c>
      <c r="B8243">
        <v>133.72</v>
      </c>
      <c r="C8243">
        <f t="shared" si="276"/>
        <v>9.7312673104270862E-4</v>
      </c>
      <c r="D8243">
        <f t="shared" si="275"/>
        <v>6.9858355080794077E-2</v>
      </c>
    </row>
    <row r="8244" spans="1:4">
      <c r="A8244" s="1">
        <v>30256</v>
      </c>
      <c r="B8244">
        <v>135.47</v>
      </c>
      <c r="C8244">
        <f t="shared" si="276"/>
        <v>1.3087047562069997E-2</v>
      </c>
      <c r="D8244">
        <f t="shared" si="275"/>
        <v>1.3490842771155156</v>
      </c>
    </row>
    <row r="8245" spans="1:4">
      <c r="A8245" s="1">
        <v>30257</v>
      </c>
      <c r="B8245">
        <v>137.49</v>
      </c>
      <c r="C8245">
        <f t="shared" si="276"/>
        <v>1.4911050417066585E-2</v>
      </c>
      <c r="D8245">
        <f t="shared" si="275"/>
        <v>1.5416983585944601</v>
      </c>
    </row>
    <row r="8246" spans="1:4">
      <c r="A8246" s="1">
        <v>30258</v>
      </c>
      <c r="B8246">
        <v>142.87</v>
      </c>
      <c r="C8246">
        <f t="shared" si="276"/>
        <v>3.9130118554076623E-2</v>
      </c>
      <c r="D8246">
        <f t="shared" si="275"/>
        <v>4.099223721401466</v>
      </c>
    </row>
    <row r="8247" spans="1:4">
      <c r="A8247" s="1">
        <v>30259</v>
      </c>
      <c r="B8247">
        <v>141.85</v>
      </c>
      <c r="C8247">
        <f t="shared" si="276"/>
        <v>-7.1393574578288667E-3</v>
      </c>
      <c r="D8247">
        <f t="shared" si="275"/>
        <v>-0.78681721769668522</v>
      </c>
    </row>
    <row r="8248" spans="1:4">
      <c r="A8248" s="1">
        <v>30260</v>
      </c>
      <c r="B8248">
        <v>142.16</v>
      </c>
      <c r="C8248">
        <f t="shared" si="276"/>
        <v>2.1854071201974079E-3</v>
      </c>
      <c r="D8248">
        <f t="shared" si="275"/>
        <v>0.19787475210140443</v>
      </c>
    </row>
    <row r="8249" spans="1:4">
      <c r="A8249" s="1">
        <v>30263</v>
      </c>
      <c r="B8249">
        <v>140.44</v>
      </c>
      <c r="C8249">
        <f t="shared" si="276"/>
        <v>-1.2099043331457504E-2</v>
      </c>
      <c r="D8249">
        <f t="shared" si="275"/>
        <v>-1.3105583600727282</v>
      </c>
    </row>
    <row r="8250" spans="1:4">
      <c r="A8250" s="1">
        <v>30264</v>
      </c>
      <c r="B8250">
        <v>143.02000000000001</v>
      </c>
      <c r="C8250">
        <f t="shared" si="276"/>
        <v>1.8370834520079839E-2</v>
      </c>
      <c r="D8250">
        <f t="shared" si="275"/>
        <v>1.9070503838349022</v>
      </c>
    </row>
    <row r="8251" spans="1:4">
      <c r="A8251" s="1">
        <v>30265</v>
      </c>
      <c r="B8251">
        <v>141.16</v>
      </c>
      <c r="C8251">
        <f t="shared" si="276"/>
        <v>-1.3005174101524356E-2</v>
      </c>
      <c r="D8251">
        <f t="shared" si="275"/>
        <v>-1.4062454613829736</v>
      </c>
    </row>
    <row r="8252" spans="1:4">
      <c r="A8252" s="1">
        <v>30266</v>
      </c>
      <c r="B8252">
        <v>141.75</v>
      </c>
      <c r="C8252">
        <f t="shared" si="276"/>
        <v>4.1796542930008741E-3</v>
      </c>
      <c r="D8252">
        <f t="shared" si="275"/>
        <v>0.40846657567190003</v>
      </c>
    </row>
    <row r="8253" spans="1:4">
      <c r="A8253" s="1">
        <v>30267</v>
      </c>
      <c r="B8253">
        <v>139.53</v>
      </c>
      <c r="C8253">
        <f t="shared" si="276"/>
        <v>-1.5661375661375654E-2</v>
      </c>
      <c r="D8253">
        <f t="shared" si="275"/>
        <v>-1.6867394432164915</v>
      </c>
    </row>
    <row r="8254" spans="1:4">
      <c r="A8254" s="1">
        <v>30270</v>
      </c>
      <c r="B8254">
        <v>137.03</v>
      </c>
      <c r="C8254">
        <f t="shared" si="276"/>
        <v>-1.7917293771948686E-2</v>
      </c>
      <c r="D8254">
        <f t="shared" si="275"/>
        <v>-1.92496362886918</v>
      </c>
    </row>
    <row r="8255" spans="1:4">
      <c r="A8255" s="1">
        <v>30271</v>
      </c>
      <c r="B8255">
        <v>135.41999999999999</v>
      </c>
      <c r="C8255">
        <f t="shared" si="276"/>
        <v>-1.1749251988615731E-2</v>
      </c>
      <c r="D8255">
        <f t="shared" si="275"/>
        <v>-1.2736205131684915</v>
      </c>
    </row>
    <row r="8256" spans="1:4">
      <c r="A8256" s="1">
        <v>30272</v>
      </c>
      <c r="B8256">
        <v>137.93</v>
      </c>
      <c r="C8256">
        <f t="shared" si="276"/>
        <v>1.8534928370994089E-2</v>
      </c>
      <c r="D8256">
        <f t="shared" si="275"/>
        <v>1.9243786387132369</v>
      </c>
    </row>
    <row r="8257" spans="1:4">
      <c r="A8257" s="1">
        <v>30273</v>
      </c>
      <c r="B8257">
        <v>138.34</v>
      </c>
      <c r="C8257">
        <f t="shared" si="276"/>
        <v>2.9725222939171797E-3</v>
      </c>
      <c r="D8257">
        <f t="shared" si="275"/>
        <v>0.28099384689276502</v>
      </c>
    </row>
    <row r="8258" spans="1:4">
      <c r="A8258" s="1">
        <v>30274</v>
      </c>
      <c r="B8258">
        <v>137.02000000000001</v>
      </c>
      <c r="C8258">
        <f t="shared" si="276"/>
        <v>-9.5417088333091885E-3</v>
      </c>
      <c r="D8258">
        <f t="shared" si="275"/>
        <v>-1.040504706348498</v>
      </c>
    </row>
    <row r="8259" spans="1:4">
      <c r="A8259" s="1">
        <v>30277</v>
      </c>
      <c r="B8259">
        <v>134.22</v>
      </c>
      <c r="C8259">
        <f t="shared" si="276"/>
        <v>-2.0434972996642906E-2</v>
      </c>
      <c r="D8259">
        <f t="shared" ref="D8259:D8322" si="277">(C8259-avg)/sd</f>
        <v>-2.19082969919614</v>
      </c>
    </row>
    <row r="8260" spans="1:4">
      <c r="A8260" s="1">
        <v>30278</v>
      </c>
      <c r="B8260">
        <v>132.93</v>
      </c>
      <c r="C8260">
        <f t="shared" ref="C8260:C8323" si="278">(B8260-B8259)/B8259</f>
        <v>-9.6110862762627935E-3</v>
      </c>
      <c r="D8260">
        <f t="shared" si="277"/>
        <v>-1.04783094074186</v>
      </c>
    </row>
    <row r="8261" spans="1:4">
      <c r="A8261" s="1">
        <v>30279</v>
      </c>
      <c r="B8261">
        <v>133.88</v>
      </c>
      <c r="C8261">
        <f t="shared" si="278"/>
        <v>7.1466185210260179E-3</v>
      </c>
      <c r="D8261">
        <f t="shared" si="277"/>
        <v>0.72177698963121262</v>
      </c>
    </row>
    <row r="8262" spans="1:4">
      <c r="A8262" s="1">
        <v>30281</v>
      </c>
      <c r="B8262">
        <v>134.88</v>
      </c>
      <c r="C8262">
        <f t="shared" si="278"/>
        <v>7.4693755602031672E-3</v>
      </c>
      <c r="D8262">
        <f t="shared" si="277"/>
        <v>0.75586002325787138</v>
      </c>
    </row>
    <row r="8263" spans="1:4">
      <c r="A8263" s="1">
        <v>30284</v>
      </c>
      <c r="B8263">
        <v>134.19999999999999</v>
      </c>
      <c r="C8263">
        <f t="shared" si="278"/>
        <v>-5.0415183867141668E-3</v>
      </c>
      <c r="D8263">
        <f t="shared" si="277"/>
        <v>-0.56528612487712049</v>
      </c>
    </row>
    <row r="8264" spans="1:4">
      <c r="A8264" s="1">
        <v>30285</v>
      </c>
      <c r="B8264">
        <v>138.53</v>
      </c>
      <c r="C8264">
        <f t="shared" si="278"/>
        <v>3.2265275707898756E-2</v>
      </c>
      <c r="D8264">
        <f t="shared" si="277"/>
        <v>3.3742986503185444</v>
      </c>
    </row>
    <row r="8265" spans="1:4">
      <c r="A8265" s="1">
        <v>30286</v>
      </c>
      <c r="B8265">
        <v>138.72</v>
      </c>
      <c r="C8265">
        <f t="shared" si="278"/>
        <v>1.3715440698765446E-3</v>
      </c>
      <c r="D8265">
        <f t="shared" si="277"/>
        <v>0.11193109063301357</v>
      </c>
    </row>
    <row r="8266" spans="1:4">
      <c r="A8266" s="1">
        <v>30287</v>
      </c>
      <c r="B8266">
        <v>138.82</v>
      </c>
      <c r="C8266">
        <f t="shared" si="278"/>
        <v>7.2087658592844808E-4</v>
      </c>
      <c r="D8266">
        <f t="shared" si="277"/>
        <v>4.3220825500718589E-2</v>
      </c>
    </row>
    <row r="8267" spans="1:4">
      <c r="A8267" s="1">
        <v>30288</v>
      </c>
      <c r="B8267">
        <v>138.69</v>
      </c>
      <c r="C8267">
        <f t="shared" si="278"/>
        <v>-9.3646448638521436E-4</v>
      </c>
      <c r="D8267">
        <f t="shared" si="277"/>
        <v>-0.13179382837800155</v>
      </c>
    </row>
    <row r="8268" spans="1:4">
      <c r="A8268" s="1">
        <v>30291</v>
      </c>
      <c r="B8268">
        <v>141.77000000000001</v>
      </c>
      <c r="C8268">
        <f t="shared" si="278"/>
        <v>2.2207801571850982E-2</v>
      </c>
      <c r="D8268">
        <f t="shared" si="277"/>
        <v>2.3122328002534638</v>
      </c>
    </row>
    <row r="8269" spans="1:4">
      <c r="A8269" s="1">
        <v>30292</v>
      </c>
      <c r="B8269">
        <v>142.72</v>
      </c>
      <c r="C8269">
        <f t="shared" si="278"/>
        <v>6.7009945686674795E-3</v>
      </c>
      <c r="D8269">
        <f t="shared" si="277"/>
        <v>0.67471925173709213</v>
      </c>
    </row>
    <row r="8270" spans="1:4">
      <c r="A8270" s="1">
        <v>30293</v>
      </c>
      <c r="B8270">
        <v>141.82</v>
      </c>
      <c r="C8270">
        <f t="shared" si="278"/>
        <v>-6.3060538116592327E-3</v>
      </c>
      <c r="D8270">
        <f t="shared" si="277"/>
        <v>-0.69882063591484378</v>
      </c>
    </row>
    <row r="8271" spans="1:4">
      <c r="A8271" s="1">
        <v>30294</v>
      </c>
      <c r="B8271">
        <v>140</v>
      </c>
      <c r="C8271">
        <f t="shared" si="278"/>
        <v>-1.2833168805528088E-2</v>
      </c>
      <c r="D8271">
        <f t="shared" si="277"/>
        <v>-1.3880817605932085</v>
      </c>
    </row>
    <row r="8272" spans="1:4">
      <c r="A8272" s="1">
        <v>30295</v>
      </c>
      <c r="B8272">
        <v>139.57</v>
      </c>
      <c r="C8272">
        <f t="shared" si="278"/>
        <v>-3.0714285714286203E-3</v>
      </c>
      <c r="D8272">
        <f t="shared" si="277"/>
        <v>-0.35724531004903232</v>
      </c>
    </row>
    <row r="8273" spans="1:4">
      <c r="A8273" s="1">
        <v>30298</v>
      </c>
      <c r="B8273">
        <v>139.94999999999999</v>
      </c>
      <c r="C8273">
        <f t="shared" si="278"/>
        <v>2.7226481335530235E-3</v>
      </c>
      <c r="D8273">
        <f t="shared" si="277"/>
        <v>0.25460722049466405</v>
      </c>
    </row>
    <row r="8274" spans="1:4">
      <c r="A8274" s="1">
        <v>30299</v>
      </c>
      <c r="B8274">
        <v>137.4</v>
      </c>
      <c r="C8274">
        <f t="shared" si="278"/>
        <v>-1.8220793140407168E-2</v>
      </c>
      <c r="D8274">
        <f t="shared" si="277"/>
        <v>-1.9570130590139478</v>
      </c>
    </row>
    <row r="8275" spans="1:4">
      <c r="A8275" s="1">
        <v>30300</v>
      </c>
      <c r="B8275">
        <v>135.24</v>
      </c>
      <c r="C8275">
        <f t="shared" si="278"/>
        <v>-1.5720524017467222E-2</v>
      </c>
      <c r="D8275">
        <f t="shared" si="277"/>
        <v>-1.692985489514258</v>
      </c>
    </row>
    <row r="8276" spans="1:4">
      <c r="A8276" s="1">
        <v>30301</v>
      </c>
      <c r="B8276">
        <v>135.30000000000001</v>
      </c>
      <c r="C8276">
        <f t="shared" si="278"/>
        <v>4.4365572315884552E-4</v>
      </c>
      <c r="D8276">
        <f t="shared" si="277"/>
        <v>1.3946396624198306E-2</v>
      </c>
    </row>
    <row r="8277" spans="1:4">
      <c r="A8277" s="1">
        <v>30302</v>
      </c>
      <c r="B8277">
        <v>137.49</v>
      </c>
      <c r="C8277">
        <f t="shared" si="278"/>
        <v>1.6186252771618607E-2</v>
      </c>
      <c r="D8277">
        <f t="shared" si="277"/>
        <v>1.6763592937728125</v>
      </c>
    </row>
    <row r="8278" spans="1:4">
      <c r="A8278" s="1">
        <v>30305</v>
      </c>
      <c r="B8278">
        <v>136.25</v>
      </c>
      <c r="C8278">
        <f t="shared" si="278"/>
        <v>-9.0188377336534228E-3</v>
      </c>
      <c r="D8278">
        <f t="shared" si="277"/>
        <v>-0.98528969595737159</v>
      </c>
    </row>
    <row r="8279" spans="1:4">
      <c r="A8279" s="1">
        <v>30306</v>
      </c>
      <c r="B8279">
        <v>138.61000000000001</v>
      </c>
      <c r="C8279">
        <f t="shared" si="278"/>
        <v>1.7321100917431293E-2</v>
      </c>
      <c r="D8279">
        <f t="shared" si="277"/>
        <v>1.7961988722170044</v>
      </c>
    </row>
    <row r="8280" spans="1:4">
      <c r="A8280" s="1">
        <v>30307</v>
      </c>
      <c r="B8280">
        <v>138.83000000000001</v>
      </c>
      <c r="C8280">
        <f t="shared" si="278"/>
        <v>1.5871870716398446E-3</v>
      </c>
      <c r="D8280">
        <f t="shared" si="277"/>
        <v>0.13470291831860023</v>
      </c>
    </row>
    <row r="8281" spans="1:4">
      <c r="A8281" s="1">
        <v>30308</v>
      </c>
      <c r="B8281">
        <v>139.72</v>
      </c>
      <c r="C8281">
        <f t="shared" si="278"/>
        <v>6.4107181444931667E-3</v>
      </c>
      <c r="D8281">
        <f t="shared" si="277"/>
        <v>0.64406616001403538</v>
      </c>
    </row>
    <row r="8282" spans="1:4">
      <c r="A8282" s="1">
        <v>30312</v>
      </c>
      <c r="B8282">
        <v>142.16999999999999</v>
      </c>
      <c r="C8282">
        <f t="shared" si="278"/>
        <v>1.7535070140280481E-2</v>
      </c>
      <c r="D8282">
        <f t="shared" si="277"/>
        <v>1.8187939494182059</v>
      </c>
    </row>
    <row r="8283" spans="1:4">
      <c r="A8283" s="1">
        <v>30313</v>
      </c>
      <c r="B8283">
        <v>140.77000000000001</v>
      </c>
      <c r="C8283">
        <f t="shared" si="278"/>
        <v>-9.8473658296404122E-3</v>
      </c>
      <c r="D8283">
        <f t="shared" si="277"/>
        <v>-1.072781981263214</v>
      </c>
    </row>
    <row r="8284" spans="1:4">
      <c r="A8284" s="1">
        <v>30314</v>
      </c>
      <c r="B8284">
        <v>141.24</v>
      </c>
      <c r="C8284">
        <f t="shared" si="278"/>
        <v>3.3387795695105408E-3</v>
      </c>
      <c r="D8284">
        <f t="shared" si="277"/>
        <v>0.31967049069852699</v>
      </c>
    </row>
    <row r="8285" spans="1:4">
      <c r="A8285" s="1">
        <v>30315</v>
      </c>
      <c r="B8285">
        <v>140.33000000000001</v>
      </c>
      <c r="C8285">
        <f t="shared" si="278"/>
        <v>-6.4429340130274463E-3</v>
      </c>
      <c r="D8285">
        <f t="shared" si="277"/>
        <v>-0.71327513865148606</v>
      </c>
    </row>
    <row r="8286" spans="1:4">
      <c r="A8286" s="1">
        <v>30316</v>
      </c>
      <c r="B8286">
        <v>140.63999999999999</v>
      </c>
      <c r="C8286">
        <f t="shared" si="278"/>
        <v>2.2090786004416293E-3</v>
      </c>
      <c r="D8286">
        <f t="shared" si="277"/>
        <v>0.20037445236886711</v>
      </c>
    </row>
    <row r="8287" spans="1:4">
      <c r="A8287" s="1">
        <v>30319</v>
      </c>
      <c r="B8287">
        <v>138.34</v>
      </c>
      <c r="C8287">
        <f t="shared" si="278"/>
        <v>-1.6353811149032872E-2</v>
      </c>
      <c r="D8287">
        <f t="shared" si="277"/>
        <v>-1.7598603953428356</v>
      </c>
    </row>
    <row r="8288" spans="1:4">
      <c r="A8288" s="1">
        <v>30320</v>
      </c>
      <c r="B8288">
        <v>141.36000000000001</v>
      </c>
      <c r="C8288">
        <f t="shared" si="278"/>
        <v>2.1830273239843937E-2</v>
      </c>
      <c r="D8288">
        <f t="shared" si="277"/>
        <v>2.2723659367216351</v>
      </c>
    </row>
    <row r="8289" spans="1:4">
      <c r="A8289" s="1">
        <v>30321</v>
      </c>
      <c r="B8289">
        <v>141.96</v>
      </c>
      <c r="C8289">
        <f t="shared" si="278"/>
        <v>4.2444821731748321E-3</v>
      </c>
      <c r="D8289">
        <f t="shared" si="277"/>
        <v>0.41531237778220281</v>
      </c>
    </row>
    <row r="8290" spans="1:4">
      <c r="A8290" s="1">
        <v>30322</v>
      </c>
      <c r="B8290">
        <v>145.27000000000001</v>
      </c>
      <c r="C8290">
        <f t="shared" si="278"/>
        <v>2.3316427162581022E-2</v>
      </c>
      <c r="D8290">
        <f t="shared" si="277"/>
        <v>2.4293032857944081</v>
      </c>
    </row>
    <row r="8291" spans="1:4">
      <c r="A8291" s="1">
        <v>30323</v>
      </c>
      <c r="B8291">
        <v>145.18</v>
      </c>
      <c r="C8291">
        <f t="shared" si="278"/>
        <v>-6.1953603634613754E-4</v>
      </c>
      <c r="D8291">
        <f t="shared" si="277"/>
        <v>-9.8326291783089506E-2</v>
      </c>
    </row>
    <row r="8292" spans="1:4">
      <c r="A8292" s="1">
        <v>30326</v>
      </c>
      <c r="B8292">
        <v>146.78</v>
      </c>
      <c r="C8292">
        <f t="shared" si="278"/>
        <v>1.1020801763328243E-2</v>
      </c>
      <c r="D8292">
        <f t="shared" si="277"/>
        <v>1.1308894231194588</v>
      </c>
    </row>
    <row r="8293" spans="1:4">
      <c r="A8293" s="1">
        <v>30327</v>
      </c>
      <c r="B8293">
        <v>145.78</v>
      </c>
      <c r="C8293">
        <f t="shared" si="278"/>
        <v>-6.8129172911840846E-3</v>
      </c>
      <c r="D8293">
        <f t="shared" si="277"/>
        <v>-0.75234524706140027</v>
      </c>
    </row>
    <row r="8294" spans="1:4">
      <c r="A8294" s="1">
        <v>30328</v>
      </c>
      <c r="B8294">
        <v>146.69</v>
      </c>
      <c r="C8294">
        <f t="shared" si="278"/>
        <v>6.2422828920290618E-3</v>
      </c>
      <c r="D8294">
        <f t="shared" si="277"/>
        <v>0.62627945460775003</v>
      </c>
    </row>
    <row r="8295" spans="1:4">
      <c r="A8295" s="1">
        <v>30329</v>
      </c>
      <c r="B8295">
        <v>145.72999999999999</v>
      </c>
      <c r="C8295">
        <f t="shared" si="278"/>
        <v>-6.544413388779112E-3</v>
      </c>
      <c r="D8295">
        <f t="shared" si="277"/>
        <v>-0.7239913262363461</v>
      </c>
    </row>
    <row r="8296" spans="1:4">
      <c r="A8296" s="1">
        <v>30330</v>
      </c>
      <c r="B8296">
        <v>146.65</v>
      </c>
      <c r="C8296">
        <f t="shared" si="278"/>
        <v>6.3130446716531665E-3</v>
      </c>
      <c r="D8296">
        <f t="shared" si="277"/>
        <v>0.633751874482958</v>
      </c>
    </row>
    <row r="8297" spans="1:4">
      <c r="A8297" s="1">
        <v>30333</v>
      </c>
      <c r="B8297">
        <v>146.72</v>
      </c>
      <c r="C8297">
        <f t="shared" si="278"/>
        <v>4.7732696897370046E-4</v>
      </c>
      <c r="D8297">
        <f t="shared" si="277"/>
        <v>1.7502068736834429E-2</v>
      </c>
    </row>
    <row r="8298" spans="1:4">
      <c r="A8298" s="1">
        <v>30334</v>
      </c>
      <c r="B8298">
        <v>146.4</v>
      </c>
      <c r="C8298">
        <f t="shared" si="278"/>
        <v>-2.1810250817883943E-3</v>
      </c>
      <c r="D8298">
        <f t="shared" si="277"/>
        <v>-0.26321900420587618</v>
      </c>
    </row>
    <row r="8299" spans="1:4">
      <c r="A8299" s="1">
        <v>30335</v>
      </c>
      <c r="B8299">
        <v>145.27000000000001</v>
      </c>
      <c r="C8299">
        <f t="shared" si="278"/>
        <v>-7.7185792349726461E-3</v>
      </c>
      <c r="D8299">
        <f t="shared" si="277"/>
        <v>-0.84798284047602002</v>
      </c>
    </row>
    <row r="8300" spans="1:4">
      <c r="A8300" s="1">
        <v>30336</v>
      </c>
      <c r="B8300">
        <v>146.29</v>
      </c>
      <c r="C8300">
        <f t="shared" si="278"/>
        <v>7.0214084119225011E-3</v>
      </c>
      <c r="D8300">
        <f t="shared" si="277"/>
        <v>0.70855484467086527</v>
      </c>
    </row>
    <row r="8301" spans="1:4">
      <c r="A8301" s="1">
        <v>30337</v>
      </c>
      <c r="B8301">
        <v>143.85</v>
      </c>
      <c r="C8301">
        <f t="shared" si="278"/>
        <v>-1.667919885159613E-2</v>
      </c>
      <c r="D8301">
        <f t="shared" si="277"/>
        <v>-1.7942212261288615</v>
      </c>
    </row>
    <row r="8302" spans="1:4">
      <c r="A8302" s="1">
        <v>30340</v>
      </c>
      <c r="B8302">
        <v>139.97</v>
      </c>
      <c r="C8302">
        <f t="shared" si="278"/>
        <v>-2.6972540841153948E-2</v>
      </c>
      <c r="D8302">
        <f t="shared" si="277"/>
        <v>-2.8811946413492233</v>
      </c>
    </row>
    <row r="8303" spans="1:4">
      <c r="A8303" s="1">
        <v>30341</v>
      </c>
      <c r="B8303">
        <v>141.75</v>
      </c>
      <c r="C8303">
        <f t="shared" si="278"/>
        <v>1.2717010788026013E-2</v>
      </c>
      <c r="D8303">
        <f t="shared" si="277"/>
        <v>1.3100085195580817</v>
      </c>
    </row>
    <row r="8304" spans="1:4">
      <c r="A8304" s="1">
        <v>30342</v>
      </c>
      <c r="B8304">
        <v>141.54</v>
      </c>
      <c r="C8304">
        <f t="shared" si="278"/>
        <v>-1.4814814814815376E-3</v>
      </c>
      <c r="D8304">
        <f t="shared" si="277"/>
        <v>-0.18934743779989532</v>
      </c>
    </row>
    <row r="8305" spans="1:4">
      <c r="A8305" s="1">
        <v>30343</v>
      </c>
      <c r="B8305">
        <v>144.27000000000001</v>
      </c>
      <c r="C8305">
        <f t="shared" si="278"/>
        <v>1.9287833827893303E-2</v>
      </c>
      <c r="D8305">
        <f t="shared" si="277"/>
        <v>2.0038851990367945</v>
      </c>
    </row>
    <row r="8306" spans="1:4">
      <c r="A8306" s="1">
        <v>30344</v>
      </c>
      <c r="B8306">
        <v>144.51</v>
      </c>
      <c r="C8306">
        <f t="shared" si="278"/>
        <v>1.6635475150757653E-3</v>
      </c>
      <c r="D8306">
        <f t="shared" si="277"/>
        <v>0.1427665551892576</v>
      </c>
    </row>
    <row r="8307" spans="1:4">
      <c r="A8307" s="1">
        <v>30347</v>
      </c>
      <c r="B8307">
        <v>145.30000000000001</v>
      </c>
      <c r="C8307">
        <f t="shared" si="278"/>
        <v>5.4667497059028474E-3</v>
      </c>
      <c r="D8307">
        <f t="shared" si="277"/>
        <v>0.54438341376936028</v>
      </c>
    </row>
    <row r="8308" spans="1:4">
      <c r="A8308" s="1">
        <v>30348</v>
      </c>
      <c r="B8308">
        <v>142.96</v>
      </c>
      <c r="C8308">
        <f t="shared" si="278"/>
        <v>-1.6104611149346203E-2</v>
      </c>
      <c r="D8308">
        <f t="shared" si="277"/>
        <v>-1.733544960083119</v>
      </c>
    </row>
    <row r="8309" spans="1:4">
      <c r="A8309" s="1">
        <v>30349</v>
      </c>
      <c r="B8309">
        <v>143.22999999999999</v>
      </c>
      <c r="C8309">
        <f t="shared" si="278"/>
        <v>1.8886401790709415E-3</v>
      </c>
      <c r="D8309">
        <f t="shared" si="277"/>
        <v>0.16653626399443416</v>
      </c>
    </row>
    <row r="8310" spans="1:4">
      <c r="A8310" s="1">
        <v>30350</v>
      </c>
      <c r="B8310">
        <v>144.26</v>
      </c>
      <c r="C8310">
        <f t="shared" si="278"/>
        <v>7.1912308873839361E-3</v>
      </c>
      <c r="D8310">
        <f t="shared" si="277"/>
        <v>0.72648804035412862</v>
      </c>
    </row>
    <row r="8311" spans="1:4">
      <c r="A8311" s="1">
        <v>30351</v>
      </c>
      <c r="B8311">
        <v>146.13999999999999</v>
      </c>
      <c r="C8311">
        <f t="shared" si="278"/>
        <v>1.3032025509496711E-2</v>
      </c>
      <c r="D8311">
        <f t="shared" si="277"/>
        <v>1.3432739670666809</v>
      </c>
    </row>
    <row r="8312" spans="1:4">
      <c r="A8312" s="1">
        <v>30354</v>
      </c>
      <c r="B8312">
        <v>146.93</v>
      </c>
      <c r="C8312">
        <f t="shared" si="278"/>
        <v>5.4057752839744115E-3</v>
      </c>
      <c r="D8312">
        <f t="shared" si="277"/>
        <v>0.53794453553993049</v>
      </c>
    </row>
    <row r="8313" spans="1:4">
      <c r="A8313" s="1">
        <v>30355</v>
      </c>
      <c r="B8313">
        <v>145.69999999999999</v>
      </c>
      <c r="C8313">
        <f t="shared" si="278"/>
        <v>-8.3713332879603759E-3</v>
      </c>
      <c r="D8313">
        <f t="shared" si="277"/>
        <v>-0.91691344658964091</v>
      </c>
    </row>
    <row r="8314" spans="1:4">
      <c r="A8314" s="1">
        <v>30356</v>
      </c>
      <c r="B8314">
        <v>145</v>
      </c>
      <c r="C8314">
        <f t="shared" si="278"/>
        <v>-4.8043925875085013E-3</v>
      </c>
      <c r="D8314">
        <f t="shared" si="277"/>
        <v>-0.54024572108397761</v>
      </c>
    </row>
    <row r="8315" spans="1:4">
      <c r="A8315" s="1">
        <v>30357</v>
      </c>
      <c r="B8315">
        <v>147.5</v>
      </c>
      <c r="C8315">
        <f t="shared" si="278"/>
        <v>1.7241379310344827E-2</v>
      </c>
      <c r="D8315">
        <f t="shared" si="277"/>
        <v>1.7877802976073645</v>
      </c>
    </row>
    <row r="8316" spans="1:4">
      <c r="A8316" s="1">
        <v>30358</v>
      </c>
      <c r="B8316">
        <v>147.65</v>
      </c>
      <c r="C8316">
        <f t="shared" si="278"/>
        <v>1.0169491525424115E-3</v>
      </c>
      <c r="D8316">
        <f t="shared" si="277"/>
        <v>7.4485987895197892E-2</v>
      </c>
    </row>
    <row r="8317" spans="1:4">
      <c r="A8317" s="1">
        <v>30361</v>
      </c>
      <c r="B8317">
        <v>148.93</v>
      </c>
      <c r="C8317">
        <f t="shared" si="278"/>
        <v>8.6691500169319407E-3</v>
      </c>
      <c r="D8317">
        <f t="shared" si="277"/>
        <v>0.88255579806527706</v>
      </c>
    </row>
    <row r="8318" spans="1:4">
      <c r="A8318" s="1">
        <v>30362</v>
      </c>
      <c r="B8318">
        <v>148.30000000000001</v>
      </c>
      <c r="C8318">
        <f t="shared" si="278"/>
        <v>-4.2301752501174746E-3</v>
      </c>
      <c r="D8318">
        <f t="shared" si="277"/>
        <v>-0.47960856544144176</v>
      </c>
    </row>
    <row r="8319" spans="1:4">
      <c r="A8319" s="1">
        <v>30363</v>
      </c>
      <c r="B8319">
        <v>147.43</v>
      </c>
      <c r="C8319">
        <f t="shared" si="278"/>
        <v>-5.8664868509777784E-3</v>
      </c>
      <c r="D8319">
        <f t="shared" si="277"/>
        <v>-0.65240251428295193</v>
      </c>
    </row>
    <row r="8320" spans="1:4">
      <c r="A8320" s="1">
        <v>30364</v>
      </c>
      <c r="B8320">
        <v>147.44</v>
      </c>
      <c r="C8320">
        <f t="shared" si="278"/>
        <v>6.7828800108464388E-5</v>
      </c>
      <c r="D8320">
        <f t="shared" si="277"/>
        <v>-2.5740798700143758E-2</v>
      </c>
    </row>
    <row r="8321" spans="1:4">
      <c r="A8321" s="1">
        <v>30365</v>
      </c>
      <c r="B8321">
        <v>148</v>
      </c>
      <c r="C8321">
        <f t="shared" si="278"/>
        <v>3.7981551817688705E-3</v>
      </c>
      <c r="D8321">
        <f t="shared" si="277"/>
        <v>0.36818039920364909</v>
      </c>
    </row>
    <row r="8322" spans="1:4">
      <c r="A8322" s="1">
        <v>30369</v>
      </c>
      <c r="B8322">
        <v>145.47999999999999</v>
      </c>
      <c r="C8322">
        <f t="shared" si="278"/>
        <v>-1.7027027027027096E-2</v>
      </c>
      <c r="D8322">
        <f t="shared" si="277"/>
        <v>-1.83095176322183</v>
      </c>
    </row>
    <row r="8323" spans="1:4">
      <c r="A8323" s="1">
        <v>30370</v>
      </c>
      <c r="B8323">
        <v>146.79</v>
      </c>
      <c r="C8323">
        <f t="shared" si="278"/>
        <v>9.0046741820181634E-3</v>
      </c>
      <c r="D8323">
        <f t="shared" ref="D8323:D8386" si="279">(C8323-avg)/sd</f>
        <v>0.91798703584817698</v>
      </c>
    </row>
    <row r="8324" spans="1:4">
      <c r="A8324" s="1">
        <v>30371</v>
      </c>
      <c r="B8324">
        <v>149.6</v>
      </c>
      <c r="C8324">
        <f t="shared" ref="C8324:C8387" si="280">(B8324-B8323)/B8323</f>
        <v>1.9142993391920448E-2</v>
      </c>
      <c r="D8324">
        <f t="shared" si="279"/>
        <v>1.9885900982317173</v>
      </c>
    </row>
    <row r="8325" spans="1:4">
      <c r="A8325" s="1">
        <v>30372</v>
      </c>
      <c r="B8325">
        <v>149.74</v>
      </c>
      <c r="C8325">
        <f t="shared" si="280"/>
        <v>9.3582887700544644E-4</v>
      </c>
      <c r="D8325">
        <f t="shared" si="279"/>
        <v>6.591971437261579E-2</v>
      </c>
    </row>
    <row r="8326" spans="1:4">
      <c r="A8326" s="1">
        <v>30375</v>
      </c>
      <c r="B8326">
        <v>148.06</v>
      </c>
      <c r="C8326">
        <f t="shared" si="280"/>
        <v>-1.1219447041538712E-2</v>
      </c>
      <c r="D8326">
        <f t="shared" si="279"/>
        <v>-1.2176732908466097</v>
      </c>
    </row>
    <row r="8327" spans="1:4">
      <c r="A8327" s="1">
        <v>30376</v>
      </c>
      <c r="B8327">
        <v>150.88</v>
      </c>
      <c r="C8327">
        <f t="shared" si="280"/>
        <v>1.9046332567877841E-2</v>
      </c>
      <c r="D8327">
        <f t="shared" si="279"/>
        <v>1.9783827480694285</v>
      </c>
    </row>
    <row r="8328" spans="1:4">
      <c r="A8328" s="1">
        <v>30377</v>
      </c>
      <c r="B8328">
        <v>152.30000000000001</v>
      </c>
      <c r="C8328">
        <f t="shared" si="280"/>
        <v>9.4114528101803818E-3</v>
      </c>
      <c r="D8328">
        <f t="shared" si="279"/>
        <v>0.96094272071133335</v>
      </c>
    </row>
    <row r="8329" spans="1:4">
      <c r="A8329" s="1">
        <v>30378</v>
      </c>
      <c r="B8329">
        <v>153.47999999999999</v>
      </c>
      <c r="C8329">
        <f t="shared" si="280"/>
        <v>7.7478660538409603E-3</v>
      </c>
      <c r="D8329">
        <f t="shared" si="279"/>
        <v>0.78526852472250408</v>
      </c>
    </row>
    <row r="8330" spans="1:4">
      <c r="A8330" s="1">
        <v>30379</v>
      </c>
      <c r="B8330">
        <v>153.66999999999999</v>
      </c>
      <c r="C8330">
        <f t="shared" si="280"/>
        <v>1.2379463122230761E-3</v>
      </c>
      <c r="D8330">
        <f t="shared" si="279"/>
        <v>9.7823212836891577E-2</v>
      </c>
    </row>
    <row r="8331" spans="1:4">
      <c r="A8331" s="1">
        <v>30382</v>
      </c>
      <c r="B8331">
        <v>153.66999999999999</v>
      </c>
      <c r="C8331">
        <f t="shared" si="280"/>
        <v>0</v>
      </c>
      <c r="D8331">
        <f t="shared" si="279"/>
        <v>-3.29034969354682E-2</v>
      </c>
    </row>
    <row r="8332" spans="1:4">
      <c r="A8332" s="1">
        <v>30383</v>
      </c>
      <c r="B8332">
        <v>151.26</v>
      </c>
      <c r="C8332">
        <f t="shared" si="280"/>
        <v>-1.5682956985748661E-2</v>
      </c>
      <c r="D8332">
        <f t="shared" si="279"/>
        <v>-1.6890184237344326</v>
      </c>
    </row>
    <row r="8333" spans="1:4">
      <c r="A8333" s="1">
        <v>30384</v>
      </c>
      <c r="B8333">
        <v>152.87</v>
      </c>
      <c r="C8333">
        <f t="shared" si="280"/>
        <v>1.0643924368636875E-2</v>
      </c>
      <c r="D8333">
        <f t="shared" si="279"/>
        <v>1.0910912983469012</v>
      </c>
    </row>
    <row r="8334" spans="1:4">
      <c r="A8334" s="1">
        <v>30385</v>
      </c>
      <c r="B8334">
        <v>151.80000000000001</v>
      </c>
      <c r="C8334">
        <f t="shared" si="280"/>
        <v>-6.9994112644730369E-3</v>
      </c>
      <c r="D8334">
        <f t="shared" si="279"/>
        <v>-0.772038947248332</v>
      </c>
    </row>
    <row r="8335" spans="1:4">
      <c r="A8335" s="1">
        <v>30386</v>
      </c>
      <c r="B8335">
        <v>151.24</v>
      </c>
      <c r="C8335">
        <f t="shared" si="280"/>
        <v>-3.6890645586297906E-3</v>
      </c>
      <c r="D8335">
        <f t="shared" si="279"/>
        <v>-0.42246746035280319</v>
      </c>
    </row>
    <row r="8336" spans="1:4">
      <c r="A8336" s="1">
        <v>30389</v>
      </c>
      <c r="B8336">
        <v>150.83000000000001</v>
      </c>
      <c r="C8336">
        <f t="shared" si="280"/>
        <v>-2.7109230362337778E-3</v>
      </c>
      <c r="D8336">
        <f t="shared" si="279"/>
        <v>-0.31917604807424232</v>
      </c>
    </row>
    <row r="8337" spans="1:4">
      <c r="A8337" s="1">
        <v>30390</v>
      </c>
      <c r="B8337">
        <v>151.37</v>
      </c>
      <c r="C8337">
        <f t="shared" si="280"/>
        <v>3.5801896174500565E-3</v>
      </c>
      <c r="D8337">
        <f t="shared" si="279"/>
        <v>0.34516330970167747</v>
      </c>
    </row>
    <row r="8338" spans="1:4">
      <c r="A8338" s="1">
        <v>30391</v>
      </c>
      <c r="B8338">
        <v>149.81</v>
      </c>
      <c r="C8338">
        <f t="shared" si="280"/>
        <v>-1.0305873026359267E-2</v>
      </c>
      <c r="D8338">
        <f t="shared" si="279"/>
        <v>-1.1212001853825564</v>
      </c>
    </row>
    <row r="8339" spans="1:4">
      <c r="A8339" s="1">
        <v>30392</v>
      </c>
      <c r="B8339">
        <v>149.59</v>
      </c>
      <c r="C8339">
        <f t="shared" si="280"/>
        <v>-1.4685268006141036E-3</v>
      </c>
      <c r="D8339">
        <f t="shared" si="279"/>
        <v>-0.18797942790380426</v>
      </c>
    </row>
    <row r="8340" spans="1:4">
      <c r="A8340" s="1">
        <v>30393</v>
      </c>
      <c r="B8340">
        <v>149.9</v>
      </c>
      <c r="C8340">
        <f t="shared" si="280"/>
        <v>2.072331038171016E-3</v>
      </c>
      <c r="D8340">
        <f t="shared" si="279"/>
        <v>0.18593395627584525</v>
      </c>
    </row>
    <row r="8341" spans="1:4">
      <c r="A8341" s="1">
        <v>30396</v>
      </c>
      <c r="B8341">
        <v>151.19</v>
      </c>
      <c r="C8341">
        <f t="shared" si="280"/>
        <v>8.6057371581053504E-3</v>
      </c>
      <c r="D8341">
        <f t="shared" si="279"/>
        <v>0.87585942172826714</v>
      </c>
    </row>
    <row r="8342" spans="1:4">
      <c r="A8342" s="1">
        <v>30397</v>
      </c>
      <c r="B8342">
        <v>150.66</v>
      </c>
      <c r="C8342">
        <f t="shared" si="280"/>
        <v>-3.5055228520404864E-3</v>
      </c>
      <c r="D8342">
        <f t="shared" si="279"/>
        <v>-0.40308551852583002</v>
      </c>
    </row>
    <row r="8343" spans="1:4">
      <c r="A8343" s="1">
        <v>30398</v>
      </c>
      <c r="B8343">
        <v>152.81</v>
      </c>
      <c r="C8343">
        <f t="shared" si="280"/>
        <v>1.4270542944378108E-2</v>
      </c>
      <c r="D8343">
        <f t="shared" si="279"/>
        <v>1.4740609871976253</v>
      </c>
    </row>
    <row r="8344" spans="1:4">
      <c r="A8344" s="1">
        <v>30399</v>
      </c>
      <c r="B8344">
        <v>153.37</v>
      </c>
      <c r="C8344">
        <f t="shared" si="280"/>
        <v>3.6646816307833404E-3</v>
      </c>
      <c r="D8344">
        <f t="shared" si="279"/>
        <v>0.3540856375894415</v>
      </c>
    </row>
    <row r="8345" spans="1:4">
      <c r="A8345" s="1">
        <v>30400</v>
      </c>
      <c r="B8345">
        <v>152.66999999999999</v>
      </c>
      <c r="C8345">
        <f t="shared" si="280"/>
        <v>-4.5641259698768798E-3</v>
      </c>
      <c r="D8345">
        <f t="shared" si="279"/>
        <v>-0.51487364793266988</v>
      </c>
    </row>
    <row r="8346" spans="1:4">
      <c r="A8346" s="1">
        <v>30403</v>
      </c>
      <c r="B8346">
        <v>151.85</v>
      </c>
      <c r="C8346">
        <f t="shared" si="280"/>
        <v>-5.3710617672102787E-3</v>
      </c>
      <c r="D8346">
        <f t="shared" si="279"/>
        <v>-0.60008579384027216</v>
      </c>
    </row>
    <row r="8347" spans="1:4">
      <c r="A8347" s="1">
        <v>30404</v>
      </c>
      <c r="B8347">
        <v>151.59</v>
      </c>
      <c r="C8347">
        <f t="shared" si="280"/>
        <v>-1.7122160026341185E-3</v>
      </c>
      <c r="D8347">
        <f t="shared" si="279"/>
        <v>-0.21371292480313339</v>
      </c>
    </row>
    <row r="8348" spans="1:4">
      <c r="A8348" s="1">
        <v>30405</v>
      </c>
      <c r="B8348">
        <v>153.38999999999999</v>
      </c>
      <c r="C8348">
        <f t="shared" si="280"/>
        <v>1.1874134177716095E-2</v>
      </c>
      <c r="D8348">
        <f t="shared" si="279"/>
        <v>1.2210010360170349</v>
      </c>
    </row>
    <row r="8349" spans="1:4">
      <c r="A8349" s="1">
        <v>30406</v>
      </c>
      <c r="B8349">
        <v>152.96</v>
      </c>
      <c r="C8349">
        <f t="shared" si="280"/>
        <v>-2.8033118195448102E-3</v>
      </c>
      <c r="D8349">
        <f t="shared" si="279"/>
        <v>-0.32893227218741405</v>
      </c>
    </row>
    <row r="8350" spans="1:4">
      <c r="A8350" s="1">
        <v>30410</v>
      </c>
      <c r="B8350">
        <v>153.02000000000001</v>
      </c>
      <c r="C8350">
        <f t="shared" si="280"/>
        <v>3.9225941422595627E-4</v>
      </c>
      <c r="D8350">
        <f t="shared" si="279"/>
        <v>8.5189638713394529E-3</v>
      </c>
    </row>
    <row r="8351" spans="1:4">
      <c r="A8351" s="1">
        <v>30411</v>
      </c>
      <c r="B8351">
        <v>151.9</v>
      </c>
      <c r="C8351">
        <f t="shared" si="280"/>
        <v>-7.3193046660567536E-3</v>
      </c>
      <c r="D8351">
        <f t="shared" si="279"/>
        <v>-0.80581958171852208</v>
      </c>
    </row>
    <row r="8352" spans="1:4">
      <c r="A8352" s="1">
        <v>30412</v>
      </c>
      <c r="B8352">
        <v>151.04</v>
      </c>
      <c r="C8352">
        <f t="shared" si="280"/>
        <v>-5.6616194865043686E-3</v>
      </c>
      <c r="D8352">
        <f t="shared" si="279"/>
        <v>-0.63076859023236054</v>
      </c>
    </row>
    <row r="8353" spans="1:4">
      <c r="A8353" s="1">
        <v>30413</v>
      </c>
      <c r="B8353">
        <v>151.76</v>
      </c>
      <c r="C8353">
        <f t="shared" si="280"/>
        <v>4.7669491525423654E-3</v>
      </c>
      <c r="D8353">
        <f t="shared" si="279"/>
        <v>0.47048471320825913</v>
      </c>
    </row>
    <row r="8354" spans="1:4">
      <c r="A8354" s="1">
        <v>30414</v>
      </c>
      <c r="B8354">
        <v>152.85</v>
      </c>
      <c r="C8354">
        <f t="shared" si="280"/>
        <v>7.1823932525039765E-3</v>
      </c>
      <c r="D8354">
        <f t="shared" si="279"/>
        <v>0.72555478911486293</v>
      </c>
    </row>
    <row r="8355" spans="1:4">
      <c r="A8355" s="1">
        <v>30417</v>
      </c>
      <c r="B8355">
        <v>155.13999999999999</v>
      </c>
      <c r="C8355">
        <f t="shared" si="280"/>
        <v>1.4982008505070279E-2</v>
      </c>
      <c r="D8355">
        <f t="shared" si="279"/>
        <v>1.5491915085678241</v>
      </c>
    </row>
    <row r="8356" spans="1:4">
      <c r="A8356" s="1">
        <v>30418</v>
      </c>
      <c r="B8356">
        <v>155.82</v>
      </c>
      <c r="C8356">
        <f t="shared" si="280"/>
        <v>4.3831378110094554E-3</v>
      </c>
      <c r="D8356">
        <f t="shared" si="279"/>
        <v>0.42995436600619774</v>
      </c>
    </row>
    <row r="8357" spans="1:4">
      <c r="A8357" s="1">
        <v>30419</v>
      </c>
      <c r="B8357">
        <v>156.77000000000001</v>
      </c>
      <c r="C8357">
        <f t="shared" si="280"/>
        <v>6.0967783339752092E-3</v>
      </c>
      <c r="D8357">
        <f t="shared" si="279"/>
        <v>0.61091422273666562</v>
      </c>
    </row>
    <row r="8358" spans="1:4">
      <c r="A8358" s="1">
        <v>30420</v>
      </c>
      <c r="B8358">
        <v>158.12</v>
      </c>
      <c r="C8358">
        <f t="shared" si="280"/>
        <v>8.6113414556356072E-3</v>
      </c>
      <c r="D8358">
        <f t="shared" si="279"/>
        <v>0.87645123364246891</v>
      </c>
    </row>
    <row r="8359" spans="1:4">
      <c r="A8359" s="1">
        <v>30421</v>
      </c>
      <c r="B8359">
        <v>158.75</v>
      </c>
      <c r="C8359">
        <f t="shared" si="280"/>
        <v>3.9843157095876261E-3</v>
      </c>
      <c r="D8359">
        <f t="shared" si="279"/>
        <v>0.3878388876622717</v>
      </c>
    </row>
    <row r="8360" spans="1:4">
      <c r="A8360" s="1">
        <v>30424</v>
      </c>
      <c r="B8360">
        <v>159.74</v>
      </c>
      <c r="C8360">
        <f t="shared" si="280"/>
        <v>6.2362204724410019E-3</v>
      </c>
      <c r="D8360">
        <f t="shared" si="279"/>
        <v>0.62563926515996748</v>
      </c>
    </row>
    <row r="8361" spans="1:4">
      <c r="A8361" s="1">
        <v>30425</v>
      </c>
      <c r="B8361">
        <v>158.71</v>
      </c>
      <c r="C8361">
        <f t="shared" si="280"/>
        <v>-6.4479779641918181E-3</v>
      </c>
      <c r="D8361">
        <f t="shared" si="279"/>
        <v>-0.71380777817992136</v>
      </c>
    </row>
    <row r="8362" spans="1:4">
      <c r="A8362" s="1">
        <v>30426</v>
      </c>
      <c r="B8362">
        <v>160.71</v>
      </c>
      <c r="C8362">
        <f t="shared" si="280"/>
        <v>1.2601600403251213E-2</v>
      </c>
      <c r="D8362">
        <f t="shared" si="279"/>
        <v>1.2978212221557588</v>
      </c>
    </row>
    <row r="8363" spans="1:4">
      <c r="A8363" s="1">
        <v>30427</v>
      </c>
      <c r="B8363">
        <v>160.05000000000001</v>
      </c>
      <c r="C8363">
        <f t="shared" si="280"/>
        <v>-4.1067761806981304E-3</v>
      </c>
      <c r="D8363">
        <f t="shared" si="279"/>
        <v>-0.46657766565614073</v>
      </c>
    </row>
    <row r="8364" spans="1:4">
      <c r="A8364" s="1">
        <v>30428</v>
      </c>
      <c r="B8364">
        <v>160.41999999999999</v>
      </c>
      <c r="C8364">
        <f t="shared" si="280"/>
        <v>2.311777569509379E-3</v>
      </c>
      <c r="D8364">
        <f t="shared" si="279"/>
        <v>0.21121942859334575</v>
      </c>
    </row>
    <row r="8365" spans="1:4">
      <c r="A8365" s="1">
        <v>30431</v>
      </c>
      <c r="B8365">
        <v>158.81</v>
      </c>
      <c r="C8365">
        <f t="shared" si="280"/>
        <v>-1.0036155092881095E-2</v>
      </c>
      <c r="D8365">
        <f t="shared" si="279"/>
        <v>-1.0927180632888416</v>
      </c>
    </row>
    <row r="8366" spans="1:4">
      <c r="A8366" s="1">
        <v>30432</v>
      </c>
      <c r="B8366">
        <v>161.81</v>
      </c>
      <c r="C8366">
        <f t="shared" si="280"/>
        <v>1.889049807946603E-2</v>
      </c>
      <c r="D8366">
        <f t="shared" si="279"/>
        <v>1.9619266790638574</v>
      </c>
    </row>
    <row r="8367" spans="1:4">
      <c r="A8367" s="1">
        <v>30433</v>
      </c>
      <c r="B8367">
        <v>161.44</v>
      </c>
      <c r="C8367">
        <f t="shared" si="280"/>
        <v>-2.2866324701811048E-3</v>
      </c>
      <c r="D8367">
        <f t="shared" si="279"/>
        <v>-0.27437110852245095</v>
      </c>
    </row>
    <row r="8368" spans="1:4">
      <c r="A8368" s="1">
        <v>30434</v>
      </c>
      <c r="B8368">
        <v>162.94999999999999</v>
      </c>
      <c r="C8368">
        <f t="shared" si="280"/>
        <v>9.3533201189295763E-3</v>
      </c>
      <c r="D8368">
        <f t="shared" si="279"/>
        <v>0.95480392827551008</v>
      </c>
    </row>
    <row r="8369" spans="1:4">
      <c r="A8369" s="1">
        <v>30435</v>
      </c>
      <c r="B8369">
        <v>164.43</v>
      </c>
      <c r="C8369">
        <f t="shared" si="280"/>
        <v>9.0825406566432537E-3</v>
      </c>
      <c r="D8369">
        <f t="shared" si="279"/>
        <v>0.92620970910048583</v>
      </c>
    </row>
    <row r="8370" spans="1:4">
      <c r="A8370" s="1">
        <v>30438</v>
      </c>
      <c r="B8370">
        <v>162.11000000000001</v>
      </c>
      <c r="C8370">
        <f t="shared" si="280"/>
        <v>-1.4109347442680734E-2</v>
      </c>
      <c r="D8370">
        <f t="shared" si="279"/>
        <v>-1.5228457908823323</v>
      </c>
    </row>
    <row r="8371" spans="1:4">
      <c r="A8371" s="1">
        <v>30439</v>
      </c>
      <c r="B8371">
        <v>162.34</v>
      </c>
      <c r="C8371">
        <f t="shared" si="280"/>
        <v>1.4187897106902089E-3</v>
      </c>
      <c r="D8371">
        <f t="shared" si="279"/>
        <v>0.11692021424336291</v>
      </c>
    </row>
    <row r="8372" spans="1:4">
      <c r="A8372" s="1">
        <v>30440</v>
      </c>
      <c r="B8372">
        <v>163.31</v>
      </c>
      <c r="C8372">
        <f t="shared" si="280"/>
        <v>5.9751139583589926E-3</v>
      </c>
      <c r="D8372">
        <f t="shared" si="279"/>
        <v>0.59806650602732381</v>
      </c>
    </row>
    <row r="8373" spans="1:4">
      <c r="A8373" s="1">
        <v>30441</v>
      </c>
      <c r="B8373">
        <v>164.28</v>
      </c>
      <c r="C8373">
        <f t="shared" si="280"/>
        <v>5.9396240279223494E-3</v>
      </c>
      <c r="D8373">
        <f t="shared" si="279"/>
        <v>0.59431878143682781</v>
      </c>
    </row>
    <row r="8374" spans="1:4">
      <c r="A8374" s="1">
        <v>30442</v>
      </c>
      <c r="B8374">
        <v>166.1</v>
      </c>
      <c r="C8374">
        <f t="shared" si="280"/>
        <v>1.1078646213781308E-2</v>
      </c>
      <c r="D8374">
        <f t="shared" si="279"/>
        <v>1.1369977774250184</v>
      </c>
    </row>
    <row r="8375" spans="1:4">
      <c r="A8375" s="1">
        <v>30445</v>
      </c>
      <c r="B8375">
        <v>165.81</v>
      </c>
      <c r="C8375">
        <f t="shared" si="280"/>
        <v>-1.7459361830222278E-3</v>
      </c>
      <c r="D8375">
        <f t="shared" si="279"/>
        <v>-0.21727376439007151</v>
      </c>
    </row>
    <row r="8376" spans="1:4">
      <c r="A8376" s="1">
        <v>30446</v>
      </c>
      <c r="B8376">
        <v>165.95</v>
      </c>
      <c r="C8376">
        <f t="shared" si="280"/>
        <v>8.4433990712252797E-4</v>
      </c>
      <c r="D8376">
        <f t="shared" si="279"/>
        <v>5.6258510251591461E-2</v>
      </c>
    </row>
    <row r="8377" spans="1:4">
      <c r="A8377" s="1">
        <v>30447</v>
      </c>
      <c r="B8377">
        <v>164.96</v>
      </c>
      <c r="C8377">
        <f t="shared" si="280"/>
        <v>-5.9656523049110019E-3</v>
      </c>
      <c r="D8377">
        <f t="shared" si="279"/>
        <v>-0.66287435251032467</v>
      </c>
    </row>
    <row r="8378" spans="1:4">
      <c r="A8378" s="1">
        <v>30448</v>
      </c>
      <c r="B8378">
        <v>164.25</v>
      </c>
      <c r="C8378">
        <f t="shared" si="280"/>
        <v>-4.3040737148400095E-3</v>
      </c>
      <c r="D8378">
        <f t="shared" si="279"/>
        <v>-0.48741221819683278</v>
      </c>
    </row>
    <row r="8379" spans="1:4">
      <c r="A8379" s="1">
        <v>30449</v>
      </c>
      <c r="B8379">
        <v>164.91</v>
      </c>
      <c r="C8379">
        <f t="shared" si="280"/>
        <v>4.018264840182628E-3</v>
      </c>
      <c r="D8379">
        <f t="shared" si="279"/>
        <v>0.39142390431323371</v>
      </c>
    </row>
    <row r="8380" spans="1:4">
      <c r="A8380" s="1">
        <v>30452</v>
      </c>
      <c r="B8380">
        <v>163.4</v>
      </c>
      <c r="C8380">
        <f t="shared" si="280"/>
        <v>-9.1565096113030795E-3</v>
      </c>
      <c r="D8380">
        <f t="shared" si="279"/>
        <v>-0.99982779944023037</v>
      </c>
    </row>
    <row r="8381" spans="1:4">
      <c r="A8381" s="1">
        <v>30453</v>
      </c>
      <c r="B8381">
        <v>163.71</v>
      </c>
      <c r="C8381">
        <f t="shared" si="280"/>
        <v>1.8971848225214337E-3</v>
      </c>
      <c r="D8381">
        <f t="shared" si="279"/>
        <v>0.1674385754383407</v>
      </c>
    </row>
    <row r="8382" spans="1:4">
      <c r="A8382" s="1">
        <v>30454</v>
      </c>
      <c r="B8382">
        <v>163.27000000000001</v>
      </c>
      <c r="C8382">
        <f t="shared" si="280"/>
        <v>-2.68767943314396E-3</v>
      </c>
      <c r="D8382">
        <f t="shared" si="279"/>
        <v>-0.31672153148884213</v>
      </c>
    </row>
    <row r="8383" spans="1:4">
      <c r="A8383" s="1">
        <v>30455</v>
      </c>
      <c r="B8383">
        <v>161.99</v>
      </c>
      <c r="C8383">
        <f t="shared" si="280"/>
        <v>-7.83977460648007E-3</v>
      </c>
      <c r="D8383">
        <f t="shared" si="279"/>
        <v>-0.8607810305108955</v>
      </c>
    </row>
    <row r="8384" spans="1:4">
      <c r="A8384" s="1">
        <v>30456</v>
      </c>
      <c r="B8384">
        <v>162.13999999999999</v>
      </c>
      <c r="C8384">
        <f t="shared" si="280"/>
        <v>9.2598308537550009E-4</v>
      </c>
      <c r="D8384">
        <f t="shared" si="279"/>
        <v>6.4880002123240646E-2</v>
      </c>
    </row>
    <row r="8385" spans="1:4">
      <c r="A8385" s="1">
        <v>30459</v>
      </c>
      <c r="B8385">
        <v>163.43</v>
      </c>
      <c r="C8385">
        <f t="shared" si="280"/>
        <v>7.9560873319354918E-3</v>
      </c>
      <c r="D8385">
        <f t="shared" si="279"/>
        <v>0.80725662091143524</v>
      </c>
    </row>
    <row r="8386" spans="1:4">
      <c r="A8386" s="1">
        <v>30460</v>
      </c>
      <c r="B8386">
        <v>165.54</v>
      </c>
      <c r="C8386">
        <f t="shared" si="280"/>
        <v>1.2910726304839902E-2</v>
      </c>
      <c r="D8386">
        <f t="shared" si="279"/>
        <v>1.330464812286525</v>
      </c>
    </row>
    <row r="8387" spans="1:4">
      <c r="A8387" s="1">
        <v>30461</v>
      </c>
      <c r="B8387">
        <v>166.21</v>
      </c>
      <c r="C8387">
        <f t="shared" si="280"/>
        <v>4.0473601546454994E-3</v>
      </c>
      <c r="D8387">
        <f t="shared" ref="D8387:D8450" si="281">(C8387-avg)/sd</f>
        <v>0.39449635963053503</v>
      </c>
    </row>
    <row r="8388" spans="1:4">
      <c r="A8388" s="1">
        <v>30462</v>
      </c>
      <c r="B8388">
        <v>165.48</v>
      </c>
      <c r="C8388">
        <f t="shared" ref="C8388:C8451" si="282">(B8388-B8387)/B8387</f>
        <v>-4.3920341736358708E-3</v>
      </c>
      <c r="D8388">
        <f t="shared" si="281"/>
        <v>-0.49670081274646311</v>
      </c>
    </row>
    <row r="8389" spans="1:4">
      <c r="A8389" s="1">
        <v>30463</v>
      </c>
      <c r="B8389">
        <v>164.46</v>
      </c>
      <c r="C8389">
        <f t="shared" si="282"/>
        <v>-6.1638868745466638E-3</v>
      </c>
      <c r="D8389">
        <f t="shared" si="281"/>
        <v>-0.68380785568064639</v>
      </c>
    </row>
    <row r="8390" spans="1:4">
      <c r="A8390" s="1">
        <v>30467</v>
      </c>
      <c r="B8390">
        <v>162.38999999999999</v>
      </c>
      <c r="C8390">
        <f t="shared" si="282"/>
        <v>-1.2586647209047924E-2</v>
      </c>
      <c r="D8390">
        <f t="shared" si="281"/>
        <v>-1.3620491638016654</v>
      </c>
    </row>
    <row r="8391" spans="1:4">
      <c r="A8391" s="1">
        <v>30468</v>
      </c>
      <c r="B8391">
        <v>162.55000000000001</v>
      </c>
      <c r="C8391">
        <f t="shared" si="282"/>
        <v>9.8528234497213514E-4</v>
      </c>
      <c r="D8391">
        <f t="shared" si="281"/>
        <v>7.1141983779847609E-2</v>
      </c>
    </row>
    <row r="8392" spans="1:4">
      <c r="A8392" s="1">
        <v>30469</v>
      </c>
      <c r="B8392">
        <v>163.98</v>
      </c>
      <c r="C8392">
        <f t="shared" si="282"/>
        <v>8.7972931405719979E-3</v>
      </c>
      <c r="D8392">
        <f t="shared" si="281"/>
        <v>0.8960876683637029</v>
      </c>
    </row>
    <row r="8393" spans="1:4">
      <c r="A8393" s="1">
        <v>30470</v>
      </c>
      <c r="B8393">
        <v>164.42</v>
      </c>
      <c r="C8393">
        <f t="shared" si="282"/>
        <v>2.6832540553725927E-3</v>
      </c>
      <c r="D8393">
        <f t="shared" si="281"/>
        <v>0.25044721922950836</v>
      </c>
    </row>
    <row r="8394" spans="1:4">
      <c r="A8394" s="1">
        <v>30473</v>
      </c>
      <c r="B8394">
        <v>164.83</v>
      </c>
      <c r="C8394">
        <f t="shared" si="282"/>
        <v>2.4936139155821982E-3</v>
      </c>
      <c r="D8394">
        <f t="shared" si="281"/>
        <v>0.23042128492945826</v>
      </c>
    </row>
    <row r="8395" spans="1:4">
      <c r="A8395" s="1">
        <v>30474</v>
      </c>
      <c r="B8395">
        <v>162.77000000000001</v>
      </c>
      <c r="C8395">
        <f t="shared" si="282"/>
        <v>-1.2497724928714446E-2</v>
      </c>
      <c r="D8395">
        <f t="shared" si="281"/>
        <v>-1.3526590012246018</v>
      </c>
    </row>
    <row r="8396" spans="1:4">
      <c r="A8396" s="1">
        <v>30475</v>
      </c>
      <c r="B8396">
        <v>161.36000000000001</v>
      </c>
      <c r="C8396">
        <f t="shared" si="282"/>
        <v>-8.6625299502365079E-3</v>
      </c>
      <c r="D8396">
        <f t="shared" si="281"/>
        <v>-0.94766371514344561</v>
      </c>
    </row>
    <row r="8397" spans="1:4">
      <c r="A8397" s="1">
        <v>30476</v>
      </c>
      <c r="B8397">
        <v>161.83000000000001</v>
      </c>
      <c r="C8397">
        <f t="shared" si="282"/>
        <v>2.912741695587499E-3</v>
      </c>
      <c r="D8397">
        <f t="shared" si="281"/>
        <v>0.2746810360295634</v>
      </c>
    </row>
    <row r="8398" spans="1:4">
      <c r="A8398" s="1">
        <v>30477</v>
      </c>
      <c r="B8398">
        <v>162.68</v>
      </c>
      <c r="C8398">
        <f t="shared" si="282"/>
        <v>5.2524253846628821E-3</v>
      </c>
      <c r="D8398">
        <f t="shared" si="281"/>
        <v>0.52175083829879643</v>
      </c>
    </row>
    <row r="8399" spans="1:4">
      <c r="A8399" s="1">
        <v>30480</v>
      </c>
      <c r="B8399">
        <v>164.84</v>
      </c>
      <c r="C8399">
        <f t="shared" si="282"/>
        <v>1.3277600196705167E-2</v>
      </c>
      <c r="D8399">
        <f t="shared" si="281"/>
        <v>1.3692065705610019</v>
      </c>
    </row>
    <row r="8400" spans="1:4">
      <c r="A8400" s="1">
        <v>30481</v>
      </c>
      <c r="B8400">
        <v>165.53</v>
      </c>
      <c r="C8400">
        <f t="shared" si="282"/>
        <v>4.185877214268368E-3</v>
      </c>
      <c r="D8400">
        <f t="shared" si="281"/>
        <v>0.40912371404247366</v>
      </c>
    </row>
    <row r="8401" spans="1:4">
      <c r="A8401" s="1">
        <v>30482</v>
      </c>
      <c r="B8401">
        <v>167.12</v>
      </c>
      <c r="C8401">
        <f t="shared" si="282"/>
        <v>9.6055095753035911E-3</v>
      </c>
      <c r="D8401">
        <f t="shared" si="281"/>
        <v>0.98143504914524482</v>
      </c>
    </row>
    <row r="8402" spans="1:4">
      <c r="A8402" s="1">
        <v>30483</v>
      </c>
      <c r="B8402">
        <v>169.14</v>
      </c>
      <c r="C8402">
        <f t="shared" si="282"/>
        <v>1.2087123025370882E-2</v>
      </c>
      <c r="D8402">
        <f t="shared" si="281"/>
        <v>1.2434925859309536</v>
      </c>
    </row>
    <row r="8403" spans="1:4">
      <c r="A8403" s="1">
        <v>30484</v>
      </c>
      <c r="B8403">
        <v>169.13</v>
      </c>
      <c r="C8403">
        <f t="shared" si="282"/>
        <v>-5.9122620314478576E-5</v>
      </c>
      <c r="D8403">
        <f t="shared" si="281"/>
        <v>-3.9146825543922043E-2</v>
      </c>
    </row>
    <row r="8404" spans="1:4">
      <c r="A8404" s="1">
        <v>30487</v>
      </c>
      <c r="B8404">
        <v>169.02</v>
      </c>
      <c r="C8404">
        <f t="shared" si="282"/>
        <v>-6.503872760597483E-4</v>
      </c>
      <c r="D8404">
        <f t="shared" si="281"/>
        <v>-0.10158417221000088</v>
      </c>
    </row>
    <row r="8405" spans="1:4">
      <c r="A8405" s="1">
        <v>30488</v>
      </c>
      <c r="B8405">
        <v>170.53</v>
      </c>
      <c r="C8405">
        <f t="shared" si="282"/>
        <v>8.9338539817772501E-3</v>
      </c>
      <c r="D8405">
        <f t="shared" si="281"/>
        <v>0.91050844677569232</v>
      </c>
    </row>
    <row r="8406" spans="1:4">
      <c r="A8406" s="1">
        <v>30489</v>
      </c>
      <c r="B8406">
        <v>170.99</v>
      </c>
      <c r="C8406">
        <f t="shared" si="282"/>
        <v>2.6974725854688789E-3</v>
      </c>
      <c r="D8406">
        <f t="shared" si="281"/>
        <v>0.25194869117456298</v>
      </c>
    </row>
    <row r="8407" spans="1:4">
      <c r="A8407" s="1">
        <v>30490</v>
      </c>
      <c r="B8407">
        <v>170.57</v>
      </c>
      <c r="C8407">
        <f t="shared" si="282"/>
        <v>-2.4562839932160707E-3</v>
      </c>
      <c r="D8407">
        <f t="shared" si="281"/>
        <v>-0.29228625168758871</v>
      </c>
    </row>
    <row r="8408" spans="1:4">
      <c r="A8408" s="1">
        <v>30491</v>
      </c>
      <c r="B8408">
        <v>170.41</v>
      </c>
      <c r="C8408">
        <f t="shared" si="282"/>
        <v>-9.3803130679484428E-4</v>
      </c>
      <c r="D8408">
        <f t="shared" si="281"/>
        <v>-0.13195928408067034</v>
      </c>
    </row>
    <row r="8409" spans="1:4">
      <c r="A8409" s="1">
        <v>30494</v>
      </c>
      <c r="B8409">
        <v>168.46</v>
      </c>
      <c r="C8409">
        <f t="shared" si="282"/>
        <v>-1.144299043483357E-2</v>
      </c>
      <c r="D8409">
        <f t="shared" si="281"/>
        <v>-1.2412793971924554</v>
      </c>
    </row>
    <row r="8410" spans="1:4">
      <c r="A8410" s="1">
        <v>30495</v>
      </c>
      <c r="B8410">
        <v>165.68</v>
      </c>
      <c r="C8410">
        <f t="shared" si="282"/>
        <v>-1.6502433812180937E-2</v>
      </c>
      <c r="D8410">
        <f t="shared" si="281"/>
        <v>-1.7755548980519735</v>
      </c>
    </row>
    <row r="8411" spans="1:4">
      <c r="A8411" s="1">
        <v>30496</v>
      </c>
      <c r="B8411">
        <v>166.64</v>
      </c>
      <c r="C8411">
        <f t="shared" si="282"/>
        <v>5.7943022694349321E-3</v>
      </c>
      <c r="D8411">
        <f t="shared" si="281"/>
        <v>0.57897285313782232</v>
      </c>
    </row>
    <row r="8412" spans="1:4">
      <c r="A8412" s="1">
        <v>30497</v>
      </c>
      <c r="B8412">
        <v>167.64</v>
      </c>
      <c r="C8412">
        <f t="shared" si="282"/>
        <v>6.0009601536245806E-3</v>
      </c>
      <c r="D8412">
        <f t="shared" si="281"/>
        <v>0.60079585546182124</v>
      </c>
    </row>
    <row r="8413" spans="1:4">
      <c r="A8413" s="1">
        <v>30498</v>
      </c>
      <c r="B8413">
        <v>168.64</v>
      </c>
      <c r="C8413">
        <f t="shared" si="282"/>
        <v>5.9651634454784067E-3</v>
      </c>
      <c r="D8413">
        <f t="shared" si="281"/>
        <v>0.5970157352494776</v>
      </c>
    </row>
    <row r="8414" spans="1:4">
      <c r="A8414" s="1">
        <v>30502</v>
      </c>
      <c r="B8414">
        <v>166.6</v>
      </c>
      <c r="C8414">
        <f t="shared" si="282"/>
        <v>-1.2096774193548342E-2</v>
      </c>
      <c r="D8414">
        <f t="shared" si="281"/>
        <v>-1.310318739880838</v>
      </c>
    </row>
    <row r="8415" spans="1:4">
      <c r="A8415" s="1">
        <v>30503</v>
      </c>
      <c r="B8415">
        <v>168.48</v>
      </c>
      <c r="C8415">
        <f t="shared" si="282"/>
        <v>1.1284513805522181E-2</v>
      </c>
      <c r="D8415">
        <f t="shared" si="281"/>
        <v>1.1587373251350601</v>
      </c>
    </row>
    <row r="8416" spans="1:4">
      <c r="A8416" s="1">
        <v>30504</v>
      </c>
      <c r="B8416">
        <v>167.56</v>
      </c>
      <c r="C8416">
        <f t="shared" si="282"/>
        <v>-5.4605887939220537E-3</v>
      </c>
      <c r="D8416">
        <f t="shared" si="281"/>
        <v>-0.60953981742932062</v>
      </c>
    </row>
    <row r="8417" spans="1:4">
      <c r="A8417" s="1">
        <v>30505</v>
      </c>
      <c r="B8417">
        <v>167.08</v>
      </c>
      <c r="C8417">
        <f t="shared" si="282"/>
        <v>-2.8646455001192991E-3</v>
      </c>
      <c r="D8417">
        <f t="shared" si="281"/>
        <v>-0.3354090880077491</v>
      </c>
    </row>
    <row r="8418" spans="1:4">
      <c r="A8418" s="1">
        <v>30508</v>
      </c>
      <c r="B8418">
        <v>168.11</v>
      </c>
      <c r="C8418">
        <f t="shared" si="282"/>
        <v>6.1647115154417108E-3</v>
      </c>
      <c r="D8418">
        <f t="shared" si="281"/>
        <v>0.61808794360791786</v>
      </c>
    </row>
    <row r="8419" spans="1:4">
      <c r="A8419" s="1">
        <v>30509</v>
      </c>
      <c r="B8419">
        <v>165.53</v>
      </c>
      <c r="C8419">
        <f t="shared" si="282"/>
        <v>-1.5347094164535198E-2</v>
      </c>
      <c r="D8419">
        <f t="shared" si="281"/>
        <v>-1.6535514239796107</v>
      </c>
    </row>
    <row r="8420" spans="1:4">
      <c r="A8420" s="1">
        <v>30510</v>
      </c>
      <c r="B8420">
        <v>165.46</v>
      </c>
      <c r="C8420">
        <f t="shared" si="282"/>
        <v>-4.2288406935294618E-4</v>
      </c>
      <c r="D8420">
        <f t="shared" si="281"/>
        <v>-7.7559910913859914E-2</v>
      </c>
    </row>
    <row r="8421" spans="1:4">
      <c r="A8421" s="1">
        <v>30511</v>
      </c>
      <c r="B8421">
        <v>166.01</v>
      </c>
      <c r="C8421">
        <f t="shared" si="282"/>
        <v>3.3240662395744164E-3</v>
      </c>
      <c r="D8421">
        <f t="shared" si="281"/>
        <v>0.31811676805857608</v>
      </c>
    </row>
    <row r="8422" spans="1:4">
      <c r="A8422" s="1">
        <v>30512</v>
      </c>
      <c r="B8422">
        <v>164.29</v>
      </c>
      <c r="C8422">
        <f t="shared" si="282"/>
        <v>-1.0360821637250762E-2</v>
      </c>
      <c r="D8422">
        <f t="shared" si="281"/>
        <v>-1.127002740014758</v>
      </c>
    </row>
    <row r="8423" spans="1:4">
      <c r="A8423" s="1">
        <v>30515</v>
      </c>
      <c r="B8423">
        <v>163.95</v>
      </c>
      <c r="C8423">
        <f t="shared" si="282"/>
        <v>-2.0695112301418431E-3</v>
      </c>
      <c r="D8423">
        <f t="shared" si="281"/>
        <v>-0.25144317937740029</v>
      </c>
    </row>
    <row r="8424" spans="1:4">
      <c r="A8424" s="1">
        <v>30516</v>
      </c>
      <c r="B8424">
        <v>164.82</v>
      </c>
      <c r="C8424">
        <f t="shared" si="282"/>
        <v>5.306495882891153E-3</v>
      </c>
      <c r="D8424">
        <f t="shared" si="281"/>
        <v>0.52746066453224649</v>
      </c>
    </row>
    <row r="8425" spans="1:4">
      <c r="A8425" s="1">
        <v>30517</v>
      </c>
      <c r="B8425">
        <v>169.29</v>
      </c>
      <c r="C8425">
        <f t="shared" si="282"/>
        <v>2.7120495085547865E-2</v>
      </c>
      <c r="D8425">
        <f t="shared" si="281"/>
        <v>2.831011565394193</v>
      </c>
    </row>
    <row r="8426" spans="1:4">
      <c r="A8426" s="1">
        <v>30518</v>
      </c>
      <c r="B8426">
        <v>169.06</v>
      </c>
      <c r="C8426">
        <f t="shared" si="282"/>
        <v>-1.3586153937030527E-3</v>
      </c>
      <c r="D8426">
        <f t="shared" si="281"/>
        <v>-0.17637282069469976</v>
      </c>
    </row>
    <row r="8427" spans="1:4">
      <c r="A8427" s="1">
        <v>30519</v>
      </c>
      <c r="B8427">
        <v>168.89</v>
      </c>
      <c r="C8427">
        <f t="shared" si="282"/>
        <v>-1.0055601561576714E-3</v>
      </c>
      <c r="D8427">
        <f t="shared" si="281"/>
        <v>-0.13909030761921368</v>
      </c>
    </row>
    <row r="8428" spans="1:4">
      <c r="A8428" s="1">
        <v>30522</v>
      </c>
      <c r="B8428">
        <v>169.53</v>
      </c>
      <c r="C8428">
        <f t="shared" si="282"/>
        <v>3.7894487536267087E-3</v>
      </c>
      <c r="D8428">
        <f t="shared" si="281"/>
        <v>0.36726100335129552</v>
      </c>
    </row>
    <row r="8429" spans="1:4">
      <c r="A8429" s="1">
        <v>30523</v>
      </c>
      <c r="B8429">
        <v>170.53</v>
      </c>
      <c r="C8429">
        <f t="shared" si="282"/>
        <v>5.8986610039521029E-3</v>
      </c>
      <c r="D8429">
        <f t="shared" si="281"/>
        <v>0.58999310002957805</v>
      </c>
    </row>
    <row r="8430" spans="1:4">
      <c r="A8430" s="1">
        <v>30524</v>
      </c>
      <c r="B8430">
        <v>167.59</v>
      </c>
      <c r="C8430">
        <f t="shared" si="282"/>
        <v>-1.7240368263648612E-2</v>
      </c>
      <c r="D8430">
        <f t="shared" si="281"/>
        <v>-1.8534805252908524</v>
      </c>
    </row>
    <row r="8431" spans="1:4">
      <c r="A8431" s="1">
        <v>30525</v>
      </c>
      <c r="B8431">
        <v>165.04</v>
      </c>
      <c r="C8431">
        <f t="shared" si="282"/>
        <v>-1.5215704994331471E-2</v>
      </c>
      <c r="D8431">
        <f t="shared" si="281"/>
        <v>-1.6396767722674461</v>
      </c>
    </row>
    <row r="8432" spans="1:4">
      <c r="A8432" s="1">
        <v>30526</v>
      </c>
      <c r="B8432">
        <v>162.56</v>
      </c>
      <c r="C8432">
        <f t="shared" si="282"/>
        <v>-1.5026660203586948E-2</v>
      </c>
      <c r="D8432">
        <f t="shared" si="281"/>
        <v>-1.6197137066242711</v>
      </c>
    </row>
    <row r="8433" spans="1:4">
      <c r="A8433" s="1">
        <v>30529</v>
      </c>
      <c r="B8433">
        <v>162.04</v>
      </c>
      <c r="C8433">
        <f t="shared" si="282"/>
        <v>-3.1988188976378581E-3</v>
      </c>
      <c r="D8433">
        <f t="shared" si="281"/>
        <v>-0.37069768519465202</v>
      </c>
    </row>
    <row r="8434" spans="1:4">
      <c r="A8434" s="1">
        <v>30530</v>
      </c>
      <c r="B8434">
        <v>162.01</v>
      </c>
      <c r="C8434">
        <f t="shared" si="282"/>
        <v>-1.85139471735381E-4</v>
      </c>
      <c r="D8434">
        <f t="shared" si="281"/>
        <v>-5.2454162218760286E-2</v>
      </c>
    </row>
    <row r="8435" spans="1:4">
      <c r="A8435" s="1">
        <v>30531</v>
      </c>
      <c r="B8435">
        <v>163.44</v>
      </c>
      <c r="C8435">
        <f t="shared" si="282"/>
        <v>8.8266156410098575E-3</v>
      </c>
      <c r="D8435">
        <f t="shared" si="281"/>
        <v>0.89918411444273871</v>
      </c>
    </row>
    <row r="8436" spans="1:4">
      <c r="A8436" s="1">
        <v>30532</v>
      </c>
      <c r="B8436">
        <v>161.33000000000001</v>
      </c>
      <c r="C8436">
        <f t="shared" si="282"/>
        <v>-1.2909936368086057E-2</v>
      </c>
      <c r="D8436">
        <f t="shared" si="281"/>
        <v>-1.3961883891047677</v>
      </c>
    </row>
    <row r="8437" spans="1:4">
      <c r="A8437" s="1">
        <v>30533</v>
      </c>
      <c r="B8437">
        <v>161.74</v>
      </c>
      <c r="C8437">
        <f t="shared" si="282"/>
        <v>2.5413748217938173E-3</v>
      </c>
      <c r="D8437">
        <f t="shared" si="281"/>
        <v>0.23546482039068442</v>
      </c>
    </row>
    <row r="8438" spans="1:4">
      <c r="A8438" s="1">
        <v>30536</v>
      </c>
      <c r="B8438">
        <v>159.18</v>
      </c>
      <c r="C8438">
        <f t="shared" si="282"/>
        <v>-1.5827871893161878E-2</v>
      </c>
      <c r="D8438">
        <f t="shared" si="281"/>
        <v>-1.704321388698298</v>
      </c>
    </row>
    <row r="8439" spans="1:4">
      <c r="A8439" s="1">
        <v>30537</v>
      </c>
      <c r="B8439">
        <v>160.13</v>
      </c>
      <c r="C8439">
        <f t="shared" si="282"/>
        <v>5.9680864430204086E-3</v>
      </c>
      <c r="D8439">
        <f t="shared" si="281"/>
        <v>0.59732440279633781</v>
      </c>
    </row>
    <row r="8440" spans="1:4">
      <c r="A8440" s="1">
        <v>30538</v>
      </c>
      <c r="B8440">
        <v>161.54</v>
      </c>
      <c r="C8440">
        <f t="shared" si="282"/>
        <v>8.8053456566539474E-3</v>
      </c>
      <c r="D8440">
        <f t="shared" si="281"/>
        <v>0.89693801132477358</v>
      </c>
    </row>
    <row r="8441" spans="1:4">
      <c r="A8441" s="1">
        <v>30539</v>
      </c>
      <c r="B8441">
        <v>161.54</v>
      </c>
      <c r="C8441">
        <f t="shared" si="282"/>
        <v>0</v>
      </c>
      <c r="D8441">
        <f t="shared" si="281"/>
        <v>-3.29034969354682E-2</v>
      </c>
    </row>
    <row r="8442" spans="1:4">
      <c r="A8442" s="1">
        <v>30540</v>
      </c>
      <c r="B8442">
        <v>162.16</v>
      </c>
      <c r="C8442">
        <f t="shared" si="282"/>
        <v>3.8380586851554078E-3</v>
      </c>
      <c r="D8442">
        <f t="shared" si="281"/>
        <v>0.37239419559740761</v>
      </c>
    </row>
    <row r="8443" spans="1:4">
      <c r="A8443" s="1">
        <v>30543</v>
      </c>
      <c r="B8443">
        <v>163.69999999999999</v>
      </c>
      <c r="C8443">
        <f t="shared" si="282"/>
        <v>9.4967932905771595E-3</v>
      </c>
      <c r="D8443">
        <f t="shared" si="281"/>
        <v>0.96995464643259433</v>
      </c>
    </row>
    <row r="8444" spans="1:4">
      <c r="A8444" s="1">
        <v>30544</v>
      </c>
      <c r="B8444">
        <v>163.41</v>
      </c>
      <c r="C8444">
        <f t="shared" si="282"/>
        <v>-1.7715332926083816E-3</v>
      </c>
      <c r="D8444">
        <f t="shared" si="281"/>
        <v>-0.21997681046148904</v>
      </c>
    </row>
    <row r="8445" spans="1:4">
      <c r="A8445" s="1">
        <v>30545</v>
      </c>
      <c r="B8445">
        <v>165.29</v>
      </c>
      <c r="C8445">
        <f t="shared" si="282"/>
        <v>1.1504803867572336E-2</v>
      </c>
      <c r="D8445">
        <f t="shared" si="281"/>
        <v>1.1819998808073262</v>
      </c>
    </row>
    <row r="8446" spans="1:4">
      <c r="A8446" s="1">
        <v>30546</v>
      </c>
      <c r="B8446">
        <v>163.55000000000001</v>
      </c>
      <c r="C8446">
        <f t="shared" si="282"/>
        <v>-1.0526952628713055E-2</v>
      </c>
      <c r="D8446">
        <f t="shared" si="281"/>
        <v>-1.1445461162425083</v>
      </c>
    </row>
    <row r="8447" spans="1:4">
      <c r="A8447" s="1">
        <v>30547</v>
      </c>
      <c r="B8447">
        <v>163.98</v>
      </c>
      <c r="C8447">
        <f t="shared" si="282"/>
        <v>2.6291653928460922E-3</v>
      </c>
      <c r="D8447">
        <f t="shared" si="281"/>
        <v>0.24473547485233962</v>
      </c>
    </row>
    <row r="8448" spans="1:4">
      <c r="A8448" s="1">
        <v>30550</v>
      </c>
      <c r="B8448">
        <v>164.34</v>
      </c>
      <c r="C8448">
        <f t="shared" si="282"/>
        <v>2.1953896816685795E-3</v>
      </c>
      <c r="D8448">
        <f t="shared" si="281"/>
        <v>0.19892890719952261</v>
      </c>
    </row>
    <row r="8449" spans="1:4">
      <c r="A8449" s="1">
        <v>30551</v>
      </c>
      <c r="B8449">
        <v>162.77000000000001</v>
      </c>
      <c r="C8449">
        <f t="shared" si="282"/>
        <v>-9.55336497505168E-3</v>
      </c>
      <c r="D8449">
        <f t="shared" si="281"/>
        <v>-1.0417355909543902</v>
      </c>
    </row>
    <row r="8450" spans="1:4">
      <c r="A8450" s="1">
        <v>30552</v>
      </c>
      <c r="B8450">
        <v>161.25</v>
      </c>
      <c r="C8450">
        <f t="shared" si="282"/>
        <v>-9.3383301591202939E-3</v>
      </c>
      <c r="D8450">
        <f t="shared" si="281"/>
        <v>-1.0190279874859212</v>
      </c>
    </row>
    <row r="8451" spans="1:4">
      <c r="A8451" s="1">
        <v>30553</v>
      </c>
      <c r="B8451">
        <v>160.84</v>
      </c>
      <c r="C8451">
        <f t="shared" si="282"/>
        <v>-2.5426356589147076E-3</v>
      </c>
      <c r="D8451">
        <f t="shared" ref="D8451:D8514" si="283">(C8451-avg)/sd</f>
        <v>-0.30140495823300745</v>
      </c>
    </row>
    <row r="8452" spans="1:4">
      <c r="A8452" s="1">
        <v>30554</v>
      </c>
      <c r="B8452">
        <v>162.13999999999999</v>
      </c>
      <c r="C8452">
        <f t="shared" ref="C8452:C8515" si="284">(B8452-B8451)/B8451</f>
        <v>8.0825665257397601E-3</v>
      </c>
      <c r="D8452">
        <f t="shared" si="283"/>
        <v>0.82061278078479916</v>
      </c>
    </row>
    <row r="8453" spans="1:4">
      <c r="A8453" s="1">
        <v>30557</v>
      </c>
      <c r="B8453">
        <v>162.25</v>
      </c>
      <c r="C8453">
        <f t="shared" si="284"/>
        <v>6.7842605156046411E-4</v>
      </c>
      <c r="D8453">
        <f t="shared" si="283"/>
        <v>3.8738063501097209E-2</v>
      </c>
    </row>
    <row r="8454" spans="1:4">
      <c r="A8454" s="1">
        <v>30558</v>
      </c>
      <c r="B8454">
        <v>162.58000000000001</v>
      </c>
      <c r="C8454">
        <f t="shared" si="284"/>
        <v>2.033898305084823E-3</v>
      </c>
      <c r="D8454">
        <f t="shared" si="283"/>
        <v>0.18187547272586399</v>
      </c>
    </row>
    <row r="8455" spans="1:4">
      <c r="A8455" s="1">
        <v>30559</v>
      </c>
      <c r="B8455">
        <v>164.4</v>
      </c>
      <c r="C8455">
        <f t="shared" si="284"/>
        <v>1.1194488867019271E-2</v>
      </c>
      <c r="D8455">
        <f t="shared" si="283"/>
        <v>1.1492307222301164</v>
      </c>
    </row>
    <row r="8456" spans="1:4">
      <c r="A8456" s="1">
        <v>30560</v>
      </c>
      <c r="B8456">
        <v>164.23</v>
      </c>
      <c r="C8456">
        <f t="shared" si="284"/>
        <v>-1.0340632603407294E-3</v>
      </c>
      <c r="D8456">
        <f t="shared" si="283"/>
        <v>-0.14210022573226877</v>
      </c>
    </row>
    <row r="8457" spans="1:4">
      <c r="A8457" s="1">
        <v>30561</v>
      </c>
      <c r="B8457">
        <v>165</v>
      </c>
      <c r="C8457">
        <f t="shared" si="284"/>
        <v>4.6885465505693861E-3</v>
      </c>
      <c r="D8457">
        <f t="shared" si="283"/>
        <v>0.46220542509025181</v>
      </c>
    </row>
    <row r="8458" spans="1:4">
      <c r="A8458" s="1">
        <v>30565</v>
      </c>
      <c r="B8458">
        <v>167.89</v>
      </c>
      <c r="C8458">
        <f t="shared" si="284"/>
        <v>1.7515151515151432E-2</v>
      </c>
      <c r="D8458">
        <f t="shared" si="283"/>
        <v>1.8166905493752479</v>
      </c>
    </row>
    <row r="8459" spans="1:4">
      <c r="A8459" s="1">
        <v>30566</v>
      </c>
      <c r="B8459">
        <v>167.96</v>
      </c>
      <c r="C8459">
        <f t="shared" si="284"/>
        <v>4.1693966287462987E-4</v>
      </c>
      <c r="D8459">
        <f t="shared" si="283"/>
        <v>1.1125189739415259E-2</v>
      </c>
    </row>
    <row r="8460" spans="1:4">
      <c r="A8460" s="1">
        <v>30567</v>
      </c>
      <c r="B8460">
        <v>167.77</v>
      </c>
      <c r="C8460">
        <f t="shared" si="284"/>
        <v>-1.131221719457E-3</v>
      </c>
      <c r="D8460">
        <f t="shared" si="283"/>
        <v>-0.15236012598918203</v>
      </c>
    </row>
    <row r="8461" spans="1:4">
      <c r="A8461" s="1">
        <v>30568</v>
      </c>
      <c r="B8461">
        <v>166.92</v>
      </c>
      <c r="C8461">
        <f t="shared" si="284"/>
        <v>-5.0664600345712739E-3</v>
      </c>
      <c r="D8461">
        <f t="shared" si="283"/>
        <v>-0.56791995441275289</v>
      </c>
    </row>
    <row r="8462" spans="1:4">
      <c r="A8462" s="1">
        <v>30571</v>
      </c>
      <c r="B8462">
        <v>165.48</v>
      </c>
      <c r="C8462">
        <f t="shared" si="284"/>
        <v>-8.6268871315600161E-3</v>
      </c>
      <c r="D8462">
        <f t="shared" si="283"/>
        <v>-0.94389984560679085</v>
      </c>
    </row>
    <row r="8463" spans="1:4">
      <c r="A8463" s="1">
        <v>30572</v>
      </c>
      <c r="B8463">
        <v>164.8</v>
      </c>
      <c r="C8463">
        <f t="shared" si="284"/>
        <v>-4.1092579163643853E-3</v>
      </c>
      <c r="D8463">
        <f t="shared" si="283"/>
        <v>-0.46683973609891433</v>
      </c>
    </row>
    <row r="8464" spans="1:4">
      <c r="A8464" s="1">
        <v>30573</v>
      </c>
      <c r="B8464">
        <v>165.35</v>
      </c>
      <c r="C8464">
        <f t="shared" si="284"/>
        <v>3.3373786407765952E-3</v>
      </c>
      <c r="D8464">
        <f t="shared" si="283"/>
        <v>0.31952255310042116</v>
      </c>
    </row>
    <row r="8465" spans="1:4">
      <c r="A8465" s="1">
        <v>30574</v>
      </c>
      <c r="B8465">
        <v>164.38</v>
      </c>
      <c r="C8465">
        <f t="shared" si="284"/>
        <v>-5.8663441185364314E-3</v>
      </c>
      <c r="D8465">
        <f t="shared" si="283"/>
        <v>-0.65238744178566277</v>
      </c>
    </row>
    <row r="8466" spans="1:4">
      <c r="A8466" s="1">
        <v>30575</v>
      </c>
      <c r="B8466">
        <v>166.25</v>
      </c>
      <c r="C8466">
        <f t="shared" si="284"/>
        <v>1.1376079815062688E-2</v>
      </c>
      <c r="D8466">
        <f t="shared" si="283"/>
        <v>1.1684066646177387</v>
      </c>
    </row>
    <row r="8467" spans="1:4">
      <c r="A8467" s="1">
        <v>30578</v>
      </c>
      <c r="B8467">
        <v>167.62</v>
      </c>
      <c r="C8467">
        <f t="shared" si="284"/>
        <v>8.2406015037594267E-3</v>
      </c>
      <c r="D8467">
        <f t="shared" si="283"/>
        <v>0.83730122074497693</v>
      </c>
    </row>
    <row r="8468" spans="1:4">
      <c r="A8468" s="1">
        <v>30579</v>
      </c>
      <c r="B8468">
        <v>169.24</v>
      </c>
      <c r="C8468">
        <f t="shared" si="284"/>
        <v>9.6647178141033557E-3</v>
      </c>
      <c r="D8468">
        <f t="shared" si="283"/>
        <v>0.9876874190366417</v>
      </c>
    </row>
    <row r="8469" spans="1:4">
      <c r="A8469" s="1">
        <v>30580</v>
      </c>
      <c r="B8469">
        <v>168.41</v>
      </c>
      <c r="C8469">
        <f t="shared" si="284"/>
        <v>-4.9042779484756117E-3</v>
      </c>
      <c r="D8469">
        <f t="shared" si="283"/>
        <v>-0.55079358124942057</v>
      </c>
    </row>
    <row r="8470" spans="1:4">
      <c r="A8470" s="1">
        <v>30581</v>
      </c>
      <c r="B8470">
        <v>169.76</v>
      </c>
      <c r="C8470">
        <f t="shared" si="284"/>
        <v>8.0161510599132731E-3</v>
      </c>
      <c r="D8470">
        <f t="shared" si="283"/>
        <v>0.8135993301692358</v>
      </c>
    </row>
    <row r="8471" spans="1:4">
      <c r="A8471" s="1">
        <v>30582</v>
      </c>
      <c r="B8471">
        <v>169.51</v>
      </c>
      <c r="C8471">
        <f t="shared" si="284"/>
        <v>-1.4726672950047127E-3</v>
      </c>
      <c r="D8471">
        <f t="shared" si="283"/>
        <v>-0.18841666270403015</v>
      </c>
    </row>
    <row r="8472" spans="1:4">
      <c r="A8472" s="1">
        <v>30585</v>
      </c>
      <c r="B8472">
        <v>170.07</v>
      </c>
      <c r="C8472">
        <f t="shared" si="284"/>
        <v>3.3036399032505591E-3</v>
      </c>
      <c r="D8472">
        <f t="shared" si="283"/>
        <v>0.31595975388602582</v>
      </c>
    </row>
    <row r="8473" spans="1:4">
      <c r="A8473" s="1">
        <v>30586</v>
      </c>
      <c r="B8473">
        <v>168.43</v>
      </c>
      <c r="C8473">
        <f t="shared" si="284"/>
        <v>-9.6430881401774939E-3</v>
      </c>
      <c r="D8473">
        <f t="shared" si="283"/>
        <v>-1.0512103266932904</v>
      </c>
    </row>
    <row r="8474" spans="1:4">
      <c r="A8474" s="1">
        <v>30587</v>
      </c>
      <c r="B8474">
        <v>168</v>
      </c>
      <c r="C8474">
        <f t="shared" si="284"/>
        <v>-2.5529893724396294E-3</v>
      </c>
      <c r="D8474">
        <f t="shared" si="283"/>
        <v>-0.30249830686184098</v>
      </c>
    </row>
    <row r="8475" spans="1:4">
      <c r="A8475" s="1">
        <v>30588</v>
      </c>
      <c r="B8475">
        <v>167.23</v>
      </c>
      <c r="C8475">
        <f t="shared" si="284"/>
        <v>-4.5833333333333941E-3</v>
      </c>
      <c r="D8475">
        <f t="shared" si="283"/>
        <v>-0.51690193898477776</v>
      </c>
    </row>
    <row r="8476" spans="1:4">
      <c r="A8476" s="1">
        <v>30589</v>
      </c>
      <c r="B8476">
        <v>166.07</v>
      </c>
      <c r="C8476">
        <f t="shared" si="284"/>
        <v>-6.9365544459725923E-3</v>
      </c>
      <c r="D8476">
        <f t="shared" si="283"/>
        <v>-0.76540128858075585</v>
      </c>
    </row>
    <row r="8477" spans="1:4">
      <c r="A8477" s="1">
        <v>30592</v>
      </c>
      <c r="B8477">
        <v>165.81</v>
      </c>
      <c r="C8477">
        <f t="shared" si="284"/>
        <v>-1.5656048654181425E-3</v>
      </c>
      <c r="D8477">
        <f t="shared" si="283"/>
        <v>-0.19823083854867324</v>
      </c>
    </row>
    <row r="8478" spans="1:4">
      <c r="A8478" s="1">
        <v>30593</v>
      </c>
      <c r="B8478">
        <v>166.27</v>
      </c>
      <c r="C8478">
        <f t="shared" si="284"/>
        <v>2.7742596948314817E-3</v>
      </c>
      <c r="D8478">
        <f t="shared" si="283"/>
        <v>0.26005738382204718</v>
      </c>
    </row>
    <row r="8479" spans="1:4">
      <c r="A8479" s="1">
        <v>30594</v>
      </c>
      <c r="B8479">
        <v>167.74</v>
      </c>
      <c r="C8479">
        <f t="shared" si="284"/>
        <v>8.8410416791964794E-3</v>
      </c>
      <c r="D8479">
        <f t="shared" si="283"/>
        <v>0.90070749917159743</v>
      </c>
    </row>
    <row r="8480" spans="1:4">
      <c r="A8480" s="1">
        <v>30595</v>
      </c>
      <c r="B8480">
        <v>170.28</v>
      </c>
      <c r="C8480">
        <f t="shared" si="284"/>
        <v>1.5142482413258567E-2</v>
      </c>
      <c r="D8480">
        <f t="shared" si="283"/>
        <v>1.5661374987247756</v>
      </c>
    </row>
    <row r="8481" spans="1:4">
      <c r="A8481" s="1">
        <v>30596</v>
      </c>
      <c r="B8481">
        <v>170.8</v>
      </c>
      <c r="C8481">
        <f t="shared" si="284"/>
        <v>3.05379375146823E-3</v>
      </c>
      <c r="D8481">
        <f t="shared" si="283"/>
        <v>0.28957608518464528</v>
      </c>
    </row>
    <row r="8482" spans="1:4">
      <c r="A8482" s="1">
        <v>30599</v>
      </c>
      <c r="B8482">
        <v>172.65</v>
      </c>
      <c r="C8482">
        <f t="shared" si="284"/>
        <v>1.0831381733021042E-2</v>
      </c>
      <c r="D8482">
        <f t="shared" si="283"/>
        <v>1.1108867323060152</v>
      </c>
    </row>
    <row r="8483" spans="1:4">
      <c r="A8483" s="1">
        <v>30600</v>
      </c>
      <c r="B8483">
        <v>170.34</v>
      </c>
      <c r="C8483">
        <f t="shared" si="284"/>
        <v>-1.3379669852302359E-2</v>
      </c>
      <c r="D8483">
        <f t="shared" si="283"/>
        <v>-1.4457920853678399</v>
      </c>
    </row>
    <row r="8484" spans="1:4">
      <c r="A8484" s="1">
        <v>30601</v>
      </c>
      <c r="B8484">
        <v>169.62</v>
      </c>
      <c r="C8484">
        <f t="shared" si="284"/>
        <v>-4.2268404367735053E-3</v>
      </c>
      <c r="D8484">
        <f t="shared" si="283"/>
        <v>-0.47925641028587673</v>
      </c>
    </row>
    <row r="8485" spans="1:4">
      <c r="A8485" s="1">
        <v>30602</v>
      </c>
      <c r="B8485">
        <v>169.87</v>
      </c>
      <c r="C8485">
        <f t="shared" si="284"/>
        <v>1.4738827968399952E-3</v>
      </c>
      <c r="D8485">
        <f t="shared" si="283"/>
        <v>0.12273802541373045</v>
      </c>
    </row>
    <row r="8486" spans="1:4">
      <c r="A8486" s="1">
        <v>30603</v>
      </c>
      <c r="B8486">
        <v>169.86</v>
      </c>
      <c r="C8486">
        <f t="shared" si="284"/>
        <v>-5.8868546535532495E-5</v>
      </c>
      <c r="D8486">
        <f t="shared" si="283"/>
        <v>-3.9119995439229206E-2</v>
      </c>
    </row>
    <row r="8487" spans="1:4">
      <c r="A8487" s="1">
        <v>30606</v>
      </c>
      <c r="B8487">
        <v>170.43</v>
      </c>
      <c r="C8487">
        <f t="shared" si="284"/>
        <v>3.3557046979865368E-3</v>
      </c>
      <c r="D8487">
        <f t="shared" si="283"/>
        <v>0.32145777851246143</v>
      </c>
    </row>
    <row r="8488" spans="1:4">
      <c r="A8488" s="1">
        <v>30607</v>
      </c>
      <c r="B8488">
        <v>167.81</v>
      </c>
      <c r="C8488">
        <f t="shared" si="284"/>
        <v>-1.537288036143874E-2</v>
      </c>
      <c r="D8488">
        <f t="shared" si="283"/>
        <v>-1.6562744376074705</v>
      </c>
    </row>
    <row r="8489" spans="1:4">
      <c r="A8489" s="1">
        <v>30608</v>
      </c>
      <c r="B8489">
        <v>166.73</v>
      </c>
      <c r="C8489">
        <f t="shared" si="284"/>
        <v>-6.4358500685299594E-3</v>
      </c>
      <c r="D8489">
        <f t="shared" si="283"/>
        <v>-0.71252707652050118</v>
      </c>
    </row>
    <row r="8490" spans="1:4">
      <c r="A8490" s="1">
        <v>30609</v>
      </c>
      <c r="B8490">
        <v>166.98</v>
      </c>
      <c r="C8490">
        <f t="shared" si="284"/>
        <v>1.4994302165177234E-3</v>
      </c>
      <c r="D8490">
        <f t="shared" si="283"/>
        <v>0.12543582424770869</v>
      </c>
    </row>
    <row r="8491" spans="1:4">
      <c r="A8491" s="1">
        <v>30610</v>
      </c>
      <c r="B8491">
        <v>165.95</v>
      </c>
      <c r="C8491">
        <f t="shared" si="284"/>
        <v>-6.16840340160499E-3</v>
      </c>
      <c r="D8491">
        <f t="shared" si="283"/>
        <v>-0.68428479940276354</v>
      </c>
    </row>
    <row r="8492" spans="1:4">
      <c r="A8492" s="1">
        <v>30613</v>
      </c>
      <c r="B8492">
        <v>165.99</v>
      </c>
      <c r="C8492">
        <f t="shared" si="284"/>
        <v>2.410364567642089E-4</v>
      </c>
      <c r="D8492">
        <f t="shared" si="283"/>
        <v>-7.4501290334402764E-3</v>
      </c>
    </row>
    <row r="8493" spans="1:4">
      <c r="A8493" s="1">
        <v>30614</v>
      </c>
      <c r="B8493">
        <v>166.47</v>
      </c>
      <c r="C8493">
        <f t="shared" si="284"/>
        <v>2.8917404662930882E-3</v>
      </c>
      <c r="D8493">
        <f t="shared" si="283"/>
        <v>0.27246331335473833</v>
      </c>
    </row>
    <row r="8494" spans="1:4">
      <c r="A8494" s="1">
        <v>30615</v>
      </c>
      <c r="B8494">
        <v>165.38</v>
      </c>
      <c r="C8494">
        <f t="shared" si="284"/>
        <v>-6.5477263170541445E-3</v>
      </c>
      <c r="D8494">
        <f t="shared" si="283"/>
        <v>-0.72434117033607048</v>
      </c>
    </row>
    <row r="8495" spans="1:4">
      <c r="A8495" s="1">
        <v>30616</v>
      </c>
      <c r="B8495">
        <v>164.84</v>
      </c>
      <c r="C8495">
        <f t="shared" si="284"/>
        <v>-3.265207401136728E-3</v>
      </c>
      <c r="D8495">
        <f t="shared" si="283"/>
        <v>-0.37770828859758387</v>
      </c>
    </row>
    <row r="8496" spans="1:4">
      <c r="A8496" s="1">
        <v>30617</v>
      </c>
      <c r="B8496">
        <v>163.37</v>
      </c>
      <c r="C8496">
        <f t="shared" si="284"/>
        <v>-8.9177384130065453E-3</v>
      </c>
      <c r="D8496">
        <f t="shared" si="283"/>
        <v>-0.9746136420623901</v>
      </c>
    </row>
    <row r="8497" spans="1:4">
      <c r="A8497" s="1">
        <v>30620</v>
      </c>
      <c r="B8497">
        <v>163.55000000000001</v>
      </c>
      <c r="C8497">
        <f t="shared" si="284"/>
        <v>1.1017934749342402E-3</v>
      </c>
      <c r="D8497">
        <f t="shared" si="283"/>
        <v>8.3445519499788554E-2</v>
      </c>
    </row>
    <row r="8498" spans="1:4">
      <c r="A8498" s="1">
        <v>30621</v>
      </c>
      <c r="B8498">
        <v>163.66</v>
      </c>
      <c r="C8498">
        <f t="shared" si="284"/>
        <v>6.725771935187112E-4</v>
      </c>
      <c r="D8498">
        <f t="shared" si="283"/>
        <v>3.8120426080011552E-2</v>
      </c>
    </row>
    <row r="8499" spans="1:4">
      <c r="A8499" s="1">
        <v>30622</v>
      </c>
      <c r="B8499">
        <v>164.84</v>
      </c>
      <c r="C8499">
        <f t="shared" si="284"/>
        <v>7.2100696566051985E-3</v>
      </c>
      <c r="D8499">
        <f t="shared" si="283"/>
        <v>0.72847740798028515</v>
      </c>
    </row>
    <row r="8500" spans="1:4">
      <c r="A8500" s="1">
        <v>30623</v>
      </c>
      <c r="B8500">
        <v>163.44999999999999</v>
      </c>
      <c r="C8500">
        <f t="shared" si="284"/>
        <v>-8.4324193157001622E-3</v>
      </c>
      <c r="D8500">
        <f t="shared" si="283"/>
        <v>-0.92336411035481258</v>
      </c>
    </row>
    <row r="8501" spans="1:4">
      <c r="A8501" s="1">
        <v>30624</v>
      </c>
      <c r="B8501">
        <v>162.44</v>
      </c>
      <c r="C8501">
        <f t="shared" si="284"/>
        <v>-6.1792597124502354E-3</v>
      </c>
      <c r="D8501">
        <f t="shared" si="283"/>
        <v>-0.68543122213778207</v>
      </c>
    </row>
    <row r="8502" spans="1:4">
      <c r="A8502" s="1">
        <v>30627</v>
      </c>
      <c r="B8502">
        <v>161.91</v>
      </c>
      <c r="C8502">
        <f t="shared" si="284"/>
        <v>-3.2627431667077147E-3</v>
      </c>
      <c r="D8502">
        <f t="shared" si="283"/>
        <v>-0.37744806627951405</v>
      </c>
    </row>
    <row r="8503" spans="1:4">
      <c r="A8503" s="1">
        <v>30628</v>
      </c>
      <c r="B8503">
        <v>161.76</v>
      </c>
      <c r="C8503">
        <f t="shared" si="284"/>
        <v>-9.2644061515660355E-4</v>
      </c>
      <c r="D8503">
        <f t="shared" si="283"/>
        <v>-0.13073531098353963</v>
      </c>
    </row>
    <row r="8504" spans="1:4">
      <c r="A8504" s="1">
        <v>30629</v>
      </c>
      <c r="B8504">
        <v>163.97</v>
      </c>
      <c r="C8504">
        <f t="shared" si="284"/>
        <v>1.366221562809105E-2</v>
      </c>
      <c r="D8504">
        <f t="shared" si="283"/>
        <v>1.4098218293782137</v>
      </c>
    </row>
    <row r="8505" spans="1:4">
      <c r="A8505" s="1">
        <v>30630</v>
      </c>
      <c r="B8505">
        <v>164.41</v>
      </c>
      <c r="C8505">
        <f t="shared" si="284"/>
        <v>2.6834176983594423E-3</v>
      </c>
      <c r="D8505">
        <f t="shared" si="283"/>
        <v>0.25046449987329472</v>
      </c>
    </row>
    <row r="8506" spans="1:4">
      <c r="A8506" s="1">
        <v>30631</v>
      </c>
      <c r="B8506">
        <v>166.29</v>
      </c>
      <c r="C8506">
        <f t="shared" si="284"/>
        <v>1.1434827565233232E-2</v>
      </c>
      <c r="D8506">
        <f t="shared" si="283"/>
        <v>1.1746104070664176</v>
      </c>
    </row>
    <row r="8507" spans="1:4">
      <c r="A8507" s="1">
        <v>30634</v>
      </c>
      <c r="B8507">
        <v>166.58</v>
      </c>
      <c r="C8507">
        <f t="shared" si="284"/>
        <v>1.7439413073547447E-3</v>
      </c>
      <c r="D8507">
        <f t="shared" si="283"/>
        <v>0.15125611232674008</v>
      </c>
    </row>
    <row r="8508" spans="1:4">
      <c r="A8508" s="1">
        <v>30635</v>
      </c>
      <c r="B8508">
        <v>165.36</v>
      </c>
      <c r="C8508">
        <f t="shared" si="284"/>
        <v>-7.3238083803577785E-3</v>
      </c>
      <c r="D8508">
        <f t="shared" si="283"/>
        <v>-0.80629517241782334</v>
      </c>
    </row>
    <row r="8509" spans="1:4">
      <c r="A8509" s="1">
        <v>30636</v>
      </c>
      <c r="B8509">
        <v>166.08</v>
      </c>
      <c r="C8509">
        <f t="shared" si="284"/>
        <v>4.3541364296081205E-3</v>
      </c>
      <c r="D8509">
        <f t="shared" si="283"/>
        <v>0.4268918299882653</v>
      </c>
    </row>
    <row r="8510" spans="1:4">
      <c r="A8510" s="1">
        <v>30637</v>
      </c>
      <c r="B8510">
        <v>166.13</v>
      </c>
      <c r="C8510">
        <f t="shared" si="284"/>
        <v>3.01059730250379E-4</v>
      </c>
      <c r="D8510">
        <f t="shared" si="283"/>
        <v>-1.1116917562026978E-3</v>
      </c>
    </row>
    <row r="8511" spans="1:4">
      <c r="A8511" s="1">
        <v>30638</v>
      </c>
      <c r="B8511">
        <v>165.09</v>
      </c>
      <c r="C8511">
        <f t="shared" si="284"/>
        <v>-6.2601577078191303E-3</v>
      </c>
      <c r="D8511">
        <f t="shared" si="283"/>
        <v>-0.69397402295017263</v>
      </c>
    </row>
    <row r="8512" spans="1:4">
      <c r="A8512" s="1">
        <v>30641</v>
      </c>
      <c r="B8512">
        <v>166.05</v>
      </c>
      <c r="C8512">
        <f t="shared" si="284"/>
        <v>5.815009994548476E-3</v>
      </c>
      <c r="D8512">
        <f t="shared" si="283"/>
        <v>0.58115958187091477</v>
      </c>
    </row>
    <row r="8513" spans="1:4">
      <c r="A8513" s="1">
        <v>30642</v>
      </c>
      <c r="B8513">
        <v>166.84</v>
      </c>
      <c r="C8513">
        <f t="shared" si="284"/>
        <v>4.757603131586823E-3</v>
      </c>
      <c r="D8513">
        <f t="shared" si="283"/>
        <v>0.46949777657222075</v>
      </c>
    </row>
    <row r="8514" spans="1:4">
      <c r="A8514" s="1">
        <v>30643</v>
      </c>
      <c r="B8514">
        <v>166.96</v>
      </c>
      <c r="C8514">
        <f t="shared" si="284"/>
        <v>7.1925197794296659E-4</v>
      </c>
      <c r="D8514">
        <f t="shared" si="283"/>
        <v>4.3049267449682828E-2</v>
      </c>
    </row>
    <row r="8515" spans="1:4">
      <c r="A8515" s="1">
        <v>30645</v>
      </c>
      <c r="B8515">
        <v>167.18</v>
      </c>
      <c r="C8515">
        <f t="shared" si="284"/>
        <v>1.317680881648292E-3</v>
      </c>
      <c r="D8515">
        <f t="shared" ref="D8515:D8578" si="285">(C8515-avg)/sd</f>
        <v>0.10624315626509737</v>
      </c>
    </row>
    <row r="8516" spans="1:4">
      <c r="A8516" s="1">
        <v>30648</v>
      </c>
      <c r="B8516">
        <v>166.54</v>
      </c>
      <c r="C8516">
        <f t="shared" ref="C8516:C8579" si="286">(B8516-B8515)/B8515</f>
        <v>-3.8282091159230454E-3</v>
      </c>
      <c r="D8516">
        <f t="shared" si="285"/>
        <v>-0.43716107830543782</v>
      </c>
    </row>
    <row r="8517" spans="1:4">
      <c r="A8517" s="1">
        <v>30649</v>
      </c>
      <c r="B8517">
        <v>167.91</v>
      </c>
      <c r="C8517">
        <f t="shared" si="286"/>
        <v>8.2262519514831548E-3</v>
      </c>
      <c r="D8517">
        <f t="shared" si="285"/>
        <v>0.83578591290225246</v>
      </c>
    </row>
    <row r="8518" spans="1:4">
      <c r="A8518" s="1">
        <v>30650</v>
      </c>
      <c r="B8518">
        <v>166.4</v>
      </c>
      <c r="C8518">
        <f t="shared" si="286"/>
        <v>-8.992912869989822E-3</v>
      </c>
      <c r="D8518">
        <f t="shared" si="285"/>
        <v>-0.98255203916678469</v>
      </c>
    </row>
    <row r="8519" spans="1:4">
      <c r="A8519" s="1">
        <v>30651</v>
      </c>
      <c r="B8519">
        <v>166.49</v>
      </c>
      <c r="C8519">
        <f t="shared" si="286"/>
        <v>5.4086538461540514E-4</v>
      </c>
      <c r="D8519">
        <f t="shared" si="285"/>
        <v>2.4211703830841588E-2</v>
      </c>
    </row>
    <row r="8520" spans="1:4">
      <c r="A8520" s="1">
        <v>30652</v>
      </c>
      <c r="B8520">
        <v>165.44</v>
      </c>
      <c r="C8520">
        <f t="shared" si="286"/>
        <v>-6.306685086191431E-3</v>
      </c>
      <c r="D8520">
        <f t="shared" si="285"/>
        <v>-0.69888729829086327</v>
      </c>
    </row>
    <row r="8521" spans="1:4">
      <c r="A8521" s="1">
        <v>30655</v>
      </c>
      <c r="B8521">
        <v>165.76</v>
      </c>
      <c r="C8521">
        <f t="shared" si="286"/>
        <v>1.9342359767891271E-3</v>
      </c>
      <c r="D8521">
        <f t="shared" si="285"/>
        <v>0.17135116473470988</v>
      </c>
    </row>
    <row r="8522" spans="1:4">
      <c r="A8522" s="1">
        <v>30656</v>
      </c>
      <c r="B8522">
        <v>165.47</v>
      </c>
      <c r="C8522">
        <f t="shared" si="286"/>
        <v>-1.7495173745173266E-3</v>
      </c>
      <c r="D8522">
        <f t="shared" si="285"/>
        <v>-0.2176519369946478</v>
      </c>
    </row>
    <row r="8523" spans="1:4">
      <c r="A8523" s="1">
        <v>30657</v>
      </c>
      <c r="B8523">
        <v>165.91</v>
      </c>
      <c r="C8523">
        <f t="shared" si="286"/>
        <v>2.6590922825889753E-3</v>
      </c>
      <c r="D8523">
        <f t="shared" si="285"/>
        <v>0.24789574423654398</v>
      </c>
    </row>
    <row r="8524" spans="1:4">
      <c r="A8524" s="1">
        <v>30658</v>
      </c>
      <c r="B8524">
        <v>165.2</v>
      </c>
      <c r="C8524">
        <f t="shared" si="286"/>
        <v>-4.2794286058707009E-3</v>
      </c>
      <c r="D8524">
        <f t="shared" si="285"/>
        <v>-0.48480970306695337</v>
      </c>
    </row>
    <row r="8525" spans="1:4">
      <c r="A8525" s="1">
        <v>30659</v>
      </c>
      <c r="B8525">
        <v>165.08</v>
      </c>
      <c r="C8525">
        <f t="shared" si="286"/>
        <v>-7.2639225181583616E-4</v>
      </c>
      <c r="D8525">
        <f t="shared" si="285"/>
        <v>-0.10961027181449723</v>
      </c>
    </row>
    <row r="8526" spans="1:4">
      <c r="A8526" s="1">
        <v>30662</v>
      </c>
      <c r="B8526">
        <v>165.62</v>
      </c>
      <c r="C8526">
        <f t="shared" si="286"/>
        <v>3.2711412648412405E-3</v>
      </c>
      <c r="D8526">
        <f t="shared" si="285"/>
        <v>0.31252790871682573</v>
      </c>
    </row>
    <row r="8527" spans="1:4">
      <c r="A8527" s="1">
        <v>30663</v>
      </c>
      <c r="B8527">
        <v>164.93</v>
      </c>
      <c r="C8527">
        <f t="shared" si="286"/>
        <v>-4.1661635068228333E-3</v>
      </c>
      <c r="D8527">
        <f t="shared" si="285"/>
        <v>-0.47284894710817638</v>
      </c>
    </row>
    <row r="8528" spans="1:4">
      <c r="A8528" s="1">
        <v>30664</v>
      </c>
      <c r="B8528">
        <v>163.33000000000001</v>
      </c>
      <c r="C8528">
        <f t="shared" si="286"/>
        <v>-9.7010853089189008E-3</v>
      </c>
      <c r="D8528">
        <f t="shared" si="285"/>
        <v>-1.0573348079981875</v>
      </c>
    </row>
    <row r="8529" spans="1:4">
      <c r="A8529" s="1">
        <v>30665</v>
      </c>
      <c r="B8529">
        <v>161.66</v>
      </c>
      <c r="C8529">
        <f t="shared" si="286"/>
        <v>-1.022469846323404E-2</v>
      </c>
      <c r="D8529">
        <f t="shared" si="285"/>
        <v>-1.1126281791091073</v>
      </c>
    </row>
    <row r="8530" spans="1:4">
      <c r="A8530" s="1">
        <v>30666</v>
      </c>
      <c r="B8530">
        <v>162.38999999999999</v>
      </c>
      <c r="C8530">
        <f t="shared" si="286"/>
        <v>4.5156501299022005E-3</v>
      </c>
      <c r="D8530">
        <f t="shared" si="285"/>
        <v>0.4439476218381459</v>
      </c>
    </row>
    <row r="8531" spans="1:4">
      <c r="A8531" s="1">
        <v>30669</v>
      </c>
      <c r="B8531">
        <v>162.32</v>
      </c>
      <c r="C8531">
        <f t="shared" si="286"/>
        <v>-4.3106102592519976E-4</v>
      </c>
      <c r="D8531">
        <f t="shared" si="285"/>
        <v>-7.8423394748407316E-2</v>
      </c>
    </row>
    <row r="8532" spans="1:4">
      <c r="A8532" s="1">
        <v>30670</v>
      </c>
      <c r="B8532">
        <v>162</v>
      </c>
      <c r="C8532">
        <f t="shared" si="286"/>
        <v>-1.9714144898964588E-3</v>
      </c>
      <c r="D8532">
        <f t="shared" si="285"/>
        <v>-0.24108419695218986</v>
      </c>
    </row>
    <row r="8533" spans="1:4">
      <c r="A8533" s="1">
        <v>30671</v>
      </c>
      <c r="B8533">
        <v>163.56</v>
      </c>
      <c r="C8533">
        <f t="shared" si="286"/>
        <v>9.6296296296296442E-3</v>
      </c>
      <c r="D8533">
        <f t="shared" si="285"/>
        <v>0.98398211868327112</v>
      </c>
    </row>
    <row r="8534" spans="1:4">
      <c r="A8534" s="1">
        <v>30672</v>
      </c>
      <c r="B8534">
        <v>163.53</v>
      </c>
      <c r="C8534">
        <f t="shared" si="286"/>
        <v>-1.8341892883346256E-4</v>
      </c>
      <c r="D8534">
        <f t="shared" si="285"/>
        <v>-5.2272473473158637E-2</v>
      </c>
    </row>
    <row r="8535" spans="1:4">
      <c r="A8535" s="1">
        <v>30673</v>
      </c>
      <c r="B8535">
        <v>163.22</v>
      </c>
      <c r="C8535">
        <f t="shared" si="286"/>
        <v>-1.8956766342567253E-3</v>
      </c>
      <c r="D8535">
        <f t="shared" si="285"/>
        <v>-0.233086305141182</v>
      </c>
    </row>
    <row r="8536" spans="1:4">
      <c r="A8536" s="1">
        <v>30677</v>
      </c>
      <c r="B8536">
        <v>164.76</v>
      </c>
      <c r="C8536">
        <f t="shared" si="286"/>
        <v>9.4351182453130261E-3</v>
      </c>
      <c r="D8536">
        <f t="shared" si="285"/>
        <v>0.96344178261706837</v>
      </c>
    </row>
    <row r="8537" spans="1:4">
      <c r="A8537" s="1">
        <v>30678</v>
      </c>
      <c r="B8537">
        <v>165.34</v>
      </c>
      <c r="C8537">
        <f t="shared" si="286"/>
        <v>3.5202719106580027E-3</v>
      </c>
      <c r="D8537">
        <f t="shared" si="285"/>
        <v>0.33883602023145476</v>
      </c>
    </row>
    <row r="8538" spans="1:4">
      <c r="A8538" s="1">
        <v>30679</v>
      </c>
      <c r="B8538">
        <v>164.86</v>
      </c>
      <c r="C8538">
        <f t="shared" si="286"/>
        <v>-2.9031087456150343E-3</v>
      </c>
      <c r="D8538">
        <f t="shared" si="285"/>
        <v>-0.3394707936578063</v>
      </c>
    </row>
    <row r="8539" spans="1:4">
      <c r="A8539" s="1">
        <v>30680</v>
      </c>
      <c r="B8539">
        <v>164.93</v>
      </c>
      <c r="C8539">
        <f t="shared" si="286"/>
        <v>4.2460269319418402E-4</v>
      </c>
      <c r="D8539">
        <f t="shared" si="285"/>
        <v>1.193440313636961E-2</v>
      </c>
    </row>
    <row r="8540" spans="1:4">
      <c r="A8540" s="1">
        <v>30684</v>
      </c>
      <c r="B8540">
        <v>164.04</v>
      </c>
      <c r="C8540">
        <f t="shared" si="286"/>
        <v>-5.3962287030862475E-3</v>
      </c>
      <c r="D8540">
        <f t="shared" si="285"/>
        <v>-0.60274341371411733</v>
      </c>
    </row>
    <row r="8541" spans="1:4">
      <c r="A8541" s="1">
        <v>30685</v>
      </c>
      <c r="B8541">
        <v>166.78</v>
      </c>
      <c r="C8541">
        <f t="shared" si="286"/>
        <v>1.670324311143629E-2</v>
      </c>
      <c r="D8541">
        <f t="shared" si="285"/>
        <v>1.7309532979240048</v>
      </c>
    </row>
    <row r="8542" spans="1:4">
      <c r="A8542" s="1">
        <v>30686</v>
      </c>
      <c r="B8542">
        <v>168.81</v>
      </c>
      <c r="C8542">
        <f t="shared" si="286"/>
        <v>1.2171723228204827E-2</v>
      </c>
      <c r="D8542">
        <f t="shared" si="285"/>
        <v>1.252426338593212</v>
      </c>
    </row>
    <row r="8543" spans="1:4">
      <c r="A8543" s="1">
        <v>30687</v>
      </c>
      <c r="B8543">
        <v>169.28</v>
      </c>
      <c r="C8543">
        <f t="shared" si="286"/>
        <v>2.7841952490966107E-3</v>
      </c>
      <c r="D8543">
        <f t="shared" si="285"/>
        <v>0.2611065749751858</v>
      </c>
    </row>
    <row r="8544" spans="1:4">
      <c r="A8544" s="1">
        <v>30690</v>
      </c>
      <c r="B8544">
        <v>168.9</v>
      </c>
      <c r="C8544">
        <f t="shared" si="286"/>
        <v>-2.2448015122873079E-3</v>
      </c>
      <c r="D8544">
        <f t="shared" si="285"/>
        <v>-0.2699537735878994</v>
      </c>
    </row>
    <row r="8545" spans="1:4">
      <c r="A8545" s="1">
        <v>30691</v>
      </c>
      <c r="B8545">
        <v>167.95</v>
      </c>
      <c r="C8545">
        <f t="shared" si="286"/>
        <v>-5.6246299585554589E-3</v>
      </c>
      <c r="D8545">
        <f t="shared" si="285"/>
        <v>-0.62686250865430715</v>
      </c>
    </row>
    <row r="8546" spans="1:4">
      <c r="A8546" s="1">
        <v>30692</v>
      </c>
      <c r="B8546">
        <v>167.8</v>
      </c>
      <c r="C8546">
        <f t="shared" si="286"/>
        <v>-8.9312295325976343E-4</v>
      </c>
      <c r="D8546">
        <f t="shared" si="285"/>
        <v>-0.12721697721245687</v>
      </c>
    </row>
    <row r="8547" spans="1:4">
      <c r="A8547" s="1">
        <v>30693</v>
      </c>
      <c r="B8547">
        <v>167.75</v>
      </c>
      <c r="C8547">
        <f t="shared" si="286"/>
        <v>-2.9797377830757669E-4</v>
      </c>
      <c r="D8547">
        <f t="shared" si="285"/>
        <v>-6.4369426638539812E-2</v>
      </c>
    </row>
    <row r="8548" spans="1:4">
      <c r="A8548" s="1">
        <v>30694</v>
      </c>
      <c r="B8548">
        <v>167.02</v>
      </c>
      <c r="C8548">
        <f t="shared" si="286"/>
        <v>-4.3517138599105205E-3</v>
      </c>
      <c r="D8548">
        <f t="shared" si="285"/>
        <v>-0.49244300132260665</v>
      </c>
    </row>
    <row r="8549" spans="1:4">
      <c r="A8549" s="1">
        <v>30697</v>
      </c>
      <c r="B8549">
        <v>167.18</v>
      </c>
      <c r="C8549">
        <f t="shared" si="286"/>
        <v>9.5796910549632731E-4</v>
      </c>
      <c r="D8549">
        <f t="shared" si="285"/>
        <v>6.8257714975423489E-2</v>
      </c>
    </row>
    <row r="8550" spans="1:4">
      <c r="A8550" s="1">
        <v>30698</v>
      </c>
      <c r="B8550">
        <v>167.83</v>
      </c>
      <c r="C8550">
        <f t="shared" si="286"/>
        <v>3.8880248833592875E-3</v>
      </c>
      <c r="D8550">
        <f t="shared" si="285"/>
        <v>0.37767060914340128</v>
      </c>
    </row>
    <row r="8551" spans="1:4">
      <c r="A8551" s="1">
        <v>30699</v>
      </c>
      <c r="B8551">
        <v>167.55</v>
      </c>
      <c r="C8551">
        <f t="shared" si="286"/>
        <v>-1.6683548829172442E-3</v>
      </c>
      <c r="D8551">
        <f t="shared" si="285"/>
        <v>-0.20908120547015047</v>
      </c>
    </row>
    <row r="8552" spans="1:4">
      <c r="A8552" s="1">
        <v>30700</v>
      </c>
      <c r="B8552">
        <v>167.04</v>
      </c>
      <c r="C8552">
        <f t="shared" si="286"/>
        <v>-3.0438675022382532E-3</v>
      </c>
      <c r="D8552">
        <f t="shared" si="285"/>
        <v>-0.35433487051099216</v>
      </c>
    </row>
    <row r="8553" spans="1:4">
      <c r="A8553" s="1">
        <v>30701</v>
      </c>
      <c r="B8553">
        <v>166.21</v>
      </c>
      <c r="C8553">
        <f t="shared" si="286"/>
        <v>-4.9688697318006712E-3</v>
      </c>
      <c r="D8553">
        <f t="shared" si="285"/>
        <v>-0.55761445161273293</v>
      </c>
    </row>
    <row r="8554" spans="1:4">
      <c r="A8554" s="1">
        <v>30704</v>
      </c>
      <c r="B8554">
        <v>164.87</v>
      </c>
      <c r="C8554">
        <f t="shared" si="286"/>
        <v>-8.0620901269478577E-3</v>
      </c>
      <c r="D8554">
        <f t="shared" si="285"/>
        <v>-0.88425747390357679</v>
      </c>
    </row>
    <row r="8555" spans="1:4">
      <c r="A8555" s="1">
        <v>30705</v>
      </c>
      <c r="B8555">
        <v>165.94</v>
      </c>
      <c r="C8555">
        <f t="shared" si="286"/>
        <v>6.489961788075412E-3</v>
      </c>
      <c r="D8555">
        <f t="shared" si="285"/>
        <v>0.65243426184009734</v>
      </c>
    </row>
    <row r="8556" spans="1:4">
      <c r="A8556" s="1">
        <v>30706</v>
      </c>
      <c r="B8556">
        <v>164.84</v>
      </c>
      <c r="C8556">
        <f t="shared" si="286"/>
        <v>-6.6289020127756676E-3</v>
      </c>
      <c r="D8556">
        <f t="shared" si="285"/>
        <v>-0.73291329621130363</v>
      </c>
    </row>
    <row r="8557" spans="1:4">
      <c r="A8557" s="1">
        <v>30707</v>
      </c>
      <c r="B8557">
        <v>164.24</v>
      </c>
      <c r="C8557">
        <f t="shared" si="286"/>
        <v>-3.6398932297985582E-3</v>
      </c>
      <c r="D8557">
        <f t="shared" si="285"/>
        <v>-0.41727498474237179</v>
      </c>
    </row>
    <row r="8558" spans="1:4">
      <c r="A8558" s="1">
        <v>30708</v>
      </c>
      <c r="B8558">
        <v>163.94</v>
      </c>
      <c r="C8558">
        <f t="shared" si="286"/>
        <v>-1.8265952264978772E-3</v>
      </c>
      <c r="D8558">
        <f t="shared" si="285"/>
        <v>-0.22579133196375906</v>
      </c>
    </row>
    <row r="8559" spans="1:4">
      <c r="A8559" s="1">
        <v>30711</v>
      </c>
      <c r="B8559">
        <v>162.87</v>
      </c>
      <c r="C8559">
        <f t="shared" si="286"/>
        <v>-6.5267780895449136E-3</v>
      </c>
      <c r="D8559">
        <f t="shared" si="285"/>
        <v>-0.72212904463174421</v>
      </c>
    </row>
    <row r="8560" spans="1:4">
      <c r="A8560" s="1">
        <v>30712</v>
      </c>
      <c r="B8560">
        <v>163.41</v>
      </c>
      <c r="C8560">
        <f t="shared" si="286"/>
        <v>3.3155277214956223E-3</v>
      </c>
      <c r="D8560">
        <f t="shared" si="285"/>
        <v>0.31721510345183873</v>
      </c>
    </row>
    <row r="8561" spans="1:4">
      <c r="A8561" s="1">
        <v>30713</v>
      </c>
      <c r="B8561">
        <v>162.74</v>
      </c>
      <c r="C8561">
        <f t="shared" si="286"/>
        <v>-4.1001162719539047E-3</v>
      </c>
      <c r="D8561">
        <f t="shared" si="285"/>
        <v>-0.46587438155656347</v>
      </c>
    </row>
    <row r="8562" spans="1:4">
      <c r="A8562" s="1">
        <v>30714</v>
      </c>
      <c r="B8562">
        <v>163.36000000000001</v>
      </c>
      <c r="C8562">
        <f t="shared" si="286"/>
        <v>3.8097578960305059E-3</v>
      </c>
      <c r="D8562">
        <f t="shared" si="285"/>
        <v>0.36940564188572356</v>
      </c>
    </row>
    <row r="8563" spans="1:4">
      <c r="A8563" s="1">
        <v>30715</v>
      </c>
      <c r="B8563">
        <v>160.91</v>
      </c>
      <c r="C8563">
        <f t="shared" si="286"/>
        <v>-1.49975514201764E-2</v>
      </c>
      <c r="D8563">
        <f t="shared" si="285"/>
        <v>-1.6166398289906734</v>
      </c>
    </row>
    <row r="8564" spans="1:4">
      <c r="A8564" s="1">
        <v>30718</v>
      </c>
      <c r="B8564">
        <v>158.08000000000001</v>
      </c>
      <c r="C8564">
        <f t="shared" si="286"/>
        <v>-1.7587471257224437E-2</v>
      </c>
      <c r="D8564">
        <f t="shared" si="285"/>
        <v>-1.8901344834264193</v>
      </c>
    </row>
    <row r="8565" spans="1:4">
      <c r="A8565" s="1">
        <v>30719</v>
      </c>
      <c r="B8565">
        <v>158.74</v>
      </c>
      <c r="C8565">
        <f t="shared" si="286"/>
        <v>4.1751012145748766E-3</v>
      </c>
      <c r="D8565">
        <f t="shared" si="285"/>
        <v>0.40798577213778126</v>
      </c>
    </row>
    <row r="8566" spans="1:4">
      <c r="A8566" s="1">
        <v>30720</v>
      </c>
      <c r="B8566">
        <v>155.85</v>
      </c>
      <c r="C8566">
        <f t="shared" si="286"/>
        <v>-1.820587123598346E-2</v>
      </c>
      <c r="D8566">
        <f t="shared" si="285"/>
        <v>-1.955437310979006</v>
      </c>
    </row>
    <row r="8567" spans="1:4">
      <c r="A8567" s="1">
        <v>30721</v>
      </c>
      <c r="B8567">
        <v>155.41999999999999</v>
      </c>
      <c r="C8567">
        <f t="shared" si="286"/>
        <v>-2.7590632017966432E-3</v>
      </c>
      <c r="D8567">
        <f t="shared" si="285"/>
        <v>-0.32425963319404361</v>
      </c>
    </row>
    <row r="8568" spans="1:4">
      <c r="A8568" s="1">
        <v>30722</v>
      </c>
      <c r="B8568">
        <v>156.30000000000001</v>
      </c>
      <c r="C8568">
        <f t="shared" si="286"/>
        <v>5.662076952773285E-3</v>
      </c>
      <c r="D8568">
        <f t="shared" si="285"/>
        <v>0.56500990464392131</v>
      </c>
    </row>
    <row r="8569" spans="1:4">
      <c r="A8569" s="1">
        <v>30725</v>
      </c>
      <c r="B8569">
        <v>154.94999999999999</v>
      </c>
      <c r="C8569">
        <f t="shared" si="286"/>
        <v>-8.6372360844531194E-3</v>
      </c>
      <c r="D8569">
        <f t="shared" si="285"/>
        <v>-0.94499269151452248</v>
      </c>
    </row>
    <row r="8570" spans="1:4">
      <c r="A8570" s="1">
        <v>30726</v>
      </c>
      <c r="B8570">
        <v>156.61000000000001</v>
      </c>
      <c r="C8570">
        <f t="shared" si="286"/>
        <v>1.0713133268796549E-2</v>
      </c>
      <c r="D8570">
        <f t="shared" si="285"/>
        <v>1.0983997346785146</v>
      </c>
    </row>
    <row r="8571" spans="1:4">
      <c r="A8571" s="1">
        <v>30727</v>
      </c>
      <c r="B8571">
        <v>156.25</v>
      </c>
      <c r="C8571">
        <f t="shared" si="286"/>
        <v>-2.2987037864760462E-3</v>
      </c>
      <c r="D8571">
        <f t="shared" si="285"/>
        <v>-0.27564583541995696</v>
      </c>
    </row>
    <row r="8572" spans="1:4">
      <c r="A8572" s="1">
        <v>30728</v>
      </c>
      <c r="B8572">
        <v>156.13</v>
      </c>
      <c r="C8572">
        <f t="shared" si="286"/>
        <v>-7.6800000000002908E-4</v>
      </c>
      <c r="D8572">
        <f t="shared" si="285"/>
        <v>-0.11400403587958721</v>
      </c>
    </row>
    <row r="8573" spans="1:4">
      <c r="A8573" s="1">
        <v>30729</v>
      </c>
      <c r="B8573">
        <v>155.74</v>
      </c>
      <c r="C8573">
        <f t="shared" si="286"/>
        <v>-2.4979184013321359E-3</v>
      </c>
      <c r="D8573">
        <f t="shared" si="285"/>
        <v>-0.29668283103242227</v>
      </c>
    </row>
    <row r="8574" spans="1:4">
      <c r="A8574" s="1">
        <v>30733</v>
      </c>
      <c r="B8574">
        <v>154.63999999999999</v>
      </c>
      <c r="C8574">
        <f t="shared" si="286"/>
        <v>-7.0630538076282435E-3</v>
      </c>
      <c r="D8574">
        <f t="shared" si="285"/>
        <v>-0.77875957817237029</v>
      </c>
    </row>
    <row r="8575" spans="1:4">
      <c r="A8575" s="1">
        <v>30734</v>
      </c>
      <c r="B8575">
        <v>154.31</v>
      </c>
      <c r="C8575">
        <f t="shared" si="286"/>
        <v>-2.1339886187272642E-3</v>
      </c>
      <c r="D8575">
        <f t="shared" si="285"/>
        <v>-0.25825196969509145</v>
      </c>
    </row>
    <row r="8576" spans="1:4">
      <c r="A8576" s="1">
        <v>30735</v>
      </c>
      <c r="B8576">
        <v>154.29</v>
      </c>
      <c r="C8576">
        <f t="shared" si="286"/>
        <v>-1.296092281771125E-4</v>
      </c>
      <c r="D8576">
        <f t="shared" si="285"/>
        <v>-4.6590187374654035E-2</v>
      </c>
    </row>
    <row r="8577" spans="1:4">
      <c r="A8577" s="1">
        <v>30736</v>
      </c>
      <c r="B8577">
        <v>157.51</v>
      </c>
      <c r="C8577">
        <f t="shared" si="286"/>
        <v>2.086979065396331E-2</v>
      </c>
      <c r="D8577">
        <f t="shared" si="285"/>
        <v>2.1709393021365346</v>
      </c>
    </row>
    <row r="8578" spans="1:4">
      <c r="A8578" s="1">
        <v>30739</v>
      </c>
      <c r="B8578">
        <v>159.30000000000001</v>
      </c>
      <c r="C8578">
        <f t="shared" si="286"/>
        <v>1.1364357818551333E-2</v>
      </c>
      <c r="D8578">
        <f t="shared" si="285"/>
        <v>1.1671688257706399</v>
      </c>
    </row>
    <row r="8579" spans="1:4">
      <c r="A8579" s="1">
        <v>30740</v>
      </c>
      <c r="B8579">
        <v>156.82</v>
      </c>
      <c r="C8579">
        <f t="shared" si="286"/>
        <v>-1.5568110483364834E-2</v>
      </c>
      <c r="D8579">
        <f t="shared" ref="D8579:D8642" si="287">(C8579-avg)/sd</f>
        <v>-1.6768906721209234</v>
      </c>
    </row>
    <row r="8580" spans="1:4">
      <c r="A8580" s="1">
        <v>30741</v>
      </c>
      <c r="B8580">
        <v>157.06</v>
      </c>
      <c r="C8580">
        <f t="shared" ref="C8580:C8643" si="288">(B8580-B8579)/B8579</f>
        <v>1.5304170386430884E-3</v>
      </c>
      <c r="D8580">
        <f t="shared" si="287"/>
        <v>0.1287080221312146</v>
      </c>
    </row>
    <row r="8581" spans="1:4">
      <c r="A8581" s="1">
        <v>30742</v>
      </c>
      <c r="B8581">
        <v>158.19</v>
      </c>
      <c r="C8581">
        <f t="shared" si="288"/>
        <v>7.1947026614032567E-3</v>
      </c>
      <c r="D8581">
        <f t="shared" si="287"/>
        <v>0.72685465851045561</v>
      </c>
    </row>
    <row r="8582" spans="1:4">
      <c r="A8582" s="1">
        <v>30743</v>
      </c>
      <c r="B8582">
        <v>159.24</v>
      </c>
      <c r="C8582">
        <f t="shared" si="288"/>
        <v>6.6375877109805387E-3</v>
      </c>
      <c r="D8582">
        <f t="shared" si="287"/>
        <v>0.66802350911838937</v>
      </c>
    </row>
    <row r="8583" spans="1:4">
      <c r="A8583" s="1">
        <v>30746</v>
      </c>
      <c r="B8583">
        <v>157.88999999999999</v>
      </c>
      <c r="C8583">
        <f t="shared" si="288"/>
        <v>-8.4777694046723352E-3</v>
      </c>
      <c r="D8583">
        <f t="shared" si="287"/>
        <v>-0.92815306433502986</v>
      </c>
    </row>
    <row r="8584" spans="1:4">
      <c r="A8584" s="1">
        <v>30747</v>
      </c>
      <c r="B8584">
        <v>156.25</v>
      </c>
      <c r="C8584">
        <f t="shared" si="288"/>
        <v>-1.0386978276014862E-2</v>
      </c>
      <c r="D8584">
        <f t="shared" si="287"/>
        <v>-1.1297648721771734</v>
      </c>
    </row>
    <row r="8585" spans="1:4">
      <c r="A8585" s="1">
        <v>30748</v>
      </c>
      <c r="B8585">
        <v>154.57</v>
      </c>
      <c r="C8585">
        <f t="shared" si="288"/>
        <v>-1.0752000000000045E-2</v>
      </c>
      <c r="D8585">
        <f t="shared" si="287"/>
        <v>-1.1683110421530962</v>
      </c>
    </row>
    <row r="8586" spans="1:4">
      <c r="A8586" s="1">
        <v>30749</v>
      </c>
      <c r="B8586">
        <v>155.19</v>
      </c>
      <c r="C8586">
        <f t="shared" si="288"/>
        <v>4.0111276444329729E-3</v>
      </c>
      <c r="D8586">
        <f t="shared" si="287"/>
        <v>0.39067021886812087</v>
      </c>
    </row>
    <row r="8587" spans="1:4">
      <c r="A8587" s="1">
        <v>30750</v>
      </c>
      <c r="B8587">
        <v>154.35</v>
      </c>
      <c r="C8587">
        <f t="shared" si="288"/>
        <v>-5.4127198917456243E-3</v>
      </c>
      <c r="D8587">
        <f t="shared" si="287"/>
        <v>-0.60448487763092018</v>
      </c>
    </row>
    <row r="8588" spans="1:4">
      <c r="A8588" s="1">
        <v>30753</v>
      </c>
      <c r="B8588">
        <v>156.34</v>
      </c>
      <c r="C8588">
        <f t="shared" si="288"/>
        <v>1.2892776158082341E-2</v>
      </c>
      <c r="D8588">
        <f t="shared" si="287"/>
        <v>1.3285692828904778</v>
      </c>
    </row>
    <row r="8589" spans="1:4">
      <c r="A8589" s="1">
        <v>30754</v>
      </c>
      <c r="B8589">
        <v>156.78</v>
      </c>
      <c r="C8589">
        <f t="shared" si="288"/>
        <v>2.814378917743365E-3</v>
      </c>
      <c r="D8589">
        <f t="shared" si="287"/>
        <v>0.26429396012435558</v>
      </c>
    </row>
    <row r="8590" spans="1:4">
      <c r="A8590" s="1">
        <v>30755</v>
      </c>
      <c r="B8590">
        <v>156.77000000000001</v>
      </c>
      <c r="C8590">
        <f t="shared" si="288"/>
        <v>-6.3783645873140095E-5</v>
      </c>
      <c r="D8590">
        <f t="shared" si="287"/>
        <v>-3.9639028258557127E-2</v>
      </c>
    </row>
    <row r="8591" spans="1:4">
      <c r="A8591" s="1">
        <v>30756</v>
      </c>
      <c r="B8591">
        <v>157.41</v>
      </c>
      <c r="C8591">
        <f t="shared" si="288"/>
        <v>4.0824137271160705E-3</v>
      </c>
      <c r="D8591">
        <f t="shared" si="287"/>
        <v>0.39819800496813912</v>
      </c>
    </row>
    <row r="8592" spans="1:4">
      <c r="A8592" s="1">
        <v>30757</v>
      </c>
      <c r="B8592">
        <v>159.27000000000001</v>
      </c>
      <c r="C8592">
        <f t="shared" si="288"/>
        <v>1.181627596721945E-2</v>
      </c>
      <c r="D8592">
        <f t="shared" si="287"/>
        <v>1.2148912286555504</v>
      </c>
    </row>
    <row r="8593" spans="1:4">
      <c r="A8593" s="1">
        <v>30760</v>
      </c>
      <c r="B8593">
        <v>157.78</v>
      </c>
      <c r="C8593">
        <f t="shared" si="288"/>
        <v>-9.3551830225403962E-3</v>
      </c>
      <c r="D8593">
        <f t="shared" si="287"/>
        <v>-1.0208076441345173</v>
      </c>
    </row>
    <row r="8594" spans="1:4">
      <c r="A8594" s="1">
        <v>30761</v>
      </c>
      <c r="B8594">
        <v>158.86000000000001</v>
      </c>
      <c r="C8594">
        <f t="shared" si="288"/>
        <v>6.8449740144505798E-3</v>
      </c>
      <c r="D8594">
        <f t="shared" si="287"/>
        <v>0.689923432270796</v>
      </c>
    </row>
    <row r="8595" spans="1:4">
      <c r="A8595" s="1">
        <v>30762</v>
      </c>
      <c r="B8595">
        <v>158.66</v>
      </c>
      <c r="C8595">
        <f t="shared" si="288"/>
        <v>-1.2589701624072581E-3</v>
      </c>
      <c r="D8595">
        <f t="shared" si="287"/>
        <v>-0.16585031814092369</v>
      </c>
    </row>
    <row r="8596" spans="1:4">
      <c r="A8596" s="1">
        <v>30763</v>
      </c>
      <c r="B8596">
        <v>156.69</v>
      </c>
      <c r="C8596">
        <f t="shared" si="288"/>
        <v>-1.2416488087734772E-2</v>
      </c>
      <c r="D8596">
        <f t="shared" si="287"/>
        <v>-1.3440804184308921</v>
      </c>
    </row>
    <row r="8597" spans="1:4">
      <c r="A8597" s="1">
        <v>30764</v>
      </c>
      <c r="B8597">
        <v>156.86000000000001</v>
      </c>
      <c r="C8597">
        <f t="shared" si="288"/>
        <v>1.0849447954560975E-3</v>
      </c>
      <c r="D8597">
        <f t="shared" si="287"/>
        <v>8.166630467404111E-2</v>
      </c>
    </row>
    <row r="8598" spans="1:4">
      <c r="A8598" s="1">
        <v>30767</v>
      </c>
      <c r="B8598">
        <v>156.66999999999999</v>
      </c>
      <c r="C8598">
        <f t="shared" si="288"/>
        <v>-1.2112711972461184E-3</v>
      </c>
      <c r="D8598">
        <f t="shared" si="287"/>
        <v>-0.16081332363357337</v>
      </c>
    </row>
    <row r="8599" spans="1:4">
      <c r="A8599" s="1">
        <v>30768</v>
      </c>
      <c r="B8599">
        <v>157.30000000000001</v>
      </c>
      <c r="C8599">
        <f t="shared" si="288"/>
        <v>4.0211910384886952E-3</v>
      </c>
      <c r="D8599">
        <f t="shared" si="287"/>
        <v>0.39173290985969128</v>
      </c>
    </row>
    <row r="8600" spans="1:4">
      <c r="A8600" s="1">
        <v>30769</v>
      </c>
      <c r="B8600">
        <v>159.88</v>
      </c>
      <c r="C8600">
        <f t="shared" si="288"/>
        <v>1.6401780038143573E-2</v>
      </c>
      <c r="D8600">
        <f t="shared" si="287"/>
        <v>1.6991188998565712</v>
      </c>
    </row>
    <row r="8601" spans="1:4">
      <c r="A8601" s="1">
        <v>30770</v>
      </c>
      <c r="B8601">
        <v>159.52000000000001</v>
      </c>
      <c r="C8601">
        <f t="shared" si="288"/>
        <v>-2.2516887665748387E-3</v>
      </c>
      <c r="D8601">
        <f t="shared" si="287"/>
        <v>-0.2706810652995712</v>
      </c>
    </row>
    <row r="8602" spans="1:4">
      <c r="A8602" s="1">
        <v>30771</v>
      </c>
      <c r="B8602">
        <v>159.18</v>
      </c>
      <c r="C8602">
        <f t="shared" si="288"/>
        <v>-2.131394182547664E-3</v>
      </c>
      <c r="D8602">
        <f t="shared" si="287"/>
        <v>-0.25797799811641742</v>
      </c>
    </row>
    <row r="8603" spans="1:4">
      <c r="A8603" s="1">
        <v>30774</v>
      </c>
      <c r="B8603">
        <v>157.97999999999999</v>
      </c>
      <c r="C8603">
        <f t="shared" si="288"/>
        <v>-7.5386355069733445E-3</v>
      </c>
      <c r="D8603">
        <f t="shared" si="287"/>
        <v>-0.82898084396513882</v>
      </c>
    </row>
    <row r="8604" spans="1:4">
      <c r="A8604" s="1">
        <v>30775</v>
      </c>
      <c r="B8604">
        <v>157.66</v>
      </c>
      <c r="C8604">
        <f t="shared" si="288"/>
        <v>-2.0255728573236689E-3</v>
      </c>
      <c r="D8604">
        <f t="shared" si="287"/>
        <v>-0.24680330214317969</v>
      </c>
    </row>
    <row r="8605" spans="1:4">
      <c r="A8605" s="1">
        <v>30776</v>
      </c>
      <c r="B8605">
        <v>157.54</v>
      </c>
      <c r="C8605">
        <f t="shared" si="288"/>
        <v>-7.6113154890273085E-4</v>
      </c>
      <c r="D8605">
        <f t="shared" si="287"/>
        <v>-0.1132787297784125</v>
      </c>
    </row>
    <row r="8606" spans="1:4">
      <c r="A8606" s="1">
        <v>30777</v>
      </c>
      <c r="B8606">
        <v>155.04</v>
      </c>
      <c r="C8606">
        <f t="shared" si="288"/>
        <v>-1.5868985654436969E-2</v>
      </c>
      <c r="D8606">
        <f t="shared" si="287"/>
        <v>-1.708662987913701</v>
      </c>
    </row>
    <row r="8607" spans="1:4">
      <c r="A8607" s="1">
        <v>30778</v>
      </c>
      <c r="B8607">
        <v>155.47999999999999</v>
      </c>
      <c r="C8607">
        <f t="shared" si="288"/>
        <v>2.8379772961816159E-3</v>
      </c>
      <c r="D8607">
        <f t="shared" si="287"/>
        <v>0.26678594086595631</v>
      </c>
    </row>
    <row r="8608" spans="1:4">
      <c r="A8608" s="1">
        <v>30781</v>
      </c>
      <c r="B8608">
        <v>155.44999999999999</v>
      </c>
      <c r="C8608">
        <f t="shared" si="288"/>
        <v>-1.9295086184719024E-4</v>
      </c>
      <c r="D8608">
        <f t="shared" si="287"/>
        <v>-5.3279042359346829E-2</v>
      </c>
    </row>
    <row r="8609" spans="1:4">
      <c r="A8609" s="1">
        <v>30782</v>
      </c>
      <c r="B8609">
        <v>155.87</v>
      </c>
      <c r="C8609">
        <f t="shared" si="288"/>
        <v>2.701833386941241E-3</v>
      </c>
      <c r="D8609">
        <f t="shared" si="287"/>
        <v>0.25240919032773601</v>
      </c>
    </row>
    <row r="8610" spans="1:4">
      <c r="A8610" s="1">
        <v>30783</v>
      </c>
      <c r="B8610">
        <v>155</v>
      </c>
      <c r="C8610">
        <f t="shared" si="288"/>
        <v>-5.5815743889138679E-3</v>
      </c>
      <c r="D8610">
        <f t="shared" si="287"/>
        <v>-0.62231585513545429</v>
      </c>
    </row>
    <row r="8611" spans="1:4">
      <c r="A8611" s="1">
        <v>30784</v>
      </c>
      <c r="B8611">
        <v>157.72999999999999</v>
      </c>
      <c r="C8611">
        <f t="shared" si="288"/>
        <v>1.7612903225806387E-2</v>
      </c>
      <c r="D8611">
        <f t="shared" si="287"/>
        <v>1.8270130967929903</v>
      </c>
    </row>
    <row r="8612" spans="1:4">
      <c r="A8612" s="1">
        <v>30785</v>
      </c>
      <c r="B8612">
        <v>157.31</v>
      </c>
      <c r="C8612">
        <f t="shared" si="288"/>
        <v>-2.6627781652189663E-3</v>
      </c>
      <c r="D8612">
        <f t="shared" si="287"/>
        <v>-0.31409196606031503</v>
      </c>
    </row>
    <row r="8613" spans="1:4">
      <c r="A8613" s="1">
        <v>30788</v>
      </c>
      <c r="B8613">
        <v>158.32</v>
      </c>
      <c r="C8613">
        <f t="shared" si="288"/>
        <v>6.4204437098721685E-3</v>
      </c>
      <c r="D8613">
        <f t="shared" si="287"/>
        <v>0.64509317641217767</v>
      </c>
    </row>
    <row r="8614" spans="1:4">
      <c r="A8614" s="1">
        <v>30789</v>
      </c>
      <c r="B8614">
        <v>158.97</v>
      </c>
      <c r="C8614">
        <f t="shared" si="288"/>
        <v>4.1056088933805312E-3</v>
      </c>
      <c r="D8614">
        <f t="shared" si="287"/>
        <v>0.40064740664124604</v>
      </c>
    </row>
    <row r="8615" spans="1:4">
      <c r="A8615" s="1">
        <v>30790</v>
      </c>
      <c r="B8615">
        <v>157.9</v>
      </c>
      <c r="C8615">
        <f t="shared" si="288"/>
        <v>-6.7308297162986296E-3</v>
      </c>
      <c r="D8615">
        <f t="shared" si="287"/>
        <v>-0.74367682705641869</v>
      </c>
    </row>
    <row r="8616" spans="1:4">
      <c r="A8616" s="1">
        <v>30791</v>
      </c>
      <c r="B8616">
        <v>158.02000000000001</v>
      </c>
      <c r="C8616">
        <f t="shared" si="288"/>
        <v>7.5997466751111177E-4</v>
      </c>
      <c r="D8616">
        <f t="shared" si="287"/>
        <v>4.7349569625764212E-2</v>
      </c>
    </row>
    <row r="8617" spans="1:4">
      <c r="A8617" s="1">
        <v>30795</v>
      </c>
      <c r="B8617">
        <v>156.80000000000001</v>
      </c>
      <c r="C8617">
        <f t="shared" si="288"/>
        <v>-7.720541703581817E-3</v>
      </c>
      <c r="D8617">
        <f t="shared" si="287"/>
        <v>-0.84819007649407285</v>
      </c>
    </row>
    <row r="8618" spans="1:4">
      <c r="A8618" s="1">
        <v>30796</v>
      </c>
      <c r="B8618">
        <v>158.07</v>
      </c>
      <c r="C8618">
        <f t="shared" si="288"/>
        <v>8.0994897959182511E-3</v>
      </c>
      <c r="D8618">
        <f t="shared" si="287"/>
        <v>0.82239987236314871</v>
      </c>
    </row>
    <row r="8619" spans="1:4">
      <c r="A8619" s="1">
        <v>30797</v>
      </c>
      <c r="B8619">
        <v>158.65</v>
      </c>
      <c r="C8619">
        <f t="shared" si="288"/>
        <v>3.6692604542292182E-3</v>
      </c>
      <c r="D8619">
        <f t="shared" si="287"/>
        <v>0.35456915978890846</v>
      </c>
    </row>
    <row r="8620" spans="1:4">
      <c r="A8620" s="1">
        <v>30798</v>
      </c>
      <c r="B8620">
        <v>160.30000000000001</v>
      </c>
      <c r="C8620">
        <f t="shared" si="288"/>
        <v>1.0400252127324334E-2</v>
      </c>
      <c r="D8620">
        <f t="shared" si="287"/>
        <v>1.0653595924925161</v>
      </c>
    </row>
    <row r="8621" spans="1:4">
      <c r="A8621" s="1">
        <v>30799</v>
      </c>
      <c r="B8621">
        <v>159.88999999999999</v>
      </c>
      <c r="C8621">
        <f t="shared" si="288"/>
        <v>-2.5577043044293511E-3</v>
      </c>
      <c r="D8621">
        <f t="shared" si="287"/>
        <v>-0.30299620207727235</v>
      </c>
    </row>
    <row r="8622" spans="1:4">
      <c r="A8622" s="1">
        <v>30802</v>
      </c>
      <c r="B8622">
        <v>160.05000000000001</v>
      </c>
      <c r="C8622">
        <f t="shared" si="288"/>
        <v>1.0006879729815813E-3</v>
      </c>
      <c r="D8622">
        <f t="shared" si="287"/>
        <v>7.2768812861017718E-2</v>
      </c>
    </row>
    <row r="8623" spans="1:4">
      <c r="A8623" s="1">
        <v>30803</v>
      </c>
      <c r="B8623">
        <v>161.68</v>
      </c>
      <c r="C8623">
        <f t="shared" si="288"/>
        <v>1.0184317400812217E-2</v>
      </c>
      <c r="D8623">
        <f t="shared" si="287"/>
        <v>1.0425569587726164</v>
      </c>
    </row>
    <row r="8624" spans="1:4">
      <c r="A8624" s="1">
        <v>30804</v>
      </c>
      <c r="B8624">
        <v>161.9</v>
      </c>
      <c r="C8624">
        <f t="shared" si="288"/>
        <v>1.3607125185551637E-3</v>
      </c>
      <c r="D8624">
        <f t="shared" si="287"/>
        <v>0.11078728249529893</v>
      </c>
    </row>
    <row r="8625" spans="1:4">
      <c r="A8625" s="1">
        <v>30805</v>
      </c>
      <c r="B8625">
        <v>161.19999999999999</v>
      </c>
      <c r="C8625">
        <f t="shared" si="288"/>
        <v>-4.3236565781347566E-3</v>
      </c>
      <c r="D8625">
        <f t="shared" si="287"/>
        <v>-0.48948016190421945</v>
      </c>
    </row>
    <row r="8626" spans="1:4">
      <c r="A8626" s="1">
        <v>30806</v>
      </c>
      <c r="B8626">
        <v>159.11000000000001</v>
      </c>
      <c r="C8626">
        <f t="shared" si="288"/>
        <v>-1.2965260545905553E-2</v>
      </c>
      <c r="D8626">
        <f t="shared" si="287"/>
        <v>-1.4020306034769048</v>
      </c>
    </row>
    <row r="8627" spans="1:4">
      <c r="A8627" s="1">
        <v>30809</v>
      </c>
      <c r="B8627">
        <v>159.47</v>
      </c>
      <c r="C8627">
        <f t="shared" si="288"/>
        <v>2.2625856325811399E-3</v>
      </c>
      <c r="D8627">
        <f t="shared" si="287"/>
        <v>0.20602477677487549</v>
      </c>
    </row>
    <row r="8628" spans="1:4">
      <c r="A8628" s="1">
        <v>30810</v>
      </c>
      <c r="B8628">
        <v>160.52000000000001</v>
      </c>
      <c r="C8628">
        <f t="shared" si="288"/>
        <v>6.5843105286261449E-3</v>
      </c>
      <c r="D8628">
        <f t="shared" si="287"/>
        <v>0.66239745677155959</v>
      </c>
    </row>
    <row r="8629" spans="1:4">
      <c r="A8629" s="1">
        <v>30811</v>
      </c>
      <c r="B8629">
        <v>160.11000000000001</v>
      </c>
      <c r="C8629">
        <f t="shared" si="288"/>
        <v>-2.5541988537253709E-3</v>
      </c>
      <c r="D8629">
        <f t="shared" si="287"/>
        <v>-0.30262602767449259</v>
      </c>
    </row>
    <row r="8630" spans="1:4">
      <c r="A8630" s="1">
        <v>30812</v>
      </c>
      <c r="B8630">
        <v>160</v>
      </c>
      <c r="C8630">
        <f t="shared" si="288"/>
        <v>-6.8702766847800656E-4</v>
      </c>
      <c r="D8630">
        <f t="shared" si="287"/>
        <v>-0.10545338519469444</v>
      </c>
    </row>
    <row r="8631" spans="1:4">
      <c r="A8631" s="1">
        <v>30813</v>
      </c>
      <c r="B8631">
        <v>158.49</v>
      </c>
      <c r="C8631">
        <f t="shared" si="288"/>
        <v>-9.4374999999999425E-3</v>
      </c>
      <c r="D8631">
        <f t="shared" si="287"/>
        <v>-1.0295002889733451</v>
      </c>
    </row>
    <row r="8632" spans="1:4">
      <c r="A8632" s="1">
        <v>30816</v>
      </c>
      <c r="B8632">
        <v>157.5</v>
      </c>
      <c r="C8632">
        <f t="shared" si="288"/>
        <v>-6.2464508801817718E-3</v>
      </c>
      <c r="D8632">
        <f t="shared" si="287"/>
        <v>-0.69252658661084465</v>
      </c>
    </row>
    <row r="8633" spans="1:4">
      <c r="A8633" s="1">
        <v>30817</v>
      </c>
      <c r="B8633">
        <v>158</v>
      </c>
      <c r="C8633">
        <f t="shared" si="288"/>
        <v>3.1746031746031746E-3</v>
      </c>
      <c r="D8633">
        <f t="shared" si="287"/>
        <v>0.30233351920257723</v>
      </c>
    </row>
    <row r="8634" spans="1:4">
      <c r="A8634" s="1">
        <v>30818</v>
      </c>
      <c r="B8634">
        <v>157.99</v>
      </c>
      <c r="C8634">
        <f t="shared" si="288"/>
        <v>-6.3291139240448762E-5</v>
      </c>
      <c r="D8634">
        <f t="shared" si="287"/>
        <v>-3.9587019725556061E-2</v>
      </c>
    </row>
    <row r="8635" spans="1:4">
      <c r="A8635" s="1">
        <v>30819</v>
      </c>
      <c r="B8635">
        <v>156.57</v>
      </c>
      <c r="C8635">
        <f t="shared" si="288"/>
        <v>-8.9879106272549893E-3</v>
      </c>
      <c r="D8635">
        <f t="shared" si="287"/>
        <v>-0.9820238040343312</v>
      </c>
    </row>
    <row r="8636" spans="1:4">
      <c r="A8636" s="1">
        <v>30820</v>
      </c>
      <c r="B8636">
        <v>155.78</v>
      </c>
      <c r="C8636">
        <f t="shared" si="288"/>
        <v>-5.0456664750590284E-3</v>
      </c>
      <c r="D8636">
        <f t="shared" si="287"/>
        <v>-0.5657241615963341</v>
      </c>
    </row>
    <row r="8637" spans="1:4">
      <c r="A8637" s="1">
        <v>30823</v>
      </c>
      <c r="B8637">
        <v>154.72999999999999</v>
      </c>
      <c r="C8637">
        <f t="shared" si="288"/>
        <v>-6.7402747464373565E-3</v>
      </c>
      <c r="D8637">
        <f t="shared" si="287"/>
        <v>-0.74467421902854647</v>
      </c>
    </row>
    <row r="8638" spans="1:4">
      <c r="A8638" s="1">
        <v>30824</v>
      </c>
      <c r="B8638">
        <v>153.88</v>
      </c>
      <c r="C8638">
        <f t="shared" si="288"/>
        <v>-5.4934401861306426E-3</v>
      </c>
      <c r="D8638">
        <f t="shared" si="287"/>
        <v>-0.61300891327981688</v>
      </c>
    </row>
    <row r="8639" spans="1:4">
      <c r="A8639" s="1">
        <v>30825</v>
      </c>
      <c r="B8639">
        <v>153.15</v>
      </c>
      <c r="C8639">
        <f t="shared" si="288"/>
        <v>-4.74395632960742E-3</v>
      </c>
      <c r="D8639">
        <f t="shared" si="287"/>
        <v>-0.53386367279290559</v>
      </c>
    </row>
    <row r="8640" spans="1:4">
      <c r="A8640" s="1">
        <v>30826</v>
      </c>
      <c r="B8640">
        <v>151.22999999999999</v>
      </c>
      <c r="C8640">
        <f t="shared" si="288"/>
        <v>-1.2536728697355637E-2</v>
      </c>
      <c r="D8640">
        <f t="shared" si="287"/>
        <v>-1.3567777859350865</v>
      </c>
    </row>
    <row r="8641" spans="1:4">
      <c r="A8641" s="1">
        <v>30827</v>
      </c>
      <c r="B8641">
        <v>151.62</v>
      </c>
      <c r="C8641">
        <f t="shared" si="288"/>
        <v>2.5788534021028552E-3</v>
      </c>
      <c r="D8641">
        <f t="shared" si="287"/>
        <v>0.23942254573173039</v>
      </c>
    </row>
    <row r="8642" spans="1:4">
      <c r="A8642" s="1">
        <v>30831</v>
      </c>
      <c r="B8642">
        <v>150.29</v>
      </c>
      <c r="C8642">
        <f t="shared" si="288"/>
        <v>-8.7719298245614863E-3</v>
      </c>
      <c r="D8642">
        <f t="shared" si="287"/>
        <v>-0.95921630468533925</v>
      </c>
    </row>
    <row r="8643" spans="1:4">
      <c r="A8643" s="1">
        <v>30832</v>
      </c>
      <c r="B8643">
        <v>150.35</v>
      </c>
      <c r="C8643">
        <f t="shared" si="288"/>
        <v>3.9922815889282241E-4</v>
      </c>
      <c r="D8643">
        <f t="shared" ref="D8643:D8706" si="289">(C8643-avg)/sd</f>
        <v>9.2548609393691104E-3</v>
      </c>
    </row>
    <row r="8644" spans="1:4">
      <c r="A8644" s="1">
        <v>30833</v>
      </c>
      <c r="B8644">
        <v>150.55000000000001</v>
      </c>
      <c r="C8644">
        <f t="shared" ref="C8644:C8707" si="290">(B8644-B8643)/B8643</f>
        <v>1.330229464582754E-3</v>
      </c>
      <c r="D8644">
        <f t="shared" si="289"/>
        <v>0.10756828235750596</v>
      </c>
    </row>
    <row r="8645" spans="1:4">
      <c r="A8645" s="1">
        <v>30834</v>
      </c>
      <c r="B8645">
        <v>153.24</v>
      </c>
      <c r="C8645">
        <f t="shared" si="290"/>
        <v>1.7867818000664216E-2</v>
      </c>
      <c r="D8645">
        <f t="shared" si="289"/>
        <v>1.8539320103682351</v>
      </c>
    </row>
    <row r="8646" spans="1:4">
      <c r="A8646" s="1">
        <v>30837</v>
      </c>
      <c r="B8646">
        <v>154.34</v>
      </c>
      <c r="C8646">
        <f t="shared" si="290"/>
        <v>7.1782824327851361E-3</v>
      </c>
      <c r="D8646">
        <f t="shared" si="289"/>
        <v>0.72512068794988893</v>
      </c>
    </row>
    <row r="8647" spans="1:4">
      <c r="A8647" s="1">
        <v>30838</v>
      </c>
      <c r="B8647">
        <v>153.65</v>
      </c>
      <c r="C8647">
        <f t="shared" si="290"/>
        <v>-4.470649216016572E-3</v>
      </c>
      <c r="D8647">
        <f t="shared" si="289"/>
        <v>-0.50500253449931387</v>
      </c>
    </row>
    <row r="8648" spans="1:4">
      <c r="A8648" s="1">
        <v>30839</v>
      </c>
      <c r="B8648">
        <v>155.01</v>
      </c>
      <c r="C8648">
        <f t="shared" si="290"/>
        <v>8.8512853888707138E-3</v>
      </c>
      <c r="D8648">
        <f t="shared" si="289"/>
        <v>0.9017892314311905</v>
      </c>
    </row>
    <row r="8649" spans="1:4">
      <c r="A8649" s="1">
        <v>30840</v>
      </c>
      <c r="B8649">
        <v>154.91999999999999</v>
      </c>
      <c r="C8649">
        <f t="shared" si="290"/>
        <v>-5.8060770272887825E-4</v>
      </c>
      <c r="D8649">
        <f t="shared" si="289"/>
        <v>-9.4215472985490434E-2</v>
      </c>
    </row>
    <row r="8650" spans="1:4">
      <c r="A8650" s="1">
        <v>30841</v>
      </c>
      <c r="B8650">
        <v>155.16999999999999</v>
      </c>
      <c r="C8650">
        <f t="shared" si="290"/>
        <v>1.613736121869352E-3</v>
      </c>
      <c r="D8650">
        <f t="shared" si="289"/>
        <v>0.13750648899837559</v>
      </c>
    </row>
    <row r="8651" spans="1:4">
      <c r="A8651" s="1">
        <v>30844</v>
      </c>
      <c r="B8651">
        <v>153.06</v>
      </c>
      <c r="C8651">
        <f t="shared" si="290"/>
        <v>-1.3597989302055715E-2</v>
      </c>
      <c r="D8651">
        <f t="shared" si="289"/>
        <v>-1.4688465450514077</v>
      </c>
    </row>
    <row r="8652" spans="1:4">
      <c r="A8652" s="1">
        <v>30845</v>
      </c>
      <c r="B8652">
        <v>152.19</v>
      </c>
      <c r="C8652">
        <f t="shared" si="290"/>
        <v>-5.6840454723638082E-3</v>
      </c>
      <c r="D8652">
        <f t="shared" si="289"/>
        <v>-0.63313676671615438</v>
      </c>
    </row>
    <row r="8653" spans="1:4">
      <c r="A8653" s="1">
        <v>30846</v>
      </c>
      <c r="B8653">
        <v>152.13</v>
      </c>
      <c r="C8653">
        <f t="shared" si="290"/>
        <v>-3.942440370589544E-4</v>
      </c>
      <c r="D8653">
        <f t="shared" si="289"/>
        <v>-7.453553323883437E-2</v>
      </c>
    </row>
    <row r="8654" spans="1:4">
      <c r="A8654" s="1">
        <v>30847</v>
      </c>
      <c r="B8654">
        <v>150.38999999999999</v>
      </c>
      <c r="C8654">
        <f t="shared" si="290"/>
        <v>-1.143758627489653E-2</v>
      </c>
      <c r="D8654">
        <f t="shared" si="289"/>
        <v>-1.2407087197400672</v>
      </c>
    </row>
    <row r="8655" spans="1:4">
      <c r="A8655" s="1">
        <v>30848</v>
      </c>
      <c r="B8655">
        <v>149.03</v>
      </c>
      <c r="C8655">
        <f t="shared" si="290"/>
        <v>-9.0431544650574191E-3</v>
      </c>
      <c r="D8655">
        <f t="shared" si="289"/>
        <v>-0.98785753452797498</v>
      </c>
    </row>
    <row r="8656" spans="1:4">
      <c r="A8656" s="1">
        <v>30851</v>
      </c>
      <c r="B8656">
        <v>151.72999999999999</v>
      </c>
      <c r="C8656">
        <f t="shared" si="290"/>
        <v>1.8117157619271212E-2</v>
      </c>
      <c r="D8656">
        <f t="shared" si="289"/>
        <v>1.8802621893384794</v>
      </c>
    </row>
    <row r="8657" spans="1:4">
      <c r="A8657" s="1">
        <v>30852</v>
      </c>
      <c r="B8657">
        <v>152.61000000000001</v>
      </c>
      <c r="C8657">
        <f t="shared" si="290"/>
        <v>5.7997759177487902E-3</v>
      </c>
      <c r="D8657">
        <f t="shared" si="289"/>
        <v>0.57955086853918225</v>
      </c>
    </row>
    <row r="8658" spans="1:4">
      <c r="A8658" s="1">
        <v>30853</v>
      </c>
      <c r="B8658">
        <v>154.84</v>
      </c>
      <c r="C8658">
        <f t="shared" si="290"/>
        <v>1.4612410720136226E-2</v>
      </c>
      <c r="D8658">
        <f t="shared" si="289"/>
        <v>1.5101621081111793</v>
      </c>
    </row>
    <row r="8659" spans="1:4">
      <c r="A8659" s="1">
        <v>30854</v>
      </c>
      <c r="B8659">
        <v>154.51</v>
      </c>
      <c r="C8659">
        <f t="shared" si="290"/>
        <v>-2.1312322397314164E-3</v>
      </c>
      <c r="D8659">
        <f t="shared" si="289"/>
        <v>-0.25796089701006869</v>
      </c>
    </row>
    <row r="8660" spans="1:4">
      <c r="A8660" s="1">
        <v>30855</v>
      </c>
      <c r="B8660">
        <v>154.46</v>
      </c>
      <c r="C8660">
        <f t="shared" si="290"/>
        <v>-3.2360365024906444E-4</v>
      </c>
      <c r="D8660">
        <f t="shared" si="289"/>
        <v>-6.7075932403544133E-2</v>
      </c>
    </row>
    <row r="8661" spans="1:4">
      <c r="A8661" s="1">
        <v>30858</v>
      </c>
      <c r="B8661">
        <v>153.97</v>
      </c>
      <c r="C8661">
        <f t="shared" si="290"/>
        <v>-3.1723423540075688E-3</v>
      </c>
      <c r="D8661">
        <f t="shared" si="289"/>
        <v>-0.36790177118710787</v>
      </c>
    </row>
    <row r="8662" spans="1:4">
      <c r="A8662" s="1">
        <v>30859</v>
      </c>
      <c r="B8662">
        <v>152.71</v>
      </c>
      <c r="C8662">
        <f t="shared" si="290"/>
        <v>-8.1834123530557315E-3</v>
      </c>
      <c r="D8662">
        <f t="shared" si="289"/>
        <v>-0.89706905974113982</v>
      </c>
    </row>
    <row r="8663" spans="1:4">
      <c r="A8663" s="1">
        <v>30860</v>
      </c>
      <c r="B8663">
        <v>151.63999999999999</v>
      </c>
      <c r="C8663">
        <f t="shared" si="290"/>
        <v>-7.0067448104251294E-3</v>
      </c>
      <c r="D8663">
        <f t="shared" si="289"/>
        <v>-0.77281336720807958</v>
      </c>
    </row>
    <row r="8664" spans="1:4">
      <c r="A8664" s="1">
        <v>30861</v>
      </c>
      <c r="B8664">
        <v>152.84</v>
      </c>
      <c r="C8664">
        <f t="shared" si="290"/>
        <v>7.913479293062629E-3</v>
      </c>
      <c r="D8664">
        <f t="shared" si="289"/>
        <v>0.8027572264896371</v>
      </c>
    </row>
    <row r="8665" spans="1:4">
      <c r="A8665" s="1">
        <v>30862</v>
      </c>
      <c r="B8665">
        <v>153.18</v>
      </c>
      <c r="C8665">
        <f t="shared" si="290"/>
        <v>2.2245485475006765E-3</v>
      </c>
      <c r="D8665">
        <f t="shared" si="289"/>
        <v>0.20200807351981198</v>
      </c>
    </row>
    <row r="8666" spans="1:4">
      <c r="A8666" s="1">
        <v>30865</v>
      </c>
      <c r="B8666">
        <v>153.19999999999999</v>
      </c>
      <c r="C8666">
        <f t="shared" si="290"/>
        <v>1.3056534795653356E-4</v>
      </c>
      <c r="D8666">
        <f t="shared" si="289"/>
        <v>-1.9115840572576401E-2</v>
      </c>
    </row>
    <row r="8667" spans="1:4">
      <c r="A8667" s="1">
        <v>30866</v>
      </c>
      <c r="B8667">
        <v>153.69999999999999</v>
      </c>
      <c r="C8667">
        <f t="shared" si="290"/>
        <v>3.2637075718015668E-3</v>
      </c>
      <c r="D8667">
        <f t="shared" si="289"/>
        <v>0.31174291325867121</v>
      </c>
    </row>
    <row r="8668" spans="1:4">
      <c r="A8668" s="1">
        <v>30868</v>
      </c>
      <c r="B8668">
        <v>152.76</v>
      </c>
      <c r="C8668">
        <f t="shared" si="290"/>
        <v>-6.1158100195185285E-3</v>
      </c>
      <c r="D8668">
        <f t="shared" si="289"/>
        <v>-0.67873095613179235</v>
      </c>
    </row>
    <row r="8669" spans="1:4">
      <c r="A8669" s="1">
        <v>30869</v>
      </c>
      <c r="B8669">
        <v>152.24</v>
      </c>
      <c r="C8669">
        <f t="shared" si="290"/>
        <v>-3.4040324692326644E-3</v>
      </c>
      <c r="D8669">
        <f t="shared" si="289"/>
        <v>-0.39236816859958129</v>
      </c>
    </row>
    <row r="8670" spans="1:4">
      <c r="A8670" s="1">
        <v>30872</v>
      </c>
      <c r="B8670">
        <v>153.36000000000001</v>
      </c>
      <c r="C8670">
        <f t="shared" si="290"/>
        <v>7.3568050446663454E-3</v>
      </c>
      <c r="D8670">
        <f t="shared" si="289"/>
        <v>0.74397261508176038</v>
      </c>
    </row>
    <row r="8671" spans="1:4">
      <c r="A8671" s="1">
        <v>30873</v>
      </c>
      <c r="B8671">
        <v>152.88999999999999</v>
      </c>
      <c r="C8671">
        <f t="shared" si="290"/>
        <v>-3.0646844027127492E-3</v>
      </c>
      <c r="D8671">
        <f t="shared" si="289"/>
        <v>-0.35653312812509064</v>
      </c>
    </row>
    <row r="8672" spans="1:4">
      <c r="A8672" s="1">
        <v>30874</v>
      </c>
      <c r="B8672">
        <v>150.56</v>
      </c>
      <c r="C8672">
        <f t="shared" si="290"/>
        <v>-1.5239714827653766E-2</v>
      </c>
      <c r="D8672">
        <f t="shared" si="289"/>
        <v>-1.6422122025049415</v>
      </c>
    </row>
    <row r="8673" spans="1:4">
      <c r="A8673" s="1">
        <v>30875</v>
      </c>
      <c r="B8673">
        <v>150.03</v>
      </c>
      <c r="C8673">
        <f t="shared" si="290"/>
        <v>-3.5201912858661075E-3</v>
      </c>
      <c r="D8673">
        <f t="shared" si="289"/>
        <v>-0.40463450015177266</v>
      </c>
    </row>
    <row r="8674" spans="1:4">
      <c r="A8674" s="1">
        <v>30876</v>
      </c>
      <c r="B8674">
        <v>150.88</v>
      </c>
      <c r="C8674">
        <f t="shared" si="290"/>
        <v>5.6655335599546377E-3</v>
      </c>
      <c r="D8674">
        <f t="shared" si="289"/>
        <v>0.56537492118731425</v>
      </c>
    </row>
    <row r="8675" spans="1:4">
      <c r="A8675" s="1">
        <v>30879</v>
      </c>
      <c r="B8675">
        <v>151.6</v>
      </c>
      <c r="C8675">
        <f t="shared" si="290"/>
        <v>4.7720042417815408E-3</v>
      </c>
      <c r="D8675">
        <f t="shared" si="289"/>
        <v>0.47101852891360774</v>
      </c>
    </row>
    <row r="8676" spans="1:4">
      <c r="A8676" s="1">
        <v>30880</v>
      </c>
      <c r="B8676">
        <v>152.38</v>
      </c>
      <c r="C8676">
        <f t="shared" si="290"/>
        <v>5.1451187335092427E-3</v>
      </c>
      <c r="D8676">
        <f t="shared" si="289"/>
        <v>0.51041929241227502</v>
      </c>
    </row>
    <row r="8677" spans="1:4">
      <c r="A8677" s="1">
        <v>30881</v>
      </c>
      <c r="B8677">
        <v>151.4</v>
      </c>
      <c r="C8677">
        <f t="shared" si="290"/>
        <v>-6.4312901955636556E-3</v>
      </c>
      <c r="D8677">
        <f t="shared" si="289"/>
        <v>-0.71204555548523563</v>
      </c>
    </row>
    <row r="8678" spans="1:4">
      <c r="A8678" s="1">
        <v>30882</v>
      </c>
      <c r="B8678">
        <v>150.37</v>
      </c>
      <c r="C8678">
        <f t="shared" si="290"/>
        <v>-6.8031704095112356E-3</v>
      </c>
      <c r="D8678">
        <f t="shared" si="289"/>
        <v>-0.7513159796698734</v>
      </c>
    </row>
    <row r="8679" spans="1:4">
      <c r="A8679" s="1">
        <v>30883</v>
      </c>
      <c r="B8679">
        <v>149.55000000000001</v>
      </c>
      <c r="C8679">
        <f t="shared" si="290"/>
        <v>-5.4532154020083337E-3</v>
      </c>
      <c r="D8679">
        <f t="shared" si="289"/>
        <v>-0.6087611897495695</v>
      </c>
    </row>
    <row r="8680" spans="1:4">
      <c r="A8680" s="1">
        <v>30886</v>
      </c>
      <c r="B8680">
        <v>148.94999999999999</v>
      </c>
      <c r="C8680">
        <f t="shared" si="290"/>
        <v>-4.0120361083251267E-3</v>
      </c>
      <c r="D8680">
        <f t="shared" si="289"/>
        <v>-0.45657314621726686</v>
      </c>
    </row>
    <row r="8681" spans="1:4">
      <c r="A8681" s="1">
        <v>30887</v>
      </c>
      <c r="B8681">
        <v>147.82</v>
      </c>
      <c r="C8681">
        <f t="shared" si="290"/>
        <v>-7.5864384021483416E-3</v>
      </c>
      <c r="D8681">
        <f t="shared" si="289"/>
        <v>-0.83402881344662483</v>
      </c>
    </row>
    <row r="8682" spans="1:4">
      <c r="A8682" s="1">
        <v>30888</v>
      </c>
      <c r="B8682">
        <v>148.83000000000001</v>
      </c>
      <c r="C8682">
        <f t="shared" si="290"/>
        <v>6.8326342849412761E-3</v>
      </c>
      <c r="D8682">
        <f t="shared" si="289"/>
        <v>0.68862036102909141</v>
      </c>
    </row>
    <row r="8683" spans="1:4">
      <c r="A8683" s="1">
        <v>30889</v>
      </c>
      <c r="B8683">
        <v>150.08000000000001</v>
      </c>
      <c r="C8683">
        <f t="shared" si="290"/>
        <v>8.3988443190217022E-3</v>
      </c>
      <c r="D8683">
        <f t="shared" si="289"/>
        <v>0.8540116082473268</v>
      </c>
    </row>
    <row r="8684" spans="1:4">
      <c r="A8684" s="1">
        <v>30890</v>
      </c>
      <c r="B8684">
        <v>151.19</v>
      </c>
      <c r="C8684">
        <f t="shared" si="290"/>
        <v>7.3960554371001143E-3</v>
      </c>
      <c r="D8684">
        <f t="shared" si="289"/>
        <v>0.74811744318090978</v>
      </c>
    </row>
    <row r="8685" spans="1:4">
      <c r="A8685" s="1">
        <v>30893</v>
      </c>
      <c r="B8685">
        <v>150.19</v>
      </c>
      <c r="C8685">
        <f t="shared" si="290"/>
        <v>-6.6141940604537335E-3</v>
      </c>
      <c r="D8685">
        <f t="shared" si="289"/>
        <v>-0.73136014144558337</v>
      </c>
    </row>
    <row r="8686" spans="1:4">
      <c r="A8686" s="1">
        <v>30894</v>
      </c>
      <c r="B8686">
        <v>150.66</v>
      </c>
      <c r="C8686">
        <f t="shared" si="290"/>
        <v>3.1293694653438901E-3</v>
      </c>
      <c r="D8686">
        <f t="shared" si="289"/>
        <v>0.29755685488048161</v>
      </c>
    </row>
    <row r="8687" spans="1:4">
      <c r="A8687" s="1">
        <v>30895</v>
      </c>
      <c r="B8687">
        <v>154.08000000000001</v>
      </c>
      <c r="C8687">
        <f t="shared" si="290"/>
        <v>2.2700119474313128E-2</v>
      </c>
      <c r="D8687">
        <f t="shared" si="289"/>
        <v>2.3642214034064803</v>
      </c>
    </row>
    <row r="8688" spans="1:4">
      <c r="A8688" s="1">
        <v>30896</v>
      </c>
      <c r="B8688">
        <v>157.99</v>
      </c>
      <c r="C8688">
        <f t="shared" si="290"/>
        <v>2.5376427829698834E-2</v>
      </c>
      <c r="D8688">
        <f t="shared" si="289"/>
        <v>2.6468386560138</v>
      </c>
    </row>
    <row r="8689" spans="1:4">
      <c r="A8689" s="1">
        <v>30897</v>
      </c>
      <c r="B8689">
        <v>162.35</v>
      </c>
      <c r="C8689">
        <f t="shared" si="290"/>
        <v>2.7596683334388156E-2</v>
      </c>
      <c r="D8689">
        <f t="shared" si="289"/>
        <v>2.8812968826074772</v>
      </c>
    </row>
    <row r="8690" spans="1:4">
      <c r="A8690" s="1">
        <v>30900</v>
      </c>
      <c r="B8690">
        <v>162.6</v>
      </c>
      <c r="C8690">
        <f t="shared" si="290"/>
        <v>1.5398829688943641E-3</v>
      </c>
      <c r="D8690">
        <f t="shared" si="289"/>
        <v>0.12970762114812329</v>
      </c>
    </row>
    <row r="8691" spans="1:4">
      <c r="A8691" s="1">
        <v>30901</v>
      </c>
      <c r="B8691">
        <v>162.72</v>
      </c>
      <c r="C8691">
        <f t="shared" si="290"/>
        <v>7.3800738007382869E-4</v>
      </c>
      <c r="D8691">
        <f t="shared" si="289"/>
        <v>4.5029831539430923E-2</v>
      </c>
    </row>
    <row r="8692" spans="1:4">
      <c r="A8692" s="1">
        <v>30902</v>
      </c>
      <c r="B8692">
        <v>161.75</v>
      </c>
      <c r="C8692">
        <f t="shared" si="290"/>
        <v>-5.9611602753195606E-3</v>
      </c>
      <c r="D8692">
        <f t="shared" si="289"/>
        <v>-0.66239999571238362</v>
      </c>
    </row>
    <row r="8693" spans="1:4">
      <c r="A8693" s="1">
        <v>30903</v>
      </c>
      <c r="B8693">
        <v>165.54</v>
      </c>
      <c r="C8693">
        <f t="shared" si="290"/>
        <v>2.3431221020092687E-2</v>
      </c>
      <c r="D8693">
        <f t="shared" si="289"/>
        <v>2.4414254781273117</v>
      </c>
    </row>
    <row r="8694" spans="1:4">
      <c r="A8694" s="1">
        <v>30904</v>
      </c>
      <c r="B8694">
        <v>165.42</v>
      </c>
      <c r="C8694">
        <f t="shared" si="290"/>
        <v>-7.2490032620517431E-4</v>
      </c>
      <c r="D8694">
        <f t="shared" si="289"/>
        <v>-0.10945272497714149</v>
      </c>
    </row>
    <row r="8695" spans="1:4">
      <c r="A8695" s="1">
        <v>30907</v>
      </c>
      <c r="B8695">
        <v>165.43</v>
      </c>
      <c r="C8695">
        <f t="shared" si="290"/>
        <v>6.0452182323898726E-5</v>
      </c>
      <c r="D8695">
        <f t="shared" si="289"/>
        <v>-2.6519767030759676E-2</v>
      </c>
    </row>
    <row r="8696" spans="1:4">
      <c r="A8696" s="1">
        <v>30908</v>
      </c>
      <c r="B8696">
        <v>164.42</v>
      </c>
      <c r="C8696">
        <f t="shared" si="290"/>
        <v>-6.1053013359125873E-3</v>
      </c>
      <c r="D8696">
        <f t="shared" si="289"/>
        <v>-0.67762124271508006</v>
      </c>
    </row>
    <row r="8697" spans="1:4">
      <c r="A8697" s="1">
        <v>30909</v>
      </c>
      <c r="B8697">
        <v>162.80000000000001</v>
      </c>
      <c r="C8697">
        <f t="shared" si="290"/>
        <v>-9.8528159591289161E-3</v>
      </c>
      <c r="D8697">
        <f t="shared" si="289"/>
        <v>-1.0733575130846111</v>
      </c>
    </row>
    <row r="8698" spans="1:4">
      <c r="A8698" s="1">
        <v>30910</v>
      </c>
      <c r="B8698">
        <v>163.77000000000001</v>
      </c>
      <c r="C8698">
        <f t="shared" si="290"/>
        <v>5.9582309582309504E-3</v>
      </c>
      <c r="D8698">
        <f t="shared" si="289"/>
        <v>0.59628366695261315</v>
      </c>
    </row>
    <row r="8699" spans="1:4">
      <c r="A8699" s="1">
        <v>30911</v>
      </c>
      <c r="B8699">
        <v>164.14</v>
      </c>
      <c r="C8699">
        <f t="shared" si="290"/>
        <v>2.2592660438418275E-3</v>
      </c>
      <c r="D8699">
        <f t="shared" si="289"/>
        <v>0.20567422933238716</v>
      </c>
    </row>
    <row r="8700" spans="1:4">
      <c r="A8700" s="1">
        <v>30914</v>
      </c>
      <c r="B8700">
        <v>164.94</v>
      </c>
      <c r="C8700">
        <f t="shared" si="290"/>
        <v>4.8738881442671588E-3</v>
      </c>
      <c r="D8700">
        <f t="shared" si="289"/>
        <v>0.48177743438406784</v>
      </c>
    </row>
    <row r="8701" spans="1:4">
      <c r="A8701" s="1">
        <v>30915</v>
      </c>
      <c r="B8701">
        <v>167.83</v>
      </c>
      <c r="C8701">
        <f t="shared" si="290"/>
        <v>1.7521522978052716E-2</v>
      </c>
      <c r="D8701">
        <f t="shared" si="289"/>
        <v>1.8173633736918582</v>
      </c>
    </row>
    <row r="8702" spans="1:4">
      <c r="A8702" s="1">
        <v>30916</v>
      </c>
      <c r="B8702">
        <v>167.06</v>
      </c>
      <c r="C8702">
        <f t="shared" si="290"/>
        <v>-4.5879759280224646E-3</v>
      </c>
      <c r="D8702">
        <f t="shared" si="289"/>
        <v>-0.51739219540584902</v>
      </c>
    </row>
    <row r="8703" spans="1:4">
      <c r="A8703" s="1">
        <v>30917</v>
      </c>
      <c r="B8703">
        <v>167.12</v>
      </c>
      <c r="C8703">
        <f t="shared" si="290"/>
        <v>3.591524003352225E-4</v>
      </c>
      <c r="D8703">
        <f t="shared" si="289"/>
        <v>5.0228744580987734E-3</v>
      </c>
    </row>
    <row r="8704" spans="1:4">
      <c r="A8704" s="1">
        <v>30918</v>
      </c>
      <c r="B8704">
        <v>167.51</v>
      </c>
      <c r="C8704">
        <f t="shared" si="290"/>
        <v>2.3336524652943177E-3</v>
      </c>
      <c r="D8704">
        <f t="shared" si="289"/>
        <v>0.21352941015259691</v>
      </c>
    </row>
    <row r="8705" spans="1:4">
      <c r="A8705" s="1">
        <v>30921</v>
      </c>
      <c r="B8705">
        <v>166.44</v>
      </c>
      <c r="C8705">
        <f t="shared" si="290"/>
        <v>-6.3876783475612991E-3</v>
      </c>
      <c r="D8705">
        <f t="shared" si="289"/>
        <v>-0.70744015916057412</v>
      </c>
    </row>
    <row r="8706" spans="1:4">
      <c r="A8706" s="1">
        <v>30922</v>
      </c>
      <c r="B8706">
        <v>167.4</v>
      </c>
      <c r="C8706">
        <f t="shared" si="290"/>
        <v>5.7678442682048067E-3</v>
      </c>
      <c r="D8706">
        <f t="shared" si="289"/>
        <v>0.57617889720143267</v>
      </c>
    </row>
    <row r="8707" spans="1:4">
      <c r="A8707" s="1">
        <v>30923</v>
      </c>
      <c r="B8707">
        <v>167.09</v>
      </c>
      <c r="C8707">
        <f t="shared" si="290"/>
        <v>-1.8518518518518654E-3</v>
      </c>
      <c r="D8707">
        <f t="shared" ref="D8707:D8770" si="291">(C8707-avg)/sd</f>
        <v>-0.22845842301599611</v>
      </c>
    </row>
    <row r="8708" spans="1:4">
      <c r="A8708" s="1">
        <v>30924</v>
      </c>
      <c r="B8708">
        <v>166.6</v>
      </c>
      <c r="C8708">
        <f t="shared" ref="C8708:C8771" si="292">(B8708-B8707)/B8707</f>
        <v>-2.932551319648148E-3</v>
      </c>
      <c r="D8708">
        <f t="shared" si="291"/>
        <v>-0.34257991946768596</v>
      </c>
    </row>
    <row r="8709" spans="1:4">
      <c r="A8709" s="1">
        <v>30925</v>
      </c>
      <c r="B8709">
        <v>166.68</v>
      </c>
      <c r="C8709">
        <f t="shared" si="292"/>
        <v>4.8019207683080739E-4</v>
      </c>
      <c r="D8709">
        <f t="shared" si="291"/>
        <v>1.7804623152647442E-2</v>
      </c>
    </row>
    <row r="8710" spans="1:4">
      <c r="A8710" s="1">
        <v>30929</v>
      </c>
      <c r="B8710">
        <v>164.88</v>
      </c>
      <c r="C8710">
        <f t="shared" si="292"/>
        <v>-1.0799136069114538E-2</v>
      </c>
      <c r="D8710">
        <f t="shared" si="291"/>
        <v>-1.1732885950292582</v>
      </c>
    </row>
    <row r="8711" spans="1:4">
      <c r="A8711" s="1">
        <v>30930</v>
      </c>
      <c r="B8711">
        <v>164.29</v>
      </c>
      <c r="C8711">
        <f t="shared" si="292"/>
        <v>-3.578360019408075E-3</v>
      </c>
      <c r="D8711">
        <f t="shared" si="291"/>
        <v>-0.41077709864129119</v>
      </c>
    </row>
    <row r="8712" spans="1:4">
      <c r="A8712" s="1">
        <v>30931</v>
      </c>
      <c r="B8712">
        <v>165.65</v>
      </c>
      <c r="C8712">
        <f t="shared" si="292"/>
        <v>8.2780449205673724E-3</v>
      </c>
      <c r="D8712">
        <f t="shared" si="291"/>
        <v>0.84125523283226022</v>
      </c>
    </row>
    <row r="8713" spans="1:4">
      <c r="A8713" s="1">
        <v>30932</v>
      </c>
      <c r="B8713">
        <v>164.37</v>
      </c>
      <c r="C8713">
        <f t="shared" si="292"/>
        <v>-7.7271355267129558E-3</v>
      </c>
      <c r="D8713">
        <f t="shared" si="291"/>
        <v>-0.8488863819753717</v>
      </c>
    </row>
    <row r="8714" spans="1:4">
      <c r="A8714" s="1">
        <v>30935</v>
      </c>
      <c r="B8714">
        <v>164.26</v>
      </c>
      <c r="C8714">
        <f t="shared" si="292"/>
        <v>-6.6922187747164104E-4</v>
      </c>
      <c r="D8714">
        <f t="shared" si="291"/>
        <v>-0.10357309971690468</v>
      </c>
    </row>
    <row r="8715" spans="1:4">
      <c r="A8715" s="1">
        <v>30936</v>
      </c>
      <c r="B8715">
        <v>164.45</v>
      </c>
      <c r="C8715">
        <f t="shared" si="292"/>
        <v>1.1567027882624968E-3</v>
      </c>
      <c r="D8715">
        <f t="shared" si="291"/>
        <v>8.924392432266999E-2</v>
      </c>
    </row>
    <row r="8716" spans="1:4">
      <c r="A8716" s="1">
        <v>30937</v>
      </c>
      <c r="B8716">
        <v>164.68</v>
      </c>
      <c r="C8716">
        <f t="shared" si="292"/>
        <v>1.3986013986015094E-3</v>
      </c>
      <c r="D8716">
        <f t="shared" si="291"/>
        <v>0.11478833534913695</v>
      </c>
    </row>
    <row r="8717" spans="1:4">
      <c r="A8717" s="1">
        <v>30938</v>
      </c>
      <c r="B8717">
        <v>167.94</v>
      </c>
      <c r="C8717">
        <f t="shared" si="292"/>
        <v>1.9795967937818744E-2</v>
      </c>
      <c r="D8717">
        <f t="shared" si="291"/>
        <v>2.0575439883217448</v>
      </c>
    </row>
    <row r="8718" spans="1:4">
      <c r="A8718" s="1">
        <v>30939</v>
      </c>
      <c r="B8718">
        <v>168.78</v>
      </c>
      <c r="C8718">
        <f t="shared" si="292"/>
        <v>5.0017863522686876E-3</v>
      </c>
      <c r="D8718">
        <f t="shared" si="291"/>
        <v>0.49528344167431604</v>
      </c>
    </row>
    <row r="8719" spans="1:4">
      <c r="A8719" s="1">
        <v>30942</v>
      </c>
      <c r="B8719">
        <v>168.87</v>
      </c>
      <c r="C8719">
        <f t="shared" si="292"/>
        <v>5.3323853537150972E-4</v>
      </c>
      <c r="D8719">
        <f t="shared" si="291"/>
        <v>2.3406311143178253E-2</v>
      </c>
    </row>
    <row r="8720" spans="1:4">
      <c r="A8720" s="1">
        <v>30943</v>
      </c>
      <c r="B8720">
        <v>167.65</v>
      </c>
      <c r="C8720">
        <f t="shared" si="292"/>
        <v>-7.2244922129448622E-3</v>
      </c>
      <c r="D8720">
        <f t="shared" si="291"/>
        <v>-0.79580741889822504</v>
      </c>
    </row>
    <row r="8721" spans="1:4">
      <c r="A8721" s="1">
        <v>30944</v>
      </c>
      <c r="B8721">
        <v>166.94</v>
      </c>
      <c r="C8721">
        <f t="shared" si="292"/>
        <v>-4.2350134208172258E-3</v>
      </c>
      <c r="D8721">
        <f t="shared" si="291"/>
        <v>-0.48011947462276139</v>
      </c>
    </row>
    <row r="8722" spans="1:4">
      <c r="A8722" s="1">
        <v>30945</v>
      </c>
      <c r="B8722">
        <v>167.47</v>
      </c>
      <c r="C8722">
        <f t="shared" si="292"/>
        <v>3.1747933389241713E-3</v>
      </c>
      <c r="D8722">
        <f t="shared" si="291"/>
        <v>0.30235360049023446</v>
      </c>
    </row>
    <row r="8723" spans="1:4">
      <c r="A8723" s="1">
        <v>30946</v>
      </c>
      <c r="B8723">
        <v>165.67</v>
      </c>
      <c r="C8723">
        <f t="shared" si="292"/>
        <v>-1.0748193706335531E-2</v>
      </c>
      <c r="D8723">
        <f t="shared" si="291"/>
        <v>-1.1679090988359455</v>
      </c>
    </row>
    <row r="8724" spans="1:4">
      <c r="A8724" s="1">
        <v>30949</v>
      </c>
      <c r="B8724">
        <v>165.28</v>
      </c>
      <c r="C8724">
        <f t="shared" si="292"/>
        <v>-2.3540773827487559E-3</v>
      </c>
      <c r="D8724">
        <f t="shared" si="291"/>
        <v>-0.28149326836395522</v>
      </c>
    </row>
    <row r="8725" spans="1:4">
      <c r="A8725" s="1">
        <v>30950</v>
      </c>
      <c r="B8725">
        <v>165.62</v>
      </c>
      <c r="C8725">
        <f t="shared" si="292"/>
        <v>2.057115198451134E-3</v>
      </c>
      <c r="D8725">
        <f t="shared" si="291"/>
        <v>0.18432716877354091</v>
      </c>
    </row>
    <row r="8726" spans="1:4">
      <c r="A8726" s="1">
        <v>30951</v>
      </c>
      <c r="B8726">
        <v>166.28</v>
      </c>
      <c r="C8726">
        <f t="shared" si="292"/>
        <v>3.9850259630479206E-3</v>
      </c>
      <c r="D8726">
        <f t="shared" si="291"/>
        <v>0.38791389018625194</v>
      </c>
    </row>
    <row r="8727" spans="1:4">
      <c r="A8727" s="1">
        <v>30952</v>
      </c>
      <c r="B8727">
        <v>166.96</v>
      </c>
      <c r="C8727">
        <f t="shared" si="292"/>
        <v>4.0894876112581597E-3</v>
      </c>
      <c r="D8727">
        <f t="shared" si="291"/>
        <v>0.39894500472901367</v>
      </c>
    </row>
    <row r="8728" spans="1:4">
      <c r="A8728" s="1">
        <v>30953</v>
      </c>
      <c r="B8728">
        <v>166.1</v>
      </c>
      <c r="C8728">
        <f t="shared" si="292"/>
        <v>-5.1509343555343409E-3</v>
      </c>
      <c r="D8728">
        <f t="shared" si="291"/>
        <v>-0.57684041399223596</v>
      </c>
    </row>
    <row r="8729" spans="1:4">
      <c r="A8729" s="1">
        <v>30956</v>
      </c>
      <c r="B8729">
        <v>164.62</v>
      </c>
      <c r="C8729">
        <f t="shared" si="292"/>
        <v>-8.9102950030101741E-3</v>
      </c>
      <c r="D8729">
        <f t="shared" si="291"/>
        <v>-0.97382762049691129</v>
      </c>
    </row>
    <row r="8730" spans="1:4">
      <c r="A8730" s="1">
        <v>30957</v>
      </c>
      <c r="B8730">
        <v>163.59</v>
      </c>
      <c r="C8730">
        <f t="shared" si="292"/>
        <v>-6.2568339205442908E-3</v>
      </c>
      <c r="D8730">
        <f t="shared" si="291"/>
        <v>-0.69362303214375975</v>
      </c>
    </row>
    <row r="8731" spans="1:4">
      <c r="A8731" s="1">
        <v>30958</v>
      </c>
      <c r="B8731">
        <v>162.44</v>
      </c>
      <c r="C8731">
        <f t="shared" si="292"/>
        <v>-7.0297695458157936E-3</v>
      </c>
      <c r="D8731">
        <f t="shared" si="291"/>
        <v>-0.77524477143884585</v>
      </c>
    </row>
    <row r="8732" spans="1:4">
      <c r="A8732" s="1">
        <v>30959</v>
      </c>
      <c r="B8732">
        <v>162.91999999999999</v>
      </c>
      <c r="C8732">
        <f t="shared" si="292"/>
        <v>2.9549372075842761E-3</v>
      </c>
      <c r="D8732">
        <f t="shared" si="291"/>
        <v>0.27913686775347168</v>
      </c>
    </row>
    <row r="8733" spans="1:4">
      <c r="A8733" s="1">
        <v>30960</v>
      </c>
      <c r="B8733">
        <v>162.68</v>
      </c>
      <c r="C8733">
        <f t="shared" si="292"/>
        <v>-1.4731156395775883E-3</v>
      </c>
      <c r="D8733">
        <f t="shared" si="291"/>
        <v>-0.18846400773852609</v>
      </c>
    </row>
    <row r="8734" spans="1:4">
      <c r="A8734" s="1">
        <v>30963</v>
      </c>
      <c r="B8734">
        <v>162.13</v>
      </c>
      <c r="C8734">
        <f t="shared" si="292"/>
        <v>-3.3808704204574091E-3</v>
      </c>
      <c r="D8734">
        <f t="shared" si="291"/>
        <v>-0.38992226412207726</v>
      </c>
    </row>
    <row r="8735" spans="1:4">
      <c r="A8735" s="1">
        <v>30964</v>
      </c>
      <c r="B8735">
        <v>161.66999999999999</v>
      </c>
      <c r="C8735">
        <f t="shared" si="292"/>
        <v>-2.8372293838278416E-3</v>
      </c>
      <c r="D8735">
        <f t="shared" si="291"/>
        <v>-0.33251395544656187</v>
      </c>
    </row>
    <row r="8736" spans="1:4">
      <c r="A8736" s="1">
        <v>30965</v>
      </c>
      <c r="B8736">
        <v>162.11000000000001</v>
      </c>
      <c r="C8736">
        <f t="shared" si="292"/>
        <v>2.7215933692090444E-3</v>
      </c>
      <c r="D8736">
        <f t="shared" si="291"/>
        <v>0.25449583773847173</v>
      </c>
    </row>
    <row r="8737" spans="1:4">
      <c r="A8737" s="1">
        <v>30966</v>
      </c>
      <c r="B8737">
        <v>162.78</v>
      </c>
      <c r="C8737">
        <f t="shared" si="292"/>
        <v>4.1329961137498454E-3</v>
      </c>
      <c r="D8737">
        <f t="shared" si="291"/>
        <v>0.40353948780287713</v>
      </c>
    </row>
    <row r="8738" spans="1:4">
      <c r="A8738" s="1">
        <v>30967</v>
      </c>
      <c r="B8738">
        <v>164.18</v>
      </c>
      <c r="C8738">
        <f t="shared" si="292"/>
        <v>8.6005651799975769E-3</v>
      </c>
      <c r="D8738">
        <f t="shared" si="291"/>
        <v>0.87531326259812703</v>
      </c>
    </row>
    <row r="8739" spans="1:4">
      <c r="A8739" s="1">
        <v>30970</v>
      </c>
      <c r="B8739">
        <v>165.77</v>
      </c>
      <c r="C8739">
        <f t="shared" si="292"/>
        <v>9.6844926300402208E-3</v>
      </c>
      <c r="D8739">
        <f t="shared" si="291"/>
        <v>0.98977563287778814</v>
      </c>
    </row>
    <row r="8740" spans="1:4">
      <c r="A8740" s="1">
        <v>30971</v>
      </c>
      <c r="B8740">
        <v>164.78</v>
      </c>
      <c r="C8740">
        <f t="shared" si="292"/>
        <v>-5.9721300597213554E-3</v>
      </c>
      <c r="D8740">
        <f t="shared" si="291"/>
        <v>-0.66355840121640219</v>
      </c>
    </row>
    <row r="8741" spans="1:4">
      <c r="A8741" s="1">
        <v>30972</v>
      </c>
      <c r="B8741">
        <v>164.14</v>
      </c>
      <c r="C8741">
        <f t="shared" si="292"/>
        <v>-3.8839665007890205E-3</v>
      </c>
      <c r="D8741">
        <f t="shared" si="291"/>
        <v>-0.44304903919442878</v>
      </c>
    </row>
    <row r="8742" spans="1:4">
      <c r="A8742" s="1">
        <v>30973</v>
      </c>
      <c r="B8742">
        <v>168.1</v>
      </c>
      <c r="C8742">
        <f t="shared" si="292"/>
        <v>2.4125746314122141E-2</v>
      </c>
      <c r="D8742">
        <f t="shared" si="291"/>
        <v>2.5147671130962044</v>
      </c>
    </row>
    <row r="8743" spans="1:4">
      <c r="A8743" s="1">
        <v>30974</v>
      </c>
      <c r="B8743">
        <v>167.96</v>
      </c>
      <c r="C8743">
        <f t="shared" si="292"/>
        <v>-8.3283759666856851E-4</v>
      </c>
      <c r="D8743">
        <f t="shared" si="291"/>
        <v>-0.12085086404841504</v>
      </c>
    </row>
    <row r="8744" spans="1:4">
      <c r="A8744" s="1">
        <v>30977</v>
      </c>
      <c r="B8744">
        <v>167.36</v>
      </c>
      <c r="C8744">
        <f t="shared" si="292"/>
        <v>-3.5722791140747456E-3</v>
      </c>
      <c r="D8744">
        <f t="shared" si="291"/>
        <v>-0.41013495710509179</v>
      </c>
    </row>
    <row r="8745" spans="1:4">
      <c r="A8745" s="1">
        <v>30978</v>
      </c>
      <c r="B8745">
        <v>167.09</v>
      </c>
      <c r="C8745">
        <f t="shared" si="292"/>
        <v>-1.6132887189293152E-3</v>
      </c>
      <c r="D8745">
        <f t="shared" si="291"/>
        <v>-0.20326623727092374</v>
      </c>
    </row>
    <row r="8746" spans="1:4">
      <c r="A8746" s="1">
        <v>30979</v>
      </c>
      <c r="B8746">
        <v>167.2</v>
      </c>
      <c r="C8746">
        <f t="shared" si="292"/>
        <v>6.5832784726785093E-4</v>
      </c>
      <c r="D8746">
        <f t="shared" si="291"/>
        <v>3.6615699959508835E-2</v>
      </c>
    </row>
    <row r="8747" spans="1:4">
      <c r="A8747" s="1">
        <v>30980</v>
      </c>
      <c r="B8747">
        <v>166.31</v>
      </c>
      <c r="C8747">
        <f t="shared" si="292"/>
        <v>-5.3229665071769525E-3</v>
      </c>
      <c r="D8747">
        <f t="shared" si="291"/>
        <v>-0.59500695072912613</v>
      </c>
    </row>
    <row r="8748" spans="1:4">
      <c r="A8748" s="1">
        <v>30981</v>
      </c>
      <c r="B8748">
        <v>165.29</v>
      </c>
      <c r="C8748">
        <f t="shared" si="292"/>
        <v>-6.1331248872587953E-3</v>
      </c>
      <c r="D8748">
        <f t="shared" si="291"/>
        <v>-0.68055940027955508</v>
      </c>
    </row>
    <row r="8749" spans="1:4">
      <c r="A8749" s="1">
        <v>30984</v>
      </c>
      <c r="B8749">
        <v>164.78</v>
      </c>
      <c r="C8749">
        <f t="shared" si="292"/>
        <v>-3.0854861153124264E-3</v>
      </c>
      <c r="D8749">
        <f t="shared" si="291"/>
        <v>-0.35872978190477089</v>
      </c>
    </row>
    <row r="8750" spans="1:4">
      <c r="A8750" s="1">
        <v>30985</v>
      </c>
      <c r="B8750">
        <v>166.84</v>
      </c>
      <c r="C8750">
        <f t="shared" si="292"/>
        <v>1.2501517174414384E-2</v>
      </c>
      <c r="D8750">
        <f t="shared" si="291"/>
        <v>1.2872524672105321</v>
      </c>
    </row>
    <row r="8751" spans="1:4">
      <c r="A8751" s="1">
        <v>30986</v>
      </c>
      <c r="B8751">
        <v>166.09</v>
      </c>
      <c r="C8751">
        <f t="shared" si="292"/>
        <v>-4.4953248621433708E-3</v>
      </c>
      <c r="D8751">
        <f t="shared" si="291"/>
        <v>-0.50760827434264411</v>
      </c>
    </row>
    <row r="8752" spans="1:4">
      <c r="A8752" s="1">
        <v>30987</v>
      </c>
      <c r="B8752">
        <v>167.49</v>
      </c>
      <c r="C8752">
        <f t="shared" si="292"/>
        <v>8.4291649105906769E-3</v>
      </c>
      <c r="D8752">
        <f t="shared" si="291"/>
        <v>0.8572134524105407</v>
      </c>
    </row>
    <row r="8753" spans="1:4">
      <c r="A8753" s="1">
        <v>30988</v>
      </c>
      <c r="B8753">
        <v>167.42</v>
      </c>
      <c r="C8753">
        <f t="shared" si="292"/>
        <v>-4.1793539912843508E-4</v>
      </c>
      <c r="D8753">
        <f t="shared" si="291"/>
        <v>-7.7037333020286286E-2</v>
      </c>
    </row>
    <row r="8754" spans="1:4">
      <c r="A8754" s="1">
        <v>30991</v>
      </c>
      <c r="B8754">
        <v>168.58</v>
      </c>
      <c r="C8754">
        <f t="shared" si="292"/>
        <v>6.9286823557521511E-3</v>
      </c>
      <c r="D8754">
        <f t="shared" si="291"/>
        <v>0.69876300465839425</v>
      </c>
    </row>
    <row r="8755" spans="1:4">
      <c r="A8755" s="1">
        <v>30992</v>
      </c>
      <c r="B8755">
        <v>170.41</v>
      </c>
      <c r="C8755">
        <f t="shared" si="292"/>
        <v>1.0855380234903214E-2</v>
      </c>
      <c r="D8755">
        <f t="shared" si="291"/>
        <v>1.1134209659472853</v>
      </c>
    </row>
    <row r="8756" spans="1:4">
      <c r="A8756" s="1">
        <v>30993</v>
      </c>
      <c r="B8756">
        <v>169.17</v>
      </c>
      <c r="C8756">
        <f t="shared" si="292"/>
        <v>-7.2765682765096483E-3</v>
      </c>
      <c r="D8756">
        <f t="shared" si="291"/>
        <v>-0.80130663350915232</v>
      </c>
    </row>
    <row r="8757" spans="1:4">
      <c r="A8757" s="1">
        <v>30994</v>
      </c>
      <c r="B8757">
        <v>168.68</v>
      </c>
      <c r="C8757">
        <f t="shared" si="292"/>
        <v>-2.8964946503516032E-3</v>
      </c>
      <c r="D8757">
        <f t="shared" si="291"/>
        <v>-0.33877234744622819</v>
      </c>
    </row>
    <row r="8758" spans="1:4">
      <c r="A8758" s="1">
        <v>30995</v>
      </c>
      <c r="B8758">
        <v>167.6</v>
      </c>
      <c r="C8758">
        <f t="shared" si="292"/>
        <v>-6.4026559165284115E-3</v>
      </c>
      <c r="D8758">
        <f t="shared" si="291"/>
        <v>-0.70902178535237814</v>
      </c>
    </row>
    <row r="8759" spans="1:4">
      <c r="A8759" s="1">
        <v>30998</v>
      </c>
      <c r="B8759">
        <v>167.36</v>
      </c>
      <c r="C8759">
        <f t="shared" si="292"/>
        <v>-1.4319809069211259E-3</v>
      </c>
      <c r="D8759">
        <f t="shared" si="291"/>
        <v>-0.18412019395237866</v>
      </c>
    </row>
    <row r="8760" spans="1:4">
      <c r="A8760" s="1">
        <v>30999</v>
      </c>
      <c r="B8760">
        <v>165.97</v>
      </c>
      <c r="C8760">
        <f t="shared" si="292"/>
        <v>-8.3054493307840264E-3</v>
      </c>
      <c r="D8760">
        <f t="shared" si="291"/>
        <v>-0.90995612310686358</v>
      </c>
    </row>
    <row r="8761" spans="1:4">
      <c r="A8761" s="1">
        <v>31000</v>
      </c>
      <c r="B8761">
        <v>165.99</v>
      </c>
      <c r="C8761">
        <f t="shared" si="292"/>
        <v>1.2050370548900544E-4</v>
      </c>
      <c r="D8761">
        <f t="shared" si="291"/>
        <v>-2.0178346597028923E-2</v>
      </c>
    </row>
    <row r="8762" spans="1:4">
      <c r="A8762" s="1">
        <v>31001</v>
      </c>
      <c r="B8762">
        <v>165.89</v>
      </c>
      <c r="C8762">
        <f t="shared" si="292"/>
        <v>-6.0244593047787656E-4</v>
      </c>
      <c r="D8762">
        <f t="shared" si="291"/>
        <v>-9.6521582412610385E-2</v>
      </c>
    </row>
    <row r="8763" spans="1:4">
      <c r="A8763" s="1">
        <v>31002</v>
      </c>
      <c r="B8763">
        <v>164.1</v>
      </c>
      <c r="C8763">
        <f t="shared" si="292"/>
        <v>-1.0790282717463332E-2</v>
      </c>
      <c r="D8763">
        <f t="shared" si="291"/>
        <v>-1.1723536841042914</v>
      </c>
    </row>
    <row r="8764" spans="1:4">
      <c r="A8764" s="1">
        <v>31005</v>
      </c>
      <c r="B8764">
        <v>163.09</v>
      </c>
      <c r="C8764">
        <f t="shared" si="292"/>
        <v>-6.1547836684947652E-3</v>
      </c>
      <c r="D8764">
        <f t="shared" si="291"/>
        <v>-0.68284656021589596</v>
      </c>
    </row>
    <row r="8765" spans="1:4">
      <c r="A8765" s="1">
        <v>31006</v>
      </c>
      <c r="B8765">
        <v>164.18</v>
      </c>
      <c r="C8765">
        <f t="shared" si="292"/>
        <v>6.6834263290208073E-3</v>
      </c>
      <c r="D8765">
        <f t="shared" si="291"/>
        <v>0.67286405160213836</v>
      </c>
    </row>
    <row r="8766" spans="1:4">
      <c r="A8766" s="1">
        <v>31007</v>
      </c>
      <c r="B8766">
        <v>164.51</v>
      </c>
      <c r="C8766">
        <f t="shared" si="292"/>
        <v>2.0099890364233407E-3</v>
      </c>
      <c r="D8766">
        <f t="shared" si="291"/>
        <v>0.17935066208236675</v>
      </c>
    </row>
    <row r="8767" spans="1:4">
      <c r="A8767" s="1">
        <v>31009</v>
      </c>
      <c r="B8767">
        <v>166.92</v>
      </c>
      <c r="C8767">
        <f t="shared" si="292"/>
        <v>1.4649565375964967E-2</v>
      </c>
      <c r="D8767">
        <f t="shared" si="291"/>
        <v>1.5140856271372134</v>
      </c>
    </row>
    <row r="8768" spans="1:4">
      <c r="A8768" s="1">
        <v>31012</v>
      </c>
      <c r="B8768">
        <v>165.55</v>
      </c>
      <c r="C8768">
        <f t="shared" si="292"/>
        <v>-8.2075245626646066E-3</v>
      </c>
      <c r="D8768">
        <f t="shared" si="291"/>
        <v>-0.89961530087969876</v>
      </c>
    </row>
    <row r="8769" spans="1:4">
      <c r="A8769" s="1">
        <v>31013</v>
      </c>
      <c r="B8769">
        <v>166.29</v>
      </c>
      <c r="C8769">
        <f t="shared" si="292"/>
        <v>4.4699486559950504E-3</v>
      </c>
      <c r="D8769">
        <f t="shared" si="291"/>
        <v>0.43912156172823663</v>
      </c>
    </row>
    <row r="8770" spans="1:4">
      <c r="A8770" s="1">
        <v>31014</v>
      </c>
      <c r="B8770">
        <v>165.02</v>
      </c>
      <c r="C8770">
        <f t="shared" si="292"/>
        <v>-7.6372602080701296E-3</v>
      </c>
      <c r="D8770">
        <f t="shared" si="291"/>
        <v>-0.8393955788767945</v>
      </c>
    </row>
    <row r="8771" spans="1:4">
      <c r="A8771" s="1">
        <v>31015</v>
      </c>
      <c r="B8771">
        <v>163.91</v>
      </c>
      <c r="C8771">
        <f t="shared" si="292"/>
        <v>-6.7264573991032209E-3</v>
      </c>
      <c r="D8771">
        <f t="shared" ref="D8771:D8834" si="293">(C8771-avg)/sd</f>
        <v>-0.74321511184680633</v>
      </c>
    </row>
    <row r="8772" spans="1:4">
      <c r="A8772" s="1">
        <v>31016</v>
      </c>
      <c r="B8772">
        <v>163.58000000000001</v>
      </c>
      <c r="C8772">
        <f t="shared" ref="C8772:C8835" si="294">(B8772-B8771)/B8771</f>
        <v>-2.0132999816971759E-3</v>
      </c>
      <c r="D8772">
        <f t="shared" si="293"/>
        <v>-0.24550729064877513</v>
      </c>
    </row>
    <row r="8773" spans="1:4">
      <c r="A8773" s="1">
        <v>31019</v>
      </c>
      <c r="B8773">
        <v>162.82</v>
      </c>
      <c r="C8773">
        <f t="shared" si="294"/>
        <v>-4.6460447487469084E-3</v>
      </c>
      <c r="D8773">
        <f t="shared" si="293"/>
        <v>-0.52352424313579904</v>
      </c>
    </row>
    <row r="8774" spans="1:4">
      <c r="A8774" s="1">
        <v>31020</v>
      </c>
      <c r="B8774">
        <v>163.38</v>
      </c>
      <c r="C8774">
        <f t="shared" si="294"/>
        <v>3.4393809114359555E-3</v>
      </c>
      <c r="D8774">
        <f t="shared" si="293"/>
        <v>0.33029395820979313</v>
      </c>
    </row>
    <row r="8775" spans="1:4">
      <c r="A8775" s="1">
        <v>31021</v>
      </c>
      <c r="B8775">
        <v>162.1</v>
      </c>
      <c r="C8775">
        <f t="shared" si="294"/>
        <v>-7.8344962663728802E-3</v>
      </c>
      <c r="D8775">
        <f t="shared" si="293"/>
        <v>-0.86022363958977122</v>
      </c>
    </row>
    <row r="8776" spans="1:4">
      <c r="A8776" s="1">
        <v>31022</v>
      </c>
      <c r="B8776">
        <v>162.76</v>
      </c>
      <c r="C8776">
        <f t="shared" si="294"/>
        <v>4.0715607649598803E-3</v>
      </c>
      <c r="D8776">
        <f t="shared" si="293"/>
        <v>0.39705193585354653</v>
      </c>
    </row>
    <row r="8777" spans="1:4">
      <c r="A8777" s="1">
        <v>31023</v>
      </c>
      <c r="B8777">
        <v>162.26</v>
      </c>
      <c r="C8777">
        <f t="shared" si="294"/>
        <v>-3.0720078643401327E-3</v>
      </c>
      <c r="D8777">
        <f t="shared" si="293"/>
        <v>-0.35730648318357677</v>
      </c>
    </row>
    <row r="8778" spans="1:4">
      <c r="A8778" s="1">
        <v>31026</v>
      </c>
      <c r="B8778">
        <v>162.83000000000001</v>
      </c>
      <c r="C8778">
        <f t="shared" si="294"/>
        <v>3.5128805620610231E-3</v>
      </c>
      <c r="D8778">
        <f t="shared" si="293"/>
        <v>0.33805549633205512</v>
      </c>
    </row>
    <row r="8779" spans="1:4">
      <c r="A8779" s="1">
        <v>31027</v>
      </c>
      <c r="B8779">
        <v>163.07</v>
      </c>
      <c r="C8779">
        <f t="shared" si="294"/>
        <v>1.473929865503781E-3</v>
      </c>
      <c r="D8779">
        <f t="shared" si="293"/>
        <v>0.12274299584862682</v>
      </c>
    </row>
    <row r="8780" spans="1:4">
      <c r="A8780" s="1">
        <v>31028</v>
      </c>
      <c r="B8780">
        <v>162.63</v>
      </c>
      <c r="C8780">
        <f t="shared" si="294"/>
        <v>-2.6982277549518472E-3</v>
      </c>
      <c r="D8780">
        <f t="shared" si="293"/>
        <v>-0.31783543068620623</v>
      </c>
    </row>
    <row r="8781" spans="1:4">
      <c r="A8781" s="1">
        <v>31029</v>
      </c>
      <c r="B8781">
        <v>161.81</v>
      </c>
      <c r="C8781">
        <f t="shared" si="294"/>
        <v>-5.0421201500337777E-3</v>
      </c>
      <c r="D8781">
        <f t="shared" si="293"/>
        <v>-0.56534967087912202</v>
      </c>
    </row>
    <row r="8782" spans="1:4">
      <c r="A8782" s="1">
        <v>31030</v>
      </c>
      <c r="B8782">
        <v>162.69</v>
      </c>
      <c r="C8782">
        <f t="shared" si="294"/>
        <v>5.4384772263765865E-3</v>
      </c>
      <c r="D8782">
        <f t="shared" si="293"/>
        <v>0.54139784954166981</v>
      </c>
    </row>
    <row r="8783" spans="1:4">
      <c r="A8783" s="1">
        <v>31033</v>
      </c>
      <c r="B8783">
        <v>163.61000000000001</v>
      </c>
      <c r="C8783">
        <f t="shared" si="294"/>
        <v>5.6549265474215744E-3</v>
      </c>
      <c r="D8783">
        <f t="shared" si="293"/>
        <v>0.5642548242693215</v>
      </c>
    </row>
    <row r="8784" spans="1:4">
      <c r="A8784" s="1">
        <v>31034</v>
      </c>
      <c r="B8784">
        <v>168.11</v>
      </c>
      <c r="C8784">
        <f t="shared" si="294"/>
        <v>2.7504431269482304E-2</v>
      </c>
      <c r="D8784">
        <f t="shared" si="293"/>
        <v>2.8715550959114196</v>
      </c>
    </row>
    <row r="8785" spans="1:4">
      <c r="A8785" s="1">
        <v>31035</v>
      </c>
      <c r="B8785">
        <v>167.16</v>
      </c>
      <c r="C8785">
        <f t="shared" si="294"/>
        <v>-5.6510618047707871E-3</v>
      </c>
      <c r="D8785">
        <f t="shared" si="293"/>
        <v>-0.62965370263002474</v>
      </c>
    </row>
    <row r="8786" spans="1:4">
      <c r="A8786" s="1">
        <v>31036</v>
      </c>
      <c r="B8786">
        <v>166.38</v>
      </c>
      <c r="C8786">
        <f t="shared" si="294"/>
        <v>-4.6661880832735174E-3</v>
      </c>
      <c r="D8786">
        <f t="shared" si="293"/>
        <v>-0.52565137241475679</v>
      </c>
    </row>
    <row r="8787" spans="1:4">
      <c r="A8787" s="1">
        <v>31037</v>
      </c>
      <c r="B8787">
        <v>165.51</v>
      </c>
      <c r="C8787">
        <f t="shared" si="294"/>
        <v>-5.2289938694554906E-3</v>
      </c>
      <c r="D8787">
        <f t="shared" si="293"/>
        <v>-0.58508347212859135</v>
      </c>
    </row>
    <row r="8788" spans="1:4">
      <c r="A8788" s="1">
        <v>31040</v>
      </c>
      <c r="B8788">
        <v>166.76</v>
      </c>
      <c r="C8788">
        <f t="shared" si="294"/>
        <v>7.5524137514349594E-3</v>
      </c>
      <c r="D8788">
        <f t="shared" si="293"/>
        <v>0.76462882802589605</v>
      </c>
    </row>
    <row r="8789" spans="1:4">
      <c r="A8789" s="1">
        <v>31042</v>
      </c>
      <c r="B8789">
        <v>166.47</v>
      </c>
      <c r="C8789">
        <f t="shared" si="294"/>
        <v>-1.7390261453585517E-3</v>
      </c>
      <c r="D8789">
        <f t="shared" si="293"/>
        <v>-0.21654406676162324</v>
      </c>
    </row>
    <row r="8790" spans="1:4">
      <c r="A8790" s="1">
        <v>31043</v>
      </c>
      <c r="B8790">
        <v>165.75</v>
      </c>
      <c r="C8790">
        <f t="shared" si="294"/>
        <v>-4.3251036222742767E-3</v>
      </c>
      <c r="D8790">
        <f t="shared" si="293"/>
        <v>-0.48963296927347855</v>
      </c>
    </row>
    <row r="8791" spans="1:4">
      <c r="A8791" s="1">
        <v>31044</v>
      </c>
      <c r="B8791">
        <v>166.26</v>
      </c>
      <c r="C8791">
        <f t="shared" si="294"/>
        <v>3.0769230769230218E-3</v>
      </c>
      <c r="D8791">
        <f t="shared" si="293"/>
        <v>0.29201853409063155</v>
      </c>
    </row>
    <row r="8792" spans="1:4">
      <c r="A8792" s="1">
        <v>31047</v>
      </c>
      <c r="B8792">
        <v>167.24</v>
      </c>
      <c r="C8792">
        <f t="shared" si="294"/>
        <v>5.8943822927945283E-3</v>
      </c>
      <c r="D8792">
        <f t="shared" si="293"/>
        <v>0.58954126958574282</v>
      </c>
    </row>
    <row r="8793" spans="1:4">
      <c r="A8793" s="1">
        <v>31049</v>
      </c>
      <c r="B8793">
        <v>165.37</v>
      </c>
      <c r="C8793">
        <f t="shared" si="294"/>
        <v>-1.118153551781873E-2</v>
      </c>
      <c r="D8793">
        <f t="shared" si="293"/>
        <v>-1.2136698468285327</v>
      </c>
    </row>
    <row r="8794" spans="1:4">
      <c r="A8794" s="1">
        <v>31050</v>
      </c>
      <c r="B8794">
        <v>164.57</v>
      </c>
      <c r="C8794">
        <f t="shared" si="294"/>
        <v>-4.8376368144162265E-3</v>
      </c>
      <c r="D8794">
        <f t="shared" si="293"/>
        <v>-0.54375630014517162</v>
      </c>
    </row>
    <row r="8795" spans="1:4">
      <c r="A8795" s="1">
        <v>31051</v>
      </c>
      <c r="B8795">
        <v>163.68</v>
      </c>
      <c r="C8795">
        <f t="shared" si="294"/>
        <v>-5.4080330558424162E-3</v>
      </c>
      <c r="D8795">
        <f t="shared" si="293"/>
        <v>-0.60398994935267425</v>
      </c>
    </row>
    <row r="8796" spans="1:4">
      <c r="A8796" s="1">
        <v>31054</v>
      </c>
      <c r="B8796">
        <v>164.24</v>
      </c>
      <c r="C8796">
        <f t="shared" si="294"/>
        <v>3.42130987292279E-3</v>
      </c>
      <c r="D8796">
        <f t="shared" si="293"/>
        <v>0.32838566268544733</v>
      </c>
    </row>
    <row r="8797" spans="1:4">
      <c r="A8797" s="1">
        <v>31055</v>
      </c>
      <c r="B8797">
        <v>163.99</v>
      </c>
      <c r="C8797">
        <f t="shared" si="294"/>
        <v>-1.5221626887481734E-3</v>
      </c>
      <c r="D8797">
        <f t="shared" si="293"/>
        <v>-0.19364335945903782</v>
      </c>
    </row>
    <row r="8798" spans="1:4">
      <c r="A8798" s="1">
        <v>31056</v>
      </c>
      <c r="B8798">
        <v>165.18</v>
      </c>
      <c r="C8798">
        <f t="shared" si="294"/>
        <v>7.2565400329288226E-3</v>
      </c>
      <c r="D8798">
        <f t="shared" si="293"/>
        <v>0.73338466392401147</v>
      </c>
    </row>
    <row r="8799" spans="1:4">
      <c r="A8799" s="1">
        <v>31057</v>
      </c>
      <c r="B8799">
        <v>168.31</v>
      </c>
      <c r="C8799">
        <f t="shared" si="294"/>
        <v>1.8949025305727056E-2</v>
      </c>
      <c r="D8799">
        <f t="shared" si="293"/>
        <v>1.968107134262651</v>
      </c>
    </row>
    <row r="8800" spans="1:4">
      <c r="A8800" s="1">
        <v>31058</v>
      </c>
      <c r="B8800">
        <v>167.91</v>
      </c>
      <c r="C8800">
        <f t="shared" si="294"/>
        <v>-2.3765670488979009E-3</v>
      </c>
      <c r="D8800">
        <f t="shared" si="293"/>
        <v>-0.28386816946469595</v>
      </c>
    </row>
    <row r="8801" spans="1:4">
      <c r="A8801" s="1">
        <v>31061</v>
      </c>
      <c r="B8801">
        <v>170.51</v>
      </c>
      <c r="C8801">
        <f t="shared" si="294"/>
        <v>1.5484485736406374E-2</v>
      </c>
      <c r="D8801">
        <f t="shared" si="293"/>
        <v>1.6022529333966062</v>
      </c>
    </row>
    <row r="8802" spans="1:4">
      <c r="A8802" s="1">
        <v>31062</v>
      </c>
      <c r="B8802">
        <v>170.81</v>
      </c>
      <c r="C8802">
        <f t="shared" si="294"/>
        <v>1.759427599554345E-3</v>
      </c>
      <c r="D8802">
        <f t="shared" si="293"/>
        <v>0.15289145951897137</v>
      </c>
    </row>
    <row r="8803" spans="1:4">
      <c r="A8803" s="1">
        <v>31063</v>
      </c>
      <c r="B8803">
        <v>171.19</v>
      </c>
      <c r="C8803">
        <f t="shared" si="294"/>
        <v>2.2246941045605964E-3</v>
      </c>
      <c r="D8803">
        <f t="shared" si="293"/>
        <v>0.20202344429586228</v>
      </c>
    </row>
    <row r="8804" spans="1:4">
      <c r="A8804" s="1">
        <v>31064</v>
      </c>
      <c r="B8804">
        <v>170.73</v>
      </c>
      <c r="C8804">
        <f t="shared" si="294"/>
        <v>-2.6870728430399438E-3</v>
      </c>
      <c r="D8804">
        <f t="shared" si="293"/>
        <v>-0.31665747578004805</v>
      </c>
    </row>
    <row r="8805" spans="1:4">
      <c r="A8805" s="1">
        <v>31065</v>
      </c>
      <c r="B8805">
        <v>171.32</v>
      </c>
      <c r="C8805">
        <f t="shared" si="294"/>
        <v>3.4557488432027379E-3</v>
      </c>
      <c r="D8805">
        <f t="shared" si="293"/>
        <v>0.33202240624063506</v>
      </c>
    </row>
    <row r="8806" spans="1:4">
      <c r="A8806" s="1">
        <v>31068</v>
      </c>
      <c r="B8806">
        <v>175.23</v>
      </c>
      <c r="C8806">
        <f t="shared" si="294"/>
        <v>2.2822787765584853E-2</v>
      </c>
      <c r="D8806">
        <f t="shared" si="293"/>
        <v>2.3771751332677966</v>
      </c>
    </row>
    <row r="8807" spans="1:4">
      <c r="A8807" s="1">
        <v>31069</v>
      </c>
      <c r="B8807">
        <v>175.48</v>
      </c>
      <c r="C8807">
        <f t="shared" si="294"/>
        <v>1.4266963419505793E-3</v>
      </c>
      <c r="D8807">
        <f t="shared" si="293"/>
        <v>0.11775515181686347</v>
      </c>
    </row>
    <row r="8808" spans="1:4">
      <c r="A8808" s="1">
        <v>31070</v>
      </c>
      <c r="B8808">
        <v>177.3</v>
      </c>
      <c r="C8808">
        <f t="shared" si="294"/>
        <v>1.0371552313654102E-2</v>
      </c>
      <c r="D8808">
        <f t="shared" si="293"/>
        <v>1.0623289019244802</v>
      </c>
    </row>
    <row r="8809" spans="1:4">
      <c r="A8809" s="1">
        <v>31071</v>
      </c>
      <c r="B8809">
        <v>176.71</v>
      </c>
      <c r="C8809">
        <f t="shared" si="294"/>
        <v>-3.3276931754089305E-3</v>
      </c>
      <c r="D8809">
        <f t="shared" si="293"/>
        <v>-0.38430676512078177</v>
      </c>
    </row>
    <row r="8810" spans="1:4">
      <c r="A8810" s="1">
        <v>31072</v>
      </c>
      <c r="B8810">
        <v>177.35</v>
      </c>
      <c r="C8810">
        <f t="shared" si="294"/>
        <v>3.6217531548864597E-3</v>
      </c>
      <c r="D8810">
        <f t="shared" si="293"/>
        <v>0.34955240512682884</v>
      </c>
    </row>
    <row r="8811" spans="1:4">
      <c r="A8811" s="1">
        <v>31075</v>
      </c>
      <c r="B8811">
        <v>177.4</v>
      </c>
      <c r="C8811">
        <f t="shared" si="294"/>
        <v>2.8192839018895615E-4</v>
      </c>
      <c r="D8811">
        <f t="shared" si="293"/>
        <v>-3.1319547636304962E-3</v>
      </c>
    </row>
    <row r="8812" spans="1:4">
      <c r="A8812" s="1">
        <v>31076</v>
      </c>
      <c r="B8812">
        <v>179.18</v>
      </c>
      <c r="C8812">
        <f t="shared" si="294"/>
        <v>1.0033821871476894E-2</v>
      </c>
      <c r="D8812">
        <f t="shared" si="293"/>
        <v>1.0266646820307221</v>
      </c>
    </row>
    <row r="8813" spans="1:4">
      <c r="A8813" s="1">
        <v>31077</v>
      </c>
      <c r="B8813">
        <v>179.39</v>
      </c>
      <c r="C8813">
        <f t="shared" si="294"/>
        <v>1.1720058042191067E-3</v>
      </c>
      <c r="D8813">
        <f t="shared" si="293"/>
        <v>9.085991760594013E-2</v>
      </c>
    </row>
    <row r="8814" spans="1:4">
      <c r="A8814" s="1">
        <v>31078</v>
      </c>
      <c r="B8814">
        <v>179.63</v>
      </c>
      <c r="C8814">
        <f t="shared" si="294"/>
        <v>1.3378672166787955E-3</v>
      </c>
      <c r="D8814">
        <f t="shared" si="293"/>
        <v>0.10837482638264986</v>
      </c>
    </row>
    <row r="8815" spans="1:4">
      <c r="A8815" s="1">
        <v>31079</v>
      </c>
      <c r="B8815">
        <v>178.63</v>
      </c>
      <c r="C8815">
        <f t="shared" si="294"/>
        <v>-5.5669988309302457E-3</v>
      </c>
      <c r="D8815">
        <f t="shared" si="293"/>
        <v>-0.62077668116685669</v>
      </c>
    </row>
    <row r="8816" spans="1:4">
      <c r="A8816" s="1">
        <v>31082</v>
      </c>
      <c r="B8816">
        <v>180.35</v>
      </c>
      <c r="C8816">
        <f t="shared" si="294"/>
        <v>9.6288417399093031E-3</v>
      </c>
      <c r="D8816">
        <f t="shared" si="293"/>
        <v>0.98389891779661987</v>
      </c>
    </row>
    <row r="8817" spans="1:4">
      <c r="A8817" s="1">
        <v>31083</v>
      </c>
      <c r="B8817">
        <v>180.61</v>
      </c>
      <c r="C8817">
        <f t="shared" si="294"/>
        <v>1.4416412531190427E-3</v>
      </c>
      <c r="D8817">
        <f t="shared" si="293"/>
        <v>0.11933332935623107</v>
      </c>
    </row>
    <row r="8818" spans="1:4">
      <c r="A8818" s="1">
        <v>31084</v>
      </c>
      <c r="B8818">
        <v>180.43</v>
      </c>
      <c r="C8818">
        <f t="shared" si="294"/>
        <v>-9.9662255689057528E-4</v>
      </c>
      <c r="D8818">
        <f t="shared" si="293"/>
        <v>-0.13814650017464594</v>
      </c>
    </row>
    <row r="8819" spans="1:4">
      <c r="A8819" s="1">
        <v>31085</v>
      </c>
      <c r="B8819">
        <v>181.82</v>
      </c>
      <c r="C8819">
        <f t="shared" si="294"/>
        <v>7.7038186554341647E-3</v>
      </c>
      <c r="D8819">
        <f t="shared" si="293"/>
        <v>0.7806171344231847</v>
      </c>
    </row>
    <row r="8820" spans="1:4">
      <c r="A8820" s="1">
        <v>31086</v>
      </c>
      <c r="B8820">
        <v>182.19</v>
      </c>
      <c r="C8820">
        <f t="shared" si="294"/>
        <v>2.0349796502035231E-3</v>
      </c>
      <c r="D8820">
        <f t="shared" si="293"/>
        <v>0.18198966240283165</v>
      </c>
    </row>
    <row r="8821" spans="1:4">
      <c r="A8821" s="1">
        <v>31089</v>
      </c>
      <c r="B8821">
        <v>180.51</v>
      </c>
      <c r="C8821">
        <f t="shared" si="294"/>
        <v>-9.2211427630496008E-3</v>
      </c>
      <c r="D8821">
        <f t="shared" si="293"/>
        <v>-1.0066530382947874</v>
      </c>
    </row>
    <row r="8822" spans="1:4">
      <c r="A8822" s="1">
        <v>31090</v>
      </c>
      <c r="B8822">
        <v>180.56</v>
      </c>
      <c r="C8822">
        <f t="shared" si="294"/>
        <v>2.7699296437876775E-4</v>
      </c>
      <c r="D8822">
        <f t="shared" si="293"/>
        <v>-3.6531340515536461E-3</v>
      </c>
    </row>
    <row r="8823" spans="1:4">
      <c r="A8823" s="1">
        <v>31091</v>
      </c>
      <c r="B8823">
        <v>183.35</v>
      </c>
      <c r="C8823">
        <f t="shared" si="294"/>
        <v>1.5451927337173195E-2</v>
      </c>
      <c r="D8823">
        <f t="shared" si="293"/>
        <v>1.5988147775047201</v>
      </c>
    </row>
    <row r="8824" spans="1:4">
      <c r="A8824" s="1">
        <v>31092</v>
      </c>
      <c r="B8824">
        <v>182.41</v>
      </c>
      <c r="C8824">
        <f t="shared" si="294"/>
        <v>-5.1268066539405382E-3</v>
      </c>
      <c r="D8824">
        <f t="shared" si="293"/>
        <v>-0.57429253690533466</v>
      </c>
    </row>
    <row r="8825" spans="1:4">
      <c r="A8825" s="1">
        <v>31093</v>
      </c>
      <c r="B8825">
        <v>181.6</v>
      </c>
      <c r="C8825">
        <f t="shared" si="294"/>
        <v>-4.4405460226961367E-3</v>
      </c>
      <c r="D8825">
        <f t="shared" si="293"/>
        <v>-0.50182364751724851</v>
      </c>
    </row>
    <row r="8826" spans="1:4">
      <c r="A8826" s="1">
        <v>31097</v>
      </c>
      <c r="B8826">
        <v>181.33</v>
      </c>
      <c r="C8826">
        <f t="shared" si="294"/>
        <v>-1.4867841409690629E-3</v>
      </c>
      <c r="D8826">
        <f t="shared" si="293"/>
        <v>-0.18990739683931646</v>
      </c>
    </row>
    <row r="8827" spans="1:4">
      <c r="A8827" s="1">
        <v>31098</v>
      </c>
      <c r="B8827">
        <v>181.18</v>
      </c>
      <c r="C8827">
        <f t="shared" si="294"/>
        <v>-8.272210886229839E-4</v>
      </c>
      <c r="D8827">
        <f t="shared" si="293"/>
        <v>-0.12025776270794514</v>
      </c>
    </row>
    <row r="8828" spans="1:4">
      <c r="A8828" s="1">
        <v>31099</v>
      </c>
      <c r="B8828">
        <v>180.19</v>
      </c>
      <c r="C8828">
        <f t="shared" si="294"/>
        <v>-5.4641792692350652E-3</v>
      </c>
      <c r="D8828">
        <f t="shared" si="293"/>
        <v>-0.60991897040191279</v>
      </c>
    </row>
    <row r="8829" spans="1:4">
      <c r="A8829" s="1">
        <v>31100</v>
      </c>
      <c r="B8829">
        <v>179.36</v>
      </c>
      <c r="C8829">
        <f t="shared" si="294"/>
        <v>-4.606248959431623E-3</v>
      </c>
      <c r="D8829">
        <f t="shared" si="293"/>
        <v>-0.51932182131135096</v>
      </c>
    </row>
    <row r="8830" spans="1:4">
      <c r="A8830" s="1">
        <v>31103</v>
      </c>
      <c r="B8830">
        <v>179.23</v>
      </c>
      <c r="C8830">
        <f t="shared" si="294"/>
        <v>-7.247992863516049E-4</v>
      </c>
      <c r="D8830">
        <f t="shared" si="293"/>
        <v>-0.10944205520294968</v>
      </c>
    </row>
    <row r="8831" spans="1:4">
      <c r="A8831" s="1">
        <v>31104</v>
      </c>
      <c r="B8831">
        <v>181.17</v>
      </c>
      <c r="C8831">
        <f t="shared" si="294"/>
        <v>1.0824080790046297E-2</v>
      </c>
      <c r="D8831">
        <f t="shared" si="293"/>
        <v>1.110115755209593</v>
      </c>
    </row>
    <row r="8832" spans="1:4">
      <c r="A8832" s="1">
        <v>31105</v>
      </c>
      <c r="B8832">
        <v>180.71</v>
      </c>
      <c r="C8832">
        <f t="shared" si="294"/>
        <v>-2.5390517193794753E-3</v>
      </c>
      <c r="D8832">
        <f t="shared" si="293"/>
        <v>-0.30102649543632715</v>
      </c>
    </row>
    <row r="8833" spans="1:4">
      <c r="A8833" s="1">
        <v>31106</v>
      </c>
      <c r="B8833">
        <v>181.18</v>
      </c>
      <c r="C8833">
        <f t="shared" si="294"/>
        <v>2.6008521941231744E-3</v>
      </c>
      <c r="D8833">
        <f t="shared" si="293"/>
        <v>0.24174561069132336</v>
      </c>
    </row>
    <row r="8834" spans="1:4">
      <c r="A8834" s="1">
        <v>31107</v>
      </c>
      <c r="B8834">
        <v>183.23</v>
      </c>
      <c r="C8834">
        <f t="shared" si="294"/>
        <v>1.1314714648415845E-2</v>
      </c>
      <c r="D8834">
        <f t="shared" si="293"/>
        <v>1.1619265238788659</v>
      </c>
    </row>
    <row r="8835" spans="1:4">
      <c r="A8835" s="1">
        <v>31110</v>
      </c>
      <c r="B8835">
        <v>182.06</v>
      </c>
      <c r="C8835">
        <f t="shared" si="294"/>
        <v>-6.3854172351688453E-3</v>
      </c>
      <c r="D8835">
        <f t="shared" ref="D8835:D8898" si="295">(C8835-avg)/sd</f>
        <v>-0.70720138646052044</v>
      </c>
    </row>
    <row r="8836" spans="1:4">
      <c r="A8836" s="1">
        <v>31111</v>
      </c>
      <c r="B8836">
        <v>182.23</v>
      </c>
      <c r="C8836">
        <f t="shared" ref="C8836:C8899" si="296">(B8836-B8835)/B8835</f>
        <v>9.3375810172463742E-4</v>
      </c>
      <c r="D8836">
        <f t="shared" si="295"/>
        <v>6.5701041206853078E-2</v>
      </c>
    </row>
    <row r="8837" spans="1:4">
      <c r="A8837" s="1">
        <v>31112</v>
      </c>
      <c r="B8837">
        <v>180.65</v>
      </c>
      <c r="C8837">
        <f t="shared" si="296"/>
        <v>-8.6703616309059105E-3</v>
      </c>
      <c r="D8837">
        <f t="shared" si="295"/>
        <v>-0.94849073796001693</v>
      </c>
    </row>
    <row r="8838" spans="1:4">
      <c r="A8838" s="1">
        <v>31113</v>
      </c>
      <c r="B8838">
        <v>179.51</v>
      </c>
      <c r="C8838">
        <f t="shared" si="296"/>
        <v>-6.3105452532522264E-3</v>
      </c>
      <c r="D8838">
        <f t="shared" si="295"/>
        <v>-0.69929493062034875</v>
      </c>
    </row>
    <row r="8839" spans="1:4">
      <c r="A8839" s="1">
        <v>31114</v>
      </c>
      <c r="B8839">
        <v>179.1</v>
      </c>
      <c r="C8839">
        <f t="shared" si="296"/>
        <v>-2.2839953205949339E-3</v>
      </c>
      <c r="D8839">
        <f t="shared" si="295"/>
        <v>-0.27409262642256199</v>
      </c>
    </row>
    <row r="8840" spans="1:4">
      <c r="A8840" s="1">
        <v>31117</v>
      </c>
      <c r="B8840">
        <v>178.79</v>
      </c>
      <c r="C8840">
        <f t="shared" si="296"/>
        <v>-1.7308766052484773E-3</v>
      </c>
      <c r="D8840">
        <f t="shared" si="295"/>
        <v>-0.21568347809616265</v>
      </c>
    </row>
    <row r="8841" spans="1:4">
      <c r="A8841" s="1">
        <v>31118</v>
      </c>
      <c r="B8841">
        <v>179.66</v>
      </c>
      <c r="C8841">
        <f t="shared" si="296"/>
        <v>4.8660439621903044E-3</v>
      </c>
      <c r="D8841">
        <f t="shared" si="295"/>
        <v>0.48094909142311909</v>
      </c>
    </row>
    <row r="8842" spans="1:4">
      <c r="A8842" s="1">
        <v>31119</v>
      </c>
      <c r="B8842">
        <v>178.19</v>
      </c>
      <c r="C8842">
        <f t="shared" si="296"/>
        <v>-8.1821217855950062E-3</v>
      </c>
      <c r="D8842">
        <f t="shared" si="295"/>
        <v>-0.89693277625597245</v>
      </c>
    </row>
    <row r="8843" spans="1:4">
      <c r="A8843" s="1">
        <v>31120</v>
      </c>
      <c r="B8843">
        <v>177.84</v>
      </c>
      <c r="C8843">
        <f t="shared" si="296"/>
        <v>-1.9641955216341787E-3</v>
      </c>
      <c r="D8843">
        <f t="shared" si="295"/>
        <v>-0.24032187635753963</v>
      </c>
    </row>
    <row r="8844" spans="1:4">
      <c r="A8844" s="1">
        <v>31121</v>
      </c>
      <c r="B8844">
        <v>176.53</v>
      </c>
      <c r="C8844">
        <f t="shared" si="296"/>
        <v>-7.3661718398560627E-3</v>
      </c>
      <c r="D8844">
        <f t="shared" si="295"/>
        <v>-0.81076873934080262</v>
      </c>
    </row>
    <row r="8845" spans="1:4">
      <c r="A8845" s="1">
        <v>31124</v>
      </c>
      <c r="B8845">
        <v>176.88</v>
      </c>
      <c r="C8845">
        <f t="shared" si="296"/>
        <v>1.9826658358352367E-3</v>
      </c>
      <c r="D8845">
        <f t="shared" si="295"/>
        <v>0.17646534138787009</v>
      </c>
    </row>
    <row r="8846" spans="1:4">
      <c r="A8846" s="1">
        <v>31125</v>
      </c>
      <c r="B8846">
        <v>179.54</v>
      </c>
      <c r="C8846">
        <f t="shared" si="296"/>
        <v>1.5038444142921737E-2</v>
      </c>
      <c r="D8846">
        <f t="shared" si="295"/>
        <v>1.5551510927415328</v>
      </c>
    </row>
    <row r="8847" spans="1:4">
      <c r="A8847" s="1">
        <v>31126</v>
      </c>
      <c r="B8847">
        <v>179.08</v>
      </c>
      <c r="C8847">
        <f t="shared" si="296"/>
        <v>-2.5621031525007217E-3</v>
      </c>
      <c r="D8847">
        <f t="shared" si="295"/>
        <v>-0.30346071893836796</v>
      </c>
    </row>
    <row r="8848" spans="1:4">
      <c r="A8848" s="1">
        <v>31127</v>
      </c>
      <c r="B8848">
        <v>179.35</v>
      </c>
      <c r="C8848">
        <f t="shared" si="296"/>
        <v>1.507706053160497E-3</v>
      </c>
      <c r="D8848">
        <f t="shared" si="295"/>
        <v>0.12630974978409201</v>
      </c>
    </row>
    <row r="8849" spans="1:4">
      <c r="A8849" s="1">
        <v>31128</v>
      </c>
      <c r="B8849">
        <v>179.04</v>
      </c>
      <c r="C8849">
        <f t="shared" si="296"/>
        <v>-1.7284638974073168E-3</v>
      </c>
      <c r="D8849">
        <f t="shared" si="295"/>
        <v>-0.21542869696825534</v>
      </c>
    </row>
    <row r="8850" spans="1:4">
      <c r="A8850" s="1">
        <v>31131</v>
      </c>
      <c r="B8850">
        <v>177.97</v>
      </c>
      <c r="C8850">
        <f t="shared" si="296"/>
        <v>-5.9763181411974595E-3</v>
      </c>
      <c r="D8850">
        <f t="shared" si="295"/>
        <v>-0.66400066119668077</v>
      </c>
    </row>
    <row r="8851" spans="1:4">
      <c r="A8851" s="1">
        <v>31132</v>
      </c>
      <c r="B8851">
        <v>178.43</v>
      </c>
      <c r="C8851">
        <f t="shared" si="296"/>
        <v>2.5847052874080349E-3</v>
      </c>
      <c r="D8851">
        <f t="shared" si="295"/>
        <v>0.24004050283080491</v>
      </c>
    </row>
    <row r="8852" spans="1:4">
      <c r="A8852" s="1">
        <v>31133</v>
      </c>
      <c r="B8852">
        <v>179.54</v>
      </c>
      <c r="C8852">
        <f t="shared" si="296"/>
        <v>6.2209269741634547E-3</v>
      </c>
      <c r="D8852">
        <f t="shared" si="295"/>
        <v>0.6240242769403711</v>
      </c>
    </row>
    <row r="8853" spans="1:4">
      <c r="A8853" s="1">
        <v>31134</v>
      </c>
      <c r="B8853">
        <v>179.54</v>
      </c>
      <c r="C8853">
        <f t="shared" si="296"/>
        <v>0</v>
      </c>
      <c r="D8853">
        <f t="shared" si="295"/>
        <v>-3.29034969354682E-2</v>
      </c>
    </row>
    <row r="8854" spans="1:4">
      <c r="A8854" s="1">
        <v>31135</v>
      </c>
      <c r="B8854">
        <v>180.66</v>
      </c>
      <c r="C8854">
        <f t="shared" si="296"/>
        <v>6.2381641973933638E-3</v>
      </c>
      <c r="D8854">
        <f t="shared" si="295"/>
        <v>0.62584452185423267</v>
      </c>
    </row>
    <row r="8855" spans="1:4">
      <c r="A8855" s="1">
        <v>31138</v>
      </c>
      <c r="B8855">
        <v>181.27</v>
      </c>
      <c r="C8855">
        <f t="shared" si="296"/>
        <v>3.3765083582420769E-3</v>
      </c>
      <c r="D8855">
        <f t="shared" si="295"/>
        <v>0.32365463796393878</v>
      </c>
    </row>
    <row r="8856" spans="1:4">
      <c r="A8856" s="1">
        <v>31139</v>
      </c>
      <c r="B8856">
        <v>180.53</v>
      </c>
      <c r="C8856">
        <f t="shared" si="296"/>
        <v>-4.0823081590997358E-3</v>
      </c>
      <c r="D8856">
        <f t="shared" si="295"/>
        <v>-0.46399385089243489</v>
      </c>
    </row>
    <row r="8857" spans="1:4">
      <c r="A8857" s="1">
        <v>31140</v>
      </c>
      <c r="B8857">
        <v>179.11</v>
      </c>
      <c r="C8857">
        <f t="shared" si="296"/>
        <v>-7.8657286877526593E-3</v>
      </c>
      <c r="D8857">
        <f t="shared" si="295"/>
        <v>-0.86352177267106001</v>
      </c>
    </row>
    <row r="8858" spans="1:4">
      <c r="A8858" s="1">
        <v>31141</v>
      </c>
      <c r="B8858">
        <v>179.03</v>
      </c>
      <c r="C8858">
        <f t="shared" si="296"/>
        <v>-4.4665289486914468E-4</v>
      </c>
      <c r="D8858">
        <f t="shared" si="295"/>
        <v>-8.0069890808954131E-2</v>
      </c>
    </row>
    <row r="8859" spans="1:4">
      <c r="A8859" s="1">
        <v>31145</v>
      </c>
      <c r="B8859">
        <v>178.03</v>
      </c>
      <c r="C8859">
        <f t="shared" si="296"/>
        <v>-5.5856560353013465E-3</v>
      </c>
      <c r="D8859">
        <f t="shared" si="295"/>
        <v>-0.62274687560655306</v>
      </c>
    </row>
    <row r="8860" spans="1:4">
      <c r="A8860" s="1">
        <v>31146</v>
      </c>
      <c r="B8860">
        <v>178.21</v>
      </c>
      <c r="C8860">
        <f t="shared" si="296"/>
        <v>1.0110655507499118E-3</v>
      </c>
      <c r="D8860">
        <f t="shared" si="295"/>
        <v>7.3864681545843344E-2</v>
      </c>
    </row>
    <row r="8861" spans="1:4">
      <c r="A8861" s="1">
        <v>31147</v>
      </c>
      <c r="B8861">
        <v>179.42</v>
      </c>
      <c r="C8861">
        <f t="shared" si="296"/>
        <v>6.789742438695805E-3</v>
      </c>
      <c r="D8861">
        <f t="shared" si="295"/>
        <v>0.68409099664521655</v>
      </c>
    </row>
    <row r="8862" spans="1:4">
      <c r="A8862" s="1">
        <v>31148</v>
      </c>
      <c r="B8862">
        <v>180.19</v>
      </c>
      <c r="C8862">
        <f t="shared" si="296"/>
        <v>4.2916062869245916E-3</v>
      </c>
      <c r="D8862">
        <f t="shared" si="295"/>
        <v>0.42028866817591287</v>
      </c>
    </row>
    <row r="8863" spans="1:4">
      <c r="A8863" s="1">
        <v>31149</v>
      </c>
      <c r="B8863">
        <v>180.54</v>
      </c>
      <c r="C8863">
        <f t="shared" si="296"/>
        <v>1.9423941395193647E-3</v>
      </c>
      <c r="D8863">
        <f t="shared" si="295"/>
        <v>0.17221266394592871</v>
      </c>
    </row>
    <row r="8864" spans="1:4">
      <c r="A8864" s="1">
        <v>31152</v>
      </c>
      <c r="B8864">
        <v>180.92</v>
      </c>
      <c r="C8864">
        <f t="shared" si="296"/>
        <v>2.1047967209482411E-3</v>
      </c>
      <c r="D8864">
        <f t="shared" si="295"/>
        <v>0.18936232134149844</v>
      </c>
    </row>
    <row r="8865" spans="1:4">
      <c r="A8865" s="1">
        <v>31153</v>
      </c>
      <c r="B8865">
        <v>181.2</v>
      </c>
      <c r="C8865">
        <f t="shared" si="296"/>
        <v>1.5476453681185119E-3</v>
      </c>
      <c r="D8865">
        <f t="shared" si="295"/>
        <v>0.13052732786762561</v>
      </c>
    </row>
    <row r="8866" spans="1:4">
      <c r="A8866" s="1">
        <v>31154</v>
      </c>
      <c r="B8866">
        <v>181.68</v>
      </c>
      <c r="C8866">
        <f t="shared" si="296"/>
        <v>2.6490066225166569E-3</v>
      </c>
      <c r="D8866">
        <f t="shared" si="295"/>
        <v>0.24683070196118961</v>
      </c>
    </row>
    <row r="8867" spans="1:4">
      <c r="A8867" s="1">
        <v>31155</v>
      </c>
      <c r="B8867">
        <v>180.84</v>
      </c>
      <c r="C8867">
        <f t="shared" si="296"/>
        <v>-4.6235138705416302E-3</v>
      </c>
      <c r="D8867">
        <f t="shared" si="295"/>
        <v>-0.52114499005593928</v>
      </c>
    </row>
    <row r="8868" spans="1:4">
      <c r="A8868" s="1">
        <v>31156</v>
      </c>
      <c r="B8868">
        <v>181.11</v>
      </c>
      <c r="C8868">
        <f t="shared" si="296"/>
        <v>1.4930325149303818E-3</v>
      </c>
      <c r="D8868">
        <f t="shared" si="295"/>
        <v>0.12476022913476983</v>
      </c>
    </row>
    <row r="8869" spans="1:4">
      <c r="A8869" s="1">
        <v>31159</v>
      </c>
      <c r="B8869">
        <v>180.7</v>
      </c>
      <c r="C8869">
        <f t="shared" si="296"/>
        <v>-2.2638175694330792E-3</v>
      </c>
      <c r="D8869">
        <f t="shared" si="295"/>
        <v>-0.271961862758621</v>
      </c>
    </row>
    <row r="8870" spans="1:4">
      <c r="A8870" s="1">
        <v>31160</v>
      </c>
      <c r="B8870">
        <v>181.88</v>
      </c>
      <c r="C8870">
        <f t="shared" si="296"/>
        <v>6.5301604869950573E-3</v>
      </c>
      <c r="D8870">
        <f t="shared" si="295"/>
        <v>0.65667923078181012</v>
      </c>
    </row>
    <row r="8871" spans="1:4">
      <c r="A8871" s="1">
        <v>31161</v>
      </c>
      <c r="B8871">
        <v>182.26</v>
      </c>
      <c r="C8871">
        <f t="shared" si="296"/>
        <v>2.0892896415218576E-3</v>
      </c>
      <c r="D8871">
        <f t="shared" si="295"/>
        <v>0.18772477902518475</v>
      </c>
    </row>
    <row r="8872" spans="1:4">
      <c r="A8872" s="1">
        <v>31162</v>
      </c>
      <c r="B8872">
        <v>183.43</v>
      </c>
      <c r="C8872">
        <f t="shared" si="296"/>
        <v>6.4194008559202015E-3</v>
      </c>
      <c r="D8872">
        <f t="shared" si="295"/>
        <v>0.64498305138933321</v>
      </c>
    </row>
    <row r="8873" spans="1:4">
      <c r="A8873" s="1">
        <v>31163</v>
      </c>
      <c r="B8873">
        <v>182.18</v>
      </c>
      <c r="C8873">
        <f t="shared" si="296"/>
        <v>-6.8145886714277926E-3</v>
      </c>
      <c r="D8873">
        <f t="shared" si="295"/>
        <v>-0.75252174424700602</v>
      </c>
    </row>
    <row r="8874" spans="1:4">
      <c r="A8874" s="1">
        <v>31166</v>
      </c>
      <c r="B8874">
        <v>180.63</v>
      </c>
      <c r="C8874">
        <f t="shared" si="296"/>
        <v>-8.5080689428038824E-3</v>
      </c>
      <c r="D8874">
        <f t="shared" si="295"/>
        <v>-0.93135268526240778</v>
      </c>
    </row>
    <row r="8875" spans="1:4">
      <c r="A8875" s="1">
        <v>31167</v>
      </c>
      <c r="B8875">
        <v>179.83</v>
      </c>
      <c r="C8875">
        <f t="shared" si="296"/>
        <v>-4.4289431434423017E-3</v>
      </c>
      <c r="D8875">
        <f t="shared" si="295"/>
        <v>-0.50059838741205376</v>
      </c>
    </row>
    <row r="8876" spans="1:4">
      <c r="A8876" s="1">
        <v>31168</v>
      </c>
      <c r="B8876">
        <v>178.37</v>
      </c>
      <c r="C8876">
        <f t="shared" si="296"/>
        <v>-8.1187788466885822E-3</v>
      </c>
      <c r="D8876">
        <f t="shared" si="295"/>
        <v>-0.8902437834387652</v>
      </c>
    </row>
    <row r="8877" spans="1:4">
      <c r="A8877" s="1">
        <v>31169</v>
      </c>
      <c r="B8877">
        <v>179.01</v>
      </c>
      <c r="C8877">
        <f t="shared" si="296"/>
        <v>3.5880473173739214E-3</v>
      </c>
      <c r="D8877">
        <f t="shared" si="295"/>
        <v>0.34599308014267566</v>
      </c>
    </row>
    <row r="8878" spans="1:4">
      <c r="A8878" s="1">
        <v>31170</v>
      </c>
      <c r="B8878">
        <v>180.08</v>
      </c>
      <c r="C8878">
        <f t="shared" si="296"/>
        <v>5.9773197028100203E-3</v>
      </c>
      <c r="D8878">
        <f t="shared" si="295"/>
        <v>0.5982994318915833</v>
      </c>
    </row>
    <row r="8879" spans="1:4">
      <c r="A8879" s="1">
        <v>31173</v>
      </c>
      <c r="B8879">
        <v>179.99</v>
      </c>
      <c r="C8879">
        <f t="shared" si="296"/>
        <v>-4.9977787649935256E-4</v>
      </c>
      <c r="D8879">
        <f t="shared" si="295"/>
        <v>-8.5679870811045417E-2</v>
      </c>
    </row>
    <row r="8880" spans="1:4">
      <c r="A8880" s="1">
        <v>31174</v>
      </c>
      <c r="B8880">
        <v>180.76</v>
      </c>
      <c r="C8880">
        <f t="shared" si="296"/>
        <v>4.2780154453024152E-3</v>
      </c>
      <c r="D8880">
        <f t="shared" si="295"/>
        <v>0.41885347992036254</v>
      </c>
    </row>
    <row r="8881" spans="1:4">
      <c r="A8881" s="1">
        <v>31175</v>
      </c>
      <c r="B8881">
        <v>180.62</v>
      </c>
      <c r="C8881">
        <f t="shared" si="296"/>
        <v>-7.7450763443232115E-4</v>
      </c>
      <c r="D8881">
        <f t="shared" si="295"/>
        <v>-0.11469123986358483</v>
      </c>
    </row>
    <row r="8882" spans="1:4">
      <c r="A8882" s="1">
        <v>31176</v>
      </c>
      <c r="B8882">
        <v>181.92</v>
      </c>
      <c r="C8882">
        <f t="shared" si="296"/>
        <v>7.1974310707561889E-3</v>
      </c>
      <c r="D8882">
        <f t="shared" si="295"/>
        <v>0.72714277761069379</v>
      </c>
    </row>
    <row r="8883" spans="1:4">
      <c r="A8883" s="1">
        <v>31177</v>
      </c>
      <c r="B8883">
        <v>184.28</v>
      </c>
      <c r="C8883">
        <f t="shared" si="296"/>
        <v>1.2972735268249855E-2</v>
      </c>
      <c r="D8883">
        <f t="shared" si="295"/>
        <v>1.3370129377447453</v>
      </c>
    </row>
    <row r="8884" spans="1:4">
      <c r="A8884" s="1">
        <v>31180</v>
      </c>
      <c r="B8884">
        <v>184.61</v>
      </c>
      <c r="C8884">
        <f t="shared" si="296"/>
        <v>1.7907532016497314E-3</v>
      </c>
      <c r="D8884">
        <f t="shared" si="295"/>
        <v>0.15619943245215467</v>
      </c>
    </row>
    <row r="8885" spans="1:4">
      <c r="A8885" s="1">
        <v>31181</v>
      </c>
      <c r="B8885">
        <v>183.87</v>
      </c>
      <c r="C8885">
        <f t="shared" si="296"/>
        <v>-4.0084502464655712E-3</v>
      </c>
      <c r="D8885">
        <f t="shared" si="295"/>
        <v>-0.45619448042379146</v>
      </c>
    </row>
    <row r="8886" spans="1:4">
      <c r="A8886" s="1">
        <v>31182</v>
      </c>
      <c r="B8886">
        <v>184.54</v>
      </c>
      <c r="C8886">
        <f t="shared" si="296"/>
        <v>3.6438788274323571E-3</v>
      </c>
      <c r="D8886">
        <f t="shared" si="295"/>
        <v>0.35188886862679408</v>
      </c>
    </row>
    <row r="8887" spans="1:4">
      <c r="A8887" s="1">
        <v>31183</v>
      </c>
      <c r="B8887">
        <v>185.66</v>
      </c>
      <c r="C8887">
        <f t="shared" si="296"/>
        <v>6.0691449008345322E-3</v>
      </c>
      <c r="D8887">
        <f t="shared" si="295"/>
        <v>0.60799614159007043</v>
      </c>
    </row>
    <row r="8888" spans="1:4">
      <c r="A8888" s="1">
        <v>31184</v>
      </c>
      <c r="B8888">
        <v>187.42</v>
      </c>
      <c r="C8888">
        <f t="shared" si="296"/>
        <v>9.4796940644187814E-3</v>
      </c>
      <c r="D8888">
        <f t="shared" si="295"/>
        <v>0.96814897396257893</v>
      </c>
    </row>
    <row r="8889" spans="1:4">
      <c r="A8889" s="1">
        <v>31187</v>
      </c>
      <c r="B8889">
        <v>189.72</v>
      </c>
      <c r="C8889">
        <f t="shared" si="296"/>
        <v>1.227190267847621E-2</v>
      </c>
      <c r="D8889">
        <f t="shared" si="295"/>
        <v>1.2630052544892203</v>
      </c>
    </row>
    <row r="8890" spans="1:4">
      <c r="A8890" s="1">
        <v>31188</v>
      </c>
      <c r="B8890">
        <v>189.64</v>
      </c>
      <c r="C8890">
        <f t="shared" si="296"/>
        <v>-4.2167404596253692E-4</v>
      </c>
      <c r="D8890">
        <f t="shared" si="295"/>
        <v>-7.743213285513964E-2</v>
      </c>
    </row>
    <row r="8891" spans="1:4">
      <c r="A8891" s="1">
        <v>31189</v>
      </c>
      <c r="B8891">
        <v>188.56</v>
      </c>
      <c r="C8891">
        <f t="shared" si="296"/>
        <v>-5.6950010546297416E-3</v>
      </c>
      <c r="D8891">
        <f t="shared" si="295"/>
        <v>-0.63429367247945356</v>
      </c>
    </row>
    <row r="8892" spans="1:4">
      <c r="A8892" s="1">
        <v>31190</v>
      </c>
      <c r="B8892">
        <v>187.6</v>
      </c>
      <c r="C8892">
        <f t="shared" si="296"/>
        <v>-5.0912176495545606E-3</v>
      </c>
      <c r="D8892">
        <f t="shared" si="295"/>
        <v>-0.57053435013946574</v>
      </c>
    </row>
    <row r="8893" spans="1:4">
      <c r="A8893" s="1">
        <v>31191</v>
      </c>
      <c r="B8893">
        <v>188.29</v>
      </c>
      <c r="C8893">
        <f t="shared" si="296"/>
        <v>3.6780383795309048E-3</v>
      </c>
      <c r="D8893">
        <f t="shared" si="295"/>
        <v>0.3554961057170048</v>
      </c>
    </row>
    <row r="8894" spans="1:4">
      <c r="A8894" s="1">
        <v>31195</v>
      </c>
      <c r="B8894">
        <v>187.86</v>
      </c>
      <c r="C8894">
        <f t="shared" si="296"/>
        <v>-2.283711296404368E-3</v>
      </c>
      <c r="D8894">
        <f t="shared" si="295"/>
        <v>-0.27406263356458271</v>
      </c>
    </row>
    <row r="8895" spans="1:4">
      <c r="A8895" s="1">
        <v>31196</v>
      </c>
      <c r="B8895">
        <v>187.68</v>
      </c>
      <c r="C8895">
        <f t="shared" si="296"/>
        <v>-9.5816033216228477E-4</v>
      </c>
      <c r="D8895">
        <f t="shared" si="295"/>
        <v>-0.1340849023172839</v>
      </c>
    </row>
    <row r="8896" spans="1:4">
      <c r="A8896" s="1">
        <v>31197</v>
      </c>
      <c r="B8896">
        <v>187.75</v>
      </c>
      <c r="C8896">
        <f t="shared" si="296"/>
        <v>3.7297527706731234E-4</v>
      </c>
      <c r="D8896">
        <f t="shared" si="295"/>
        <v>6.4825655423833648E-3</v>
      </c>
    </row>
    <row r="8897" spans="1:4">
      <c r="A8897" s="1">
        <v>31198</v>
      </c>
      <c r="B8897">
        <v>189.55</v>
      </c>
      <c r="C8897">
        <f t="shared" si="296"/>
        <v>9.5872170439414723E-3</v>
      </c>
      <c r="D8897">
        <f t="shared" si="295"/>
        <v>0.97950336405133853</v>
      </c>
    </row>
    <row r="8898" spans="1:4">
      <c r="A8898" s="1">
        <v>31201</v>
      </c>
      <c r="B8898">
        <v>189.32</v>
      </c>
      <c r="C8898">
        <f t="shared" si="296"/>
        <v>-1.2134001582696818E-3</v>
      </c>
      <c r="D8898">
        <f t="shared" si="295"/>
        <v>-0.16103814119399265</v>
      </c>
    </row>
    <row r="8899" spans="1:4">
      <c r="A8899" s="1">
        <v>31202</v>
      </c>
      <c r="B8899">
        <v>190.04</v>
      </c>
      <c r="C8899">
        <f t="shared" si="296"/>
        <v>3.8030847242763515E-3</v>
      </c>
      <c r="D8899">
        <f t="shared" ref="D8899:D8962" si="297">(C8899-avg)/sd</f>
        <v>0.36870095721680618</v>
      </c>
    </row>
    <row r="8900" spans="1:4">
      <c r="A8900" s="1">
        <v>31203</v>
      </c>
      <c r="B8900">
        <v>190.16</v>
      </c>
      <c r="C8900">
        <f t="shared" ref="C8900:C8963" si="298">(B8900-B8899)/B8899</f>
        <v>6.3144601136605211E-4</v>
      </c>
      <c r="D8900">
        <f t="shared" si="297"/>
        <v>3.3776987225858875E-2</v>
      </c>
    </row>
    <row r="8901" spans="1:4">
      <c r="A8901" s="1">
        <v>31204</v>
      </c>
      <c r="B8901">
        <v>191.06</v>
      </c>
      <c r="C8901">
        <f t="shared" si="298"/>
        <v>4.732856541859517E-3</v>
      </c>
      <c r="D8901">
        <f t="shared" si="297"/>
        <v>0.46688454510879179</v>
      </c>
    </row>
    <row r="8902" spans="1:4">
      <c r="A8902" s="1">
        <v>31205</v>
      </c>
      <c r="B8902">
        <v>189.68</v>
      </c>
      <c r="C8902">
        <f t="shared" si="298"/>
        <v>-7.2228619281900731E-3</v>
      </c>
      <c r="D8902">
        <f t="shared" si="297"/>
        <v>-0.79563526138228002</v>
      </c>
    </row>
    <row r="8903" spans="1:4">
      <c r="A8903" s="1">
        <v>31208</v>
      </c>
      <c r="B8903">
        <v>189.51</v>
      </c>
      <c r="C8903">
        <f t="shared" si="298"/>
        <v>-8.9624630957410329E-4</v>
      </c>
      <c r="D8903">
        <f t="shared" si="297"/>
        <v>-0.12754680257757076</v>
      </c>
    </row>
    <row r="8904" spans="1:4">
      <c r="A8904" s="1">
        <v>31209</v>
      </c>
      <c r="B8904">
        <v>189.04</v>
      </c>
      <c r="C8904">
        <f t="shared" si="298"/>
        <v>-2.4800802068492369E-3</v>
      </c>
      <c r="D8904">
        <f t="shared" si="297"/>
        <v>-0.29479912375852507</v>
      </c>
    </row>
    <row r="8905" spans="1:4">
      <c r="A8905" s="1">
        <v>31210</v>
      </c>
      <c r="B8905">
        <v>187.61</v>
      </c>
      <c r="C8905">
        <f t="shared" si="298"/>
        <v>-7.5645366060091961E-3</v>
      </c>
      <c r="D8905">
        <f t="shared" si="297"/>
        <v>-0.83171599121911333</v>
      </c>
    </row>
    <row r="8906" spans="1:4">
      <c r="A8906" s="1">
        <v>31211</v>
      </c>
      <c r="B8906">
        <v>185.33</v>
      </c>
      <c r="C8906">
        <f t="shared" si="298"/>
        <v>-1.2152870316081237E-2</v>
      </c>
      <c r="D8906">
        <f t="shared" si="297"/>
        <v>-1.3162424713523133</v>
      </c>
    </row>
    <row r="8907" spans="1:4">
      <c r="A8907" s="1">
        <v>31212</v>
      </c>
      <c r="B8907">
        <v>187.1</v>
      </c>
      <c r="C8907">
        <f t="shared" si="298"/>
        <v>9.5505314843791159E-3</v>
      </c>
      <c r="D8907">
        <f t="shared" si="297"/>
        <v>0.97562938143158129</v>
      </c>
    </row>
    <row r="8908" spans="1:4">
      <c r="A8908" s="1">
        <v>31215</v>
      </c>
      <c r="B8908">
        <v>186.53</v>
      </c>
      <c r="C8908">
        <f t="shared" si="298"/>
        <v>-3.0464991982896484E-3</v>
      </c>
      <c r="D8908">
        <f t="shared" si="297"/>
        <v>-0.35461277671946251</v>
      </c>
    </row>
    <row r="8909" spans="1:4">
      <c r="A8909" s="1">
        <v>31216</v>
      </c>
      <c r="B8909">
        <v>187.34</v>
      </c>
      <c r="C8909">
        <f t="shared" si="298"/>
        <v>4.3424650190318033E-3</v>
      </c>
      <c r="D8909">
        <f t="shared" si="297"/>
        <v>0.42565933299871139</v>
      </c>
    </row>
    <row r="8910" spans="1:4">
      <c r="A8910" s="1">
        <v>31217</v>
      </c>
      <c r="B8910">
        <v>186.63</v>
      </c>
      <c r="C8910">
        <f t="shared" si="298"/>
        <v>-3.789900715277079E-3</v>
      </c>
      <c r="D8910">
        <f t="shared" si="297"/>
        <v>-0.43311572421888178</v>
      </c>
    </row>
    <row r="8911" spans="1:4">
      <c r="A8911" s="1">
        <v>31218</v>
      </c>
      <c r="B8911">
        <v>186.73</v>
      </c>
      <c r="C8911">
        <f t="shared" si="298"/>
        <v>5.3581953598025138E-4</v>
      </c>
      <c r="D8911">
        <f t="shared" si="297"/>
        <v>2.3678863930136636E-2</v>
      </c>
    </row>
    <row r="8912" spans="1:4">
      <c r="A8912" s="1">
        <v>31219</v>
      </c>
      <c r="B8912">
        <v>189.61</v>
      </c>
      <c r="C8912">
        <f t="shared" si="298"/>
        <v>1.5423338510148472E-2</v>
      </c>
      <c r="D8912">
        <f t="shared" si="297"/>
        <v>1.5957958070887237</v>
      </c>
    </row>
    <row r="8913" spans="1:4">
      <c r="A8913" s="1">
        <v>31222</v>
      </c>
      <c r="B8913">
        <v>189.15</v>
      </c>
      <c r="C8913">
        <f t="shared" si="298"/>
        <v>-2.4260323822583615E-3</v>
      </c>
      <c r="D8913">
        <f t="shared" si="297"/>
        <v>-0.28909169185347683</v>
      </c>
    </row>
    <row r="8914" spans="1:4">
      <c r="A8914" s="1">
        <v>31223</v>
      </c>
      <c r="B8914">
        <v>189.74</v>
      </c>
      <c r="C8914">
        <f t="shared" si="298"/>
        <v>3.1192175522072609E-3</v>
      </c>
      <c r="D8914">
        <f t="shared" si="297"/>
        <v>0.29648481630405654</v>
      </c>
    </row>
    <row r="8915" spans="1:4">
      <c r="A8915" s="1">
        <v>31224</v>
      </c>
      <c r="B8915">
        <v>190.06</v>
      </c>
      <c r="C8915">
        <f t="shared" si="298"/>
        <v>1.6865183935911941E-3</v>
      </c>
      <c r="D8915">
        <f t="shared" si="297"/>
        <v>0.1451922721523059</v>
      </c>
    </row>
    <row r="8916" spans="1:4">
      <c r="A8916" s="1">
        <v>31225</v>
      </c>
      <c r="B8916">
        <v>191.23</v>
      </c>
      <c r="C8916">
        <f t="shared" si="298"/>
        <v>6.1559507523939148E-3</v>
      </c>
      <c r="D8916">
        <f t="shared" si="297"/>
        <v>0.61716281000799866</v>
      </c>
    </row>
    <row r="8917" spans="1:4">
      <c r="A8917" s="1">
        <v>31226</v>
      </c>
      <c r="B8917">
        <v>191.85</v>
      </c>
      <c r="C8917">
        <f t="shared" si="298"/>
        <v>3.2421691157245441E-3</v>
      </c>
      <c r="D8917">
        <f t="shared" si="297"/>
        <v>0.30946845961821456</v>
      </c>
    </row>
    <row r="8918" spans="1:4">
      <c r="A8918" s="1">
        <v>31229</v>
      </c>
      <c r="B8918">
        <v>192.43</v>
      </c>
      <c r="C8918">
        <f t="shared" si="298"/>
        <v>3.0231952045869821E-3</v>
      </c>
      <c r="D8918">
        <f t="shared" si="297"/>
        <v>0.28634488903493693</v>
      </c>
    </row>
    <row r="8919" spans="1:4">
      <c r="A8919" s="1">
        <v>31230</v>
      </c>
      <c r="B8919">
        <v>192.01</v>
      </c>
      <c r="C8919">
        <f t="shared" si="298"/>
        <v>-2.1826118588578491E-3</v>
      </c>
      <c r="D8919">
        <f t="shared" si="297"/>
        <v>-0.2633865673250389</v>
      </c>
    </row>
    <row r="8920" spans="1:4">
      <c r="A8920" s="1">
        <v>31231</v>
      </c>
      <c r="B8920">
        <v>191.45</v>
      </c>
      <c r="C8920">
        <f t="shared" si="298"/>
        <v>-2.9165147648560091E-3</v>
      </c>
      <c r="D8920">
        <f t="shared" si="297"/>
        <v>-0.34088646473272594</v>
      </c>
    </row>
    <row r="8921" spans="1:4">
      <c r="A8921" s="1">
        <v>31233</v>
      </c>
      <c r="B8921">
        <v>192.52</v>
      </c>
      <c r="C8921">
        <f t="shared" si="298"/>
        <v>5.5889266126927222E-3</v>
      </c>
      <c r="D8921">
        <f t="shared" si="297"/>
        <v>0.55728525359642256</v>
      </c>
    </row>
    <row r="8922" spans="1:4">
      <c r="A8922" s="1">
        <v>31236</v>
      </c>
      <c r="B8922">
        <v>191.93</v>
      </c>
      <c r="C8922">
        <f t="shared" si="298"/>
        <v>-3.0646166632038404E-3</v>
      </c>
      <c r="D8922">
        <f t="shared" si="297"/>
        <v>-0.35652597485597565</v>
      </c>
    </row>
    <row r="8923" spans="1:4">
      <c r="A8923" s="1">
        <v>31237</v>
      </c>
      <c r="B8923">
        <v>191.05</v>
      </c>
      <c r="C8923">
        <f t="shared" si="298"/>
        <v>-4.5850049497212289E-3</v>
      </c>
      <c r="D8923">
        <f t="shared" si="297"/>
        <v>-0.51707846110712308</v>
      </c>
    </row>
    <row r="8924" spans="1:4">
      <c r="A8924" s="1">
        <v>31238</v>
      </c>
      <c r="B8924">
        <v>192.37</v>
      </c>
      <c r="C8924">
        <f t="shared" si="298"/>
        <v>6.9091860769431726E-3</v>
      </c>
      <c r="D8924">
        <f t="shared" si="297"/>
        <v>0.69670420424327328</v>
      </c>
    </row>
    <row r="8925" spans="1:4">
      <c r="A8925" s="1">
        <v>31239</v>
      </c>
      <c r="B8925">
        <v>192.94</v>
      </c>
      <c r="C8925">
        <f t="shared" si="298"/>
        <v>2.963039975048049E-3</v>
      </c>
      <c r="D8925">
        <f t="shared" si="297"/>
        <v>0.27999251724338159</v>
      </c>
    </row>
    <row r="8926" spans="1:4">
      <c r="A8926" s="1">
        <v>31240</v>
      </c>
      <c r="B8926">
        <v>193.29</v>
      </c>
      <c r="C8926">
        <f t="shared" si="298"/>
        <v>1.81403545143565E-3</v>
      </c>
      <c r="D8926">
        <f t="shared" si="297"/>
        <v>0.15865803011552645</v>
      </c>
    </row>
    <row r="8927" spans="1:4">
      <c r="A8927" s="1">
        <v>31243</v>
      </c>
      <c r="B8927">
        <v>192.72</v>
      </c>
      <c r="C8927">
        <f t="shared" si="298"/>
        <v>-2.9489368306689079E-3</v>
      </c>
      <c r="D8927">
        <f t="shared" si="297"/>
        <v>-0.3443102238617724</v>
      </c>
    </row>
    <row r="8928" spans="1:4">
      <c r="A8928" s="1">
        <v>31244</v>
      </c>
      <c r="B8928">
        <v>194.72</v>
      </c>
      <c r="C8928">
        <f t="shared" si="298"/>
        <v>1.03777501037775E-2</v>
      </c>
      <c r="D8928">
        <f t="shared" si="297"/>
        <v>1.06298338645478</v>
      </c>
    </row>
    <row r="8929" spans="1:4">
      <c r="A8929" s="1">
        <v>31245</v>
      </c>
      <c r="B8929">
        <v>195.65</v>
      </c>
      <c r="C8929">
        <f t="shared" si="298"/>
        <v>4.7760887428102243E-3</v>
      </c>
      <c r="D8929">
        <f t="shared" si="297"/>
        <v>0.47144985083384733</v>
      </c>
    </row>
    <row r="8930" spans="1:4">
      <c r="A8930" s="1">
        <v>31246</v>
      </c>
      <c r="B8930">
        <v>194.38</v>
      </c>
      <c r="C8930">
        <f t="shared" si="298"/>
        <v>-6.4911832353693336E-3</v>
      </c>
      <c r="D8930">
        <f t="shared" si="297"/>
        <v>-0.71837024013008177</v>
      </c>
    </row>
    <row r="8931" spans="1:4">
      <c r="A8931" s="1">
        <v>31247</v>
      </c>
      <c r="B8931">
        <v>195.13</v>
      </c>
      <c r="C8931">
        <f t="shared" si="298"/>
        <v>3.8584216483177284E-3</v>
      </c>
      <c r="D8931">
        <f t="shared" si="297"/>
        <v>0.37454451758564117</v>
      </c>
    </row>
    <row r="8932" spans="1:4">
      <c r="A8932" s="1">
        <v>31250</v>
      </c>
      <c r="B8932">
        <v>194.35</v>
      </c>
      <c r="C8932">
        <f t="shared" si="298"/>
        <v>-3.9973351099267217E-3</v>
      </c>
      <c r="D8932">
        <f t="shared" si="297"/>
        <v>-0.45502072578350744</v>
      </c>
    </row>
    <row r="8933" spans="1:4">
      <c r="A8933" s="1">
        <v>31251</v>
      </c>
      <c r="B8933">
        <v>192.55</v>
      </c>
      <c r="C8933">
        <f t="shared" si="298"/>
        <v>-9.2616413686646918E-3</v>
      </c>
      <c r="D8933">
        <f t="shared" si="297"/>
        <v>-1.0109296772815959</v>
      </c>
    </row>
    <row r="8934" spans="1:4">
      <c r="A8934" s="1">
        <v>31252</v>
      </c>
      <c r="B8934">
        <v>191.58</v>
      </c>
      <c r="C8934">
        <f t="shared" si="298"/>
        <v>-5.0376525577771943E-3</v>
      </c>
      <c r="D8934">
        <f t="shared" si="297"/>
        <v>-0.56487789465543525</v>
      </c>
    </row>
    <row r="8935" spans="1:4">
      <c r="A8935" s="1">
        <v>31253</v>
      </c>
      <c r="B8935">
        <v>192.06</v>
      </c>
      <c r="C8935">
        <f t="shared" si="298"/>
        <v>2.5054807391167644E-3</v>
      </c>
      <c r="D8935">
        <f t="shared" si="297"/>
        <v>0.23167441746097914</v>
      </c>
    </row>
    <row r="8936" spans="1:4">
      <c r="A8936" s="1">
        <v>31254</v>
      </c>
      <c r="B8936">
        <v>192.4</v>
      </c>
      <c r="C8936">
        <f t="shared" si="298"/>
        <v>1.7702801207956024E-3</v>
      </c>
      <c r="D8936">
        <f t="shared" si="297"/>
        <v>0.15403748207309695</v>
      </c>
    </row>
    <row r="8937" spans="1:4">
      <c r="A8937" s="1">
        <v>31257</v>
      </c>
      <c r="B8937">
        <v>189.6</v>
      </c>
      <c r="C8937">
        <f t="shared" si="298"/>
        <v>-1.4553014553014611E-2</v>
      </c>
      <c r="D8937">
        <f t="shared" si="297"/>
        <v>-1.5696968869238115</v>
      </c>
    </row>
    <row r="8938" spans="1:4">
      <c r="A8938" s="1">
        <v>31258</v>
      </c>
      <c r="B8938">
        <v>189.93</v>
      </c>
      <c r="C8938">
        <f t="shared" si="298"/>
        <v>1.7405063291139901E-3</v>
      </c>
      <c r="D8938">
        <f t="shared" si="297"/>
        <v>0.15089337979212222</v>
      </c>
    </row>
    <row r="8939" spans="1:4">
      <c r="A8939" s="1">
        <v>31259</v>
      </c>
      <c r="B8939">
        <v>190.92</v>
      </c>
      <c r="C8939">
        <f t="shared" si="298"/>
        <v>5.2124466908860141E-3</v>
      </c>
      <c r="D8939">
        <f t="shared" si="297"/>
        <v>0.51752910182537748</v>
      </c>
    </row>
    <row r="8940" spans="1:4">
      <c r="A8940" s="1">
        <v>31260</v>
      </c>
      <c r="B8940">
        <v>192.11</v>
      </c>
      <c r="C8940">
        <f t="shared" si="298"/>
        <v>6.2329771632098586E-3</v>
      </c>
      <c r="D8940">
        <f t="shared" si="297"/>
        <v>0.62529677280761309</v>
      </c>
    </row>
    <row r="8941" spans="1:4">
      <c r="A8941" s="1">
        <v>31261</v>
      </c>
      <c r="B8941">
        <v>191.48</v>
      </c>
      <c r="C8941">
        <f t="shared" si="298"/>
        <v>-3.2793711935871317E-3</v>
      </c>
      <c r="D8941">
        <f t="shared" si="297"/>
        <v>-0.37920398026583951</v>
      </c>
    </row>
    <row r="8942" spans="1:4">
      <c r="A8942" s="1">
        <v>31264</v>
      </c>
      <c r="B8942">
        <v>190.62</v>
      </c>
      <c r="C8942">
        <f t="shared" si="298"/>
        <v>-4.491330687277968E-3</v>
      </c>
      <c r="D8942">
        <f t="shared" si="297"/>
        <v>-0.50718649083454359</v>
      </c>
    </row>
    <row r="8943" spans="1:4">
      <c r="A8943" s="1">
        <v>31265</v>
      </c>
      <c r="B8943">
        <v>187.93</v>
      </c>
      <c r="C8943">
        <f t="shared" si="298"/>
        <v>-1.4111845556604751E-2</v>
      </c>
      <c r="D8943">
        <f t="shared" si="297"/>
        <v>-1.5231095908635583</v>
      </c>
    </row>
    <row r="8944" spans="1:4">
      <c r="A8944" s="1">
        <v>31266</v>
      </c>
      <c r="B8944">
        <v>187.68</v>
      </c>
      <c r="C8944">
        <f t="shared" si="298"/>
        <v>-1.3302825520140477E-3</v>
      </c>
      <c r="D8944">
        <f t="shared" si="297"/>
        <v>-0.17338088224314166</v>
      </c>
    </row>
    <row r="8945" spans="1:4">
      <c r="A8945" s="1">
        <v>31267</v>
      </c>
      <c r="B8945">
        <v>188.95</v>
      </c>
      <c r="C8945">
        <f t="shared" si="298"/>
        <v>6.7668371696503714E-3</v>
      </c>
      <c r="D8945">
        <f t="shared" si="297"/>
        <v>0.68167220801989803</v>
      </c>
    </row>
    <row r="8946" spans="1:4">
      <c r="A8946" s="1">
        <v>31268</v>
      </c>
      <c r="B8946">
        <v>188.32</v>
      </c>
      <c r="C8946">
        <f t="shared" si="298"/>
        <v>-3.3342154008996852E-3</v>
      </c>
      <c r="D8946">
        <f t="shared" si="297"/>
        <v>-0.38499550991559328</v>
      </c>
    </row>
    <row r="8947" spans="1:4">
      <c r="A8947" s="1">
        <v>31271</v>
      </c>
      <c r="B8947">
        <v>187.63</v>
      </c>
      <c r="C8947">
        <f t="shared" si="298"/>
        <v>-3.6639762107051705E-3</v>
      </c>
      <c r="D8947">
        <f t="shared" si="297"/>
        <v>-0.41981813933990714</v>
      </c>
    </row>
    <row r="8948" spans="1:4">
      <c r="A8948" s="1">
        <v>31272</v>
      </c>
      <c r="B8948">
        <v>187.3</v>
      </c>
      <c r="C8948">
        <f t="shared" si="298"/>
        <v>-1.7587805787986149E-3</v>
      </c>
      <c r="D8948">
        <f t="shared" si="297"/>
        <v>-0.21863012821803574</v>
      </c>
    </row>
    <row r="8949" spans="1:4">
      <c r="A8949" s="1">
        <v>31273</v>
      </c>
      <c r="B8949">
        <v>187.41</v>
      </c>
      <c r="C8949">
        <f t="shared" si="298"/>
        <v>5.8729311265341808E-4</v>
      </c>
      <c r="D8949">
        <f t="shared" si="297"/>
        <v>2.9114456130104209E-2</v>
      </c>
    </row>
    <row r="8950" spans="1:4">
      <c r="A8950" s="1">
        <v>31274</v>
      </c>
      <c r="B8950">
        <v>187.26</v>
      </c>
      <c r="C8950">
        <f t="shared" si="298"/>
        <v>-8.0038418440854639E-4</v>
      </c>
      <c r="D8950">
        <f t="shared" si="297"/>
        <v>-0.11742379474520752</v>
      </c>
    </row>
    <row r="8951" spans="1:4">
      <c r="A8951" s="1">
        <v>31275</v>
      </c>
      <c r="B8951">
        <v>186.1</v>
      </c>
      <c r="C8951">
        <f t="shared" si="298"/>
        <v>-6.1945957492256579E-3</v>
      </c>
      <c r="D8951">
        <f t="shared" si="297"/>
        <v>-0.68705070240829447</v>
      </c>
    </row>
    <row r="8952" spans="1:4">
      <c r="A8952" s="1">
        <v>31278</v>
      </c>
      <c r="B8952">
        <v>186.38</v>
      </c>
      <c r="C8952">
        <f t="shared" si="298"/>
        <v>1.5045674368619083E-3</v>
      </c>
      <c r="D8952">
        <f t="shared" si="297"/>
        <v>0.12597831296982856</v>
      </c>
    </row>
    <row r="8953" spans="1:4">
      <c r="A8953" s="1">
        <v>31279</v>
      </c>
      <c r="B8953">
        <v>188.08</v>
      </c>
      <c r="C8953">
        <f t="shared" si="298"/>
        <v>9.1211503380191922E-3</v>
      </c>
      <c r="D8953">
        <f t="shared" si="297"/>
        <v>0.93028687832971657</v>
      </c>
    </row>
    <row r="8954" spans="1:4">
      <c r="A8954" s="1">
        <v>31280</v>
      </c>
      <c r="B8954">
        <v>189.16</v>
      </c>
      <c r="C8954">
        <f t="shared" si="298"/>
        <v>5.7422373458102085E-3</v>
      </c>
      <c r="D8954">
        <f t="shared" si="297"/>
        <v>0.5734748149007789</v>
      </c>
    </row>
    <row r="8955" spans="1:4">
      <c r="A8955" s="1">
        <v>31281</v>
      </c>
      <c r="B8955">
        <v>187.36</v>
      </c>
      <c r="C8955">
        <f t="shared" si="298"/>
        <v>-9.5157538591667534E-3</v>
      </c>
      <c r="D8955">
        <f t="shared" si="297"/>
        <v>-1.0377638699015812</v>
      </c>
    </row>
    <row r="8956" spans="1:4">
      <c r="A8956" s="1">
        <v>31282</v>
      </c>
      <c r="B8956">
        <v>187.17</v>
      </c>
      <c r="C8956">
        <f t="shared" si="298"/>
        <v>-1.0140905209224281E-3</v>
      </c>
      <c r="D8956">
        <f t="shared" si="297"/>
        <v>-0.13999111123876012</v>
      </c>
    </row>
    <row r="8957" spans="1:4">
      <c r="A8957" s="1">
        <v>31285</v>
      </c>
      <c r="B8957">
        <v>187.31</v>
      </c>
      <c r="C8957">
        <f t="shared" si="298"/>
        <v>7.4798311695258208E-4</v>
      </c>
      <c r="D8957">
        <f t="shared" si="297"/>
        <v>4.6083265962909556E-2</v>
      </c>
    </row>
    <row r="8958" spans="1:4">
      <c r="A8958" s="1">
        <v>31286</v>
      </c>
      <c r="B8958">
        <v>188.1</v>
      </c>
      <c r="C8958">
        <f t="shared" si="298"/>
        <v>4.2176071752708984E-3</v>
      </c>
      <c r="D8958">
        <f t="shared" si="297"/>
        <v>0.41247438713880308</v>
      </c>
    </row>
    <row r="8959" spans="1:4">
      <c r="A8959" s="1">
        <v>31287</v>
      </c>
      <c r="B8959">
        <v>188.83</v>
      </c>
      <c r="C8959">
        <f t="shared" si="298"/>
        <v>3.8809144072302934E-3</v>
      </c>
      <c r="D8959">
        <f t="shared" si="297"/>
        <v>0.3769197452811478</v>
      </c>
    </row>
    <row r="8960" spans="1:4">
      <c r="A8960" s="1">
        <v>31288</v>
      </c>
      <c r="B8960">
        <v>188.93</v>
      </c>
      <c r="C8960">
        <f t="shared" si="298"/>
        <v>5.2957686808237207E-4</v>
      </c>
      <c r="D8960">
        <f t="shared" si="297"/>
        <v>2.3019640322106502E-2</v>
      </c>
    </row>
    <row r="8961" spans="1:4">
      <c r="A8961" s="1">
        <v>31289</v>
      </c>
      <c r="B8961">
        <v>188.63</v>
      </c>
      <c r="C8961">
        <f t="shared" si="298"/>
        <v>-1.5878896945959423E-3</v>
      </c>
      <c r="D8961">
        <f t="shared" si="297"/>
        <v>-0.20058410893486742</v>
      </c>
    </row>
    <row r="8962" spans="1:4">
      <c r="A8962" s="1">
        <v>31293</v>
      </c>
      <c r="B8962">
        <v>187.91</v>
      </c>
      <c r="C8962">
        <f t="shared" si="298"/>
        <v>-3.8169962360175948E-3</v>
      </c>
      <c r="D8962">
        <f t="shared" si="297"/>
        <v>-0.4359770019988653</v>
      </c>
    </row>
    <row r="8963" spans="1:4">
      <c r="A8963" s="1">
        <v>31294</v>
      </c>
      <c r="B8963">
        <v>187.37</v>
      </c>
      <c r="C8963">
        <f t="shared" si="298"/>
        <v>-2.8737161407056148E-3</v>
      </c>
      <c r="D8963">
        <f t="shared" ref="D8963:D9026" si="299">(C8963-avg)/sd</f>
        <v>-0.3363669445704035</v>
      </c>
    </row>
    <row r="8964" spans="1:4">
      <c r="A8964" s="1">
        <v>31295</v>
      </c>
      <c r="B8964">
        <v>187.27</v>
      </c>
      <c r="C8964">
        <f t="shared" ref="C8964:C9027" si="300">(B8964-B8963)/B8963</f>
        <v>-5.3370336766821961E-4</v>
      </c>
      <c r="D8964">
        <f t="shared" si="299"/>
        <v>-8.9262391146643028E-2</v>
      </c>
    </row>
    <row r="8965" spans="1:4">
      <c r="A8965" s="1">
        <v>31296</v>
      </c>
      <c r="B8965">
        <v>188.24</v>
      </c>
      <c r="C8965">
        <f t="shared" si="300"/>
        <v>5.1796870828215878E-3</v>
      </c>
      <c r="D8965">
        <f t="shared" si="299"/>
        <v>0.51406969834930583</v>
      </c>
    </row>
    <row r="8966" spans="1:4">
      <c r="A8966" s="1">
        <v>31299</v>
      </c>
      <c r="B8966">
        <v>188.25</v>
      </c>
      <c r="C8966">
        <f t="shared" si="300"/>
        <v>5.3123671908153979E-5</v>
      </c>
      <c r="D8966">
        <f t="shared" si="299"/>
        <v>-2.7293655239580595E-2</v>
      </c>
    </row>
    <row r="8967" spans="1:4">
      <c r="A8967" s="1">
        <v>31300</v>
      </c>
      <c r="B8967">
        <v>186.9</v>
      </c>
      <c r="C8967">
        <f t="shared" si="300"/>
        <v>-7.1713147410358263E-3</v>
      </c>
      <c r="D8967">
        <f t="shared" si="299"/>
        <v>-0.79019189594053174</v>
      </c>
    </row>
    <row r="8968" spans="1:4">
      <c r="A8968" s="1">
        <v>31301</v>
      </c>
      <c r="B8968">
        <v>185.03</v>
      </c>
      <c r="C8968">
        <f t="shared" si="300"/>
        <v>-1.000535045478868E-2</v>
      </c>
      <c r="D8968">
        <f t="shared" si="299"/>
        <v>-1.089465103977288</v>
      </c>
    </row>
    <row r="8969" spans="1:4">
      <c r="A8969" s="1">
        <v>31302</v>
      </c>
      <c r="B8969">
        <v>183.69</v>
      </c>
      <c r="C8969">
        <f t="shared" si="300"/>
        <v>-7.2420688536994184E-3</v>
      </c>
      <c r="D8969">
        <f t="shared" si="299"/>
        <v>-0.79766350618731563</v>
      </c>
    </row>
    <row r="8970" spans="1:4">
      <c r="A8970" s="1">
        <v>31303</v>
      </c>
      <c r="B8970">
        <v>182.91</v>
      </c>
      <c r="C8970">
        <f t="shared" si="300"/>
        <v>-4.2462845010615771E-3</v>
      </c>
      <c r="D8970">
        <f t="shared" si="299"/>
        <v>-0.48130969686533853</v>
      </c>
    </row>
    <row r="8971" spans="1:4">
      <c r="A8971" s="1">
        <v>31306</v>
      </c>
      <c r="B8971">
        <v>182.88</v>
      </c>
      <c r="C8971">
        <f t="shared" si="300"/>
        <v>-1.6401508938822994E-4</v>
      </c>
      <c r="D8971">
        <f t="shared" si="299"/>
        <v>-5.0223434623427571E-2</v>
      </c>
    </row>
    <row r="8972" spans="1:4">
      <c r="A8972" s="1">
        <v>31307</v>
      </c>
      <c r="B8972">
        <v>181.36</v>
      </c>
      <c r="C8972">
        <f t="shared" si="300"/>
        <v>-8.3114610673664796E-3</v>
      </c>
      <c r="D8972">
        <f t="shared" si="299"/>
        <v>-0.91059096044648202</v>
      </c>
    </row>
    <row r="8973" spans="1:4">
      <c r="A8973" s="1">
        <v>31308</v>
      </c>
      <c r="B8973">
        <v>181.71</v>
      </c>
      <c r="C8973">
        <f t="shared" si="300"/>
        <v>1.9298632554035856E-3</v>
      </c>
      <c r="D8973">
        <f t="shared" si="299"/>
        <v>0.17088940684275691</v>
      </c>
    </row>
    <row r="8974" spans="1:4">
      <c r="A8974" s="1">
        <v>31309</v>
      </c>
      <c r="B8974">
        <v>183.39</v>
      </c>
      <c r="C8974">
        <f t="shared" si="300"/>
        <v>9.2455010731383978E-3</v>
      </c>
      <c r="D8974">
        <f t="shared" si="299"/>
        <v>0.94341827368943609</v>
      </c>
    </row>
    <row r="8975" spans="1:4">
      <c r="A8975" s="1">
        <v>31310</v>
      </c>
      <c r="B8975">
        <v>182.05</v>
      </c>
      <c r="C8975">
        <f t="shared" si="300"/>
        <v>-7.3068324336112937E-3</v>
      </c>
      <c r="D8975">
        <f t="shared" si="299"/>
        <v>-0.8045025182117993</v>
      </c>
    </row>
    <row r="8976" spans="1:4">
      <c r="A8976" s="1">
        <v>31313</v>
      </c>
      <c r="B8976">
        <v>184.3</v>
      </c>
      <c r="C8976">
        <f t="shared" si="300"/>
        <v>1.2359241966492721E-2</v>
      </c>
      <c r="D8976">
        <f t="shared" si="299"/>
        <v>1.2722282536156972</v>
      </c>
    </row>
    <row r="8977" spans="1:4">
      <c r="A8977" s="1">
        <v>31314</v>
      </c>
      <c r="B8977">
        <v>182.62</v>
      </c>
      <c r="C8977">
        <f t="shared" si="300"/>
        <v>-9.1155724362452888E-3</v>
      </c>
      <c r="D8977">
        <f t="shared" si="299"/>
        <v>-0.99550484766934955</v>
      </c>
    </row>
    <row r="8978" spans="1:4">
      <c r="A8978" s="1">
        <v>31315</v>
      </c>
      <c r="B8978">
        <v>180.66</v>
      </c>
      <c r="C8978">
        <f t="shared" si="300"/>
        <v>-1.0732668930018662E-2</v>
      </c>
      <c r="D8978">
        <f t="shared" si="299"/>
        <v>-1.166269687734012</v>
      </c>
    </row>
    <row r="8979" spans="1:4">
      <c r="A8979" s="1">
        <v>31316</v>
      </c>
      <c r="B8979">
        <v>181.29</v>
      </c>
      <c r="C8979">
        <f t="shared" si="300"/>
        <v>3.4872135503154849E-3</v>
      </c>
      <c r="D8979">
        <f t="shared" si="299"/>
        <v>0.33534506861636754</v>
      </c>
    </row>
    <row r="8980" spans="1:4">
      <c r="A8980" s="1">
        <v>31320</v>
      </c>
      <c r="B8980">
        <v>182.08</v>
      </c>
      <c r="C8980">
        <f t="shared" si="300"/>
        <v>4.3576589993933506E-3</v>
      </c>
      <c r="D8980">
        <f t="shared" si="299"/>
        <v>0.42726381216020592</v>
      </c>
    </row>
    <row r="8981" spans="1:4">
      <c r="A8981" s="1">
        <v>31321</v>
      </c>
      <c r="B8981">
        <v>185.07</v>
      </c>
      <c r="C8981">
        <f t="shared" si="300"/>
        <v>1.6421353251317994E-2</v>
      </c>
      <c r="D8981">
        <f t="shared" si="299"/>
        <v>1.7011858245145317</v>
      </c>
    </row>
    <row r="8982" spans="1:4">
      <c r="A8982" s="1">
        <v>31322</v>
      </c>
      <c r="B8982">
        <v>184.06</v>
      </c>
      <c r="C8982">
        <f t="shared" si="300"/>
        <v>-5.4573944993785645E-3</v>
      </c>
      <c r="D8982">
        <f t="shared" si="299"/>
        <v>-0.60920250101132167</v>
      </c>
    </row>
    <row r="8983" spans="1:4">
      <c r="A8983" s="1">
        <v>31323</v>
      </c>
      <c r="B8983">
        <v>184.36</v>
      </c>
      <c r="C8983">
        <f t="shared" si="300"/>
        <v>1.6299032924047125E-3</v>
      </c>
      <c r="D8983">
        <f t="shared" si="299"/>
        <v>0.13921373671142137</v>
      </c>
    </row>
    <row r="8984" spans="1:4">
      <c r="A8984" s="1">
        <v>31324</v>
      </c>
      <c r="B8984">
        <v>183.22</v>
      </c>
      <c r="C8984">
        <f t="shared" si="300"/>
        <v>-6.1835539162508934E-3</v>
      </c>
      <c r="D8984">
        <f t="shared" si="299"/>
        <v>-0.68588468859946072</v>
      </c>
    </row>
    <row r="8985" spans="1:4">
      <c r="A8985" s="1">
        <v>31327</v>
      </c>
      <c r="B8985">
        <v>181.87</v>
      </c>
      <c r="C8985">
        <f t="shared" si="300"/>
        <v>-7.3681912454971856E-3</v>
      </c>
      <c r="D8985">
        <f t="shared" si="299"/>
        <v>-0.81098198789007592</v>
      </c>
    </row>
    <row r="8986" spans="1:4">
      <c r="A8986" s="1">
        <v>31328</v>
      </c>
      <c r="B8986">
        <v>181.87</v>
      </c>
      <c r="C8986">
        <f t="shared" si="300"/>
        <v>0</v>
      </c>
      <c r="D8986">
        <f t="shared" si="299"/>
        <v>-3.29034969354682E-2</v>
      </c>
    </row>
    <row r="8987" spans="1:4">
      <c r="A8987" s="1">
        <v>31329</v>
      </c>
      <c r="B8987">
        <v>182.52</v>
      </c>
      <c r="C8987">
        <f t="shared" si="300"/>
        <v>3.5739814152966716E-3</v>
      </c>
      <c r="D8987">
        <f t="shared" si="299"/>
        <v>0.34450772566455051</v>
      </c>
    </row>
    <row r="8988" spans="1:4">
      <c r="A8988" s="1">
        <v>31330</v>
      </c>
      <c r="B8988">
        <v>182.78</v>
      </c>
      <c r="C8988">
        <f t="shared" si="300"/>
        <v>1.4245014245013747E-3</v>
      </c>
      <c r="D8988">
        <f t="shared" si="299"/>
        <v>0.11752336928031616</v>
      </c>
    </row>
    <row r="8989" spans="1:4">
      <c r="A8989" s="1">
        <v>31331</v>
      </c>
      <c r="B8989">
        <v>184.28</v>
      </c>
      <c r="C8989">
        <f t="shared" si="300"/>
        <v>8.2065871539555753E-3</v>
      </c>
      <c r="D8989">
        <f t="shared" si="299"/>
        <v>0.83370931696772954</v>
      </c>
    </row>
    <row r="8990" spans="1:4">
      <c r="A8990" s="1">
        <v>31334</v>
      </c>
      <c r="B8990">
        <v>186.37</v>
      </c>
      <c r="C8990">
        <f t="shared" si="300"/>
        <v>1.1341436943781221E-2</v>
      </c>
      <c r="D8990">
        <f t="shared" si="299"/>
        <v>1.1647483891860999</v>
      </c>
    </row>
    <row r="8991" spans="1:4">
      <c r="A8991" s="1">
        <v>31335</v>
      </c>
      <c r="B8991">
        <v>186.08</v>
      </c>
      <c r="C8991">
        <f t="shared" si="300"/>
        <v>-1.5560444277512048E-3</v>
      </c>
      <c r="D8991">
        <f t="shared" si="299"/>
        <v>-0.19722125958079528</v>
      </c>
    </row>
    <row r="8992" spans="1:4">
      <c r="A8992" s="1">
        <v>31336</v>
      </c>
      <c r="B8992">
        <v>187.98</v>
      </c>
      <c r="C8992">
        <f t="shared" si="300"/>
        <v>1.0210662080825328E-2</v>
      </c>
      <c r="D8992">
        <f t="shared" si="299"/>
        <v>1.045338948027009</v>
      </c>
    </row>
    <row r="8993" spans="1:4">
      <c r="A8993" s="1">
        <v>31337</v>
      </c>
      <c r="B8993">
        <v>187.66</v>
      </c>
      <c r="C8993">
        <f t="shared" si="300"/>
        <v>-1.7023087562506288E-3</v>
      </c>
      <c r="D8993">
        <f t="shared" si="299"/>
        <v>-0.21266672295267355</v>
      </c>
    </row>
    <row r="8994" spans="1:4">
      <c r="A8994" s="1">
        <v>31338</v>
      </c>
      <c r="B8994">
        <v>187.04</v>
      </c>
      <c r="C8994">
        <f t="shared" si="300"/>
        <v>-3.3038473835660478E-3</v>
      </c>
      <c r="D8994">
        <f t="shared" si="299"/>
        <v>-0.38178865760775182</v>
      </c>
    </row>
    <row r="8995" spans="1:4">
      <c r="A8995" s="1">
        <v>31341</v>
      </c>
      <c r="B8995">
        <v>186.96</v>
      </c>
      <c r="C8995">
        <f t="shared" si="300"/>
        <v>-4.2771599657818695E-4</v>
      </c>
      <c r="D8995">
        <f t="shared" si="299"/>
        <v>-7.8070160786393478E-2</v>
      </c>
    </row>
    <row r="8996" spans="1:4">
      <c r="A8996" s="1">
        <v>31342</v>
      </c>
      <c r="B8996">
        <v>188.04</v>
      </c>
      <c r="C8996">
        <f t="shared" si="300"/>
        <v>5.7766367137354734E-3</v>
      </c>
      <c r="D8996">
        <f t="shared" si="299"/>
        <v>0.57710737646077359</v>
      </c>
    </row>
    <row r="8997" spans="1:4">
      <c r="A8997" s="1">
        <v>31343</v>
      </c>
      <c r="B8997">
        <v>189.09</v>
      </c>
      <c r="C8997">
        <f t="shared" si="300"/>
        <v>5.5839183152521345E-3</v>
      </c>
      <c r="D8997">
        <f t="shared" si="299"/>
        <v>0.55675637908909958</v>
      </c>
    </row>
    <row r="8998" spans="1:4">
      <c r="A8998" s="1">
        <v>31344</v>
      </c>
      <c r="B8998">
        <v>188.5</v>
      </c>
      <c r="C8998">
        <f t="shared" si="300"/>
        <v>-3.1202073086890022E-3</v>
      </c>
      <c r="D8998">
        <f t="shared" si="299"/>
        <v>-0.36239632812303019</v>
      </c>
    </row>
    <row r="8999" spans="1:4">
      <c r="A8999" s="1">
        <v>31345</v>
      </c>
      <c r="B8999">
        <v>187.52</v>
      </c>
      <c r="C8999">
        <f t="shared" si="300"/>
        <v>-5.1989389920423859E-3</v>
      </c>
      <c r="D8999">
        <f t="shared" si="299"/>
        <v>-0.58190968728991677</v>
      </c>
    </row>
    <row r="9000" spans="1:4">
      <c r="A9000" s="1">
        <v>31348</v>
      </c>
      <c r="B9000">
        <v>187.76</v>
      </c>
      <c r="C9000">
        <f t="shared" si="300"/>
        <v>1.2798634812285659E-3</v>
      </c>
      <c r="D9000">
        <f t="shared" si="299"/>
        <v>0.10224965163553326</v>
      </c>
    </row>
    <row r="9001" spans="1:4">
      <c r="A9001" s="1">
        <v>31349</v>
      </c>
      <c r="B9001">
        <v>189.23</v>
      </c>
      <c r="C9001">
        <f t="shared" si="300"/>
        <v>7.8291435875585801E-3</v>
      </c>
      <c r="D9001">
        <f t="shared" si="299"/>
        <v>0.79385140465550863</v>
      </c>
    </row>
    <row r="9002" spans="1:4">
      <c r="A9002" s="1">
        <v>31350</v>
      </c>
      <c r="B9002">
        <v>190.07</v>
      </c>
      <c r="C9002">
        <f t="shared" si="300"/>
        <v>4.4390424351318687E-3</v>
      </c>
      <c r="D9002">
        <f t="shared" si="299"/>
        <v>0.43585787531061954</v>
      </c>
    </row>
    <row r="9003" spans="1:4">
      <c r="A9003" s="1">
        <v>31351</v>
      </c>
      <c r="B9003">
        <v>189.82</v>
      </c>
      <c r="C9003">
        <f t="shared" si="300"/>
        <v>-1.3153048876729627E-3</v>
      </c>
      <c r="D9003">
        <f t="shared" si="299"/>
        <v>-0.17179924597987856</v>
      </c>
    </row>
    <row r="9004" spans="1:4">
      <c r="A9004" s="1">
        <v>31352</v>
      </c>
      <c r="B9004">
        <v>191.53</v>
      </c>
      <c r="C9004">
        <f t="shared" si="300"/>
        <v>9.0085344010115264E-3</v>
      </c>
      <c r="D9004">
        <f t="shared" si="299"/>
        <v>0.918394673661724</v>
      </c>
    </row>
    <row r="9005" spans="1:4">
      <c r="A9005" s="1">
        <v>31355</v>
      </c>
      <c r="B9005">
        <v>191.25</v>
      </c>
      <c r="C9005">
        <f t="shared" si="300"/>
        <v>-1.4619119720148338E-3</v>
      </c>
      <c r="D9005">
        <f t="shared" si="299"/>
        <v>-0.18728090425221086</v>
      </c>
    </row>
    <row r="9006" spans="1:4">
      <c r="A9006" s="1">
        <v>31356</v>
      </c>
      <c r="B9006">
        <v>192.37</v>
      </c>
      <c r="C9006">
        <f t="shared" si="300"/>
        <v>5.8562091503268215E-3</v>
      </c>
      <c r="D9006">
        <f t="shared" si="299"/>
        <v>0.58551019871683452</v>
      </c>
    </row>
    <row r="9007" spans="1:4">
      <c r="A9007" s="1">
        <v>31357</v>
      </c>
      <c r="B9007">
        <v>192.76</v>
      </c>
      <c r="C9007">
        <f t="shared" si="300"/>
        <v>2.0273431408223026E-3</v>
      </c>
      <c r="D9007">
        <f t="shared" si="299"/>
        <v>0.18118324960795043</v>
      </c>
    </row>
    <row r="9008" spans="1:4">
      <c r="A9008" s="1">
        <v>31358</v>
      </c>
      <c r="B9008">
        <v>192.62</v>
      </c>
      <c r="C9008">
        <f t="shared" si="300"/>
        <v>-7.262917617762314E-4</v>
      </c>
      <c r="D9008">
        <f t="shared" si="299"/>
        <v>-0.1095996601004732</v>
      </c>
    </row>
    <row r="9009" spans="1:4">
      <c r="A9009" s="1">
        <v>31359</v>
      </c>
      <c r="B9009">
        <v>193.72</v>
      </c>
      <c r="C9009">
        <f t="shared" si="300"/>
        <v>5.7107257813310882E-3</v>
      </c>
      <c r="D9009">
        <f t="shared" si="299"/>
        <v>0.57014720440308497</v>
      </c>
    </row>
    <row r="9010" spans="1:4">
      <c r="A9010" s="1">
        <v>31362</v>
      </c>
      <c r="B9010">
        <v>197.28</v>
      </c>
      <c r="C9010">
        <f t="shared" si="300"/>
        <v>1.8377039025397494E-2</v>
      </c>
      <c r="D9010">
        <f t="shared" si="299"/>
        <v>1.9077055774874327</v>
      </c>
    </row>
    <row r="9011" spans="1:4">
      <c r="A9011" s="1">
        <v>31363</v>
      </c>
      <c r="B9011">
        <v>198.08</v>
      </c>
      <c r="C9011">
        <f t="shared" si="300"/>
        <v>4.0551500405515582E-3</v>
      </c>
      <c r="D9011">
        <f t="shared" si="299"/>
        <v>0.39531896893430396</v>
      </c>
    </row>
    <row r="9012" spans="1:4">
      <c r="A9012" s="1">
        <v>31364</v>
      </c>
      <c r="B9012">
        <v>197.1</v>
      </c>
      <c r="C9012">
        <f t="shared" si="300"/>
        <v>-4.9474959612278782E-3</v>
      </c>
      <c r="D9012">
        <f t="shared" si="299"/>
        <v>-0.55535738870554363</v>
      </c>
    </row>
    <row r="9013" spans="1:4">
      <c r="A9013" s="1">
        <v>31365</v>
      </c>
      <c r="B9013">
        <v>199.06</v>
      </c>
      <c r="C9013">
        <f t="shared" si="300"/>
        <v>9.9441907661086144E-3</v>
      </c>
      <c r="D9013">
        <f t="shared" si="299"/>
        <v>1.017199667770925</v>
      </c>
    </row>
    <row r="9014" spans="1:4">
      <c r="A9014" s="1">
        <v>31366</v>
      </c>
      <c r="B9014">
        <v>198.11</v>
      </c>
      <c r="C9014">
        <f t="shared" si="300"/>
        <v>-4.7724304229879869E-3</v>
      </c>
      <c r="D9014">
        <f t="shared" si="299"/>
        <v>-0.5368705273750789</v>
      </c>
    </row>
    <row r="9015" spans="1:4">
      <c r="A9015" s="1">
        <v>31369</v>
      </c>
      <c r="B9015">
        <v>198.71</v>
      </c>
      <c r="C9015">
        <f t="shared" si="300"/>
        <v>3.0286204633789022E-3</v>
      </c>
      <c r="D9015">
        <f t="shared" si="299"/>
        <v>0.28691779451922861</v>
      </c>
    </row>
    <row r="9016" spans="1:4">
      <c r="A9016" s="1">
        <v>31370</v>
      </c>
      <c r="B9016">
        <v>198.67</v>
      </c>
      <c r="C9016">
        <f t="shared" si="300"/>
        <v>-2.0129837451572877E-4</v>
      </c>
      <c r="D9016">
        <f t="shared" si="299"/>
        <v>-5.4160536859687074E-2</v>
      </c>
    </row>
    <row r="9017" spans="1:4">
      <c r="A9017" s="1">
        <v>31371</v>
      </c>
      <c r="B9017">
        <v>198.99</v>
      </c>
      <c r="C9017">
        <f t="shared" si="300"/>
        <v>1.6107112296774632E-3</v>
      </c>
      <c r="D9017">
        <f t="shared" si="299"/>
        <v>0.13718706141112294</v>
      </c>
    </row>
    <row r="9018" spans="1:4">
      <c r="A9018" s="1">
        <v>31372</v>
      </c>
      <c r="B9018">
        <v>201.41</v>
      </c>
      <c r="C9018">
        <f t="shared" si="300"/>
        <v>1.2161415146489709E-2</v>
      </c>
      <c r="D9018">
        <f t="shared" si="299"/>
        <v>1.2513378086679827</v>
      </c>
    </row>
    <row r="9019" spans="1:4">
      <c r="A9019" s="1">
        <v>31373</v>
      </c>
      <c r="B9019">
        <v>201.52</v>
      </c>
      <c r="C9019">
        <f t="shared" si="300"/>
        <v>5.4614964500279846E-4</v>
      </c>
      <c r="D9019">
        <f t="shared" si="299"/>
        <v>2.4769719931542943E-2</v>
      </c>
    </row>
    <row r="9020" spans="1:4">
      <c r="A9020" s="1">
        <v>31376</v>
      </c>
      <c r="B9020">
        <v>200.35</v>
      </c>
      <c r="C9020">
        <f t="shared" si="300"/>
        <v>-5.8058753473601418E-3</v>
      </c>
      <c r="D9020">
        <f t="shared" si="299"/>
        <v>-0.64600196010378064</v>
      </c>
    </row>
    <row r="9021" spans="1:4">
      <c r="A9021" s="1">
        <v>31377</v>
      </c>
      <c r="B9021">
        <v>200.67</v>
      </c>
      <c r="C9021">
        <f t="shared" si="300"/>
        <v>1.597204891439946E-3</v>
      </c>
      <c r="D9021">
        <f t="shared" si="299"/>
        <v>0.13576079668426855</v>
      </c>
    </row>
    <row r="9022" spans="1:4">
      <c r="A9022" s="1">
        <v>31378</v>
      </c>
      <c r="B9022">
        <v>202.54</v>
      </c>
      <c r="C9022">
        <f t="shared" si="300"/>
        <v>9.3187820800319163E-3</v>
      </c>
      <c r="D9022">
        <f t="shared" si="299"/>
        <v>0.95115672310796706</v>
      </c>
    </row>
    <row r="9023" spans="1:4">
      <c r="A9023" s="1">
        <v>31380</v>
      </c>
      <c r="B9023">
        <v>202.17</v>
      </c>
      <c r="C9023">
        <f t="shared" si="300"/>
        <v>-1.8267996445146862E-3</v>
      </c>
      <c r="D9023">
        <f t="shared" si="299"/>
        <v>-0.22581291843684906</v>
      </c>
    </row>
    <row r="9024" spans="1:4">
      <c r="A9024" s="1">
        <v>31383</v>
      </c>
      <c r="B9024">
        <v>200.46</v>
      </c>
      <c r="C9024">
        <f t="shared" si="300"/>
        <v>-8.4582282237719731E-3</v>
      </c>
      <c r="D9024">
        <f t="shared" si="299"/>
        <v>-0.92608952227432173</v>
      </c>
    </row>
    <row r="9025" spans="1:4">
      <c r="A9025" s="1">
        <v>31384</v>
      </c>
      <c r="B9025">
        <v>200.86</v>
      </c>
      <c r="C9025">
        <f t="shared" si="300"/>
        <v>1.9954105557218682E-3</v>
      </c>
      <c r="D9025">
        <f t="shared" si="299"/>
        <v>0.17781117947575761</v>
      </c>
    </row>
    <row r="9026" spans="1:4">
      <c r="A9026" s="1">
        <v>31385</v>
      </c>
      <c r="B9026">
        <v>204.23</v>
      </c>
      <c r="C9026">
        <f t="shared" si="300"/>
        <v>1.6777855222542944E-2</v>
      </c>
      <c r="D9026">
        <f t="shared" si="299"/>
        <v>1.7388323114949784</v>
      </c>
    </row>
    <row r="9027" spans="1:4">
      <c r="A9027" s="1">
        <v>31386</v>
      </c>
      <c r="B9027">
        <v>203.88</v>
      </c>
      <c r="C9027">
        <f t="shared" si="300"/>
        <v>-1.7137541007687133E-3</v>
      </c>
      <c r="D9027">
        <f t="shared" ref="D9027:D9090" si="301">(C9027-avg)/sd</f>
        <v>-0.21387534744332162</v>
      </c>
    </row>
    <row r="9028" spans="1:4">
      <c r="A9028" s="1">
        <v>31387</v>
      </c>
      <c r="B9028">
        <v>202.99</v>
      </c>
      <c r="C9028">
        <f t="shared" ref="C9028:C9091" si="302">(B9028-B9027)/B9027</f>
        <v>-4.3653129291739571E-3</v>
      </c>
      <c r="D9028">
        <f t="shared" si="301"/>
        <v>-0.49387905841427732</v>
      </c>
    </row>
    <row r="9029" spans="1:4">
      <c r="A9029" s="1">
        <v>31390</v>
      </c>
      <c r="B9029">
        <v>204.25</v>
      </c>
      <c r="C9029">
        <f t="shared" si="302"/>
        <v>6.2072023252376513E-3</v>
      </c>
      <c r="D9029">
        <f t="shared" si="301"/>
        <v>0.62257495867904111</v>
      </c>
    </row>
    <row r="9030" spans="1:4">
      <c r="A9030" s="1">
        <v>31391</v>
      </c>
      <c r="B9030">
        <v>204.39</v>
      </c>
      <c r="C9030">
        <f t="shared" si="302"/>
        <v>6.8543451652380101E-4</v>
      </c>
      <c r="D9030">
        <f t="shared" si="301"/>
        <v>3.9478155018932599E-2</v>
      </c>
    </row>
    <row r="9031" spans="1:4">
      <c r="A9031" s="1">
        <v>31392</v>
      </c>
      <c r="B9031">
        <v>206.31</v>
      </c>
      <c r="C9031">
        <f t="shared" si="302"/>
        <v>9.3938059591957331E-3</v>
      </c>
      <c r="D9031">
        <f t="shared" si="301"/>
        <v>0.95907921924581052</v>
      </c>
    </row>
    <row r="9032" spans="1:4">
      <c r="A9032" s="1">
        <v>31393</v>
      </c>
      <c r="B9032">
        <v>206.73</v>
      </c>
      <c r="C9032">
        <f t="shared" si="302"/>
        <v>2.0357714119528256E-3</v>
      </c>
      <c r="D9032">
        <f t="shared" si="301"/>
        <v>0.18207327217442509</v>
      </c>
    </row>
    <row r="9033" spans="1:4">
      <c r="A9033" s="1">
        <v>31394</v>
      </c>
      <c r="B9033">
        <v>209.94</v>
      </c>
      <c r="C9033">
        <f t="shared" si="302"/>
        <v>1.5527499637207991E-2</v>
      </c>
      <c r="D9033">
        <f t="shared" si="301"/>
        <v>1.6067951867001216</v>
      </c>
    </row>
    <row r="9034" spans="1:4">
      <c r="A9034" s="1">
        <v>31397</v>
      </c>
      <c r="B9034">
        <v>212.02</v>
      </c>
      <c r="C9034">
        <f t="shared" si="302"/>
        <v>9.9075926455178265E-3</v>
      </c>
      <c r="D9034">
        <f t="shared" si="301"/>
        <v>1.0133349186768434</v>
      </c>
    </row>
    <row r="9035" spans="1:4">
      <c r="A9035" s="1">
        <v>31398</v>
      </c>
      <c r="B9035">
        <v>210.65</v>
      </c>
      <c r="C9035">
        <f t="shared" si="302"/>
        <v>-6.4616545608905031E-3</v>
      </c>
      <c r="D9035">
        <f t="shared" si="301"/>
        <v>-0.71525202214240147</v>
      </c>
    </row>
    <row r="9036" spans="1:4">
      <c r="A9036" s="1">
        <v>31399</v>
      </c>
      <c r="B9036">
        <v>209.81</v>
      </c>
      <c r="C9036">
        <f t="shared" si="302"/>
        <v>-3.987657251364839E-3</v>
      </c>
      <c r="D9036">
        <f t="shared" si="301"/>
        <v>-0.4539987472090366</v>
      </c>
    </row>
    <row r="9037" spans="1:4">
      <c r="A9037" s="1">
        <v>31400</v>
      </c>
      <c r="B9037">
        <v>210.02</v>
      </c>
      <c r="C9037">
        <f t="shared" si="302"/>
        <v>1.0009055812402075E-3</v>
      </c>
      <c r="D9037">
        <f t="shared" si="301"/>
        <v>7.2791792219160004E-2</v>
      </c>
    </row>
    <row r="9038" spans="1:4">
      <c r="A9038" s="1">
        <v>31401</v>
      </c>
      <c r="B9038">
        <v>210.94</v>
      </c>
      <c r="C9038">
        <f t="shared" si="302"/>
        <v>4.3805351871249757E-3</v>
      </c>
      <c r="D9038">
        <f t="shared" si="301"/>
        <v>0.42967952980867152</v>
      </c>
    </row>
    <row r="9039" spans="1:4">
      <c r="A9039" s="1">
        <v>31404</v>
      </c>
      <c r="B9039">
        <v>208.57</v>
      </c>
      <c r="C9039">
        <f t="shared" si="302"/>
        <v>-1.1235422394993859E-2</v>
      </c>
      <c r="D9039">
        <f t="shared" si="301"/>
        <v>-1.2193602827411869</v>
      </c>
    </row>
    <row r="9040" spans="1:4">
      <c r="A9040" s="1">
        <v>31405</v>
      </c>
      <c r="B9040">
        <v>207.14</v>
      </c>
      <c r="C9040">
        <f t="shared" si="302"/>
        <v>-6.8562113439133475E-3</v>
      </c>
      <c r="D9040">
        <f t="shared" si="301"/>
        <v>-0.75691708431324689</v>
      </c>
    </row>
    <row r="9041" spans="1:4">
      <c r="A9041" s="1">
        <v>31407</v>
      </c>
      <c r="B9041">
        <v>207.65</v>
      </c>
      <c r="C9041">
        <f t="shared" si="302"/>
        <v>2.4621029255576872E-3</v>
      </c>
      <c r="D9041">
        <f t="shared" si="301"/>
        <v>0.22709373509397585</v>
      </c>
    </row>
    <row r="9042" spans="1:4">
      <c r="A9042" s="1">
        <v>31408</v>
      </c>
      <c r="B9042">
        <v>209.61</v>
      </c>
      <c r="C9042">
        <f t="shared" si="302"/>
        <v>9.4389597881050225E-3</v>
      </c>
      <c r="D9042">
        <f t="shared" si="301"/>
        <v>0.96384744823009927</v>
      </c>
    </row>
    <row r="9043" spans="1:4">
      <c r="A9043" s="1">
        <v>31411</v>
      </c>
      <c r="B9043">
        <v>210.68</v>
      </c>
      <c r="C9043">
        <f t="shared" si="302"/>
        <v>5.1047182863412678E-3</v>
      </c>
      <c r="D9043">
        <f t="shared" si="301"/>
        <v>0.50615301892411613</v>
      </c>
    </row>
    <row r="9044" spans="1:4">
      <c r="A9044" s="1">
        <v>31412</v>
      </c>
      <c r="B9044">
        <v>211.28</v>
      </c>
      <c r="C9044">
        <f t="shared" si="302"/>
        <v>2.847921017657083E-3</v>
      </c>
      <c r="D9044">
        <f t="shared" si="301"/>
        <v>0.26783599447373047</v>
      </c>
    </row>
    <row r="9045" spans="1:4">
      <c r="A9045" s="1">
        <v>31414</v>
      </c>
      <c r="B9045">
        <v>209.59</v>
      </c>
      <c r="C9045">
        <f t="shared" si="302"/>
        <v>-7.9988640666414125E-3</v>
      </c>
      <c r="D9045">
        <f t="shared" si="301"/>
        <v>-0.87758082342679822</v>
      </c>
    </row>
    <row r="9046" spans="1:4">
      <c r="A9046" s="1">
        <v>31415</v>
      </c>
      <c r="B9046">
        <v>210.88</v>
      </c>
      <c r="C9046">
        <f t="shared" si="302"/>
        <v>6.1548738012309366E-3</v>
      </c>
      <c r="D9046">
        <f t="shared" si="301"/>
        <v>0.6170490843312616</v>
      </c>
    </row>
    <row r="9047" spans="1:4">
      <c r="A9047" s="1">
        <v>31418</v>
      </c>
      <c r="B9047">
        <v>210.65</v>
      </c>
      <c r="C9047">
        <f t="shared" si="302"/>
        <v>-1.0906676783004068E-3</v>
      </c>
      <c r="D9047">
        <f t="shared" si="301"/>
        <v>-0.14807763302803414</v>
      </c>
    </row>
    <row r="9048" spans="1:4">
      <c r="A9048" s="1">
        <v>31419</v>
      </c>
      <c r="B9048">
        <v>213.8</v>
      </c>
      <c r="C9048">
        <f t="shared" si="302"/>
        <v>1.4953714692618114E-2</v>
      </c>
      <c r="D9048">
        <f t="shared" si="301"/>
        <v>1.5462036915904096</v>
      </c>
    </row>
    <row r="9049" spans="1:4">
      <c r="A9049" s="1">
        <v>31420</v>
      </c>
      <c r="B9049">
        <v>207.97</v>
      </c>
      <c r="C9049">
        <f t="shared" si="302"/>
        <v>-2.726847521047714E-2</v>
      </c>
      <c r="D9049">
        <f t="shared" si="301"/>
        <v>-2.9124452101567724</v>
      </c>
    </row>
    <row r="9050" spans="1:4">
      <c r="A9050" s="1">
        <v>31421</v>
      </c>
      <c r="B9050">
        <v>206.11</v>
      </c>
      <c r="C9050">
        <f t="shared" si="302"/>
        <v>-8.943597634274103E-3</v>
      </c>
      <c r="D9050">
        <f t="shared" si="301"/>
        <v>-0.97734436703826777</v>
      </c>
    </row>
    <row r="9051" spans="1:4">
      <c r="A9051" s="1">
        <v>31422</v>
      </c>
      <c r="B9051">
        <v>205.96</v>
      </c>
      <c r="C9051">
        <f t="shared" si="302"/>
        <v>-7.2776672650529171E-4</v>
      </c>
      <c r="D9051">
        <f t="shared" si="301"/>
        <v>-0.10975541587449709</v>
      </c>
    </row>
    <row r="9052" spans="1:4">
      <c r="A9052" s="1">
        <v>31425</v>
      </c>
      <c r="B9052">
        <v>206.72</v>
      </c>
      <c r="C9052">
        <f t="shared" si="302"/>
        <v>3.6900369003689593E-3</v>
      </c>
      <c r="D9052">
        <f t="shared" si="301"/>
        <v>0.35676314543900794</v>
      </c>
    </row>
    <row r="9053" spans="1:4">
      <c r="A9053" s="1">
        <v>31426</v>
      </c>
      <c r="B9053">
        <v>206.64</v>
      </c>
      <c r="C9053">
        <f t="shared" si="302"/>
        <v>-3.8699690402482832E-4</v>
      </c>
      <c r="D9053">
        <f t="shared" si="301"/>
        <v>-7.3770238453850875E-2</v>
      </c>
    </row>
    <row r="9054" spans="1:4">
      <c r="A9054" s="1">
        <v>31427</v>
      </c>
      <c r="B9054">
        <v>208.26</v>
      </c>
      <c r="C9054">
        <f t="shared" si="302"/>
        <v>7.839721254355423E-3</v>
      </c>
      <c r="D9054">
        <f t="shared" si="301"/>
        <v>0.7949684026737317</v>
      </c>
    </row>
    <row r="9055" spans="1:4">
      <c r="A9055" s="1">
        <v>31428</v>
      </c>
      <c r="B9055">
        <v>209.17</v>
      </c>
      <c r="C9055">
        <f t="shared" si="302"/>
        <v>4.3695380774032297E-3</v>
      </c>
      <c r="D9055">
        <f t="shared" si="301"/>
        <v>0.42851823876015438</v>
      </c>
    </row>
    <row r="9056" spans="1:4">
      <c r="A9056" s="1">
        <v>31429</v>
      </c>
      <c r="B9056">
        <v>208.43</v>
      </c>
      <c r="C9056">
        <f t="shared" si="302"/>
        <v>-3.5377922264186101E-3</v>
      </c>
      <c r="D9056">
        <f t="shared" si="301"/>
        <v>-0.40649315349126658</v>
      </c>
    </row>
    <row r="9057" spans="1:4">
      <c r="A9057" s="1">
        <v>31432</v>
      </c>
      <c r="B9057">
        <v>207.53</v>
      </c>
      <c r="C9057">
        <f t="shared" si="302"/>
        <v>-4.3179964496473907E-3</v>
      </c>
      <c r="D9057">
        <f t="shared" si="301"/>
        <v>-0.48888245425992477</v>
      </c>
    </row>
    <row r="9058" spans="1:4">
      <c r="A9058" s="1">
        <v>31433</v>
      </c>
      <c r="B9058">
        <v>205.79</v>
      </c>
      <c r="C9058">
        <f t="shared" si="302"/>
        <v>-8.3843299763890003E-3</v>
      </c>
      <c r="D9058">
        <f t="shared" si="301"/>
        <v>-0.91828589246991454</v>
      </c>
    </row>
    <row r="9059" spans="1:4">
      <c r="A9059" s="1">
        <v>31434</v>
      </c>
      <c r="B9059">
        <v>203.49</v>
      </c>
      <c r="C9059">
        <f t="shared" si="302"/>
        <v>-1.1176442003984563E-2</v>
      </c>
      <c r="D9059">
        <f t="shared" si="301"/>
        <v>-1.213131973499014</v>
      </c>
    </row>
    <row r="9060" spans="1:4">
      <c r="A9060" s="1">
        <v>31435</v>
      </c>
      <c r="B9060">
        <v>204.25</v>
      </c>
      <c r="C9060">
        <f t="shared" si="302"/>
        <v>3.734827264238984E-3</v>
      </c>
      <c r="D9060">
        <f t="shared" si="301"/>
        <v>0.36149299263869816</v>
      </c>
    </row>
    <row r="9061" spans="1:4">
      <c r="A9061" s="1">
        <v>31436</v>
      </c>
      <c r="B9061">
        <v>206.43</v>
      </c>
      <c r="C9061">
        <f t="shared" si="302"/>
        <v>1.0673194614443118E-2</v>
      </c>
      <c r="D9061">
        <f t="shared" si="301"/>
        <v>1.0941822263546004</v>
      </c>
    </row>
    <row r="9062" spans="1:4">
      <c r="A9062" s="1">
        <v>31439</v>
      </c>
      <c r="B9062">
        <v>207.39</v>
      </c>
      <c r="C9062">
        <f t="shared" si="302"/>
        <v>4.6504868478417843E-3</v>
      </c>
      <c r="D9062">
        <f t="shared" si="301"/>
        <v>0.45818633341933857</v>
      </c>
    </row>
    <row r="9063" spans="1:4">
      <c r="A9063" s="1">
        <v>31440</v>
      </c>
      <c r="B9063">
        <v>209.81</v>
      </c>
      <c r="C9063">
        <f t="shared" si="302"/>
        <v>1.1668836491634197E-2</v>
      </c>
      <c r="D9063">
        <f t="shared" si="301"/>
        <v>1.1993216701508607</v>
      </c>
    </row>
    <row r="9064" spans="1:4">
      <c r="A9064" s="1">
        <v>31441</v>
      </c>
      <c r="B9064">
        <v>210.29</v>
      </c>
      <c r="C9064">
        <f t="shared" si="302"/>
        <v>2.2877841856917677E-3</v>
      </c>
      <c r="D9064">
        <f t="shared" si="301"/>
        <v>0.20868573541795341</v>
      </c>
    </row>
    <row r="9065" spans="1:4">
      <c r="A9065" s="1">
        <v>31442</v>
      </c>
      <c r="B9065">
        <v>209.33</v>
      </c>
      <c r="C9065">
        <f t="shared" si="302"/>
        <v>-4.5651243520851183E-3</v>
      </c>
      <c r="D9065">
        <f t="shared" si="301"/>
        <v>-0.51497907675449328</v>
      </c>
    </row>
    <row r="9066" spans="1:4">
      <c r="A9066" s="1">
        <v>31443</v>
      </c>
      <c r="B9066">
        <v>211.78</v>
      </c>
      <c r="C9066">
        <f t="shared" si="302"/>
        <v>1.1704008025605448E-2</v>
      </c>
      <c r="D9066">
        <f t="shared" si="301"/>
        <v>1.2030357721828395</v>
      </c>
    </row>
    <row r="9067" spans="1:4">
      <c r="A9067" s="1">
        <v>31446</v>
      </c>
      <c r="B9067">
        <v>213.96</v>
      </c>
      <c r="C9067">
        <f t="shared" si="302"/>
        <v>1.0293701010482608E-2</v>
      </c>
      <c r="D9067">
        <f t="shared" si="301"/>
        <v>1.0541078307725142</v>
      </c>
    </row>
    <row r="9068" spans="1:4">
      <c r="A9068" s="1">
        <v>31447</v>
      </c>
      <c r="B9068">
        <v>212.79</v>
      </c>
      <c r="C9068">
        <f t="shared" si="302"/>
        <v>-5.4683118339877356E-3</v>
      </c>
      <c r="D9068">
        <f t="shared" si="301"/>
        <v>-0.61035536783506783</v>
      </c>
    </row>
    <row r="9069" spans="1:4">
      <c r="A9069" s="1">
        <v>31448</v>
      </c>
      <c r="B9069">
        <v>212.96</v>
      </c>
      <c r="C9069">
        <f t="shared" si="302"/>
        <v>7.9890972320135307E-4</v>
      </c>
      <c r="D9069">
        <f t="shared" si="301"/>
        <v>5.1461098271985223E-2</v>
      </c>
    </row>
    <row r="9070" spans="1:4">
      <c r="A9070" s="1">
        <v>31449</v>
      </c>
      <c r="B9070">
        <v>213.47</v>
      </c>
      <c r="C9070">
        <f t="shared" si="302"/>
        <v>2.3948159278737364E-3</v>
      </c>
      <c r="D9070">
        <f t="shared" si="301"/>
        <v>0.21998825101051245</v>
      </c>
    </row>
    <row r="9071" spans="1:4">
      <c r="A9071" s="1">
        <v>31450</v>
      </c>
      <c r="B9071">
        <v>214.56</v>
      </c>
      <c r="C9071">
        <f t="shared" si="302"/>
        <v>5.1061039021876769E-3</v>
      </c>
      <c r="D9071">
        <f t="shared" si="301"/>
        <v>0.50629933948650319</v>
      </c>
    </row>
    <row r="9072" spans="1:4">
      <c r="A9072" s="1">
        <v>31453</v>
      </c>
      <c r="B9072">
        <v>216.24</v>
      </c>
      <c r="C9072">
        <f t="shared" si="302"/>
        <v>7.8299776286353782E-3</v>
      </c>
      <c r="D9072">
        <f t="shared" si="301"/>
        <v>0.79393947910971419</v>
      </c>
    </row>
    <row r="9073" spans="1:4">
      <c r="A9073" s="1">
        <v>31454</v>
      </c>
      <c r="B9073">
        <v>215.92</v>
      </c>
      <c r="C9073">
        <f t="shared" si="302"/>
        <v>-1.4798372179061301E-3</v>
      </c>
      <c r="D9073">
        <f t="shared" si="301"/>
        <v>-0.18917380412524462</v>
      </c>
    </row>
    <row r="9074" spans="1:4">
      <c r="A9074" s="1">
        <v>31455</v>
      </c>
      <c r="B9074">
        <v>215.97</v>
      </c>
      <c r="C9074">
        <f t="shared" si="302"/>
        <v>2.315672471286188E-4</v>
      </c>
      <c r="D9074">
        <f t="shared" si="301"/>
        <v>-8.4500743522178453E-3</v>
      </c>
    </row>
    <row r="9075" spans="1:4">
      <c r="A9075" s="1">
        <v>31456</v>
      </c>
      <c r="B9075">
        <v>217.4</v>
      </c>
      <c r="C9075">
        <f t="shared" si="302"/>
        <v>6.6212899939806771E-3</v>
      </c>
      <c r="D9075">
        <f t="shared" si="301"/>
        <v>0.66630247574306711</v>
      </c>
    </row>
    <row r="9076" spans="1:4">
      <c r="A9076" s="1">
        <v>31457</v>
      </c>
      <c r="B9076">
        <v>219.76</v>
      </c>
      <c r="C9076">
        <f t="shared" si="302"/>
        <v>1.0855565777368837E-2</v>
      </c>
      <c r="D9076">
        <f t="shared" si="301"/>
        <v>1.1134405591685861</v>
      </c>
    </row>
    <row r="9077" spans="1:4">
      <c r="A9077" s="1">
        <v>31461</v>
      </c>
      <c r="B9077">
        <v>222.45</v>
      </c>
      <c r="C9077">
        <f t="shared" si="302"/>
        <v>1.2240626137604649E-2</v>
      </c>
      <c r="D9077">
        <f t="shared" si="301"/>
        <v>1.2597024624045963</v>
      </c>
    </row>
    <row r="9078" spans="1:4">
      <c r="A9078" s="1">
        <v>31462</v>
      </c>
      <c r="B9078">
        <v>219.76</v>
      </c>
      <c r="C9078">
        <f t="shared" si="302"/>
        <v>-1.2092605079793203E-2</v>
      </c>
      <c r="D9078">
        <f t="shared" si="301"/>
        <v>-1.3098784828854459</v>
      </c>
    </row>
    <row r="9079" spans="1:4">
      <c r="A9079" s="1">
        <v>31463</v>
      </c>
      <c r="B9079">
        <v>222.22</v>
      </c>
      <c r="C9079">
        <f t="shared" si="302"/>
        <v>1.1194029850746306E-2</v>
      </c>
      <c r="D9079">
        <f t="shared" si="301"/>
        <v>1.1491822502677183</v>
      </c>
    </row>
    <row r="9080" spans="1:4">
      <c r="A9080" s="1">
        <v>31464</v>
      </c>
      <c r="B9080">
        <v>224.62</v>
      </c>
      <c r="C9080">
        <f t="shared" si="302"/>
        <v>1.0800108001080036E-2</v>
      </c>
      <c r="D9080">
        <f t="shared" si="301"/>
        <v>1.1075842368435029</v>
      </c>
    </row>
    <row r="9081" spans="1:4">
      <c r="A9081" s="1">
        <v>31467</v>
      </c>
      <c r="B9081">
        <v>224.34</v>
      </c>
      <c r="C9081">
        <f t="shared" si="302"/>
        <v>-1.2465497284302428E-3</v>
      </c>
      <c r="D9081">
        <f t="shared" si="301"/>
        <v>-0.16453872453486151</v>
      </c>
    </row>
    <row r="9082" spans="1:4">
      <c r="A9082" s="1">
        <v>31468</v>
      </c>
      <c r="B9082">
        <v>223.79</v>
      </c>
      <c r="C9082">
        <f t="shared" si="302"/>
        <v>-2.4516359097798493E-3</v>
      </c>
      <c r="D9082">
        <f t="shared" si="301"/>
        <v>-0.2917954156566841</v>
      </c>
    </row>
    <row r="9083" spans="1:4">
      <c r="A9083" s="1">
        <v>31469</v>
      </c>
      <c r="B9083">
        <v>224.04</v>
      </c>
      <c r="C9083">
        <f t="shared" si="302"/>
        <v>1.1171187273783458E-3</v>
      </c>
      <c r="D9083">
        <f t="shared" si="301"/>
        <v>8.5063860948579692E-2</v>
      </c>
    </row>
    <row r="9084" spans="1:4">
      <c r="A9084" s="1">
        <v>31470</v>
      </c>
      <c r="B9084">
        <v>226.77</v>
      </c>
      <c r="C9084">
        <f t="shared" si="302"/>
        <v>1.2185324049276997E-2</v>
      </c>
      <c r="D9084">
        <f t="shared" si="301"/>
        <v>1.2538625806752892</v>
      </c>
    </row>
    <row r="9085" spans="1:4">
      <c r="A9085" s="1">
        <v>31471</v>
      </c>
      <c r="B9085">
        <v>226.92</v>
      </c>
      <c r="C9085">
        <f t="shared" si="302"/>
        <v>6.614631565020825E-4</v>
      </c>
      <c r="D9085">
        <f t="shared" si="301"/>
        <v>3.6946787548900295E-2</v>
      </c>
    </row>
    <row r="9086" spans="1:4">
      <c r="A9086" s="1">
        <v>31474</v>
      </c>
      <c r="B9086">
        <v>225.42</v>
      </c>
      <c r="C9086">
        <f t="shared" si="302"/>
        <v>-6.610259122157589E-3</v>
      </c>
      <c r="D9086">
        <f t="shared" si="301"/>
        <v>-0.73094461329906102</v>
      </c>
    </row>
    <row r="9087" spans="1:4">
      <c r="A9087" s="1">
        <v>31475</v>
      </c>
      <c r="B9087">
        <v>224.38</v>
      </c>
      <c r="C9087">
        <f t="shared" si="302"/>
        <v>-4.6136101499422945E-3</v>
      </c>
      <c r="D9087">
        <f t="shared" si="301"/>
        <v>-0.5200991605270876</v>
      </c>
    </row>
    <row r="9088" spans="1:4">
      <c r="A9088" s="1">
        <v>31476</v>
      </c>
      <c r="B9088">
        <v>224.34</v>
      </c>
      <c r="C9088">
        <f t="shared" si="302"/>
        <v>-1.7826900793293539E-4</v>
      </c>
      <c r="D9088">
        <f t="shared" si="301"/>
        <v>-5.1728643576606143E-2</v>
      </c>
    </row>
    <row r="9089" spans="1:4">
      <c r="A9089" s="1">
        <v>31477</v>
      </c>
      <c r="B9089">
        <v>225.13</v>
      </c>
      <c r="C9089">
        <f t="shared" si="302"/>
        <v>3.5214406704109479E-3</v>
      </c>
      <c r="D9089">
        <f t="shared" si="301"/>
        <v>0.33895944086408503</v>
      </c>
    </row>
    <row r="9090" spans="1:4">
      <c r="A9090" s="1">
        <v>31478</v>
      </c>
      <c r="B9090">
        <v>225.57</v>
      </c>
      <c r="C9090">
        <f t="shared" si="302"/>
        <v>1.954426331452928E-3</v>
      </c>
      <c r="D9090">
        <f t="shared" si="301"/>
        <v>0.17348325932417225</v>
      </c>
    </row>
    <row r="9091" spans="1:4">
      <c r="A9091" s="1">
        <v>31481</v>
      </c>
      <c r="B9091">
        <v>226.58</v>
      </c>
      <c r="C9091">
        <f t="shared" si="302"/>
        <v>4.4775457729308837E-3</v>
      </c>
      <c r="D9091">
        <f t="shared" ref="D9091:D9154" si="303">(C9091-avg)/sd</f>
        <v>0.43992381469427511</v>
      </c>
    </row>
    <row r="9092" spans="1:4">
      <c r="A9092" s="1">
        <v>31482</v>
      </c>
      <c r="B9092">
        <v>231.69</v>
      </c>
      <c r="C9092">
        <f t="shared" ref="C9092:C9155" si="304">(B9092-B9091)/B9091</f>
        <v>2.2552740753817569E-2</v>
      </c>
      <c r="D9092">
        <f t="shared" si="303"/>
        <v>2.3486582606186106</v>
      </c>
    </row>
    <row r="9093" spans="1:4">
      <c r="A9093" s="1">
        <v>31483</v>
      </c>
      <c r="B9093">
        <v>232.54</v>
      </c>
      <c r="C9093">
        <f t="shared" si="304"/>
        <v>3.6686952393283883E-3</v>
      </c>
      <c r="D9093">
        <f t="shared" si="303"/>
        <v>0.3545094732875067</v>
      </c>
    </row>
    <row r="9094" spans="1:4">
      <c r="A9094" s="1">
        <v>31484</v>
      </c>
      <c r="B9094">
        <v>233.19</v>
      </c>
      <c r="C9094">
        <f t="shared" si="304"/>
        <v>2.7952180270061312E-3</v>
      </c>
      <c r="D9094">
        <f t="shared" si="303"/>
        <v>0.26227057657560693</v>
      </c>
    </row>
    <row r="9095" spans="1:4">
      <c r="A9095" s="1">
        <v>31485</v>
      </c>
      <c r="B9095">
        <v>236.55</v>
      </c>
      <c r="C9095">
        <f t="shared" si="304"/>
        <v>1.4408851151421646E-2</v>
      </c>
      <c r="D9095">
        <f t="shared" si="303"/>
        <v>1.4886662868481793</v>
      </c>
    </row>
    <row r="9096" spans="1:4">
      <c r="A9096" s="1">
        <v>31488</v>
      </c>
      <c r="B9096">
        <v>234.67</v>
      </c>
      <c r="C9096">
        <f t="shared" si="304"/>
        <v>-7.9475797928557339E-3</v>
      </c>
      <c r="D9096">
        <f t="shared" si="303"/>
        <v>-0.87216522154740228</v>
      </c>
    </row>
    <row r="9097" spans="1:4">
      <c r="A9097" s="1">
        <v>31489</v>
      </c>
      <c r="B9097">
        <v>235.78</v>
      </c>
      <c r="C9097">
        <f t="shared" si="304"/>
        <v>4.7300464482039192E-3</v>
      </c>
      <c r="D9097">
        <f t="shared" si="303"/>
        <v>0.4665878001739579</v>
      </c>
    </row>
    <row r="9098" spans="1:4">
      <c r="A9098" s="1">
        <v>31490</v>
      </c>
      <c r="B9098">
        <v>235.6</v>
      </c>
      <c r="C9098">
        <f t="shared" si="304"/>
        <v>-7.634235304097329E-4</v>
      </c>
      <c r="D9098">
        <f t="shared" si="303"/>
        <v>-0.11352076224646954</v>
      </c>
    </row>
    <row r="9099" spans="1:4">
      <c r="A9099" s="1">
        <v>31491</v>
      </c>
      <c r="B9099">
        <v>236.54</v>
      </c>
      <c r="C9099">
        <f t="shared" si="304"/>
        <v>3.9898132427843708E-3</v>
      </c>
      <c r="D9099">
        <f t="shared" si="303"/>
        <v>0.38841942529914558</v>
      </c>
    </row>
    <row r="9100" spans="1:4">
      <c r="A9100" s="1">
        <v>31492</v>
      </c>
      <c r="B9100">
        <v>233.34</v>
      </c>
      <c r="C9100">
        <f t="shared" si="304"/>
        <v>-1.3528367295172017E-2</v>
      </c>
      <c r="D9100">
        <f t="shared" si="303"/>
        <v>-1.4614944847901592</v>
      </c>
    </row>
    <row r="9101" spans="1:4">
      <c r="A9101" s="1">
        <v>31495</v>
      </c>
      <c r="B9101">
        <v>235.33</v>
      </c>
      <c r="C9101">
        <f t="shared" si="304"/>
        <v>8.5283277620639801E-3</v>
      </c>
      <c r="D9101">
        <f t="shared" si="303"/>
        <v>0.86768501581903057</v>
      </c>
    </row>
    <row r="9102" spans="1:4">
      <c r="A9102" s="1">
        <v>31496</v>
      </c>
      <c r="B9102">
        <v>234.72</v>
      </c>
      <c r="C9102">
        <f t="shared" si="304"/>
        <v>-2.5921047040326928E-3</v>
      </c>
      <c r="D9102">
        <f t="shared" si="303"/>
        <v>-0.30662887258212124</v>
      </c>
    </row>
    <row r="9103" spans="1:4">
      <c r="A9103" s="1">
        <v>31497</v>
      </c>
      <c r="B9103">
        <v>237.3</v>
      </c>
      <c r="C9103">
        <f t="shared" si="304"/>
        <v>1.0991820040899849E-2</v>
      </c>
      <c r="D9103">
        <f t="shared" si="303"/>
        <v>1.1278289630823866</v>
      </c>
    </row>
    <row r="9104" spans="1:4">
      <c r="A9104" s="1">
        <v>31498</v>
      </c>
      <c r="B9104">
        <v>238.97</v>
      </c>
      <c r="C9104">
        <f t="shared" si="304"/>
        <v>7.0375052675937105E-3</v>
      </c>
      <c r="D9104">
        <f t="shared" si="303"/>
        <v>0.71025466715815788</v>
      </c>
    </row>
    <row r="9105" spans="1:4">
      <c r="A9105" s="1">
        <v>31502</v>
      </c>
      <c r="B9105">
        <v>238.9</v>
      </c>
      <c r="C9105">
        <f t="shared" si="304"/>
        <v>-2.9292379796624338E-4</v>
      </c>
      <c r="D9105">
        <f t="shared" si="303"/>
        <v>-6.3836150431066732E-2</v>
      </c>
    </row>
    <row r="9106" spans="1:4">
      <c r="A9106" s="1">
        <v>31503</v>
      </c>
      <c r="B9106">
        <v>235.14</v>
      </c>
      <c r="C9106">
        <f t="shared" si="304"/>
        <v>-1.5738802846379317E-2</v>
      </c>
      <c r="D9106">
        <f t="shared" si="303"/>
        <v>-1.6949157276340996</v>
      </c>
    </row>
    <row r="9107" spans="1:4">
      <c r="A9107" s="1">
        <v>31504</v>
      </c>
      <c r="B9107">
        <v>235.71</v>
      </c>
      <c r="C9107">
        <f t="shared" si="304"/>
        <v>2.4240877774943507E-3</v>
      </c>
      <c r="D9107">
        <f t="shared" si="303"/>
        <v>0.22307934838046417</v>
      </c>
    </row>
    <row r="9108" spans="1:4">
      <c r="A9108" s="1">
        <v>31505</v>
      </c>
      <c r="B9108">
        <v>232.47</v>
      </c>
      <c r="C9108">
        <f t="shared" si="304"/>
        <v>-1.374570446735399E-2</v>
      </c>
      <c r="D9108">
        <f t="shared" si="303"/>
        <v>-1.4844452162960813</v>
      </c>
    </row>
    <row r="9109" spans="1:4">
      <c r="A9109" s="1">
        <v>31506</v>
      </c>
      <c r="B9109">
        <v>228.69</v>
      </c>
      <c r="C9109">
        <f t="shared" si="304"/>
        <v>-1.6260162601626021E-2</v>
      </c>
      <c r="D9109">
        <f t="shared" si="303"/>
        <v>-1.7499711405693601</v>
      </c>
    </row>
    <row r="9110" spans="1:4">
      <c r="A9110" s="1">
        <v>31509</v>
      </c>
      <c r="B9110">
        <v>228.63</v>
      </c>
      <c r="C9110">
        <f t="shared" si="304"/>
        <v>-2.6236389872754502E-4</v>
      </c>
      <c r="D9110">
        <f t="shared" si="303"/>
        <v>-6.0609035459274659E-2</v>
      </c>
    </row>
    <row r="9111" spans="1:4">
      <c r="A9111" s="1">
        <v>31510</v>
      </c>
      <c r="B9111">
        <v>233.52</v>
      </c>
      <c r="C9111">
        <f t="shared" si="304"/>
        <v>2.1388269256003213E-2</v>
      </c>
      <c r="D9111">
        <f t="shared" si="303"/>
        <v>2.2256904662725088</v>
      </c>
    </row>
    <row r="9112" spans="1:4">
      <c r="A9112" s="1">
        <v>31511</v>
      </c>
      <c r="B9112">
        <v>233.75</v>
      </c>
      <c r="C9112">
        <f t="shared" si="304"/>
        <v>9.8492634463853094E-4</v>
      </c>
      <c r="D9112">
        <f t="shared" si="303"/>
        <v>7.1104390265629397E-2</v>
      </c>
    </row>
    <row r="9113" spans="1:4">
      <c r="A9113" s="1">
        <v>31512</v>
      </c>
      <c r="B9113">
        <v>236.44</v>
      </c>
      <c r="C9113">
        <f t="shared" si="304"/>
        <v>1.1508021390374322E-2</v>
      </c>
      <c r="D9113">
        <f t="shared" si="303"/>
        <v>1.1823396501215266</v>
      </c>
    </row>
    <row r="9114" spans="1:4">
      <c r="A9114" s="1">
        <v>31513</v>
      </c>
      <c r="B9114">
        <v>235.97</v>
      </c>
      <c r="C9114">
        <f t="shared" si="304"/>
        <v>-1.9878193199120236E-3</v>
      </c>
      <c r="D9114">
        <f t="shared" si="303"/>
        <v>-0.24281654142556083</v>
      </c>
    </row>
    <row r="9115" spans="1:4">
      <c r="A9115" s="1">
        <v>31516</v>
      </c>
      <c r="B9115">
        <v>237.28</v>
      </c>
      <c r="C9115">
        <f t="shared" si="304"/>
        <v>5.5515531635377474E-3</v>
      </c>
      <c r="D9115">
        <f t="shared" si="303"/>
        <v>0.5533386300695099</v>
      </c>
    </row>
    <row r="9116" spans="1:4">
      <c r="A9116" s="1">
        <v>31517</v>
      </c>
      <c r="B9116">
        <v>237.73</v>
      </c>
      <c r="C9116">
        <f t="shared" si="304"/>
        <v>1.8964935940660344E-3</v>
      </c>
      <c r="D9116">
        <f t="shared" si="303"/>
        <v>0.1673655819484105</v>
      </c>
    </row>
    <row r="9117" spans="1:4">
      <c r="A9117" s="1">
        <v>31518</v>
      </c>
      <c r="B9117">
        <v>242.22</v>
      </c>
      <c r="C9117">
        <f t="shared" si="304"/>
        <v>1.8886972615992974E-2</v>
      </c>
      <c r="D9117">
        <f t="shared" si="303"/>
        <v>1.9615543913194662</v>
      </c>
    </row>
    <row r="9118" spans="1:4">
      <c r="A9118" s="1">
        <v>31519</v>
      </c>
      <c r="B9118">
        <v>243.03</v>
      </c>
      <c r="C9118">
        <f t="shared" si="304"/>
        <v>3.344067376764934E-3</v>
      </c>
      <c r="D9118">
        <f t="shared" si="303"/>
        <v>0.32022888134717786</v>
      </c>
    </row>
    <row r="9119" spans="1:4">
      <c r="A9119" s="1">
        <v>31520</v>
      </c>
      <c r="B9119">
        <v>242.38</v>
      </c>
      <c r="C9119">
        <f t="shared" si="304"/>
        <v>-2.6745669258939459E-3</v>
      </c>
      <c r="D9119">
        <f t="shared" si="303"/>
        <v>-0.31533685518039845</v>
      </c>
    </row>
    <row r="9120" spans="1:4">
      <c r="A9120" s="1">
        <v>31523</v>
      </c>
      <c r="B9120">
        <v>244.74</v>
      </c>
      <c r="C9120">
        <f t="shared" si="304"/>
        <v>9.736776961795585E-3</v>
      </c>
      <c r="D9120">
        <f t="shared" si="303"/>
        <v>0.99529684053884671</v>
      </c>
    </row>
    <row r="9121" spans="1:4">
      <c r="A9121" s="1">
        <v>31524</v>
      </c>
      <c r="B9121">
        <v>242.42</v>
      </c>
      <c r="C9121">
        <f t="shared" si="304"/>
        <v>-9.4794475770205999E-3</v>
      </c>
      <c r="D9121">
        <f t="shared" si="303"/>
        <v>-1.0339299388480525</v>
      </c>
    </row>
    <row r="9122" spans="1:4">
      <c r="A9122" s="1">
        <v>31525</v>
      </c>
      <c r="B9122">
        <v>241.75</v>
      </c>
      <c r="C9122">
        <f t="shared" si="304"/>
        <v>-2.763798366471362E-3</v>
      </c>
      <c r="D9122">
        <f t="shared" si="303"/>
        <v>-0.32475966497413322</v>
      </c>
    </row>
    <row r="9123" spans="1:4">
      <c r="A9123" s="1">
        <v>31526</v>
      </c>
      <c r="B9123">
        <v>242.02</v>
      </c>
      <c r="C9123">
        <f t="shared" si="304"/>
        <v>1.1168562564633309E-3</v>
      </c>
      <c r="D9123">
        <f t="shared" si="303"/>
        <v>8.5036144109172318E-2</v>
      </c>
    </row>
    <row r="9124" spans="1:4">
      <c r="A9124" s="1">
        <v>31527</v>
      </c>
      <c r="B9124">
        <v>242.29</v>
      </c>
      <c r="C9124">
        <f t="shared" si="304"/>
        <v>1.1156102801420618E-3</v>
      </c>
      <c r="D9124">
        <f t="shared" si="303"/>
        <v>8.4904569433174246E-2</v>
      </c>
    </row>
    <row r="9125" spans="1:4">
      <c r="A9125" s="1">
        <v>31530</v>
      </c>
      <c r="B9125">
        <v>243.08</v>
      </c>
      <c r="C9125">
        <f t="shared" si="304"/>
        <v>3.2605555326262765E-3</v>
      </c>
      <c r="D9125">
        <f t="shared" si="303"/>
        <v>0.31141005899319074</v>
      </c>
    </row>
    <row r="9126" spans="1:4">
      <c r="A9126" s="1">
        <v>31531</v>
      </c>
      <c r="B9126">
        <v>240.51</v>
      </c>
      <c r="C9126">
        <f t="shared" si="304"/>
        <v>-1.0572650979101619E-2</v>
      </c>
      <c r="D9126">
        <f t="shared" si="303"/>
        <v>-1.1493718465099165</v>
      </c>
    </row>
    <row r="9127" spans="1:4">
      <c r="A9127" s="1">
        <v>31532</v>
      </c>
      <c r="B9127">
        <v>235.52</v>
      </c>
      <c r="C9127">
        <f t="shared" si="304"/>
        <v>-2.0747578063282111E-2</v>
      </c>
      <c r="D9127">
        <f t="shared" si="303"/>
        <v>-2.223840687973615</v>
      </c>
    </row>
    <row r="9128" spans="1:4">
      <c r="A9128" s="1">
        <v>31533</v>
      </c>
      <c r="B9128">
        <v>235.16</v>
      </c>
      <c r="C9128">
        <f t="shared" si="304"/>
        <v>-1.5285326086957101E-3</v>
      </c>
      <c r="D9128">
        <f t="shared" si="303"/>
        <v>-0.1943160208402567</v>
      </c>
    </row>
    <row r="9129" spans="1:4">
      <c r="A9129" s="1">
        <v>31534</v>
      </c>
      <c r="B9129">
        <v>234.79</v>
      </c>
      <c r="C9129">
        <f t="shared" si="304"/>
        <v>-1.5733968361966515E-3</v>
      </c>
      <c r="D9129">
        <f t="shared" si="303"/>
        <v>-0.19905366801426425</v>
      </c>
    </row>
    <row r="9130" spans="1:4">
      <c r="A9130" s="1">
        <v>31537</v>
      </c>
      <c r="B9130">
        <v>237.73</v>
      </c>
      <c r="C9130">
        <f t="shared" si="304"/>
        <v>1.2521828016525396E-2</v>
      </c>
      <c r="D9130">
        <f t="shared" si="303"/>
        <v>1.2893972852334643</v>
      </c>
    </row>
    <row r="9131" spans="1:4">
      <c r="A9131" s="1">
        <v>31538</v>
      </c>
      <c r="B9131">
        <v>237.24</v>
      </c>
      <c r="C9131">
        <f t="shared" si="304"/>
        <v>-2.0611618222352275E-3</v>
      </c>
      <c r="D9131">
        <f t="shared" si="303"/>
        <v>-0.25056148474056333</v>
      </c>
    </row>
    <row r="9132" spans="1:4">
      <c r="A9132" s="1">
        <v>31539</v>
      </c>
      <c r="B9132">
        <v>236.08</v>
      </c>
      <c r="C9132">
        <f t="shared" si="304"/>
        <v>-4.8895633114145864E-3</v>
      </c>
      <c r="D9132">
        <f t="shared" si="303"/>
        <v>-0.54923972057752446</v>
      </c>
    </row>
    <row r="9133" spans="1:4">
      <c r="A9133" s="1">
        <v>31540</v>
      </c>
      <c r="B9133">
        <v>237.13</v>
      </c>
      <c r="C9133">
        <f t="shared" si="304"/>
        <v>4.4476448661469967E-3</v>
      </c>
      <c r="D9133">
        <f t="shared" si="303"/>
        <v>0.43676628910170867</v>
      </c>
    </row>
    <row r="9134" spans="1:4">
      <c r="A9134" s="1">
        <v>31541</v>
      </c>
      <c r="B9134">
        <v>237.85</v>
      </c>
      <c r="C9134">
        <f t="shared" si="304"/>
        <v>3.0363091974866061E-3</v>
      </c>
      <c r="D9134">
        <f t="shared" si="303"/>
        <v>0.28772972222747445</v>
      </c>
    </row>
    <row r="9135" spans="1:4">
      <c r="A9135" s="1">
        <v>31544</v>
      </c>
      <c r="B9135">
        <v>237.58</v>
      </c>
      <c r="C9135">
        <f t="shared" si="304"/>
        <v>-1.1351692243009536E-3</v>
      </c>
      <c r="D9135">
        <f t="shared" si="303"/>
        <v>-0.15277698115888144</v>
      </c>
    </row>
    <row r="9136" spans="1:4">
      <c r="A9136" s="1">
        <v>31545</v>
      </c>
      <c r="B9136">
        <v>236.41</v>
      </c>
      <c r="C9136">
        <f t="shared" si="304"/>
        <v>-4.9246569576564354E-3</v>
      </c>
      <c r="D9136">
        <f t="shared" si="303"/>
        <v>-0.55294559769175378</v>
      </c>
    </row>
    <row r="9137" spans="1:4">
      <c r="A9137" s="1">
        <v>31546</v>
      </c>
      <c r="B9137">
        <v>237.54</v>
      </c>
      <c r="C9137">
        <f t="shared" si="304"/>
        <v>4.7798316484074085E-3</v>
      </c>
      <c r="D9137">
        <f t="shared" si="303"/>
        <v>0.47184510039263455</v>
      </c>
    </row>
    <row r="9138" spans="1:4">
      <c r="A9138" s="1">
        <v>31547</v>
      </c>
      <c r="B9138">
        <v>234.43</v>
      </c>
      <c r="C9138">
        <f t="shared" si="304"/>
        <v>-1.3092531784120507E-2</v>
      </c>
      <c r="D9138">
        <f t="shared" si="303"/>
        <v>-1.4154704029708081</v>
      </c>
    </row>
    <row r="9139" spans="1:4">
      <c r="A9139" s="1">
        <v>31548</v>
      </c>
      <c r="B9139">
        <v>232.76</v>
      </c>
      <c r="C9139">
        <f t="shared" si="304"/>
        <v>-7.1236616474001447E-3</v>
      </c>
      <c r="D9139">
        <f t="shared" si="303"/>
        <v>-0.78515974545067735</v>
      </c>
    </row>
    <row r="9140" spans="1:4">
      <c r="A9140" s="1">
        <v>31551</v>
      </c>
      <c r="B9140">
        <v>233.2</v>
      </c>
      <c r="C9140">
        <f t="shared" si="304"/>
        <v>1.8903591682419563E-3</v>
      </c>
      <c r="D9140">
        <f t="shared" si="303"/>
        <v>0.16671778866658052</v>
      </c>
    </row>
    <row r="9141" spans="1:4">
      <c r="A9141" s="1">
        <v>31552</v>
      </c>
      <c r="B9141">
        <v>236.11</v>
      </c>
      <c r="C9141">
        <f t="shared" si="304"/>
        <v>1.2478559176672493E-2</v>
      </c>
      <c r="D9141">
        <f t="shared" si="303"/>
        <v>1.284828110452791</v>
      </c>
    </row>
    <row r="9142" spans="1:4">
      <c r="A9142" s="1">
        <v>31553</v>
      </c>
      <c r="B9142">
        <v>235.45</v>
      </c>
      <c r="C9142">
        <f t="shared" si="304"/>
        <v>-2.7953072720343273E-3</v>
      </c>
      <c r="D9142">
        <f t="shared" si="303"/>
        <v>-0.32808699469118496</v>
      </c>
    </row>
    <row r="9143" spans="1:4">
      <c r="A9143" s="1">
        <v>31554</v>
      </c>
      <c r="B9143">
        <v>240.12</v>
      </c>
      <c r="C9143">
        <f t="shared" si="304"/>
        <v>1.9834359736674523E-2</v>
      </c>
      <c r="D9143">
        <f t="shared" si="303"/>
        <v>2.0615981492309086</v>
      </c>
    </row>
    <row r="9144" spans="1:4">
      <c r="A9144" s="1">
        <v>31555</v>
      </c>
      <c r="B9144">
        <v>241.35</v>
      </c>
      <c r="C9144">
        <f t="shared" si="304"/>
        <v>5.1224387806096524E-3</v>
      </c>
      <c r="D9144">
        <f t="shared" si="303"/>
        <v>0.50802429709536889</v>
      </c>
    </row>
    <row r="9145" spans="1:4">
      <c r="A9145" s="1">
        <v>31559</v>
      </c>
      <c r="B9145">
        <v>244.75</v>
      </c>
      <c r="C9145">
        <f t="shared" si="304"/>
        <v>1.4087424901595218E-2</v>
      </c>
      <c r="D9145">
        <f t="shared" si="303"/>
        <v>1.4547237841245992</v>
      </c>
    </row>
    <row r="9146" spans="1:4">
      <c r="A9146" s="1">
        <v>31560</v>
      </c>
      <c r="B9146">
        <v>246.63</v>
      </c>
      <c r="C9146">
        <f t="shared" si="304"/>
        <v>7.6813074565883366E-3</v>
      </c>
      <c r="D9146">
        <f t="shared" si="303"/>
        <v>0.77823995947699354</v>
      </c>
    </row>
    <row r="9147" spans="1:4">
      <c r="A9147" s="1">
        <v>31561</v>
      </c>
      <c r="B9147">
        <v>247.98</v>
      </c>
      <c r="C9147">
        <f t="shared" si="304"/>
        <v>5.4737866439605659E-3</v>
      </c>
      <c r="D9147">
        <f t="shared" si="303"/>
        <v>0.54512651203628382</v>
      </c>
    </row>
    <row r="9148" spans="1:4">
      <c r="A9148" s="1">
        <v>31562</v>
      </c>
      <c r="B9148">
        <v>247.35</v>
      </c>
      <c r="C9148">
        <f t="shared" si="304"/>
        <v>-2.5405274618920701E-3</v>
      </c>
      <c r="D9148">
        <f t="shared" si="303"/>
        <v>-0.30118233334402794</v>
      </c>
    </row>
    <row r="9149" spans="1:4">
      <c r="A9149" s="1">
        <v>31565</v>
      </c>
      <c r="B9149">
        <v>245.04</v>
      </c>
      <c r="C9149">
        <f t="shared" si="304"/>
        <v>-9.3389933292904893E-3</v>
      </c>
      <c r="D9149">
        <f t="shared" si="303"/>
        <v>-1.0190980180304712</v>
      </c>
    </row>
    <row r="9150" spans="1:4">
      <c r="A9150" s="1">
        <v>31566</v>
      </c>
      <c r="B9150">
        <v>245.51</v>
      </c>
      <c r="C9150">
        <f t="shared" si="304"/>
        <v>1.9180541952334266E-3</v>
      </c>
      <c r="D9150">
        <f t="shared" si="303"/>
        <v>0.16964237410288271</v>
      </c>
    </row>
    <row r="9151" spans="1:4">
      <c r="A9151" s="1">
        <v>31567</v>
      </c>
      <c r="B9151">
        <v>243.94</v>
      </c>
      <c r="C9151">
        <f t="shared" si="304"/>
        <v>-6.3948515335423943E-3</v>
      </c>
      <c r="D9151">
        <f t="shared" si="303"/>
        <v>-0.70819764516189343</v>
      </c>
    </row>
    <row r="9152" spans="1:4">
      <c r="A9152" s="1">
        <v>31568</v>
      </c>
      <c r="B9152">
        <v>245.65</v>
      </c>
      <c r="C9152">
        <f t="shared" si="304"/>
        <v>7.0099204722473066E-3</v>
      </c>
      <c r="D9152">
        <f t="shared" si="303"/>
        <v>0.70734172214610513</v>
      </c>
    </row>
    <row r="9153" spans="1:4">
      <c r="A9153" s="1">
        <v>31569</v>
      </c>
      <c r="B9153">
        <v>245.67</v>
      </c>
      <c r="C9153">
        <f t="shared" si="304"/>
        <v>8.1416649704790599E-5</v>
      </c>
      <c r="D9153">
        <f t="shared" si="303"/>
        <v>-2.4305926401506198E-2</v>
      </c>
    </row>
    <row r="9154" spans="1:4">
      <c r="A9154" s="1">
        <v>31572</v>
      </c>
      <c r="B9154">
        <v>239.96</v>
      </c>
      <c r="C9154">
        <f t="shared" si="304"/>
        <v>-2.3242561159278623E-2</v>
      </c>
      <c r="D9154">
        <f t="shared" si="303"/>
        <v>-2.4873100548248859</v>
      </c>
    </row>
    <row r="9155" spans="1:4">
      <c r="A9155" s="1">
        <v>31573</v>
      </c>
      <c r="B9155">
        <v>239.58</v>
      </c>
      <c r="C9155">
        <f t="shared" si="304"/>
        <v>-1.5835972662110161E-3</v>
      </c>
      <c r="D9155">
        <f t="shared" ref="D9155:D9218" si="305">(C9155-avg)/sd</f>
        <v>-0.20013082995648651</v>
      </c>
    </row>
    <row r="9156" spans="1:4">
      <c r="A9156" s="1">
        <v>31574</v>
      </c>
      <c r="B9156">
        <v>241.13</v>
      </c>
      <c r="C9156">
        <f t="shared" ref="C9156:C9219" si="306">(B9156-B9155)/B9155</f>
        <v>6.4696552299857366E-3</v>
      </c>
      <c r="D9156">
        <f t="shared" si="305"/>
        <v>0.65028989620836208</v>
      </c>
    </row>
    <row r="9157" spans="1:4">
      <c r="A9157" s="1">
        <v>31575</v>
      </c>
      <c r="B9157">
        <v>241.49</v>
      </c>
      <c r="C9157">
        <f t="shared" si="306"/>
        <v>1.4929705967735812E-3</v>
      </c>
      <c r="D9157">
        <f t="shared" si="305"/>
        <v>0.1247536905984587</v>
      </c>
    </row>
    <row r="9158" spans="1:4">
      <c r="A9158" s="1">
        <v>31576</v>
      </c>
      <c r="B9158">
        <v>245.73</v>
      </c>
      <c r="C9158">
        <f t="shared" si="306"/>
        <v>1.7557662843181832E-2</v>
      </c>
      <c r="D9158">
        <f t="shared" si="305"/>
        <v>1.8211797311649558</v>
      </c>
    </row>
    <row r="9159" spans="1:4">
      <c r="A9159" s="1">
        <v>31579</v>
      </c>
      <c r="B9159">
        <v>246.13</v>
      </c>
      <c r="C9159">
        <f t="shared" si="306"/>
        <v>1.6278028730720942E-3</v>
      </c>
      <c r="D9159">
        <f t="shared" si="305"/>
        <v>0.1389919331438641</v>
      </c>
    </row>
    <row r="9160" spans="1:4">
      <c r="A9160" s="1">
        <v>31580</v>
      </c>
      <c r="B9160">
        <v>244.35</v>
      </c>
      <c r="C9160">
        <f t="shared" si="306"/>
        <v>-7.2319505952139164E-3</v>
      </c>
      <c r="D9160">
        <f t="shared" si="305"/>
        <v>-0.79659502153060979</v>
      </c>
    </row>
    <row r="9161" spans="1:4">
      <c r="A9161" s="1">
        <v>31581</v>
      </c>
      <c r="B9161">
        <v>244.99</v>
      </c>
      <c r="C9161">
        <f t="shared" si="306"/>
        <v>2.6191937794148345E-3</v>
      </c>
      <c r="D9161">
        <f t="shared" si="305"/>
        <v>0.24368247586351491</v>
      </c>
    </row>
    <row r="9162" spans="1:4">
      <c r="A9162" s="1">
        <v>31582</v>
      </c>
      <c r="B9162">
        <v>244.06</v>
      </c>
      <c r="C9162">
        <f t="shared" si="306"/>
        <v>-3.7960733091146853E-3</v>
      </c>
      <c r="D9162">
        <f t="shared" si="305"/>
        <v>-0.43376754802996642</v>
      </c>
    </row>
    <row r="9163" spans="1:4">
      <c r="A9163" s="1">
        <v>31583</v>
      </c>
      <c r="B9163">
        <v>247.58</v>
      </c>
      <c r="C9163">
        <f t="shared" si="306"/>
        <v>1.4422682946816399E-2</v>
      </c>
      <c r="D9163">
        <f t="shared" si="305"/>
        <v>1.4901269197402094</v>
      </c>
    </row>
    <row r="9164" spans="1:4">
      <c r="A9164" s="1">
        <v>31586</v>
      </c>
      <c r="B9164">
        <v>245.26</v>
      </c>
      <c r="C9164">
        <f t="shared" si="306"/>
        <v>-9.3707084578722889E-3</v>
      </c>
      <c r="D9164">
        <f t="shared" si="305"/>
        <v>-1.0224471248282132</v>
      </c>
    </row>
    <row r="9165" spans="1:4">
      <c r="A9165" s="1">
        <v>31587</v>
      </c>
      <c r="B9165">
        <v>247.03</v>
      </c>
      <c r="C9165">
        <f t="shared" si="306"/>
        <v>7.216831117997269E-3</v>
      </c>
      <c r="D9165">
        <f t="shared" si="305"/>
        <v>0.72919141600495541</v>
      </c>
    </row>
    <row r="9166" spans="1:4">
      <c r="A9166" s="1">
        <v>31588</v>
      </c>
      <c r="B9166">
        <v>248.93</v>
      </c>
      <c r="C9166">
        <f t="shared" si="306"/>
        <v>7.691373517386575E-3</v>
      </c>
      <c r="D9166">
        <f t="shared" si="305"/>
        <v>0.77930293207566714</v>
      </c>
    </row>
    <row r="9167" spans="1:4">
      <c r="A9167" s="1">
        <v>31589</v>
      </c>
      <c r="B9167">
        <v>248.74</v>
      </c>
      <c r="C9167">
        <f t="shared" si="306"/>
        <v>-7.6326678182620704E-4</v>
      </c>
      <c r="D9167">
        <f t="shared" si="305"/>
        <v>-0.11350420964933064</v>
      </c>
    </row>
    <row r="9168" spans="1:4">
      <c r="A9168" s="1">
        <v>31590</v>
      </c>
      <c r="B9168">
        <v>249.6</v>
      </c>
      <c r="C9168">
        <f t="shared" si="306"/>
        <v>3.4574254241375941E-3</v>
      </c>
      <c r="D9168">
        <f t="shared" si="305"/>
        <v>0.33219945261745831</v>
      </c>
    </row>
    <row r="9169" spans="1:4">
      <c r="A9169" s="1">
        <v>31593</v>
      </c>
      <c r="B9169">
        <v>250.84</v>
      </c>
      <c r="C9169">
        <f t="shared" si="306"/>
        <v>4.9679487179487541E-3</v>
      </c>
      <c r="D9169">
        <f t="shared" si="305"/>
        <v>0.49171019899210183</v>
      </c>
    </row>
    <row r="9170" spans="1:4">
      <c r="A9170" s="1">
        <v>31594</v>
      </c>
      <c r="B9170">
        <v>252.04</v>
      </c>
      <c r="C9170">
        <f t="shared" si="306"/>
        <v>4.7839260086110216E-3</v>
      </c>
      <c r="D9170">
        <f t="shared" si="305"/>
        <v>0.47227746343839544</v>
      </c>
    </row>
    <row r="9171" spans="1:4">
      <c r="A9171" s="1">
        <v>31595</v>
      </c>
      <c r="B9171">
        <v>252.7</v>
      </c>
      <c r="C9171">
        <f t="shared" si="306"/>
        <v>2.618631963180434E-3</v>
      </c>
      <c r="D9171">
        <f t="shared" si="305"/>
        <v>0.24362314826013284</v>
      </c>
    </row>
    <row r="9172" spans="1:4">
      <c r="A9172" s="1">
        <v>31596</v>
      </c>
      <c r="B9172">
        <v>251.79</v>
      </c>
      <c r="C9172">
        <f t="shared" si="306"/>
        <v>-3.6011080332409838E-3</v>
      </c>
      <c r="D9172">
        <f t="shared" si="305"/>
        <v>-0.41317928116962077</v>
      </c>
    </row>
    <row r="9173" spans="1:4">
      <c r="A9173" s="1">
        <v>31600</v>
      </c>
      <c r="B9173">
        <v>244.05</v>
      </c>
      <c r="C9173">
        <f t="shared" si="306"/>
        <v>-3.073990229953525E-2</v>
      </c>
      <c r="D9173">
        <f t="shared" si="305"/>
        <v>-3.2790267307659082</v>
      </c>
    </row>
    <row r="9174" spans="1:4">
      <c r="A9174" s="1">
        <v>31601</v>
      </c>
      <c r="B9174">
        <v>241.59</v>
      </c>
      <c r="C9174">
        <f t="shared" si="306"/>
        <v>-1.0079901659496036E-2</v>
      </c>
      <c r="D9174">
        <f t="shared" si="305"/>
        <v>-1.0973376858531989</v>
      </c>
    </row>
    <row r="9175" spans="1:4">
      <c r="A9175" s="1">
        <v>31602</v>
      </c>
      <c r="B9175">
        <v>242.82</v>
      </c>
      <c r="C9175">
        <f t="shared" si="306"/>
        <v>5.0912703340369623E-3</v>
      </c>
      <c r="D9175">
        <f t="shared" si="305"/>
        <v>0.50473291973196255</v>
      </c>
    </row>
    <row r="9176" spans="1:4">
      <c r="A9176" s="1">
        <v>31603</v>
      </c>
      <c r="B9176">
        <v>243.01</v>
      </c>
      <c r="C9176">
        <f t="shared" si="306"/>
        <v>7.8247261345851964E-4</v>
      </c>
      <c r="D9176">
        <f t="shared" si="305"/>
        <v>4.9725345070387082E-2</v>
      </c>
    </row>
    <row r="9177" spans="1:4">
      <c r="A9177" s="1">
        <v>31604</v>
      </c>
      <c r="B9177">
        <v>242.22</v>
      </c>
      <c r="C9177">
        <f t="shared" si="306"/>
        <v>-3.2508950248960624E-3</v>
      </c>
      <c r="D9177">
        <f t="shared" si="305"/>
        <v>-0.37619690653158261</v>
      </c>
    </row>
    <row r="9178" spans="1:4">
      <c r="A9178" s="1">
        <v>31607</v>
      </c>
      <c r="B9178">
        <v>238.11</v>
      </c>
      <c r="C9178">
        <f t="shared" si="306"/>
        <v>-1.6968045578399742E-2</v>
      </c>
      <c r="D9178">
        <f t="shared" si="305"/>
        <v>-1.82472334229555</v>
      </c>
    </row>
    <row r="9179" spans="1:4">
      <c r="A9179" s="1">
        <v>31608</v>
      </c>
      <c r="B9179">
        <v>233.66</v>
      </c>
      <c r="C9179">
        <f t="shared" si="306"/>
        <v>-1.8688841291839977E-2</v>
      </c>
      <c r="D9179">
        <f t="shared" si="305"/>
        <v>-2.0064387847079557</v>
      </c>
    </row>
    <row r="9180" spans="1:4">
      <c r="A9180" s="1">
        <v>31609</v>
      </c>
      <c r="B9180">
        <v>235.01</v>
      </c>
      <c r="C9180">
        <f t="shared" si="306"/>
        <v>5.777625609860457E-3</v>
      </c>
      <c r="D9180">
        <f t="shared" si="305"/>
        <v>0.57721180355542978</v>
      </c>
    </row>
    <row r="9181" spans="1:4">
      <c r="A9181" s="1">
        <v>31610</v>
      </c>
      <c r="B9181">
        <v>236.07</v>
      </c>
      <c r="C9181">
        <f t="shared" si="306"/>
        <v>4.5104463639845209E-3</v>
      </c>
      <c r="D9181">
        <f t="shared" si="305"/>
        <v>0.44339810592608492</v>
      </c>
    </row>
    <row r="9182" spans="1:4">
      <c r="A9182" s="1">
        <v>31611</v>
      </c>
      <c r="B9182">
        <v>236.36</v>
      </c>
      <c r="C9182">
        <f t="shared" si="306"/>
        <v>1.228449188800019E-3</v>
      </c>
      <c r="D9182">
        <f t="shared" si="305"/>
        <v>9.6820319831645851E-2</v>
      </c>
    </row>
    <row r="9183" spans="1:4">
      <c r="A9183" s="1">
        <v>31614</v>
      </c>
      <c r="B9183">
        <v>236.24</v>
      </c>
      <c r="C9183">
        <f t="shared" si="306"/>
        <v>-5.077001184633802E-4</v>
      </c>
      <c r="D9183">
        <f t="shared" si="305"/>
        <v>-8.6516456869545857E-2</v>
      </c>
    </row>
    <row r="9184" spans="1:4">
      <c r="A9184" s="1">
        <v>31615</v>
      </c>
      <c r="B9184">
        <v>238.18</v>
      </c>
      <c r="C9184">
        <f t="shared" si="306"/>
        <v>8.2119878090077779E-3</v>
      </c>
      <c r="D9184">
        <f t="shared" si="305"/>
        <v>0.8342796243054702</v>
      </c>
    </row>
    <row r="9185" spans="1:4">
      <c r="A9185" s="1">
        <v>31616</v>
      </c>
      <c r="B9185">
        <v>238.67</v>
      </c>
      <c r="C9185">
        <f t="shared" si="306"/>
        <v>2.0572676127297868E-3</v>
      </c>
      <c r="D9185">
        <f t="shared" si="305"/>
        <v>0.18434326366955853</v>
      </c>
    </row>
    <row r="9186" spans="1:4">
      <c r="A9186" s="1">
        <v>31617</v>
      </c>
      <c r="B9186">
        <v>237.95</v>
      </c>
      <c r="C9186">
        <f t="shared" si="306"/>
        <v>-3.016717643608325E-3</v>
      </c>
      <c r="D9186">
        <f t="shared" si="305"/>
        <v>-0.35146785466835706</v>
      </c>
    </row>
    <row r="9187" spans="1:4">
      <c r="A9187" s="1">
        <v>31618</v>
      </c>
      <c r="B9187">
        <v>240.22</v>
      </c>
      <c r="C9187">
        <f t="shared" si="306"/>
        <v>9.5398192897668006E-3</v>
      </c>
      <c r="D9187">
        <f t="shared" si="305"/>
        <v>0.97449817732177269</v>
      </c>
    </row>
    <row r="9188" spans="1:4">
      <c r="A9188" s="1">
        <v>31621</v>
      </c>
      <c r="B9188">
        <v>236.01</v>
      </c>
      <c r="C9188">
        <f t="shared" si="306"/>
        <v>-1.75256015319291E-2</v>
      </c>
      <c r="D9188">
        <f t="shared" si="305"/>
        <v>-1.883601061465773</v>
      </c>
    </row>
    <row r="9189" spans="1:4">
      <c r="A9189" s="1">
        <v>31622</v>
      </c>
      <c r="B9189">
        <v>234.55</v>
      </c>
      <c r="C9189">
        <f t="shared" si="306"/>
        <v>-6.1861785517561951E-3</v>
      </c>
      <c r="D9189">
        <f t="shared" si="305"/>
        <v>-0.68616184921666368</v>
      </c>
    </row>
    <row r="9190" spans="1:4">
      <c r="A9190" s="1">
        <v>31623</v>
      </c>
      <c r="B9190">
        <v>236.59</v>
      </c>
      <c r="C9190">
        <f t="shared" si="306"/>
        <v>8.6975058622894563E-3</v>
      </c>
      <c r="D9190">
        <f t="shared" si="305"/>
        <v>0.88555016569641054</v>
      </c>
    </row>
    <row r="9191" spans="1:4">
      <c r="A9191" s="1">
        <v>31624</v>
      </c>
      <c r="B9191">
        <v>236.12</v>
      </c>
      <c r="C9191">
        <f t="shared" si="306"/>
        <v>-1.9865590261634002E-3</v>
      </c>
      <c r="D9191">
        <f t="shared" si="305"/>
        <v>-0.24268345483410086</v>
      </c>
    </row>
    <row r="9192" spans="1:4">
      <c r="A9192" s="1">
        <v>31625</v>
      </c>
      <c r="B9192">
        <v>234.91</v>
      </c>
      <c r="C9192">
        <f t="shared" si="306"/>
        <v>-5.1245129595121463E-3</v>
      </c>
      <c r="D9192">
        <f t="shared" si="305"/>
        <v>-0.57405032355336105</v>
      </c>
    </row>
    <row r="9193" spans="1:4">
      <c r="A9193" s="1">
        <v>31628</v>
      </c>
      <c r="B9193">
        <v>235.99</v>
      </c>
      <c r="C9193">
        <f t="shared" si="306"/>
        <v>4.5975054276106275E-3</v>
      </c>
      <c r="D9193">
        <f t="shared" si="305"/>
        <v>0.45259151345218818</v>
      </c>
    </row>
    <row r="9194" spans="1:4">
      <c r="A9194" s="1">
        <v>31629</v>
      </c>
      <c r="B9194">
        <v>237.03</v>
      </c>
      <c r="C9194">
        <f t="shared" si="306"/>
        <v>4.4069663968811902E-3</v>
      </c>
      <c r="D9194">
        <f t="shared" si="305"/>
        <v>0.43247065657452305</v>
      </c>
    </row>
    <row r="9195" spans="1:4">
      <c r="A9195" s="1">
        <v>31630</v>
      </c>
      <c r="B9195">
        <v>236.84</v>
      </c>
      <c r="C9195">
        <f t="shared" si="306"/>
        <v>-8.015862970931853E-4</v>
      </c>
      <c r="D9195">
        <f t="shared" si="305"/>
        <v>-0.11755073743608742</v>
      </c>
    </row>
    <row r="9196" spans="1:4">
      <c r="A9196" s="1">
        <v>31631</v>
      </c>
      <c r="B9196">
        <v>237.04</v>
      </c>
      <c r="C9196">
        <f t="shared" si="306"/>
        <v>8.4445195068395807E-4</v>
      </c>
      <c r="D9196">
        <f t="shared" si="305"/>
        <v>5.6270342013593024E-2</v>
      </c>
    </row>
    <row r="9197" spans="1:4">
      <c r="A9197" s="1">
        <v>31632</v>
      </c>
      <c r="B9197">
        <v>236.88</v>
      </c>
      <c r="C9197">
        <f t="shared" si="306"/>
        <v>-6.7499156260545311E-4</v>
      </c>
      <c r="D9197">
        <f t="shared" si="305"/>
        <v>-0.10418237650582396</v>
      </c>
    </row>
    <row r="9198" spans="1:4">
      <c r="A9198" s="1">
        <v>31635</v>
      </c>
      <c r="B9198">
        <v>240.68</v>
      </c>
      <c r="C9198">
        <f t="shared" si="306"/>
        <v>1.6041877744005451E-2</v>
      </c>
      <c r="D9198">
        <f t="shared" si="305"/>
        <v>1.6611133399323192</v>
      </c>
    </row>
    <row r="9199" spans="1:4">
      <c r="A9199" s="1">
        <v>31636</v>
      </c>
      <c r="B9199">
        <v>243.34</v>
      </c>
      <c r="C9199">
        <f t="shared" si="306"/>
        <v>1.1052019278710306E-2</v>
      </c>
      <c r="D9199">
        <f t="shared" si="305"/>
        <v>1.1341859821324556</v>
      </c>
    </row>
    <row r="9200" spans="1:4">
      <c r="A9200" s="1">
        <v>31637</v>
      </c>
      <c r="B9200">
        <v>245.67</v>
      </c>
      <c r="C9200">
        <f t="shared" si="306"/>
        <v>9.5750801347907616E-3</v>
      </c>
      <c r="D9200">
        <f t="shared" si="305"/>
        <v>0.9782217105705594</v>
      </c>
    </row>
    <row r="9201" spans="1:4">
      <c r="A9201" s="1">
        <v>31638</v>
      </c>
      <c r="B9201">
        <v>246.25</v>
      </c>
      <c r="C9201">
        <f t="shared" si="306"/>
        <v>2.3608906256360669E-3</v>
      </c>
      <c r="D9201">
        <f t="shared" si="305"/>
        <v>0.21640575062598508</v>
      </c>
    </row>
    <row r="9202" spans="1:4">
      <c r="A9202" s="1">
        <v>31639</v>
      </c>
      <c r="B9202">
        <v>247.15</v>
      </c>
      <c r="C9202">
        <f t="shared" si="306"/>
        <v>3.654822335025404E-3</v>
      </c>
      <c r="D9202">
        <f t="shared" si="305"/>
        <v>0.35304449930874088</v>
      </c>
    </row>
    <row r="9203" spans="1:4">
      <c r="A9203" s="1">
        <v>31642</v>
      </c>
      <c r="B9203">
        <v>247.38</v>
      </c>
      <c r="C9203">
        <f t="shared" si="306"/>
        <v>9.3060894193805282E-4</v>
      </c>
      <c r="D9203">
        <f t="shared" si="305"/>
        <v>6.5368491003841164E-2</v>
      </c>
    </row>
    <row r="9204" spans="1:4">
      <c r="A9204" s="1">
        <v>31643</v>
      </c>
      <c r="B9204">
        <v>246.51</v>
      </c>
      <c r="C9204">
        <f t="shared" si="306"/>
        <v>-3.5168566577734842E-3</v>
      </c>
      <c r="D9204">
        <f t="shared" si="305"/>
        <v>-0.40428236455868682</v>
      </c>
    </row>
    <row r="9205" spans="1:4">
      <c r="A9205" s="1">
        <v>31644</v>
      </c>
      <c r="B9205">
        <v>249.77</v>
      </c>
      <c r="C9205">
        <f t="shared" si="306"/>
        <v>1.3224615634254267E-2</v>
      </c>
      <c r="D9205">
        <f t="shared" si="305"/>
        <v>1.3636114187765147</v>
      </c>
    </row>
    <row r="9206" spans="1:4">
      <c r="A9206" s="1">
        <v>31645</v>
      </c>
      <c r="B9206">
        <v>249.67</v>
      </c>
      <c r="C9206">
        <f t="shared" si="306"/>
        <v>-4.0036833887185306E-4</v>
      </c>
      <c r="D9206">
        <f t="shared" si="305"/>
        <v>-7.5182257428525134E-2</v>
      </c>
    </row>
    <row r="9207" spans="1:4">
      <c r="A9207" s="1">
        <v>31646</v>
      </c>
      <c r="B9207">
        <v>250.19</v>
      </c>
      <c r="C9207">
        <f t="shared" si="306"/>
        <v>2.0827492289822976E-3</v>
      </c>
      <c r="D9207">
        <f t="shared" si="305"/>
        <v>0.18703411368420145</v>
      </c>
    </row>
    <row r="9208" spans="1:4">
      <c r="A9208" s="1">
        <v>31649</v>
      </c>
      <c r="B9208">
        <v>247.81</v>
      </c>
      <c r="C9208">
        <f t="shared" si="306"/>
        <v>-9.5127702945761033E-3</v>
      </c>
      <c r="D9208">
        <f t="shared" si="305"/>
        <v>-1.0374488064949716</v>
      </c>
    </row>
    <row r="9209" spans="1:4">
      <c r="A9209" s="1">
        <v>31650</v>
      </c>
      <c r="B9209">
        <v>252.84</v>
      </c>
      <c r="C9209">
        <f t="shared" si="306"/>
        <v>2.0297808805132968E-2</v>
      </c>
      <c r="D9209">
        <f t="shared" si="305"/>
        <v>2.1105382133261279</v>
      </c>
    </row>
    <row r="9210" spans="1:4">
      <c r="A9210" s="1">
        <v>31651</v>
      </c>
      <c r="B9210">
        <v>253.3</v>
      </c>
      <c r="C9210">
        <f t="shared" si="306"/>
        <v>1.8193323841164688E-3</v>
      </c>
      <c r="D9210">
        <f t="shared" si="305"/>
        <v>0.15921738440610603</v>
      </c>
    </row>
    <row r="9211" spans="1:4">
      <c r="A9211" s="1">
        <v>31652</v>
      </c>
      <c r="B9211">
        <v>252.84</v>
      </c>
      <c r="C9211">
        <f t="shared" si="306"/>
        <v>-1.8160284247927673E-3</v>
      </c>
      <c r="D9211">
        <f t="shared" si="305"/>
        <v>-0.22467548129552986</v>
      </c>
    </row>
    <row r="9212" spans="1:4">
      <c r="A9212" s="1">
        <v>31653</v>
      </c>
      <c r="B9212">
        <v>252.93</v>
      </c>
      <c r="C9212">
        <f t="shared" si="306"/>
        <v>3.559563360227947E-4</v>
      </c>
      <c r="D9212">
        <f t="shared" si="305"/>
        <v>4.6853711531014437E-3</v>
      </c>
    </row>
    <row r="9213" spans="1:4">
      <c r="A9213" s="1">
        <v>31657</v>
      </c>
      <c r="B9213">
        <v>248.52</v>
      </c>
      <c r="C9213">
        <f t="shared" si="306"/>
        <v>-1.7435654133554725E-2</v>
      </c>
      <c r="D9213">
        <f t="shared" si="305"/>
        <v>-1.8741026467720454</v>
      </c>
    </row>
    <row r="9214" spans="1:4">
      <c r="A9214" s="1">
        <v>31658</v>
      </c>
      <c r="B9214">
        <v>250.08</v>
      </c>
      <c r="C9214">
        <f t="shared" si="306"/>
        <v>6.2771607918879861E-3</v>
      </c>
      <c r="D9214">
        <f t="shared" si="305"/>
        <v>0.62996254897727832</v>
      </c>
    </row>
    <row r="9215" spans="1:4">
      <c r="A9215" s="1">
        <v>31659</v>
      </c>
      <c r="B9215">
        <v>253.83</v>
      </c>
      <c r="C9215">
        <f t="shared" si="306"/>
        <v>1.4995201535508637E-2</v>
      </c>
      <c r="D9215">
        <f t="shared" si="305"/>
        <v>1.5505846880975858</v>
      </c>
    </row>
    <row r="9216" spans="1:4">
      <c r="A9216" s="1">
        <v>31660</v>
      </c>
      <c r="B9216">
        <v>250.47</v>
      </c>
      <c r="C9216">
        <f t="shared" si="306"/>
        <v>-1.323720600401849E-2</v>
      </c>
      <c r="D9216">
        <f t="shared" si="305"/>
        <v>-1.4307479514148782</v>
      </c>
    </row>
    <row r="9217" spans="1:4">
      <c r="A9217" s="1">
        <v>31663</v>
      </c>
      <c r="B9217">
        <v>248.14</v>
      </c>
      <c r="C9217">
        <f t="shared" si="306"/>
        <v>-9.3025112787959146E-3</v>
      </c>
      <c r="D9217">
        <f t="shared" si="305"/>
        <v>-1.0152455258990956</v>
      </c>
    </row>
    <row r="9218" spans="1:4">
      <c r="A9218" s="1">
        <v>31664</v>
      </c>
      <c r="B9218">
        <v>247.67</v>
      </c>
      <c r="C9218">
        <f t="shared" si="306"/>
        <v>-1.8940920448134073E-3</v>
      </c>
      <c r="D9218">
        <f t="shared" si="305"/>
        <v>-0.23291897303459574</v>
      </c>
    </row>
    <row r="9219" spans="1:4">
      <c r="A9219" s="1">
        <v>31665</v>
      </c>
      <c r="B9219">
        <v>247.06</v>
      </c>
      <c r="C9219">
        <f t="shared" si="306"/>
        <v>-2.4629547381595884E-3</v>
      </c>
      <c r="D9219">
        <f t="shared" ref="D9219:D9282" si="307">(C9219-avg)/sd</f>
        <v>-0.29299068008612783</v>
      </c>
    </row>
    <row r="9220" spans="1:4">
      <c r="A9220" s="1">
        <v>31666</v>
      </c>
      <c r="B9220">
        <v>235.18</v>
      </c>
      <c r="C9220">
        <f t="shared" ref="C9220:C9283" si="308">(B9220-B9219)/B9219</f>
        <v>-4.8085485307212801E-2</v>
      </c>
      <c r="D9220">
        <f t="shared" si="307"/>
        <v>-5.1107144003265184</v>
      </c>
    </row>
    <row r="9221" spans="1:4">
      <c r="A9221" s="1">
        <v>31667</v>
      </c>
      <c r="B9221">
        <v>230.67</v>
      </c>
      <c r="C9221">
        <f t="shared" si="308"/>
        <v>-1.9176800748363039E-2</v>
      </c>
      <c r="D9221">
        <f t="shared" si="307"/>
        <v>-2.0579671374513127</v>
      </c>
    </row>
    <row r="9222" spans="1:4">
      <c r="A9222" s="1">
        <v>31670</v>
      </c>
      <c r="B9222">
        <v>231.94</v>
      </c>
      <c r="C9222">
        <f t="shared" si="308"/>
        <v>5.5057007846707863E-3</v>
      </c>
      <c r="D9222">
        <f t="shared" si="307"/>
        <v>0.54849663444713959</v>
      </c>
    </row>
    <row r="9223" spans="1:4">
      <c r="A9223" s="1">
        <v>31671</v>
      </c>
      <c r="B9223">
        <v>231.72</v>
      </c>
      <c r="C9223">
        <f t="shared" si="308"/>
        <v>-9.4852116926790917E-4</v>
      </c>
      <c r="D9223">
        <f t="shared" si="307"/>
        <v>-0.13306700999214849</v>
      </c>
    </row>
    <row r="9224" spans="1:4">
      <c r="A9224" s="1">
        <v>31672</v>
      </c>
      <c r="B9224">
        <v>231.68</v>
      </c>
      <c r="C9224">
        <f t="shared" si="308"/>
        <v>-1.7262213015705179E-4</v>
      </c>
      <c r="D9224">
        <f t="shared" si="307"/>
        <v>-5.1132335202939853E-2</v>
      </c>
    </row>
    <row r="9225" spans="1:4">
      <c r="A9225" s="1">
        <v>31673</v>
      </c>
      <c r="B9225">
        <v>232.31</v>
      </c>
      <c r="C9225">
        <f t="shared" si="308"/>
        <v>2.7192679558010855E-3</v>
      </c>
      <c r="D9225">
        <f t="shared" si="307"/>
        <v>0.25425027487303764</v>
      </c>
    </row>
    <row r="9226" spans="1:4">
      <c r="A9226" s="1">
        <v>31674</v>
      </c>
      <c r="B9226">
        <v>232.21</v>
      </c>
      <c r="C9226">
        <f t="shared" si="308"/>
        <v>-4.3045930007315361E-4</v>
      </c>
      <c r="D9226">
        <f t="shared" si="307"/>
        <v>-7.8359852702967789E-2</v>
      </c>
    </row>
    <row r="9227" spans="1:4">
      <c r="A9227" s="1">
        <v>31677</v>
      </c>
      <c r="B9227">
        <v>234.93</v>
      </c>
      <c r="C9227">
        <f t="shared" si="308"/>
        <v>1.1713535162137715E-2</v>
      </c>
      <c r="D9227">
        <f t="shared" si="307"/>
        <v>1.2040418345622159</v>
      </c>
    </row>
    <row r="9228" spans="1:4">
      <c r="A9228" s="1">
        <v>31678</v>
      </c>
      <c r="B9228">
        <v>235.67</v>
      </c>
      <c r="C9228">
        <f t="shared" si="308"/>
        <v>3.1498744306813972E-3</v>
      </c>
      <c r="D9228">
        <f t="shared" si="307"/>
        <v>0.29972217225014602</v>
      </c>
    </row>
    <row r="9229" spans="1:4">
      <c r="A9229" s="1">
        <v>31679</v>
      </c>
      <c r="B9229">
        <v>236.28</v>
      </c>
      <c r="C9229">
        <f t="shared" si="308"/>
        <v>2.5883650867739366E-3</v>
      </c>
      <c r="D9229">
        <f t="shared" si="307"/>
        <v>0.24042697639981786</v>
      </c>
    </row>
    <row r="9230" spans="1:4">
      <c r="A9230" s="1">
        <v>31680</v>
      </c>
      <c r="B9230">
        <v>231.83</v>
      </c>
      <c r="C9230">
        <f t="shared" si="308"/>
        <v>-1.8833587269341413E-2</v>
      </c>
      <c r="D9230">
        <f t="shared" si="307"/>
        <v>-2.0217239107305591</v>
      </c>
    </row>
    <row r="9231" spans="1:4">
      <c r="A9231" s="1">
        <v>31681</v>
      </c>
      <c r="B9231">
        <v>232.23</v>
      </c>
      <c r="C9231">
        <f t="shared" si="308"/>
        <v>1.7254022343957953E-3</v>
      </c>
      <c r="D9231">
        <f t="shared" si="307"/>
        <v>0.14929839252401211</v>
      </c>
    </row>
    <row r="9232" spans="1:4">
      <c r="A9232" s="1">
        <v>31684</v>
      </c>
      <c r="B9232">
        <v>229.91</v>
      </c>
      <c r="C9232">
        <f t="shared" si="308"/>
        <v>-9.9900960254919405E-3</v>
      </c>
      <c r="D9232">
        <f t="shared" si="307"/>
        <v>-1.0878542414287846</v>
      </c>
    </row>
    <row r="9233" spans="1:4">
      <c r="A9233" s="1">
        <v>31685</v>
      </c>
      <c r="B9233">
        <v>231.32</v>
      </c>
      <c r="C9233">
        <f t="shared" si="308"/>
        <v>6.1328345874472473E-3</v>
      </c>
      <c r="D9233">
        <f t="shared" si="307"/>
        <v>0.61472175084719682</v>
      </c>
    </row>
    <row r="9234" spans="1:4">
      <c r="A9234" s="1">
        <v>31686</v>
      </c>
      <c r="B9234">
        <v>233.6</v>
      </c>
      <c r="C9234">
        <f t="shared" si="308"/>
        <v>9.8564758775721989E-3</v>
      </c>
      <c r="D9234">
        <f t="shared" si="307"/>
        <v>1.0079370053572188</v>
      </c>
    </row>
    <row r="9235" spans="1:4">
      <c r="A9235" s="1">
        <v>31687</v>
      </c>
      <c r="B9235">
        <v>233.92</v>
      </c>
      <c r="C9235">
        <f t="shared" si="308"/>
        <v>1.3698630136986009E-3</v>
      </c>
      <c r="D9235">
        <f t="shared" si="307"/>
        <v>0.11175357167204146</v>
      </c>
    </row>
    <row r="9236" spans="1:4">
      <c r="A9236" s="1">
        <v>31688</v>
      </c>
      <c r="B9236">
        <v>233.71</v>
      </c>
      <c r="C9236">
        <f t="shared" si="308"/>
        <v>-8.9774281805736814E-4</v>
      </c>
      <c r="D9236">
        <f t="shared" si="307"/>
        <v>-0.12770483336471555</v>
      </c>
    </row>
    <row r="9237" spans="1:4">
      <c r="A9237" s="1">
        <v>31691</v>
      </c>
      <c r="B9237">
        <v>234.78</v>
      </c>
      <c r="C9237">
        <f t="shared" si="308"/>
        <v>4.578323563390497E-3</v>
      </c>
      <c r="D9237">
        <f t="shared" si="307"/>
        <v>0.45056591511077487</v>
      </c>
    </row>
    <row r="9238" spans="1:4">
      <c r="A9238" s="1">
        <v>31692</v>
      </c>
      <c r="B9238">
        <v>234.41</v>
      </c>
      <c r="C9238">
        <f t="shared" si="308"/>
        <v>-1.575943436408572E-3</v>
      </c>
      <c r="D9238">
        <f t="shared" si="307"/>
        <v>-0.19932258813101156</v>
      </c>
    </row>
    <row r="9239" spans="1:4">
      <c r="A9239" s="1">
        <v>31693</v>
      </c>
      <c r="B9239">
        <v>236.68</v>
      </c>
      <c r="C9239">
        <f t="shared" si="308"/>
        <v>9.6838872061772545E-3</v>
      </c>
      <c r="D9239">
        <f t="shared" si="307"/>
        <v>0.98971170032365241</v>
      </c>
    </row>
    <row r="9240" spans="1:4">
      <c r="A9240" s="1">
        <v>31694</v>
      </c>
      <c r="B9240">
        <v>235.85</v>
      </c>
      <c r="C9240">
        <f t="shared" si="308"/>
        <v>-3.5068446848065425E-3</v>
      </c>
      <c r="D9240">
        <f t="shared" si="307"/>
        <v>-0.40322510361661273</v>
      </c>
    </row>
    <row r="9241" spans="1:4">
      <c r="A9241" s="1">
        <v>31695</v>
      </c>
      <c r="B9241">
        <v>235.48</v>
      </c>
      <c r="C9241">
        <f t="shared" si="308"/>
        <v>-1.56879372482512E-3</v>
      </c>
      <c r="D9241">
        <f t="shared" si="307"/>
        <v>-0.19856758101810409</v>
      </c>
    </row>
    <row r="9242" spans="1:4">
      <c r="A9242" s="1">
        <v>31698</v>
      </c>
      <c r="B9242">
        <v>235.91</v>
      </c>
      <c r="C9242">
        <f t="shared" si="308"/>
        <v>1.8260574146424615E-3</v>
      </c>
      <c r="D9242">
        <f t="shared" si="307"/>
        <v>0.1599275453437019</v>
      </c>
    </row>
    <row r="9243" spans="1:4">
      <c r="A9243" s="1">
        <v>31699</v>
      </c>
      <c r="B9243">
        <v>235.37</v>
      </c>
      <c r="C9243">
        <f t="shared" si="308"/>
        <v>-2.289008520198347E-3</v>
      </c>
      <c r="D9243">
        <f t="shared" si="307"/>
        <v>-0.27462201859661306</v>
      </c>
    </row>
    <row r="9244" spans="1:4">
      <c r="A9244" s="1">
        <v>31700</v>
      </c>
      <c r="B9244">
        <v>238.8</v>
      </c>
      <c r="C9244">
        <f t="shared" si="308"/>
        <v>1.4572800271912337E-2</v>
      </c>
      <c r="D9244">
        <f t="shared" si="307"/>
        <v>1.5059792582429823</v>
      </c>
    </row>
    <row r="9245" spans="1:4">
      <c r="A9245" s="1">
        <v>31701</v>
      </c>
      <c r="B9245">
        <v>239.53</v>
      </c>
      <c r="C9245">
        <f t="shared" si="308"/>
        <v>3.0569514237855518E-3</v>
      </c>
      <c r="D9245">
        <f t="shared" si="307"/>
        <v>0.28990953430800948</v>
      </c>
    </row>
    <row r="9246" spans="1:4">
      <c r="A9246" s="1">
        <v>31702</v>
      </c>
      <c r="B9246">
        <v>238.84</v>
      </c>
      <c r="C9246">
        <f t="shared" si="308"/>
        <v>-2.8806412557925844E-3</v>
      </c>
      <c r="D9246">
        <f t="shared" si="307"/>
        <v>-0.33709823436962649</v>
      </c>
    </row>
    <row r="9247" spans="1:4">
      <c r="A9247" s="1">
        <v>31705</v>
      </c>
      <c r="B9247">
        <v>235.97</v>
      </c>
      <c r="C9247">
        <f t="shared" si="308"/>
        <v>-1.2016412661195798E-2</v>
      </c>
      <c r="D9247">
        <f t="shared" si="307"/>
        <v>-1.3018325893806215</v>
      </c>
    </row>
    <row r="9248" spans="1:4">
      <c r="A9248" s="1">
        <v>31706</v>
      </c>
      <c r="B9248">
        <v>235.88</v>
      </c>
      <c r="C9248">
        <f t="shared" si="308"/>
        <v>-3.8140441581558423E-4</v>
      </c>
      <c r="D9248">
        <f t="shared" si="307"/>
        <v>-7.3179673599933798E-2</v>
      </c>
    </row>
    <row r="9249" spans="1:4">
      <c r="A9249" s="1">
        <v>31707</v>
      </c>
      <c r="B9249">
        <v>236.26</v>
      </c>
      <c r="C9249">
        <f t="shared" si="308"/>
        <v>1.610988638290637E-3</v>
      </c>
      <c r="D9249">
        <f t="shared" si="307"/>
        <v>0.13721635566637833</v>
      </c>
    </row>
    <row r="9250" spans="1:4">
      <c r="A9250" s="1">
        <v>31708</v>
      </c>
      <c r="B9250">
        <v>239.28</v>
      </c>
      <c r="C9250">
        <f t="shared" si="308"/>
        <v>1.2782527723694278E-2</v>
      </c>
      <c r="D9250">
        <f t="shared" si="307"/>
        <v>1.316927085694362</v>
      </c>
    </row>
    <row r="9251" spans="1:4">
      <c r="A9251" s="1">
        <v>31709</v>
      </c>
      <c r="B9251">
        <v>238.26</v>
      </c>
      <c r="C9251">
        <f t="shared" si="308"/>
        <v>-4.262788365095329E-3</v>
      </c>
      <c r="D9251">
        <f t="shared" si="307"/>
        <v>-0.48305249929736677</v>
      </c>
    </row>
    <row r="9252" spans="1:4">
      <c r="A9252" s="1">
        <v>31712</v>
      </c>
      <c r="B9252">
        <v>238.77</v>
      </c>
      <c r="C9252">
        <f t="shared" si="308"/>
        <v>2.1405187610174571E-3</v>
      </c>
      <c r="D9252">
        <f t="shared" si="307"/>
        <v>0.19313455663029624</v>
      </c>
    </row>
    <row r="9253" spans="1:4">
      <c r="A9253" s="1">
        <v>31713</v>
      </c>
      <c r="B9253">
        <v>239.26</v>
      </c>
      <c r="C9253">
        <f t="shared" si="308"/>
        <v>2.0521841102315226E-3</v>
      </c>
      <c r="D9253">
        <f t="shared" si="307"/>
        <v>0.18380644753370828</v>
      </c>
    </row>
    <row r="9254" spans="1:4">
      <c r="A9254" s="1">
        <v>31714</v>
      </c>
      <c r="B9254">
        <v>240.94</v>
      </c>
      <c r="C9254">
        <f t="shared" si="308"/>
        <v>7.0216500877706553E-3</v>
      </c>
      <c r="D9254">
        <f t="shared" si="307"/>
        <v>0.70858036555828074</v>
      </c>
    </row>
    <row r="9255" spans="1:4">
      <c r="A9255" s="1">
        <v>31715</v>
      </c>
      <c r="B9255">
        <v>243.71</v>
      </c>
      <c r="C9255">
        <f t="shared" si="308"/>
        <v>1.1496638167178594E-2</v>
      </c>
      <c r="D9255">
        <f t="shared" si="307"/>
        <v>1.1811375856214035</v>
      </c>
    </row>
    <row r="9256" spans="1:4">
      <c r="A9256" s="1">
        <v>31716</v>
      </c>
      <c r="B9256">
        <v>243.98</v>
      </c>
      <c r="C9256">
        <f t="shared" si="308"/>
        <v>1.1078741126748259E-3</v>
      </c>
      <c r="D9256">
        <f t="shared" si="307"/>
        <v>8.408763277828521E-2</v>
      </c>
    </row>
    <row r="9257" spans="1:4">
      <c r="A9257" s="1">
        <v>31719</v>
      </c>
      <c r="B9257">
        <v>245.8</v>
      </c>
      <c r="C9257">
        <f t="shared" si="308"/>
        <v>7.4596278383474946E-3</v>
      </c>
      <c r="D9257">
        <f t="shared" si="307"/>
        <v>0.75483066714332403</v>
      </c>
    </row>
    <row r="9258" spans="1:4">
      <c r="A9258" s="1">
        <v>31720</v>
      </c>
      <c r="B9258">
        <v>246.2</v>
      </c>
      <c r="C9258">
        <f t="shared" si="308"/>
        <v>1.6273393002440083E-3</v>
      </c>
      <c r="D9258">
        <f t="shared" si="307"/>
        <v>0.1389429800107943</v>
      </c>
    </row>
    <row r="9259" spans="1:4">
      <c r="A9259" s="1">
        <v>31721</v>
      </c>
      <c r="B9259">
        <v>246.58</v>
      </c>
      <c r="C9259">
        <f t="shared" si="308"/>
        <v>1.5434606011373838E-3</v>
      </c>
      <c r="D9259">
        <f t="shared" si="307"/>
        <v>0.13008541789688988</v>
      </c>
    </row>
    <row r="9260" spans="1:4">
      <c r="A9260" s="1">
        <v>31722</v>
      </c>
      <c r="B9260">
        <v>245.87</v>
      </c>
      <c r="C9260">
        <f t="shared" si="308"/>
        <v>-2.8793900559656417E-3</v>
      </c>
      <c r="D9260">
        <f t="shared" si="307"/>
        <v>-0.33696610809320482</v>
      </c>
    </row>
    <row r="9261" spans="1:4">
      <c r="A9261" s="1">
        <v>31723</v>
      </c>
      <c r="B9261">
        <v>245.77</v>
      </c>
      <c r="C9261">
        <f t="shared" si="308"/>
        <v>-4.0671899784436619E-4</v>
      </c>
      <c r="D9261">
        <f t="shared" si="307"/>
        <v>-7.5852884857328662E-2</v>
      </c>
    </row>
    <row r="9262" spans="1:4">
      <c r="A9262" s="1">
        <v>31726</v>
      </c>
      <c r="B9262">
        <v>246.13</v>
      </c>
      <c r="C9262">
        <f t="shared" si="308"/>
        <v>1.4647841477803849E-3</v>
      </c>
      <c r="D9262">
        <f t="shared" si="307"/>
        <v>0.1217772111658167</v>
      </c>
    </row>
    <row r="9263" spans="1:4">
      <c r="A9263" s="1">
        <v>31727</v>
      </c>
      <c r="B9263">
        <v>247.08</v>
      </c>
      <c r="C9263">
        <f t="shared" si="308"/>
        <v>3.8597489131760331E-3</v>
      </c>
      <c r="D9263">
        <f t="shared" si="307"/>
        <v>0.37468467630351887</v>
      </c>
    </row>
    <row r="9264" spans="1:4">
      <c r="A9264" s="1">
        <v>31728</v>
      </c>
      <c r="B9264">
        <v>246.64</v>
      </c>
      <c r="C9264">
        <f t="shared" si="308"/>
        <v>-1.780799740974689E-3</v>
      </c>
      <c r="D9264">
        <f t="shared" si="307"/>
        <v>-0.22095534425915228</v>
      </c>
    </row>
    <row r="9265" spans="1:4">
      <c r="A9265" s="1">
        <v>31729</v>
      </c>
      <c r="B9265">
        <v>243.02</v>
      </c>
      <c r="C9265">
        <f t="shared" si="308"/>
        <v>-1.4677262406746579E-2</v>
      </c>
      <c r="D9265">
        <f t="shared" si="307"/>
        <v>-1.5828174180440098</v>
      </c>
    </row>
    <row r="9266" spans="1:4">
      <c r="A9266" s="1">
        <v>31730</v>
      </c>
      <c r="B9266">
        <v>244.5</v>
      </c>
      <c r="C9266">
        <f t="shared" si="308"/>
        <v>6.0900337420787985E-3</v>
      </c>
      <c r="D9266">
        <f t="shared" si="307"/>
        <v>0.61020199612500281</v>
      </c>
    </row>
    <row r="9267" spans="1:4">
      <c r="A9267" s="1">
        <v>31733</v>
      </c>
      <c r="B9267">
        <v>243.21</v>
      </c>
      <c r="C9267">
        <f t="shared" si="308"/>
        <v>-5.2760736196318693E-3</v>
      </c>
      <c r="D9267">
        <f t="shared" si="307"/>
        <v>-0.59005507774403232</v>
      </c>
    </row>
    <row r="9268" spans="1:4">
      <c r="A9268" s="1">
        <v>31734</v>
      </c>
      <c r="B9268">
        <v>236.78</v>
      </c>
      <c r="C9268">
        <f t="shared" si="308"/>
        <v>-2.6438057645656043E-2</v>
      </c>
      <c r="D9268">
        <f t="shared" si="307"/>
        <v>-2.8247533975843098</v>
      </c>
    </row>
    <row r="9269" spans="1:4">
      <c r="A9269" s="1">
        <v>31735</v>
      </c>
      <c r="B9269">
        <v>237.66</v>
      </c>
      <c r="C9269">
        <f t="shared" si="308"/>
        <v>3.7165301123405501E-3</v>
      </c>
      <c r="D9269">
        <f t="shared" si="307"/>
        <v>0.35956081961772762</v>
      </c>
    </row>
    <row r="9270" spans="1:4">
      <c r="A9270" s="1">
        <v>31736</v>
      </c>
      <c r="B9270">
        <v>242.05</v>
      </c>
      <c r="C9270">
        <f t="shared" si="308"/>
        <v>1.8471766388959081E-2</v>
      </c>
      <c r="D9270">
        <f t="shared" si="307"/>
        <v>1.917708754880141</v>
      </c>
    </row>
    <row r="9271" spans="1:4">
      <c r="A9271" s="1">
        <v>31737</v>
      </c>
      <c r="B9271">
        <v>245.86</v>
      </c>
      <c r="C9271">
        <f t="shared" si="308"/>
        <v>1.5740549473249339E-2</v>
      </c>
      <c r="D9271">
        <f t="shared" si="307"/>
        <v>1.6292931769669299</v>
      </c>
    </row>
    <row r="9272" spans="1:4">
      <c r="A9272" s="1">
        <v>31740</v>
      </c>
      <c r="B9272">
        <v>247.45</v>
      </c>
      <c r="C9272">
        <f t="shared" si="308"/>
        <v>6.4670950947692792E-3</v>
      </c>
      <c r="D9272">
        <f t="shared" si="307"/>
        <v>0.65001954679973639</v>
      </c>
    </row>
    <row r="9273" spans="1:4">
      <c r="A9273" s="1">
        <v>31741</v>
      </c>
      <c r="B9273">
        <v>248.17</v>
      </c>
      <c r="C9273">
        <f t="shared" si="308"/>
        <v>2.9096787229743338E-3</v>
      </c>
      <c r="D9273">
        <f t="shared" si="307"/>
        <v>0.27435758716276815</v>
      </c>
    </row>
    <row r="9274" spans="1:4">
      <c r="A9274" s="1">
        <v>31742</v>
      </c>
      <c r="B9274">
        <v>248.77</v>
      </c>
      <c r="C9274">
        <f t="shared" si="308"/>
        <v>2.4176975460370826E-3</v>
      </c>
      <c r="D9274">
        <f t="shared" si="307"/>
        <v>0.22240454211072189</v>
      </c>
    </row>
    <row r="9275" spans="1:4">
      <c r="A9275" s="1">
        <v>31744</v>
      </c>
      <c r="B9275">
        <v>249.22</v>
      </c>
      <c r="C9275">
        <f t="shared" si="308"/>
        <v>1.8088997869517571E-3</v>
      </c>
      <c r="D9275">
        <f t="shared" si="307"/>
        <v>0.15811570569172453</v>
      </c>
    </row>
    <row r="9276" spans="1:4">
      <c r="A9276" s="1">
        <v>31747</v>
      </c>
      <c r="B9276">
        <v>249.05</v>
      </c>
      <c r="C9276">
        <f t="shared" si="308"/>
        <v>-6.8212824010909032E-4</v>
      </c>
      <c r="D9276">
        <f t="shared" si="307"/>
        <v>-0.10493600722433349</v>
      </c>
    </row>
    <row r="9277" spans="1:4">
      <c r="A9277" s="1">
        <v>31748</v>
      </c>
      <c r="B9277">
        <v>254</v>
      </c>
      <c r="C9277">
        <f t="shared" si="308"/>
        <v>1.9875527002609871E-2</v>
      </c>
      <c r="D9277">
        <f t="shared" si="307"/>
        <v>2.0659453985202476</v>
      </c>
    </row>
    <row r="9278" spans="1:4">
      <c r="A9278" s="1">
        <v>31749</v>
      </c>
      <c r="B9278">
        <v>253.85</v>
      </c>
      <c r="C9278">
        <f t="shared" si="308"/>
        <v>-5.9055118110238453E-4</v>
      </c>
      <c r="D9278">
        <f t="shared" si="307"/>
        <v>-9.5265500921780183E-2</v>
      </c>
    </row>
    <row r="9279" spans="1:4">
      <c r="A9279" s="1">
        <v>31750</v>
      </c>
      <c r="B9279">
        <v>253.04</v>
      </c>
      <c r="C9279">
        <f t="shared" si="308"/>
        <v>-3.1908607445341828E-3</v>
      </c>
      <c r="D9279">
        <f t="shared" si="307"/>
        <v>-0.36985730693201158</v>
      </c>
    </row>
    <row r="9280" spans="1:4">
      <c r="A9280" s="1">
        <v>31751</v>
      </c>
      <c r="B9280">
        <v>251.17</v>
      </c>
      <c r="C9280">
        <f t="shared" si="308"/>
        <v>-7.3901359468858865E-3</v>
      </c>
      <c r="D9280">
        <f t="shared" si="307"/>
        <v>-0.81329934089735634</v>
      </c>
    </row>
    <row r="9281" spans="1:4">
      <c r="A9281" s="1">
        <v>31754</v>
      </c>
      <c r="B9281">
        <v>251.16</v>
      </c>
      <c r="C9281">
        <f t="shared" si="308"/>
        <v>-3.9813672014933731E-5</v>
      </c>
      <c r="D9281">
        <f t="shared" si="307"/>
        <v>-3.7107807166920533E-2</v>
      </c>
    </row>
    <row r="9282" spans="1:4">
      <c r="A9282" s="1">
        <v>31755</v>
      </c>
      <c r="B9282">
        <v>249.28</v>
      </c>
      <c r="C9282">
        <f t="shared" si="308"/>
        <v>-7.4852683548335538E-3</v>
      </c>
      <c r="D9282">
        <f t="shared" si="307"/>
        <v>-0.82334529083955332</v>
      </c>
    </row>
    <row r="9283" spans="1:4">
      <c r="A9283" s="1">
        <v>31756</v>
      </c>
      <c r="B9283">
        <v>250.96</v>
      </c>
      <c r="C9283">
        <f t="shared" si="308"/>
        <v>6.739409499358179E-3</v>
      </c>
      <c r="D9283">
        <f t="shared" ref="D9283:D9346" si="309">(C9283-avg)/sd</f>
        <v>0.67877585536016061</v>
      </c>
    </row>
    <row r="9284" spans="1:4">
      <c r="A9284" s="1">
        <v>31757</v>
      </c>
      <c r="B9284">
        <v>248.17</v>
      </c>
      <c r="C9284">
        <f t="shared" ref="C9284:C9347" si="310">(B9284-B9283)/B9283</f>
        <v>-1.1117309531399507E-2</v>
      </c>
      <c r="D9284">
        <f t="shared" si="309"/>
        <v>-1.2068876044941363</v>
      </c>
    </row>
    <row r="9285" spans="1:4">
      <c r="A9285" s="1">
        <v>31758</v>
      </c>
      <c r="B9285">
        <v>247.35</v>
      </c>
      <c r="C9285">
        <f t="shared" si="310"/>
        <v>-3.3041866462505268E-3</v>
      </c>
      <c r="D9285">
        <f t="shared" si="309"/>
        <v>-0.38182448363191185</v>
      </c>
    </row>
    <row r="9286" spans="1:4">
      <c r="A9286" s="1">
        <v>31761</v>
      </c>
      <c r="B9286">
        <v>248.21</v>
      </c>
      <c r="C9286">
        <f t="shared" si="310"/>
        <v>3.4768546593895843E-3</v>
      </c>
      <c r="D9286">
        <f t="shared" si="309"/>
        <v>0.33425117325575054</v>
      </c>
    </row>
    <row r="9287" spans="1:4">
      <c r="A9287" s="1">
        <v>31762</v>
      </c>
      <c r="B9287">
        <v>250.04</v>
      </c>
      <c r="C9287">
        <f t="shared" si="310"/>
        <v>7.3727891704604325E-3</v>
      </c>
      <c r="D9287">
        <f t="shared" si="309"/>
        <v>0.74566053333234772</v>
      </c>
    </row>
    <row r="9288" spans="1:4">
      <c r="A9288" s="1">
        <v>31763</v>
      </c>
      <c r="B9288">
        <v>247.56</v>
      </c>
      <c r="C9288">
        <f t="shared" si="310"/>
        <v>-9.9184130539113329E-3</v>
      </c>
      <c r="D9288">
        <f t="shared" si="309"/>
        <v>-1.0802845439960984</v>
      </c>
    </row>
    <row r="9289" spans="1:4">
      <c r="A9289" s="1">
        <v>31764</v>
      </c>
      <c r="B9289">
        <v>246.78</v>
      </c>
      <c r="C9289">
        <f t="shared" si="310"/>
        <v>-3.1507513330101839E-3</v>
      </c>
      <c r="D9289">
        <f t="shared" si="309"/>
        <v>-0.36562176670892871</v>
      </c>
    </row>
    <row r="9290" spans="1:4">
      <c r="A9290" s="1">
        <v>31765</v>
      </c>
      <c r="B9290">
        <v>249.73</v>
      </c>
      <c r="C9290">
        <f t="shared" si="310"/>
        <v>1.1953967096198998E-2</v>
      </c>
      <c r="D9290">
        <f t="shared" si="309"/>
        <v>1.2294313650723019</v>
      </c>
    </row>
    <row r="9291" spans="1:4">
      <c r="A9291" s="1">
        <v>31768</v>
      </c>
      <c r="B9291">
        <v>248.75</v>
      </c>
      <c r="C9291">
        <f t="shared" si="310"/>
        <v>-3.9242381772313694E-3</v>
      </c>
      <c r="D9291">
        <f t="shared" si="309"/>
        <v>-0.44730171453773288</v>
      </c>
    </row>
    <row r="9292" spans="1:4">
      <c r="A9292" s="1">
        <v>31769</v>
      </c>
      <c r="B9292">
        <v>246.34</v>
      </c>
      <c r="C9292">
        <f t="shared" si="310"/>
        <v>-9.688442211055262E-3</v>
      </c>
      <c r="D9292">
        <f t="shared" si="309"/>
        <v>-1.0559997011613849</v>
      </c>
    </row>
    <row r="9293" spans="1:4">
      <c r="A9293" s="1">
        <v>31770</v>
      </c>
      <c r="B9293">
        <v>246.75</v>
      </c>
      <c r="C9293">
        <f t="shared" si="310"/>
        <v>1.6643663229682414E-3</v>
      </c>
      <c r="D9293">
        <f t="shared" si="309"/>
        <v>0.14285302102437675</v>
      </c>
    </row>
    <row r="9294" spans="1:4">
      <c r="A9294" s="1">
        <v>31772</v>
      </c>
      <c r="B9294">
        <v>246.92</v>
      </c>
      <c r="C9294">
        <f t="shared" si="310"/>
        <v>6.8895643363723399E-4</v>
      </c>
      <c r="D9294">
        <f t="shared" si="309"/>
        <v>3.9850068268953327E-2</v>
      </c>
    </row>
    <row r="9295" spans="1:4">
      <c r="A9295" s="1">
        <v>31775</v>
      </c>
      <c r="B9295">
        <v>244.67</v>
      </c>
      <c r="C9295">
        <f t="shared" si="310"/>
        <v>-9.1122630811598902E-3</v>
      </c>
      <c r="D9295">
        <f t="shared" si="309"/>
        <v>-0.99515538089723588</v>
      </c>
    </row>
    <row r="9296" spans="1:4">
      <c r="A9296" s="1">
        <v>31776</v>
      </c>
      <c r="B9296">
        <v>243.37</v>
      </c>
      <c r="C9296">
        <f t="shared" si="310"/>
        <v>-5.3132791106387505E-3</v>
      </c>
      <c r="D9296">
        <f t="shared" si="309"/>
        <v>-0.59398396494759809</v>
      </c>
    </row>
    <row r="9297" spans="1:4">
      <c r="A9297" s="1">
        <v>31777</v>
      </c>
      <c r="B9297">
        <v>242.17</v>
      </c>
      <c r="C9297">
        <f t="shared" si="310"/>
        <v>-4.9307638575009942E-3</v>
      </c>
      <c r="D9297">
        <f t="shared" si="309"/>
        <v>-0.55359048423950308</v>
      </c>
    </row>
    <row r="9298" spans="1:4">
      <c r="A9298" s="1">
        <v>31779</v>
      </c>
      <c r="B9298">
        <v>246.45</v>
      </c>
      <c r="C9298">
        <f t="shared" si="310"/>
        <v>1.7673535119957062E-2</v>
      </c>
      <c r="D9298">
        <f t="shared" si="309"/>
        <v>1.8334158042055195</v>
      </c>
    </row>
    <row r="9299" spans="1:4">
      <c r="A9299" s="1">
        <v>31782</v>
      </c>
      <c r="B9299">
        <v>252.19</v>
      </c>
      <c r="C9299">
        <f t="shared" si="310"/>
        <v>2.3290728342463013E-2</v>
      </c>
      <c r="D9299">
        <f t="shared" si="309"/>
        <v>2.4265894991253996</v>
      </c>
    </row>
    <row r="9300" spans="1:4">
      <c r="A9300" s="1">
        <v>31783</v>
      </c>
      <c r="B9300">
        <v>252.78</v>
      </c>
      <c r="C9300">
        <f t="shared" si="310"/>
        <v>2.3395059280701194E-3</v>
      </c>
      <c r="D9300">
        <f t="shared" si="309"/>
        <v>0.21414753383203292</v>
      </c>
    </row>
    <row r="9301" spans="1:4">
      <c r="A9301" s="1">
        <v>31784</v>
      </c>
      <c r="B9301">
        <v>255.33</v>
      </c>
      <c r="C9301">
        <f t="shared" si="310"/>
        <v>1.0087823403750341E-2</v>
      </c>
      <c r="D9301">
        <f t="shared" si="309"/>
        <v>1.0323672254827856</v>
      </c>
    </row>
    <row r="9302" spans="1:4">
      <c r="A9302" s="1">
        <v>31785</v>
      </c>
      <c r="B9302">
        <v>257.27999999999997</v>
      </c>
      <c r="C9302">
        <f t="shared" si="310"/>
        <v>7.6371754200444918E-3</v>
      </c>
      <c r="D9302">
        <f t="shared" si="309"/>
        <v>0.77357963141917152</v>
      </c>
    </row>
    <row r="9303" spans="1:4">
      <c r="A9303" s="1">
        <v>31786</v>
      </c>
      <c r="B9303">
        <v>258.73</v>
      </c>
      <c r="C9303">
        <f t="shared" si="310"/>
        <v>5.6358830845772917E-3</v>
      </c>
      <c r="D9303">
        <f t="shared" si="309"/>
        <v>0.56224384106615277</v>
      </c>
    </row>
    <row r="9304" spans="1:4">
      <c r="A9304" s="1">
        <v>31789</v>
      </c>
      <c r="B9304">
        <v>260.3</v>
      </c>
      <c r="C9304">
        <f t="shared" si="310"/>
        <v>6.0681018822710663E-3</v>
      </c>
      <c r="D9304">
        <f t="shared" si="309"/>
        <v>0.60788599918430763</v>
      </c>
    </row>
    <row r="9305" spans="1:4">
      <c r="A9305" s="1">
        <v>31790</v>
      </c>
      <c r="B9305">
        <v>259.95</v>
      </c>
      <c r="C9305">
        <f t="shared" si="310"/>
        <v>-1.3446023818671638E-3</v>
      </c>
      <c r="D9305">
        <f t="shared" si="309"/>
        <v>-0.17489305140808406</v>
      </c>
    </row>
    <row r="9306" spans="1:4">
      <c r="A9306" s="1">
        <v>31791</v>
      </c>
      <c r="B9306">
        <v>262.64</v>
      </c>
      <c r="C9306">
        <f t="shared" si="310"/>
        <v>1.034814387382188E-2</v>
      </c>
      <c r="D9306">
        <f t="shared" si="309"/>
        <v>1.0598569786351129</v>
      </c>
    </row>
    <row r="9307" spans="1:4">
      <c r="A9307" s="1">
        <v>31792</v>
      </c>
      <c r="B9307">
        <v>265.49</v>
      </c>
      <c r="C9307">
        <f t="shared" si="310"/>
        <v>1.0851355467560246E-2</v>
      </c>
      <c r="D9307">
        <f t="shared" si="309"/>
        <v>1.1129959518839527</v>
      </c>
    </row>
    <row r="9308" spans="1:4">
      <c r="A9308" s="1">
        <v>31793</v>
      </c>
      <c r="B9308">
        <v>266.27999999999997</v>
      </c>
      <c r="C9308">
        <f t="shared" si="310"/>
        <v>2.9756299672302668E-3</v>
      </c>
      <c r="D9308">
        <f t="shared" si="309"/>
        <v>0.28132201613827751</v>
      </c>
    </row>
    <row r="9309" spans="1:4">
      <c r="A9309" s="1">
        <v>31796</v>
      </c>
      <c r="B9309">
        <v>269.33999999999997</v>
      </c>
      <c r="C9309">
        <f t="shared" si="310"/>
        <v>1.149166291122128E-2</v>
      </c>
      <c r="D9309">
        <f t="shared" si="309"/>
        <v>1.1806122002834827</v>
      </c>
    </row>
    <row r="9310" spans="1:4">
      <c r="A9310" s="1">
        <v>31797</v>
      </c>
      <c r="B9310">
        <v>269.04000000000002</v>
      </c>
      <c r="C9310">
        <f t="shared" si="310"/>
        <v>-1.1138338159944849E-3</v>
      </c>
      <c r="D9310">
        <f t="shared" si="309"/>
        <v>-0.15052396929397602</v>
      </c>
    </row>
    <row r="9311" spans="1:4">
      <c r="A9311" s="1">
        <v>31798</v>
      </c>
      <c r="B9311">
        <v>267.83999999999997</v>
      </c>
      <c r="C9311">
        <f t="shared" si="310"/>
        <v>-4.4603033006246108E-3</v>
      </c>
      <c r="D9311">
        <f t="shared" si="309"/>
        <v>-0.50391000935067021</v>
      </c>
    </row>
    <row r="9312" spans="1:4">
      <c r="A9312" s="1">
        <v>31799</v>
      </c>
      <c r="B9312">
        <v>273.91000000000003</v>
      </c>
      <c r="C9312">
        <f t="shared" si="310"/>
        <v>2.2662783751493616E-2</v>
      </c>
      <c r="D9312">
        <f t="shared" si="309"/>
        <v>2.3602787637677687</v>
      </c>
    </row>
    <row r="9313" spans="1:4">
      <c r="A9313" s="1">
        <v>31800</v>
      </c>
      <c r="B9313">
        <v>270.10000000000002</v>
      </c>
      <c r="C9313">
        <f t="shared" si="310"/>
        <v>-1.3909678361505612E-2</v>
      </c>
      <c r="D9313">
        <f t="shared" si="309"/>
        <v>-1.5017608037810577</v>
      </c>
    </row>
    <row r="9314" spans="1:4">
      <c r="A9314" s="1">
        <v>31803</v>
      </c>
      <c r="B9314">
        <v>269.61</v>
      </c>
      <c r="C9314">
        <f t="shared" si="310"/>
        <v>-1.8141429100333546E-3</v>
      </c>
      <c r="D9314">
        <f t="shared" si="309"/>
        <v>-0.2244763715778535</v>
      </c>
    </row>
    <row r="9315" spans="1:4">
      <c r="A9315" s="1">
        <v>31804</v>
      </c>
      <c r="B9315">
        <v>273.75</v>
      </c>
      <c r="C9315">
        <f t="shared" si="310"/>
        <v>1.5355513519528156E-2</v>
      </c>
      <c r="D9315">
        <f t="shared" si="309"/>
        <v>1.5886335111340528</v>
      </c>
    </row>
    <row r="9316" spans="1:4">
      <c r="A9316" s="1">
        <v>31805</v>
      </c>
      <c r="B9316">
        <v>275.39999999999998</v>
      </c>
      <c r="C9316">
        <f t="shared" si="310"/>
        <v>6.0273972602738896E-3</v>
      </c>
      <c r="D9316">
        <f t="shared" si="309"/>
        <v>0.60358760493757913</v>
      </c>
    </row>
    <row r="9317" spans="1:4">
      <c r="A9317" s="1">
        <v>31806</v>
      </c>
      <c r="B9317">
        <v>274.24</v>
      </c>
      <c r="C9317">
        <f t="shared" si="310"/>
        <v>-4.2120551924472345E-3</v>
      </c>
      <c r="D9317">
        <f t="shared" si="309"/>
        <v>-0.47769509351077127</v>
      </c>
    </row>
    <row r="9318" spans="1:4">
      <c r="A9318" s="1">
        <v>31807</v>
      </c>
      <c r="B9318">
        <v>274.08</v>
      </c>
      <c r="C9318">
        <f t="shared" si="310"/>
        <v>-5.8343057176205146E-4</v>
      </c>
      <c r="D9318">
        <f t="shared" si="309"/>
        <v>-9.451356699585374E-2</v>
      </c>
    </row>
    <row r="9319" spans="1:4">
      <c r="A9319" s="1">
        <v>31810</v>
      </c>
      <c r="B9319">
        <v>276.45</v>
      </c>
      <c r="C9319">
        <f t="shared" si="310"/>
        <v>8.6471103327495791E-3</v>
      </c>
      <c r="D9319">
        <f t="shared" si="309"/>
        <v>0.88022841490727233</v>
      </c>
    </row>
    <row r="9320" spans="1:4">
      <c r="A9320" s="1">
        <v>31811</v>
      </c>
      <c r="B9320">
        <v>275.99</v>
      </c>
      <c r="C9320">
        <f t="shared" si="310"/>
        <v>-1.6639536986796149E-3</v>
      </c>
      <c r="D9320">
        <f t="shared" si="309"/>
        <v>-0.20861644191069204</v>
      </c>
    </row>
    <row r="9321" spans="1:4">
      <c r="A9321" s="1">
        <v>31812</v>
      </c>
      <c r="B9321">
        <v>279.64</v>
      </c>
      <c r="C9321">
        <f t="shared" si="310"/>
        <v>1.3225116852059774E-2</v>
      </c>
      <c r="D9321">
        <f t="shared" si="309"/>
        <v>1.3636643472064041</v>
      </c>
    </row>
    <row r="9322" spans="1:4">
      <c r="A9322" s="1">
        <v>31813</v>
      </c>
      <c r="B9322">
        <v>281.16000000000003</v>
      </c>
      <c r="C9322">
        <f t="shared" si="310"/>
        <v>5.4355600057217806E-3</v>
      </c>
      <c r="D9322">
        <f t="shared" si="309"/>
        <v>0.54108979203213381</v>
      </c>
    </row>
    <row r="9323" spans="1:4">
      <c r="A9323" s="1">
        <v>31814</v>
      </c>
      <c r="B9323">
        <v>280.04000000000002</v>
      </c>
      <c r="C9323">
        <f t="shared" si="310"/>
        <v>-3.9834969412434361E-3</v>
      </c>
      <c r="D9323">
        <f t="shared" si="309"/>
        <v>-0.45355941987437454</v>
      </c>
    </row>
    <row r="9324" spans="1:4">
      <c r="A9324" s="1">
        <v>31817</v>
      </c>
      <c r="B9324">
        <v>278.16000000000003</v>
      </c>
      <c r="C9324">
        <f t="shared" si="310"/>
        <v>-6.7133266676188946E-3</v>
      </c>
      <c r="D9324">
        <f t="shared" si="309"/>
        <v>-0.74182851106541392</v>
      </c>
    </row>
    <row r="9325" spans="1:4">
      <c r="A9325" s="1">
        <v>31818</v>
      </c>
      <c r="B9325">
        <v>275.07</v>
      </c>
      <c r="C9325">
        <f t="shared" si="310"/>
        <v>-1.1108714408973366E-2</v>
      </c>
      <c r="D9325">
        <f t="shared" si="309"/>
        <v>-1.2059799624875598</v>
      </c>
    </row>
    <row r="9326" spans="1:4">
      <c r="A9326" s="1">
        <v>31819</v>
      </c>
      <c r="B9326">
        <v>277.54000000000002</v>
      </c>
      <c r="C9326">
        <f t="shared" si="310"/>
        <v>8.9795324826408823E-3</v>
      </c>
      <c r="D9326">
        <f t="shared" si="309"/>
        <v>0.91533208094001495</v>
      </c>
    </row>
    <row r="9327" spans="1:4">
      <c r="A9327" s="1">
        <v>31820</v>
      </c>
      <c r="B9327">
        <v>275.62</v>
      </c>
      <c r="C9327">
        <f t="shared" si="310"/>
        <v>-6.9179217410103621E-3</v>
      </c>
      <c r="D9327">
        <f t="shared" si="309"/>
        <v>-0.76343368127030842</v>
      </c>
    </row>
    <row r="9328" spans="1:4">
      <c r="A9328" s="1">
        <v>31821</v>
      </c>
      <c r="B9328">
        <v>279.7</v>
      </c>
      <c r="C9328">
        <f t="shared" si="310"/>
        <v>1.480298962339447E-2</v>
      </c>
      <c r="D9328">
        <f t="shared" si="309"/>
        <v>1.5302871755143332</v>
      </c>
    </row>
    <row r="9329" spans="1:4">
      <c r="A9329" s="1">
        <v>31825</v>
      </c>
      <c r="B9329">
        <v>285.49</v>
      </c>
      <c r="C9329">
        <f t="shared" si="310"/>
        <v>2.0700750804433395E-2</v>
      </c>
      <c r="D9329">
        <f t="shared" si="309"/>
        <v>2.1530887514856127</v>
      </c>
    </row>
    <row r="9330" spans="1:4">
      <c r="A9330" s="1">
        <v>31826</v>
      </c>
      <c r="B9330">
        <v>285.42</v>
      </c>
      <c r="C9330">
        <f t="shared" si="310"/>
        <v>-2.4519247609370968E-4</v>
      </c>
      <c r="D9330">
        <f t="shared" si="309"/>
        <v>-5.8795739065991795E-2</v>
      </c>
    </row>
    <row r="9331" spans="1:4">
      <c r="A9331" s="1">
        <v>31827</v>
      </c>
      <c r="B9331">
        <v>285.57</v>
      </c>
      <c r="C9331">
        <f t="shared" si="310"/>
        <v>5.2554130754669344E-4</v>
      </c>
      <c r="D9331">
        <f t="shared" si="309"/>
        <v>2.2593486501292514E-2</v>
      </c>
    </row>
    <row r="9332" spans="1:4">
      <c r="A9332" s="1">
        <v>31828</v>
      </c>
      <c r="B9332">
        <v>285.48</v>
      </c>
      <c r="C9332">
        <f t="shared" si="310"/>
        <v>-3.1515915537337603E-4</v>
      </c>
      <c r="D9332">
        <f t="shared" si="309"/>
        <v>-6.6184196615094712E-2</v>
      </c>
    </row>
    <row r="9333" spans="1:4">
      <c r="A9333" s="1">
        <v>31831</v>
      </c>
      <c r="B9333">
        <v>282.38</v>
      </c>
      <c r="C9333">
        <f t="shared" si="310"/>
        <v>-1.0858904301527332E-2</v>
      </c>
      <c r="D9333">
        <f t="shared" si="309"/>
        <v>-1.17960010005584</v>
      </c>
    </row>
    <row r="9334" spans="1:4">
      <c r="A9334" s="1">
        <v>31832</v>
      </c>
      <c r="B9334">
        <v>282.88</v>
      </c>
      <c r="C9334">
        <f t="shared" si="310"/>
        <v>1.7706636447340463E-3</v>
      </c>
      <c r="D9334">
        <f t="shared" si="309"/>
        <v>0.15407798207063053</v>
      </c>
    </row>
    <row r="9335" spans="1:4">
      <c r="A9335" s="1">
        <v>31833</v>
      </c>
      <c r="B9335">
        <v>284</v>
      </c>
      <c r="C9335">
        <f t="shared" si="310"/>
        <v>3.9592760180995638E-3</v>
      </c>
      <c r="D9335">
        <f t="shared" si="309"/>
        <v>0.38519470475253703</v>
      </c>
    </row>
    <row r="9336" spans="1:4">
      <c r="A9336" s="1">
        <v>31834</v>
      </c>
      <c r="B9336">
        <v>282.95999999999998</v>
      </c>
      <c r="C9336">
        <f t="shared" si="310"/>
        <v>-3.6619718309859875E-3</v>
      </c>
      <c r="D9336">
        <f t="shared" si="309"/>
        <v>-0.41960647752288316</v>
      </c>
    </row>
    <row r="9337" spans="1:4">
      <c r="A9337" s="1">
        <v>31835</v>
      </c>
      <c r="B9337">
        <v>284.2</v>
      </c>
      <c r="C9337">
        <f t="shared" si="310"/>
        <v>4.3822448402601397E-3</v>
      </c>
      <c r="D9337">
        <f t="shared" si="309"/>
        <v>0.42986006859860548</v>
      </c>
    </row>
    <row r="9338" spans="1:4">
      <c r="A9338" s="1">
        <v>31838</v>
      </c>
      <c r="B9338">
        <v>283</v>
      </c>
      <c r="C9338">
        <f t="shared" si="310"/>
        <v>-4.2223786066150201E-3</v>
      </c>
      <c r="D9338">
        <f t="shared" si="309"/>
        <v>-0.47878524253779048</v>
      </c>
    </row>
    <row r="9339" spans="1:4">
      <c r="A9339" s="1">
        <v>31839</v>
      </c>
      <c r="B9339">
        <v>284.12</v>
      </c>
      <c r="C9339">
        <f t="shared" si="310"/>
        <v>3.9575971731448927E-3</v>
      </c>
      <c r="D9339">
        <f t="shared" si="309"/>
        <v>0.38501741929599087</v>
      </c>
    </row>
    <row r="9340" spans="1:4">
      <c r="A9340" s="1">
        <v>31840</v>
      </c>
      <c r="B9340">
        <v>288.62</v>
      </c>
      <c r="C9340">
        <f t="shared" si="310"/>
        <v>1.5838378150077433E-2</v>
      </c>
      <c r="D9340">
        <f t="shared" si="309"/>
        <v>1.6396238519863937</v>
      </c>
    </row>
    <row r="9341" spans="1:4">
      <c r="A9341" s="1">
        <v>31841</v>
      </c>
      <c r="B9341">
        <v>290.52</v>
      </c>
      <c r="C9341">
        <f t="shared" si="310"/>
        <v>6.5830503776591271E-3</v>
      </c>
      <c r="D9341">
        <f t="shared" si="309"/>
        <v>0.66226438525778852</v>
      </c>
    </row>
    <row r="9342" spans="1:4">
      <c r="A9342" s="1">
        <v>31842</v>
      </c>
      <c r="B9342">
        <v>290.66000000000003</v>
      </c>
      <c r="C9342">
        <f t="shared" si="310"/>
        <v>4.8189453393929232E-4</v>
      </c>
      <c r="D9342">
        <f t="shared" si="309"/>
        <v>1.7984402044610163E-2</v>
      </c>
    </row>
    <row r="9343" spans="1:4">
      <c r="A9343" s="1">
        <v>31845</v>
      </c>
      <c r="B9343">
        <v>288.3</v>
      </c>
      <c r="C9343">
        <f t="shared" si="310"/>
        <v>-8.1194522810156666E-3</v>
      </c>
      <c r="D9343">
        <f t="shared" si="309"/>
        <v>-0.89031489787479379</v>
      </c>
    </row>
    <row r="9344" spans="1:4">
      <c r="A9344" s="1">
        <v>31846</v>
      </c>
      <c r="B9344">
        <v>290.86</v>
      </c>
      <c r="C9344">
        <f t="shared" si="310"/>
        <v>8.8796392646548813E-3</v>
      </c>
      <c r="D9344">
        <f t="shared" si="309"/>
        <v>0.90478339107604788</v>
      </c>
    </row>
    <row r="9345" spans="1:4">
      <c r="A9345" s="1">
        <v>31847</v>
      </c>
      <c r="B9345">
        <v>290.31</v>
      </c>
      <c r="C9345">
        <f t="shared" si="310"/>
        <v>-1.8909440968163768E-3</v>
      </c>
      <c r="D9345">
        <f t="shared" si="309"/>
        <v>-0.23258655079614882</v>
      </c>
    </row>
    <row r="9346" spans="1:4">
      <c r="A9346" s="1">
        <v>31848</v>
      </c>
      <c r="B9346">
        <v>291.22000000000003</v>
      </c>
      <c r="C9346">
        <f t="shared" si="310"/>
        <v>3.1345802762565017E-3</v>
      </c>
      <c r="D9346">
        <f t="shared" si="309"/>
        <v>0.29810711474161272</v>
      </c>
    </row>
    <row r="9347" spans="1:4">
      <c r="A9347" s="1">
        <v>31849</v>
      </c>
      <c r="B9347">
        <v>289.89</v>
      </c>
      <c r="C9347">
        <f t="shared" si="310"/>
        <v>-4.5669940251357767E-3</v>
      </c>
      <c r="D9347">
        <f t="shared" ref="D9347:D9410" si="311">(C9347-avg)/sd</f>
        <v>-0.51517651359311001</v>
      </c>
    </row>
    <row r="9348" spans="1:4">
      <c r="A9348" s="1">
        <v>31852</v>
      </c>
      <c r="B9348">
        <v>288.23</v>
      </c>
      <c r="C9348">
        <f t="shared" ref="C9348:C9411" si="312">(B9348-B9347)/B9347</f>
        <v>-5.726309979647343E-3</v>
      </c>
      <c r="D9348">
        <f t="shared" si="311"/>
        <v>-0.63759988431889159</v>
      </c>
    </row>
    <row r="9349" spans="1:4">
      <c r="A9349" s="1">
        <v>31853</v>
      </c>
      <c r="B9349">
        <v>292.47000000000003</v>
      </c>
      <c r="C9349">
        <f t="shared" si="312"/>
        <v>1.4710474274017308E-2</v>
      </c>
      <c r="D9349">
        <f t="shared" si="311"/>
        <v>1.5205175860676001</v>
      </c>
    </row>
    <row r="9350" spans="1:4">
      <c r="A9350" s="1">
        <v>31854</v>
      </c>
      <c r="B9350">
        <v>292.77999999999997</v>
      </c>
      <c r="C9350">
        <f t="shared" si="312"/>
        <v>1.0599377713951701E-3</v>
      </c>
      <c r="D9350">
        <f t="shared" si="311"/>
        <v>7.9025571433507663E-2</v>
      </c>
    </row>
    <row r="9351" spans="1:4">
      <c r="A9351" s="1">
        <v>31855</v>
      </c>
      <c r="B9351">
        <v>294.08</v>
      </c>
      <c r="C9351">
        <f t="shared" si="312"/>
        <v>4.4401940023226019E-3</v>
      </c>
      <c r="D9351">
        <f t="shared" si="311"/>
        <v>0.43597948041452428</v>
      </c>
    </row>
    <row r="9352" spans="1:4">
      <c r="A9352" s="1">
        <v>31856</v>
      </c>
      <c r="B9352">
        <v>298.17</v>
      </c>
      <c r="C9352">
        <f t="shared" si="312"/>
        <v>1.390778019586518E-2</v>
      </c>
      <c r="D9352">
        <f t="shared" si="311"/>
        <v>1.4357533642637097</v>
      </c>
    </row>
    <row r="9353" spans="1:4">
      <c r="A9353" s="1">
        <v>31859</v>
      </c>
      <c r="B9353">
        <v>301.16000000000003</v>
      </c>
      <c r="C9353">
        <f t="shared" si="312"/>
        <v>1.002783646912838E-2</v>
      </c>
      <c r="D9353">
        <f t="shared" si="311"/>
        <v>1.0260326255772563</v>
      </c>
    </row>
    <row r="9354" spans="1:4">
      <c r="A9354" s="1">
        <v>31860</v>
      </c>
      <c r="B9354">
        <v>301.64</v>
      </c>
      <c r="C9354">
        <f t="shared" si="312"/>
        <v>1.5938371629697213E-3</v>
      </c>
      <c r="D9354">
        <f t="shared" si="311"/>
        <v>0.13540516570255937</v>
      </c>
    </row>
    <row r="9355" spans="1:4">
      <c r="A9355" s="1">
        <v>31861</v>
      </c>
      <c r="B9355">
        <v>300.38</v>
      </c>
      <c r="C9355">
        <f t="shared" si="312"/>
        <v>-4.1771648322503343E-3</v>
      </c>
      <c r="D9355">
        <f t="shared" si="311"/>
        <v>-0.47401068333378826</v>
      </c>
    </row>
    <row r="9356" spans="1:4">
      <c r="A9356" s="1">
        <v>31862</v>
      </c>
      <c r="B9356">
        <v>300.93</v>
      </c>
      <c r="C9356">
        <f t="shared" si="312"/>
        <v>1.8310140488714674E-3</v>
      </c>
      <c r="D9356">
        <f t="shared" si="311"/>
        <v>0.16045096423344307</v>
      </c>
    </row>
    <row r="9357" spans="1:4">
      <c r="A9357" s="1">
        <v>31863</v>
      </c>
      <c r="B9357">
        <v>296.13</v>
      </c>
      <c r="C9357">
        <f t="shared" si="312"/>
        <v>-1.5950553284817103E-2</v>
      </c>
      <c r="D9357">
        <f t="shared" si="311"/>
        <v>-1.7172765019556584</v>
      </c>
    </row>
    <row r="9358" spans="1:4">
      <c r="A9358" s="1">
        <v>31866</v>
      </c>
      <c r="B9358">
        <v>289.2</v>
      </c>
      <c r="C9358">
        <f t="shared" si="312"/>
        <v>-2.3401884307567646E-2</v>
      </c>
      <c r="D9358">
        <f t="shared" si="311"/>
        <v>-2.5041345251276375</v>
      </c>
    </row>
    <row r="9359" spans="1:4">
      <c r="A9359" s="1">
        <v>31867</v>
      </c>
      <c r="B9359">
        <v>291.7</v>
      </c>
      <c r="C9359">
        <f t="shared" si="312"/>
        <v>8.6445366528354085E-3</v>
      </c>
      <c r="D9359">
        <f t="shared" si="311"/>
        <v>0.87995663518317213</v>
      </c>
    </row>
    <row r="9360" spans="1:4">
      <c r="A9360" s="1">
        <v>31868</v>
      </c>
      <c r="B9360">
        <v>292.38</v>
      </c>
      <c r="C9360">
        <f t="shared" si="312"/>
        <v>2.3311621528968353E-3</v>
      </c>
      <c r="D9360">
        <f t="shared" si="311"/>
        <v>0.2132664340099211</v>
      </c>
    </row>
    <row r="9361" spans="1:4">
      <c r="A9361" s="1">
        <v>31869</v>
      </c>
      <c r="B9361">
        <v>293.63</v>
      </c>
      <c r="C9361">
        <f t="shared" si="312"/>
        <v>4.2752582255968265E-3</v>
      </c>
      <c r="D9361">
        <f t="shared" si="311"/>
        <v>0.41856231845667691</v>
      </c>
    </row>
    <row r="9362" spans="1:4">
      <c r="A9362" s="1">
        <v>31870</v>
      </c>
      <c r="B9362">
        <v>300.41000000000003</v>
      </c>
      <c r="C9362">
        <f t="shared" si="312"/>
        <v>2.3090283690358714E-2</v>
      </c>
      <c r="D9362">
        <f t="shared" si="311"/>
        <v>2.4054226119976336</v>
      </c>
    </row>
    <row r="9363" spans="1:4">
      <c r="A9363" s="1">
        <v>31873</v>
      </c>
      <c r="B9363">
        <v>301.95</v>
      </c>
      <c r="C9363">
        <f t="shared" si="312"/>
        <v>5.1263273526179669E-3</v>
      </c>
      <c r="D9363">
        <f t="shared" si="311"/>
        <v>0.50843492897765707</v>
      </c>
    </row>
    <row r="9364" spans="1:4">
      <c r="A9364" s="1">
        <v>31874</v>
      </c>
      <c r="B9364">
        <v>296.69</v>
      </c>
      <c r="C9364">
        <f t="shared" si="312"/>
        <v>-1.7420102666004276E-2</v>
      </c>
      <c r="D9364">
        <f t="shared" si="311"/>
        <v>-1.8724604170849186</v>
      </c>
    </row>
    <row r="9365" spans="1:4">
      <c r="A9365" s="1">
        <v>31875</v>
      </c>
      <c r="B9365">
        <v>297.26</v>
      </c>
      <c r="C9365">
        <f t="shared" si="312"/>
        <v>1.9211972092082416E-3</v>
      </c>
      <c r="D9365">
        <f t="shared" si="311"/>
        <v>0.1699742753102608</v>
      </c>
    </row>
    <row r="9366" spans="1:4">
      <c r="A9366" s="1">
        <v>31876</v>
      </c>
      <c r="B9366">
        <v>292.86</v>
      </c>
      <c r="C9366">
        <f t="shared" si="312"/>
        <v>-1.4801856960236753E-2</v>
      </c>
      <c r="D9366">
        <f t="shared" si="311"/>
        <v>-1.5959745605408255</v>
      </c>
    </row>
    <row r="9367" spans="1:4">
      <c r="A9367" s="1">
        <v>31877</v>
      </c>
      <c r="B9367">
        <v>292.49</v>
      </c>
      <c r="C9367">
        <f t="shared" si="312"/>
        <v>-1.2634023082701788E-3</v>
      </c>
      <c r="D9367">
        <f t="shared" si="311"/>
        <v>-0.16631835123748853</v>
      </c>
    </row>
    <row r="9368" spans="1:4">
      <c r="A9368" s="1">
        <v>31880</v>
      </c>
      <c r="B9368">
        <v>285.62</v>
      </c>
      <c r="C9368">
        <f t="shared" si="312"/>
        <v>-2.3487982495128054E-2</v>
      </c>
      <c r="D9368">
        <f t="shared" si="311"/>
        <v>-2.5132264644678206</v>
      </c>
    </row>
    <row r="9369" spans="1:4">
      <c r="A9369" s="1">
        <v>31881</v>
      </c>
      <c r="B9369">
        <v>279.16000000000003</v>
      </c>
      <c r="C9369">
        <f t="shared" si="312"/>
        <v>-2.2617463763041731E-2</v>
      </c>
      <c r="D9369">
        <f t="shared" si="311"/>
        <v>-2.4212999822631991</v>
      </c>
    </row>
    <row r="9370" spans="1:4">
      <c r="A9370" s="1">
        <v>31882</v>
      </c>
      <c r="B9370">
        <v>284.44</v>
      </c>
      <c r="C9370">
        <f t="shared" si="312"/>
        <v>1.8913884510674783E-2</v>
      </c>
      <c r="D9370">
        <f t="shared" si="311"/>
        <v>1.9643962782500677</v>
      </c>
    </row>
    <row r="9371" spans="1:4">
      <c r="A9371" s="1">
        <v>31883</v>
      </c>
      <c r="B9371">
        <v>286.91000000000003</v>
      </c>
      <c r="C9371">
        <f t="shared" si="312"/>
        <v>8.6837294332724902E-3</v>
      </c>
      <c r="D9371">
        <f t="shared" si="311"/>
        <v>0.88409537947505468</v>
      </c>
    </row>
    <row r="9372" spans="1:4">
      <c r="A9372" s="1">
        <v>31887</v>
      </c>
      <c r="B9372">
        <v>286.08999999999997</v>
      </c>
      <c r="C9372">
        <f t="shared" si="312"/>
        <v>-2.8580391063401413E-3</v>
      </c>
      <c r="D9372">
        <f t="shared" si="311"/>
        <v>-0.33471145507029237</v>
      </c>
    </row>
    <row r="9373" spans="1:4">
      <c r="A9373" s="1">
        <v>31888</v>
      </c>
      <c r="B9373">
        <v>293.07</v>
      </c>
      <c r="C9373">
        <f t="shared" si="312"/>
        <v>2.439791673948764E-2</v>
      </c>
      <c r="D9373">
        <f t="shared" si="311"/>
        <v>2.543508217499578</v>
      </c>
    </row>
    <row r="9374" spans="1:4">
      <c r="A9374" s="1">
        <v>31889</v>
      </c>
      <c r="B9374">
        <v>287.19</v>
      </c>
      <c r="C9374">
        <f t="shared" si="312"/>
        <v>-2.0063466066127533E-2</v>
      </c>
      <c r="D9374">
        <f t="shared" si="311"/>
        <v>-2.1515986936150577</v>
      </c>
    </row>
    <row r="9375" spans="1:4">
      <c r="A9375" s="1">
        <v>31890</v>
      </c>
      <c r="B9375">
        <v>286.82</v>
      </c>
      <c r="C9375">
        <f t="shared" si="312"/>
        <v>-1.2883456944879856E-3</v>
      </c>
      <c r="D9375">
        <f t="shared" si="311"/>
        <v>-0.16895236434341998</v>
      </c>
    </row>
    <row r="9376" spans="1:4">
      <c r="A9376" s="1">
        <v>31891</v>
      </c>
      <c r="B9376">
        <v>281.52</v>
      </c>
      <c r="C9376">
        <f t="shared" si="312"/>
        <v>-1.8478488250470718E-2</v>
      </c>
      <c r="D9376">
        <f t="shared" si="311"/>
        <v>-1.9842255750418347</v>
      </c>
    </row>
    <row r="9377" spans="1:4">
      <c r="A9377" s="1">
        <v>31894</v>
      </c>
      <c r="B9377">
        <v>281.83</v>
      </c>
      <c r="C9377">
        <f t="shared" si="312"/>
        <v>1.1011651037226566E-3</v>
      </c>
      <c r="D9377">
        <f t="shared" si="311"/>
        <v>8.3379163713439092E-2</v>
      </c>
    </row>
    <row r="9378" spans="1:4">
      <c r="A9378" s="1">
        <v>31895</v>
      </c>
      <c r="B9378">
        <v>282.51</v>
      </c>
      <c r="C9378">
        <f t="shared" si="312"/>
        <v>2.4128020437852848E-3</v>
      </c>
      <c r="D9378">
        <f t="shared" si="311"/>
        <v>0.22188757873699411</v>
      </c>
    </row>
    <row r="9379" spans="1:4">
      <c r="A9379" s="1">
        <v>31896</v>
      </c>
      <c r="B9379">
        <v>284.57</v>
      </c>
      <c r="C9379">
        <f t="shared" si="312"/>
        <v>7.2917772822201068E-3</v>
      </c>
      <c r="D9379">
        <f t="shared" si="311"/>
        <v>0.73710570547144805</v>
      </c>
    </row>
    <row r="9380" spans="1:4">
      <c r="A9380" s="1">
        <v>31897</v>
      </c>
      <c r="B9380">
        <v>288.36</v>
      </c>
      <c r="C9380">
        <f t="shared" si="312"/>
        <v>1.3318339951505853E-2</v>
      </c>
      <c r="D9380">
        <f t="shared" si="311"/>
        <v>1.3735086748198388</v>
      </c>
    </row>
    <row r="9381" spans="1:4">
      <c r="A9381" s="1">
        <v>31898</v>
      </c>
      <c r="B9381">
        <v>288.02999999999997</v>
      </c>
      <c r="C9381">
        <f t="shared" si="312"/>
        <v>-1.1444028297962301E-3</v>
      </c>
      <c r="D9381">
        <f t="shared" si="311"/>
        <v>-0.15375204676052764</v>
      </c>
    </row>
    <row r="9382" spans="1:4">
      <c r="A9382" s="1">
        <v>31901</v>
      </c>
      <c r="B9382">
        <v>289.36</v>
      </c>
      <c r="C9382">
        <f t="shared" si="312"/>
        <v>4.6175745582058853E-3</v>
      </c>
      <c r="D9382">
        <f t="shared" si="311"/>
        <v>0.45471080682121845</v>
      </c>
    </row>
    <row r="9383" spans="1:4">
      <c r="A9383" s="1">
        <v>31902</v>
      </c>
      <c r="B9383">
        <v>295.33999999999997</v>
      </c>
      <c r="C9383">
        <f t="shared" si="312"/>
        <v>2.0666298037047143E-2</v>
      </c>
      <c r="D9383">
        <f t="shared" si="311"/>
        <v>2.1494505509606889</v>
      </c>
    </row>
    <row r="9384" spans="1:4">
      <c r="A9384" s="1">
        <v>31903</v>
      </c>
      <c r="B9384">
        <v>295.47000000000003</v>
      </c>
      <c r="C9384">
        <f t="shared" si="312"/>
        <v>4.4017065077555463E-4</v>
      </c>
      <c r="D9384">
        <f t="shared" si="311"/>
        <v>1.3578374165156448E-2</v>
      </c>
    </row>
    <row r="9385" spans="1:4">
      <c r="A9385" s="1">
        <v>31904</v>
      </c>
      <c r="B9385">
        <v>294.70999999999998</v>
      </c>
      <c r="C9385">
        <f t="shared" si="312"/>
        <v>-2.5721731478662731E-3</v>
      </c>
      <c r="D9385">
        <f t="shared" si="311"/>
        <v>-0.30452410702601246</v>
      </c>
    </row>
    <row r="9386" spans="1:4">
      <c r="A9386" s="1">
        <v>31905</v>
      </c>
      <c r="B9386">
        <v>293.37</v>
      </c>
      <c r="C9386">
        <f t="shared" si="312"/>
        <v>-4.5468426588849212E-3</v>
      </c>
      <c r="D9386">
        <f t="shared" si="311"/>
        <v>-0.51304853616680191</v>
      </c>
    </row>
    <row r="9387" spans="1:4">
      <c r="A9387" s="1">
        <v>31908</v>
      </c>
      <c r="B9387">
        <v>291.57</v>
      </c>
      <c r="C9387">
        <f t="shared" si="312"/>
        <v>-6.1355966867778274E-3</v>
      </c>
      <c r="D9387">
        <f t="shared" si="311"/>
        <v>-0.68082042146855937</v>
      </c>
    </row>
    <row r="9388" spans="1:4">
      <c r="A9388" s="1">
        <v>31909</v>
      </c>
      <c r="B9388">
        <v>293.3</v>
      </c>
      <c r="C9388">
        <f t="shared" si="312"/>
        <v>5.9333950680797685E-3</v>
      </c>
      <c r="D9388">
        <f t="shared" si="311"/>
        <v>0.59366100539477751</v>
      </c>
    </row>
    <row r="9389" spans="1:4">
      <c r="A9389" s="1">
        <v>31910</v>
      </c>
      <c r="B9389">
        <v>293.98</v>
      </c>
      <c r="C9389">
        <f t="shared" si="312"/>
        <v>2.3184452778725086E-3</v>
      </c>
      <c r="D9389">
        <f t="shared" si="311"/>
        <v>0.21192353633002803</v>
      </c>
    </row>
    <row r="9390" spans="1:4">
      <c r="A9390" s="1">
        <v>31911</v>
      </c>
      <c r="B9390">
        <v>294.24</v>
      </c>
      <c r="C9390">
        <f t="shared" si="312"/>
        <v>8.8441390570784034E-4</v>
      </c>
      <c r="D9390">
        <f t="shared" si="311"/>
        <v>6.0490310880386478E-2</v>
      </c>
    </row>
    <row r="9391" spans="1:4">
      <c r="A9391" s="1">
        <v>31912</v>
      </c>
      <c r="B9391">
        <v>287.43</v>
      </c>
      <c r="C9391">
        <f t="shared" si="312"/>
        <v>-2.3144371941272439E-2</v>
      </c>
      <c r="D9391">
        <f t="shared" si="311"/>
        <v>-2.4769413067795698</v>
      </c>
    </row>
    <row r="9392" spans="1:4">
      <c r="A9392" s="1">
        <v>31915</v>
      </c>
      <c r="B9392">
        <v>286.64999999999998</v>
      </c>
      <c r="C9392">
        <f t="shared" si="312"/>
        <v>-2.7137042062416222E-3</v>
      </c>
      <c r="D9392">
        <f t="shared" si="311"/>
        <v>-0.31946973868170508</v>
      </c>
    </row>
    <row r="9393" spans="1:4">
      <c r="A9393" s="1">
        <v>31916</v>
      </c>
      <c r="B9393">
        <v>279.62</v>
      </c>
      <c r="C9393">
        <f t="shared" si="312"/>
        <v>-2.4524681667538718E-2</v>
      </c>
      <c r="D9393">
        <f t="shared" si="311"/>
        <v>-2.622701544683216</v>
      </c>
    </row>
    <row r="9394" spans="1:4">
      <c r="A9394" s="1">
        <v>31917</v>
      </c>
      <c r="B9394">
        <v>278.20999999999998</v>
      </c>
      <c r="C9394">
        <f t="shared" si="312"/>
        <v>-5.0425577569559584E-3</v>
      </c>
      <c r="D9394">
        <f t="shared" si="311"/>
        <v>-0.56539588202135449</v>
      </c>
    </row>
    <row r="9395" spans="1:4">
      <c r="A9395" s="1">
        <v>31918</v>
      </c>
      <c r="B9395">
        <v>280.17</v>
      </c>
      <c r="C9395">
        <f t="shared" si="312"/>
        <v>7.0450379209950629E-3</v>
      </c>
      <c r="D9395">
        <f t="shared" si="311"/>
        <v>0.71105011279686736</v>
      </c>
    </row>
    <row r="9396" spans="1:4">
      <c r="A9396" s="1">
        <v>31919</v>
      </c>
      <c r="B9396">
        <v>282.16000000000003</v>
      </c>
      <c r="C9396">
        <f t="shared" si="312"/>
        <v>7.1028304243852267E-3</v>
      </c>
      <c r="D9396">
        <f t="shared" si="311"/>
        <v>0.71715298151024232</v>
      </c>
    </row>
    <row r="9397" spans="1:4">
      <c r="A9397" s="1">
        <v>31923</v>
      </c>
      <c r="B9397">
        <v>289.11</v>
      </c>
      <c r="C9397">
        <f t="shared" si="312"/>
        <v>2.4631414800113369E-2</v>
      </c>
      <c r="D9397">
        <f t="shared" si="311"/>
        <v>2.5681655333318081</v>
      </c>
    </row>
    <row r="9398" spans="1:4">
      <c r="A9398" s="1">
        <v>31924</v>
      </c>
      <c r="B9398">
        <v>288.73</v>
      </c>
      <c r="C9398">
        <f t="shared" si="312"/>
        <v>-1.3143786102175485E-3</v>
      </c>
      <c r="D9398">
        <f t="shared" si="311"/>
        <v>-0.17170143139544383</v>
      </c>
    </row>
    <row r="9399" spans="1:4">
      <c r="A9399" s="1">
        <v>31925</v>
      </c>
      <c r="B9399">
        <v>290.76</v>
      </c>
      <c r="C9399">
        <f t="shared" si="312"/>
        <v>7.0307900114292684E-3</v>
      </c>
      <c r="D9399">
        <f t="shared" si="311"/>
        <v>0.70954553838981926</v>
      </c>
    </row>
    <row r="9400" spans="1:4">
      <c r="A9400" s="1">
        <v>31926</v>
      </c>
      <c r="B9400">
        <v>290.10000000000002</v>
      </c>
      <c r="C9400">
        <f t="shared" si="312"/>
        <v>-2.2699133305818138E-3</v>
      </c>
      <c r="D9400">
        <f t="shared" si="311"/>
        <v>-0.27260557306387745</v>
      </c>
    </row>
    <row r="9401" spans="1:4">
      <c r="A9401" s="1">
        <v>31929</v>
      </c>
      <c r="B9401">
        <v>289.83</v>
      </c>
      <c r="C9401">
        <f t="shared" si="312"/>
        <v>-9.307135470528736E-4</v>
      </c>
      <c r="D9401">
        <f t="shared" si="311"/>
        <v>-0.13118653113934561</v>
      </c>
    </row>
    <row r="9402" spans="1:4">
      <c r="A9402" s="1">
        <v>31930</v>
      </c>
      <c r="B9402">
        <v>288.45999999999998</v>
      </c>
      <c r="C9402">
        <f t="shared" si="312"/>
        <v>-4.7269088776179299E-3</v>
      </c>
      <c r="D9402">
        <f t="shared" si="311"/>
        <v>-0.53206346765752599</v>
      </c>
    </row>
    <row r="9403" spans="1:4">
      <c r="A9403" s="1">
        <v>31931</v>
      </c>
      <c r="B9403">
        <v>293.47000000000003</v>
      </c>
      <c r="C9403">
        <f t="shared" si="312"/>
        <v>1.7368092629827525E-2</v>
      </c>
      <c r="D9403">
        <f t="shared" si="311"/>
        <v>1.8011611810727874</v>
      </c>
    </row>
    <row r="9404" spans="1:4">
      <c r="A9404" s="1">
        <v>31932</v>
      </c>
      <c r="B9404">
        <v>295.08999999999997</v>
      </c>
      <c r="C9404">
        <f t="shared" si="312"/>
        <v>5.5201553821513189E-3</v>
      </c>
      <c r="D9404">
        <f t="shared" si="311"/>
        <v>0.55002303502772742</v>
      </c>
    </row>
    <row r="9405" spans="1:4">
      <c r="A9405" s="1">
        <v>31933</v>
      </c>
      <c r="B9405">
        <v>293.45</v>
      </c>
      <c r="C9405">
        <f t="shared" si="312"/>
        <v>-5.5576264868344794E-3</v>
      </c>
      <c r="D9405">
        <f t="shared" si="311"/>
        <v>-0.61978696481615836</v>
      </c>
    </row>
    <row r="9406" spans="1:4">
      <c r="A9406" s="1">
        <v>31936</v>
      </c>
      <c r="B9406">
        <v>296.72000000000003</v>
      </c>
      <c r="C9406">
        <f t="shared" si="312"/>
        <v>1.1143295280286382E-2</v>
      </c>
      <c r="D9406">
        <f t="shared" si="311"/>
        <v>1.1438246968726689</v>
      </c>
    </row>
    <row r="9407" spans="1:4">
      <c r="A9407" s="1">
        <v>31937</v>
      </c>
      <c r="B9407">
        <v>297.27999999999997</v>
      </c>
      <c r="C9407">
        <f t="shared" si="312"/>
        <v>1.8873011593419566E-3</v>
      </c>
      <c r="D9407">
        <f t="shared" si="311"/>
        <v>0.16639486396620828</v>
      </c>
    </row>
    <row r="9408" spans="1:4">
      <c r="A9408" s="1">
        <v>31938</v>
      </c>
      <c r="B9408">
        <v>297.47000000000003</v>
      </c>
      <c r="C9408">
        <f t="shared" si="312"/>
        <v>6.3912809472569494E-4</v>
      </c>
      <c r="D9408">
        <f t="shared" si="311"/>
        <v>3.4588212617370148E-2</v>
      </c>
    </row>
    <row r="9409" spans="1:4">
      <c r="A9409" s="1">
        <v>31939</v>
      </c>
      <c r="B9409">
        <v>298.73</v>
      </c>
      <c r="C9409">
        <f t="shared" si="312"/>
        <v>4.2357212492015696E-3</v>
      </c>
      <c r="D9409">
        <f t="shared" si="311"/>
        <v>0.41438722718860904</v>
      </c>
    </row>
    <row r="9410" spans="1:4">
      <c r="A9410" s="1">
        <v>31940</v>
      </c>
      <c r="B9410">
        <v>301.62</v>
      </c>
      <c r="C9410">
        <f t="shared" si="312"/>
        <v>9.6742878184313125E-3</v>
      </c>
      <c r="D9410">
        <f t="shared" si="311"/>
        <v>0.98869800824067144</v>
      </c>
    </row>
    <row r="9411" spans="1:4">
      <c r="A9411" s="1">
        <v>31943</v>
      </c>
      <c r="B9411">
        <v>303.14</v>
      </c>
      <c r="C9411">
        <f t="shared" si="312"/>
        <v>5.0394536171340818E-3</v>
      </c>
      <c r="D9411">
        <f t="shared" ref="D9411:D9474" si="313">(C9411-avg)/sd</f>
        <v>0.49926109204037628</v>
      </c>
    </row>
    <row r="9412" spans="1:4">
      <c r="A9412" s="1">
        <v>31944</v>
      </c>
      <c r="B9412">
        <v>304.76</v>
      </c>
      <c r="C9412">
        <f t="shared" ref="C9412:C9475" si="314">(B9412-B9411)/B9411</f>
        <v>5.344065448307728E-3</v>
      </c>
      <c r="D9412">
        <f t="shared" si="313"/>
        <v>0.53142799786972106</v>
      </c>
    </row>
    <row r="9413" spans="1:4">
      <c r="A9413" s="1">
        <v>31945</v>
      </c>
      <c r="B9413">
        <v>304.81</v>
      </c>
      <c r="C9413">
        <f t="shared" si="314"/>
        <v>1.6406352539707103E-4</v>
      </c>
      <c r="D9413">
        <f t="shared" si="313"/>
        <v>-1.5578444421439403E-2</v>
      </c>
    </row>
    <row r="9414" spans="1:4">
      <c r="A9414" s="1">
        <v>31946</v>
      </c>
      <c r="B9414">
        <v>305.69</v>
      </c>
      <c r="C9414">
        <f t="shared" si="314"/>
        <v>2.8870443883074553E-3</v>
      </c>
      <c r="D9414">
        <f t="shared" si="313"/>
        <v>0.27196740911572997</v>
      </c>
    </row>
    <row r="9415" spans="1:4">
      <c r="A9415" s="1">
        <v>31947</v>
      </c>
      <c r="B9415">
        <v>306.97000000000003</v>
      </c>
      <c r="C9415">
        <f t="shared" si="314"/>
        <v>4.1872485197423188E-3</v>
      </c>
      <c r="D9415">
        <f t="shared" si="313"/>
        <v>0.40926852343439352</v>
      </c>
    </row>
    <row r="9416" spans="1:4">
      <c r="A9416" s="1">
        <v>31950</v>
      </c>
      <c r="B9416">
        <v>309.64999999999998</v>
      </c>
      <c r="C9416">
        <f t="shared" si="314"/>
        <v>8.7304948366288236E-3</v>
      </c>
      <c r="D9416">
        <f t="shared" si="313"/>
        <v>0.88903379017315043</v>
      </c>
    </row>
    <row r="9417" spans="1:4">
      <c r="A9417" s="1">
        <v>31951</v>
      </c>
      <c r="B9417">
        <v>308.43</v>
      </c>
      <c r="C9417">
        <f t="shared" si="314"/>
        <v>-3.9399321814951411E-3</v>
      </c>
      <c r="D9417">
        <f t="shared" si="313"/>
        <v>-0.44895899605333595</v>
      </c>
    </row>
    <row r="9418" spans="1:4">
      <c r="A9418" s="1">
        <v>31952</v>
      </c>
      <c r="B9418">
        <v>306.86</v>
      </c>
      <c r="C9418">
        <f t="shared" si="314"/>
        <v>-5.0902960153032884E-3</v>
      </c>
      <c r="D9418">
        <f t="shared" si="313"/>
        <v>-0.57043702587581013</v>
      </c>
    </row>
    <row r="9419" spans="1:4">
      <c r="A9419" s="1">
        <v>31953</v>
      </c>
      <c r="B9419">
        <v>308.95999999999998</v>
      </c>
      <c r="C9419">
        <f t="shared" si="314"/>
        <v>6.8435116991460787E-3</v>
      </c>
      <c r="D9419">
        <f t="shared" si="313"/>
        <v>0.68976901227170584</v>
      </c>
    </row>
    <row r="9420" spans="1:4">
      <c r="A9420" s="1">
        <v>31954</v>
      </c>
      <c r="B9420">
        <v>307.16000000000003</v>
      </c>
      <c r="C9420">
        <f t="shared" si="314"/>
        <v>-5.8259968928015106E-3</v>
      </c>
      <c r="D9420">
        <f t="shared" si="313"/>
        <v>-0.64812678846274352</v>
      </c>
    </row>
    <row r="9421" spans="1:4">
      <c r="A9421" s="1">
        <v>31957</v>
      </c>
      <c r="B9421">
        <v>307.89999999999998</v>
      </c>
      <c r="C9421">
        <f t="shared" si="314"/>
        <v>2.4091678603983336E-3</v>
      </c>
      <c r="D9421">
        <f t="shared" si="313"/>
        <v>0.221503810206651</v>
      </c>
    </row>
    <row r="9422" spans="1:4">
      <c r="A9422" s="1">
        <v>31958</v>
      </c>
      <c r="B9422">
        <v>304</v>
      </c>
      <c r="C9422">
        <f t="shared" si="314"/>
        <v>-1.2666450146151274E-2</v>
      </c>
      <c r="D9422">
        <f t="shared" si="313"/>
        <v>-1.3704763268334428</v>
      </c>
    </row>
    <row r="9423" spans="1:4">
      <c r="A9423" s="1">
        <v>31959</v>
      </c>
      <c r="B9423">
        <v>302.94</v>
      </c>
      <c r="C9423">
        <f t="shared" si="314"/>
        <v>-3.4868421052631654E-3</v>
      </c>
      <c r="D9423">
        <f t="shared" si="313"/>
        <v>-0.40111283801603925</v>
      </c>
    </row>
    <row r="9424" spans="1:4">
      <c r="A9424" s="1">
        <v>31960</v>
      </c>
      <c r="B9424">
        <v>305.63</v>
      </c>
      <c r="C9424">
        <f t="shared" si="314"/>
        <v>8.8796461345480877E-3</v>
      </c>
      <c r="D9424">
        <f t="shared" si="313"/>
        <v>0.90478411653443525</v>
      </c>
    </row>
    <row r="9425" spans="1:4">
      <c r="A9425" s="1">
        <v>31964</v>
      </c>
      <c r="B9425">
        <v>304.92</v>
      </c>
      <c r="C9425">
        <f t="shared" si="314"/>
        <v>-2.3230703792166329E-3</v>
      </c>
      <c r="D9425">
        <f t="shared" si="313"/>
        <v>-0.27821893933075559</v>
      </c>
    </row>
    <row r="9426" spans="1:4">
      <c r="A9426" s="1">
        <v>31965</v>
      </c>
      <c r="B9426">
        <v>307.39999999999998</v>
      </c>
      <c r="C9426">
        <f t="shared" si="314"/>
        <v>8.1332808605534615E-3</v>
      </c>
      <c r="D9426">
        <f t="shared" si="313"/>
        <v>0.82596819730248616</v>
      </c>
    </row>
    <row r="9427" spans="1:4">
      <c r="A9427" s="1">
        <v>31966</v>
      </c>
      <c r="B9427">
        <v>308.29000000000002</v>
      </c>
      <c r="C9427">
        <f t="shared" si="314"/>
        <v>2.8952504879637062E-3</v>
      </c>
      <c r="D9427">
        <f t="shared" si="313"/>
        <v>0.27283397045004126</v>
      </c>
    </row>
    <row r="9428" spans="1:4">
      <c r="A9428" s="1">
        <v>31967</v>
      </c>
      <c r="B9428">
        <v>307.52</v>
      </c>
      <c r="C9428">
        <f t="shared" si="314"/>
        <v>-2.4976483181421345E-3</v>
      </c>
      <c r="D9428">
        <f t="shared" si="313"/>
        <v>-0.29665431033936385</v>
      </c>
    </row>
    <row r="9429" spans="1:4">
      <c r="A9429" s="1">
        <v>31968</v>
      </c>
      <c r="B9429">
        <v>308.37</v>
      </c>
      <c r="C9429">
        <f t="shared" si="314"/>
        <v>2.764047866805485E-3</v>
      </c>
      <c r="D9429">
        <f t="shared" si="313"/>
        <v>0.25897901825367092</v>
      </c>
    </row>
    <row r="9430" spans="1:4">
      <c r="A9430" s="1">
        <v>31971</v>
      </c>
      <c r="B9430">
        <v>307.63</v>
      </c>
      <c r="C9430">
        <f t="shared" si="314"/>
        <v>-2.3997146285306909E-3</v>
      </c>
      <c r="D9430">
        <f t="shared" si="313"/>
        <v>-0.28631254600567396</v>
      </c>
    </row>
    <row r="9431" spans="1:4">
      <c r="A9431" s="1">
        <v>31972</v>
      </c>
      <c r="B9431">
        <v>310.68</v>
      </c>
      <c r="C9431">
        <f t="shared" si="314"/>
        <v>9.9145076878068179E-3</v>
      </c>
      <c r="D9431">
        <f t="shared" si="313"/>
        <v>1.0140651447920237</v>
      </c>
    </row>
    <row r="9432" spans="1:4">
      <c r="A9432" s="1">
        <v>31973</v>
      </c>
      <c r="B9432">
        <v>310.42</v>
      </c>
      <c r="C9432">
        <f t="shared" si="314"/>
        <v>-8.3687395390752829E-4</v>
      </c>
      <c r="D9432">
        <f t="shared" si="313"/>
        <v>-0.1212771020008247</v>
      </c>
    </row>
    <row r="9433" spans="1:4">
      <c r="A9433" s="1">
        <v>31974</v>
      </c>
      <c r="B9433">
        <v>312.7</v>
      </c>
      <c r="C9433">
        <f t="shared" si="314"/>
        <v>7.3448875716769944E-3</v>
      </c>
      <c r="D9433">
        <f t="shared" si="313"/>
        <v>0.74271413398503083</v>
      </c>
    </row>
    <row r="9434" spans="1:4">
      <c r="A9434" s="1">
        <v>31975</v>
      </c>
      <c r="B9434">
        <v>314.58999999999997</v>
      </c>
      <c r="C9434">
        <f t="shared" si="314"/>
        <v>6.0441317556763239E-3</v>
      </c>
      <c r="D9434">
        <f t="shared" si="313"/>
        <v>0.60535476196374483</v>
      </c>
    </row>
    <row r="9435" spans="1:4">
      <c r="A9435" s="1">
        <v>31978</v>
      </c>
      <c r="B9435">
        <v>311.39</v>
      </c>
      <c r="C9435">
        <f t="shared" si="314"/>
        <v>-1.0171969865539239E-2</v>
      </c>
      <c r="D9435">
        <f t="shared" si="313"/>
        <v>-1.1070600571158573</v>
      </c>
    </row>
    <row r="9436" spans="1:4">
      <c r="A9436" s="1">
        <v>31979</v>
      </c>
      <c r="B9436">
        <v>308.55</v>
      </c>
      <c r="C9436">
        <f t="shared" si="314"/>
        <v>-9.12039564533214E-3</v>
      </c>
      <c r="D9436">
        <f t="shared" si="313"/>
        <v>-0.99601417690943261</v>
      </c>
    </row>
    <row r="9437" spans="1:4">
      <c r="A9437" s="1">
        <v>31980</v>
      </c>
      <c r="B9437">
        <v>308.47000000000003</v>
      </c>
      <c r="C9437">
        <f t="shared" si="314"/>
        <v>-2.5927726462480664E-4</v>
      </c>
      <c r="D9437">
        <f t="shared" si="313"/>
        <v>-6.0283087947223389E-2</v>
      </c>
    </row>
    <row r="9438" spans="1:4">
      <c r="A9438" s="1">
        <v>31981</v>
      </c>
      <c r="B9438">
        <v>307.81</v>
      </c>
      <c r="C9438">
        <f t="shared" si="314"/>
        <v>-2.1395921807632022E-3</v>
      </c>
      <c r="D9438">
        <f t="shared" si="313"/>
        <v>-0.25884370394134326</v>
      </c>
    </row>
    <row r="9439" spans="1:4">
      <c r="A9439" s="1">
        <v>31982</v>
      </c>
      <c r="B9439">
        <v>309.27</v>
      </c>
      <c r="C9439">
        <f t="shared" si="314"/>
        <v>4.743185731457651E-3</v>
      </c>
      <c r="D9439">
        <f t="shared" si="313"/>
        <v>0.4679753040192926</v>
      </c>
    </row>
    <row r="9440" spans="1:4">
      <c r="A9440" s="1">
        <v>31985</v>
      </c>
      <c r="B9440">
        <v>310.64999999999998</v>
      </c>
      <c r="C9440">
        <f t="shared" si="314"/>
        <v>4.4621204772528717E-3</v>
      </c>
      <c r="D9440">
        <f t="shared" si="313"/>
        <v>0.43829490871398979</v>
      </c>
    </row>
    <row r="9441" spans="1:4">
      <c r="A9441" s="1">
        <v>31986</v>
      </c>
      <c r="B9441">
        <v>312.33</v>
      </c>
      <c r="C9441">
        <f t="shared" si="314"/>
        <v>5.4080154514727407E-3</v>
      </c>
      <c r="D9441">
        <f t="shared" si="313"/>
        <v>0.53818109646628409</v>
      </c>
    </row>
    <row r="9442" spans="1:4">
      <c r="A9442" s="1">
        <v>31987</v>
      </c>
      <c r="B9442">
        <v>315.64999999999998</v>
      </c>
      <c r="C9442">
        <f t="shared" si="314"/>
        <v>1.0629782601735322E-2</v>
      </c>
      <c r="D9442">
        <f t="shared" si="313"/>
        <v>1.0895979325691174</v>
      </c>
    </row>
    <row r="9443" spans="1:4">
      <c r="A9443" s="1">
        <v>31988</v>
      </c>
      <c r="B9443">
        <v>318.05</v>
      </c>
      <c r="C9443">
        <f t="shared" si="314"/>
        <v>7.6033581498496251E-3</v>
      </c>
      <c r="D9443">
        <f t="shared" si="313"/>
        <v>0.77000853918164236</v>
      </c>
    </row>
    <row r="9444" spans="1:4">
      <c r="A9444" s="1">
        <v>31989</v>
      </c>
      <c r="B9444">
        <v>318.66000000000003</v>
      </c>
      <c r="C9444">
        <f t="shared" si="314"/>
        <v>1.9179374312215489E-3</v>
      </c>
      <c r="D9444">
        <f t="shared" si="313"/>
        <v>0.16963004386291844</v>
      </c>
    </row>
    <row r="9445" spans="1:4">
      <c r="A9445" s="1">
        <v>31992</v>
      </c>
      <c r="B9445">
        <v>317.57</v>
      </c>
      <c r="C9445">
        <f t="shared" si="314"/>
        <v>-3.4205736521685549E-3</v>
      </c>
      <c r="D9445">
        <f t="shared" si="313"/>
        <v>-0.39411491189499009</v>
      </c>
    </row>
    <row r="9446" spans="1:4">
      <c r="A9446" s="1">
        <v>31993</v>
      </c>
      <c r="B9446">
        <v>316.23</v>
      </c>
      <c r="C9446">
        <f t="shared" si="314"/>
        <v>-4.2195421481877222E-3</v>
      </c>
      <c r="D9446">
        <f t="shared" si="313"/>
        <v>-0.4784857134920269</v>
      </c>
    </row>
    <row r="9447" spans="1:4">
      <c r="A9447" s="1">
        <v>31994</v>
      </c>
      <c r="B9447">
        <v>318.45</v>
      </c>
      <c r="C9447">
        <f t="shared" si="314"/>
        <v>7.0202068114978665E-3</v>
      </c>
      <c r="D9447">
        <f t="shared" si="313"/>
        <v>0.70842795607446762</v>
      </c>
    </row>
    <row r="9448" spans="1:4">
      <c r="A9448" s="1">
        <v>31995</v>
      </c>
      <c r="B9448">
        <v>322.08999999999997</v>
      </c>
      <c r="C9448">
        <f t="shared" si="314"/>
        <v>1.143036583451087E-2</v>
      </c>
      <c r="D9448">
        <f t="shared" si="313"/>
        <v>1.1741392498187522</v>
      </c>
    </row>
    <row r="9449" spans="1:4">
      <c r="A9449" s="1">
        <v>31996</v>
      </c>
      <c r="B9449">
        <v>323</v>
      </c>
      <c r="C9449">
        <f t="shared" si="314"/>
        <v>2.8252972771586359E-3</v>
      </c>
      <c r="D9449">
        <f t="shared" si="313"/>
        <v>0.26544693516727752</v>
      </c>
    </row>
    <row r="9450" spans="1:4">
      <c r="A9450" s="1">
        <v>31999</v>
      </c>
      <c r="B9450">
        <v>328</v>
      </c>
      <c r="C9450">
        <f t="shared" si="314"/>
        <v>1.5479876160990712E-2</v>
      </c>
      <c r="D9450">
        <f t="shared" si="313"/>
        <v>1.601766163799583</v>
      </c>
    </row>
    <row r="9451" spans="1:4">
      <c r="A9451" s="1">
        <v>32000</v>
      </c>
      <c r="B9451">
        <v>333.33</v>
      </c>
      <c r="C9451">
        <f t="shared" si="314"/>
        <v>1.6249999999999952E-2</v>
      </c>
      <c r="D9451">
        <f t="shared" si="313"/>
        <v>1.6830909794211466</v>
      </c>
    </row>
    <row r="9452" spans="1:4">
      <c r="A9452" s="1">
        <v>32001</v>
      </c>
      <c r="B9452">
        <v>332.39</v>
      </c>
      <c r="C9452">
        <f t="shared" si="314"/>
        <v>-2.8200282002819963E-3</v>
      </c>
      <c r="D9452">
        <f t="shared" si="313"/>
        <v>-0.33069751631108701</v>
      </c>
    </row>
    <row r="9453" spans="1:4">
      <c r="A9453" s="1">
        <v>32002</v>
      </c>
      <c r="B9453">
        <v>334.65</v>
      </c>
      <c r="C9453">
        <f t="shared" si="314"/>
        <v>6.7992418544480611E-3</v>
      </c>
      <c r="D9453">
        <f t="shared" si="313"/>
        <v>0.6850941317196465</v>
      </c>
    </row>
    <row r="9454" spans="1:4">
      <c r="A9454" s="1">
        <v>32003</v>
      </c>
      <c r="B9454">
        <v>333.99</v>
      </c>
      <c r="C9454">
        <f t="shared" si="314"/>
        <v>-1.9722097714028634E-3</v>
      </c>
      <c r="D9454">
        <f t="shared" si="313"/>
        <v>-0.24116817840893687</v>
      </c>
    </row>
    <row r="9455" spans="1:4">
      <c r="A9455" s="1">
        <v>32006</v>
      </c>
      <c r="B9455">
        <v>334.11</v>
      </c>
      <c r="C9455">
        <f t="shared" si="314"/>
        <v>3.5929219437709075E-4</v>
      </c>
      <c r="D9455">
        <f t="shared" si="313"/>
        <v>5.0376366614017561E-3</v>
      </c>
    </row>
    <row r="9456" spans="1:4">
      <c r="A9456" s="1">
        <v>32007</v>
      </c>
      <c r="B9456">
        <v>329.25</v>
      </c>
      <c r="C9456">
        <f t="shared" si="314"/>
        <v>-1.4546107569363424E-2</v>
      </c>
      <c r="D9456">
        <f t="shared" si="313"/>
        <v>-1.5689675117980437</v>
      </c>
    </row>
    <row r="9457" spans="1:4">
      <c r="A9457" s="1">
        <v>32008</v>
      </c>
      <c r="B9457">
        <v>329.83</v>
      </c>
      <c r="C9457">
        <f t="shared" si="314"/>
        <v>1.761579347000711E-3</v>
      </c>
      <c r="D9457">
        <f t="shared" si="313"/>
        <v>0.15311868331789313</v>
      </c>
    </row>
    <row r="9458" spans="1:4">
      <c r="A9458" s="1">
        <v>32009</v>
      </c>
      <c r="B9458">
        <v>334.84</v>
      </c>
      <c r="C9458">
        <f t="shared" si="314"/>
        <v>1.5189643149501232E-2</v>
      </c>
      <c r="D9458">
        <f t="shared" si="313"/>
        <v>1.5711176564412879</v>
      </c>
    </row>
    <row r="9459" spans="1:4">
      <c r="A9459" s="1">
        <v>32010</v>
      </c>
      <c r="B9459">
        <v>335.9</v>
      </c>
      <c r="C9459">
        <f t="shared" si="314"/>
        <v>3.1656910763349731E-3</v>
      </c>
      <c r="D9459">
        <f t="shared" si="313"/>
        <v>0.30139240465482453</v>
      </c>
    </row>
    <row r="9460" spans="1:4">
      <c r="A9460" s="1">
        <v>32013</v>
      </c>
      <c r="B9460">
        <v>333.33</v>
      </c>
      <c r="C9460">
        <f t="shared" si="314"/>
        <v>-7.6510866329264461E-3</v>
      </c>
      <c r="D9460">
        <f t="shared" si="313"/>
        <v>-0.84085564464179141</v>
      </c>
    </row>
    <row r="9461" spans="1:4">
      <c r="A9461" s="1">
        <v>32014</v>
      </c>
      <c r="B9461">
        <v>336.77</v>
      </c>
      <c r="C9461">
        <f t="shared" si="314"/>
        <v>1.0320103201032004E-2</v>
      </c>
      <c r="D9461">
        <f t="shared" si="313"/>
        <v>1.0568958931199899</v>
      </c>
    </row>
    <row r="9462" spans="1:4">
      <c r="A9462" s="1">
        <v>32015</v>
      </c>
      <c r="B9462">
        <v>334.57</v>
      </c>
      <c r="C9462">
        <f t="shared" si="314"/>
        <v>-6.532648395047031E-3</v>
      </c>
      <c r="D9462">
        <f t="shared" si="313"/>
        <v>-0.72274894689735403</v>
      </c>
    </row>
    <row r="9463" spans="1:4">
      <c r="A9463" s="1">
        <v>32016</v>
      </c>
      <c r="B9463">
        <v>331.38</v>
      </c>
      <c r="C9463">
        <f t="shared" si="314"/>
        <v>-9.5346265355530906E-3</v>
      </c>
      <c r="D9463">
        <f t="shared" si="313"/>
        <v>-1.039756818112844</v>
      </c>
    </row>
    <row r="9464" spans="1:4">
      <c r="A9464" s="1">
        <v>32017</v>
      </c>
      <c r="B9464">
        <v>327.04000000000002</v>
      </c>
      <c r="C9464">
        <f t="shared" si="314"/>
        <v>-1.3096746937051044E-2</v>
      </c>
      <c r="D9464">
        <f t="shared" si="313"/>
        <v>-1.4159155216874726</v>
      </c>
    </row>
    <row r="9465" spans="1:4">
      <c r="A9465" s="1">
        <v>32020</v>
      </c>
      <c r="B9465">
        <v>329.8</v>
      </c>
      <c r="C9465">
        <f t="shared" si="314"/>
        <v>8.4393346379647467E-3</v>
      </c>
      <c r="D9465">
        <f t="shared" si="313"/>
        <v>0.85828737216438422</v>
      </c>
    </row>
    <row r="9466" spans="1:4">
      <c r="A9466" s="1">
        <v>32021</v>
      </c>
      <c r="B9466">
        <v>323.39999999999998</v>
      </c>
      <c r="C9466">
        <f t="shared" si="314"/>
        <v>-1.9405700424499798E-2</v>
      </c>
      <c r="D9466">
        <f t="shared" si="313"/>
        <v>-2.0821388654445743</v>
      </c>
    </row>
    <row r="9467" spans="1:4">
      <c r="A9467" s="1">
        <v>32022</v>
      </c>
      <c r="B9467">
        <v>321.68</v>
      </c>
      <c r="C9467">
        <f t="shared" si="314"/>
        <v>-5.3184910327766562E-3</v>
      </c>
      <c r="D9467">
        <f t="shared" si="313"/>
        <v>-0.59453434215374257</v>
      </c>
    </row>
    <row r="9468" spans="1:4">
      <c r="A9468" s="1">
        <v>32023</v>
      </c>
      <c r="B9468">
        <v>320.20999999999998</v>
      </c>
      <c r="C9468">
        <f t="shared" si="314"/>
        <v>-4.5697587664760859E-3</v>
      </c>
      <c r="D9468">
        <f t="shared" si="313"/>
        <v>-0.51546846933886548</v>
      </c>
    </row>
    <row r="9469" spans="1:4">
      <c r="A9469" s="1">
        <v>32024</v>
      </c>
      <c r="B9469">
        <v>316.7</v>
      </c>
      <c r="C9469">
        <f t="shared" si="314"/>
        <v>-1.0961556478560917E-2</v>
      </c>
      <c r="D9469">
        <f t="shared" si="313"/>
        <v>-1.1904401350574163</v>
      </c>
    </row>
    <row r="9470" spans="1:4">
      <c r="A9470" s="1">
        <v>32028</v>
      </c>
      <c r="B9470">
        <v>313.56</v>
      </c>
      <c r="C9470">
        <f t="shared" si="314"/>
        <v>-9.9147458162298276E-3</v>
      </c>
      <c r="D9470">
        <f t="shared" si="313"/>
        <v>-1.079897284943486</v>
      </c>
    </row>
    <row r="9471" spans="1:4">
      <c r="A9471" s="1">
        <v>32029</v>
      </c>
      <c r="B9471">
        <v>313.92</v>
      </c>
      <c r="C9471">
        <f t="shared" si="314"/>
        <v>1.1481056257176094E-3</v>
      </c>
      <c r="D9471">
        <f t="shared" si="313"/>
        <v>8.8336066880247421E-2</v>
      </c>
    </row>
    <row r="9472" spans="1:4">
      <c r="A9472" s="1">
        <v>32030</v>
      </c>
      <c r="B9472">
        <v>317.13</v>
      </c>
      <c r="C9472">
        <f t="shared" si="314"/>
        <v>1.0225535168195653E-2</v>
      </c>
      <c r="D9472">
        <f t="shared" si="313"/>
        <v>1.0469095409977074</v>
      </c>
    </row>
    <row r="9473" spans="1:4">
      <c r="A9473" s="1">
        <v>32031</v>
      </c>
      <c r="B9473">
        <v>321.98</v>
      </c>
      <c r="C9473">
        <f t="shared" si="314"/>
        <v>1.5293412796014325E-2</v>
      </c>
      <c r="D9473">
        <f t="shared" si="313"/>
        <v>1.5820756958400539</v>
      </c>
    </row>
    <row r="9474" spans="1:4">
      <c r="A9474" s="1">
        <v>32034</v>
      </c>
      <c r="B9474">
        <v>323.08</v>
      </c>
      <c r="C9474">
        <f t="shared" si="314"/>
        <v>3.4163612646747185E-3</v>
      </c>
      <c r="D9474">
        <f t="shared" si="313"/>
        <v>0.32786309133656466</v>
      </c>
    </row>
    <row r="9475" spans="1:4">
      <c r="A9475" s="1">
        <v>32035</v>
      </c>
      <c r="B9475">
        <v>317.74</v>
      </c>
      <c r="C9475">
        <f t="shared" si="314"/>
        <v>-1.6528414015104541E-2</v>
      </c>
      <c r="D9475">
        <f t="shared" ref="D9475:D9538" si="315">(C9475-avg)/sd</f>
        <v>-1.7782983986496059</v>
      </c>
    </row>
    <row r="9476" spans="1:4">
      <c r="A9476" s="1">
        <v>32036</v>
      </c>
      <c r="B9476">
        <v>314.86</v>
      </c>
      <c r="C9476">
        <f t="shared" ref="C9476:C9539" si="316">(B9476-B9475)/B9475</f>
        <v>-9.0640146031346243E-3</v>
      </c>
      <c r="D9476">
        <f t="shared" si="315"/>
        <v>-0.99006035801822234</v>
      </c>
    </row>
    <row r="9477" spans="1:4">
      <c r="A9477" s="1">
        <v>32037</v>
      </c>
      <c r="B9477">
        <v>314.93</v>
      </c>
      <c r="C9477">
        <f t="shared" si="316"/>
        <v>2.2232103156956482E-4</v>
      </c>
      <c r="D9477">
        <f t="shared" si="315"/>
        <v>-9.4264715723125694E-3</v>
      </c>
    </row>
    <row r="9478" spans="1:4">
      <c r="A9478" s="1">
        <v>32038</v>
      </c>
      <c r="B9478">
        <v>314.86</v>
      </c>
      <c r="C9478">
        <f t="shared" si="316"/>
        <v>-2.2227161591462604E-4</v>
      </c>
      <c r="D9478">
        <f t="shared" si="315"/>
        <v>-5.6375304022259487E-2</v>
      </c>
    </row>
    <row r="9479" spans="1:4">
      <c r="A9479" s="1">
        <v>32041</v>
      </c>
      <c r="B9479">
        <v>310.54000000000002</v>
      </c>
      <c r="C9479">
        <f t="shared" si="316"/>
        <v>-1.3720383662580172E-2</v>
      </c>
      <c r="D9479">
        <f t="shared" si="315"/>
        <v>-1.4817713479189258</v>
      </c>
    </row>
    <row r="9480" spans="1:4">
      <c r="A9480" s="1">
        <v>32042</v>
      </c>
      <c r="B9480">
        <v>319.5</v>
      </c>
      <c r="C9480">
        <f t="shared" si="316"/>
        <v>2.8852965801506984E-2</v>
      </c>
      <c r="D9480">
        <f t="shared" si="315"/>
        <v>3.0139598841040667</v>
      </c>
    </row>
    <row r="9481" spans="1:4">
      <c r="A9481" s="1">
        <v>32043</v>
      </c>
      <c r="B9481">
        <v>321.19</v>
      </c>
      <c r="C9481">
        <f t="shared" si="316"/>
        <v>5.2895148669796482E-3</v>
      </c>
      <c r="D9481">
        <f t="shared" si="315"/>
        <v>0.52566747502411937</v>
      </c>
    </row>
    <row r="9482" spans="1:4">
      <c r="A9482" s="1">
        <v>32044</v>
      </c>
      <c r="B9482">
        <v>319.72000000000003</v>
      </c>
      <c r="C9482">
        <f t="shared" si="316"/>
        <v>-4.576730284255333E-3</v>
      </c>
      <c r="D9482">
        <f t="shared" si="315"/>
        <v>-0.51620465924661996</v>
      </c>
    </row>
    <row r="9483" spans="1:4">
      <c r="A9483" s="1">
        <v>32045</v>
      </c>
      <c r="B9483">
        <v>320.16000000000003</v>
      </c>
      <c r="C9483">
        <f t="shared" si="316"/>
        <v>1.376204178656317E-3</v>
      </c>
      <c r="D9483">
        <f t="shared" si="315"/>
        <v>0.11242319653610959</v>
      </c>
    </row>
    <row r="9484" spans="1:4">
      <c r="A9484" s="1">
        <v>32048</v>
      </c>
      <c r="B9484">
        <v>323.2</v>
      </c>
      <c r="C9484">
        <f t="shared" si="316"/>
        <v>9.4952523738129797E-3</v>
      </c>
      <c r="D9484">
        <f t="shared" si="315"/>
        <v>0.96979192614608001</v>
      </c>
    </row>
    <row r="9485" spans="1:4">
      <c r="A9485" s="1">
        <v>32049</v>
      </c>
      <c r="B9485">
        <v>321.69</v>
      </c>
      <c r="C9485">
        <f t="shared" si="316"/>
        <v>-4.6720297029702691E-3</v>
      </c>
      <c r="D9485">
        <f t="shared" si="315"/>
        <v>-0.52626824546907081</v>
      </c>
    </row>
    <row r="9486" spans="1:4">
      <c r="A9486" s="1">
        <v>32050</v>
      </c>
      <c r="B9486">
        <v>321.83</v>
      </c>
      <c r="C9486">
        <f t="shared" si="316"/>
        <v>4.352015915943497E-4</v>
      </c>
      <c r="D9486">
        <f t="shared" si="315"/>
        <v>1.3053643204686492E-2</v>
      </c>
    </row>
    <row r="9487" spans="1:4">
      <c r="A9487" s="1">
        <v>32051</v>
      </c>
      <c r="B9487">
        <v>327.33</v>
      </c>
      <c r="C9487">
        <f t="shared" si="316"/>
        <v>1.7089767889879752E-2</v>
      </c>
      <c r="D9487">
        <f t="shared" si="315"/>
        <v>1.7717701831414783</v>
      </c>
    </row>
    <row r="9488" spans="1:4">
      <c r="A9488" s="1">
        <v>32052</v>
      </c>
      <c r="B9488">
        <v>328.07</v>
      </c>
      <c r="C9488">
        <f t="shared" si="316"/>
        <v>2.2607154859011062E-3</v>
      </c>
      <c r="D9488">
        <f t="shared" si="315"/>
        <v>0.20582728992115767</v>
      </c>
    </row>
    <row r="9489" spans="1:4">
      <c r="A9489" s="1">
        <v>32055</v>
      </c>
      <c r="B9489">
        <v>328.08</v>
      </c>
      <c r="C9489">
        <f t="shared" si="316"/>
        <v>3.048129972259245E-5</v>
      </c>
      <c r="D9489">
        <f t="shared" si="315"/>
        <v>-2.9684682045859629E-2</v>
      </c>
    </row>
    <row r="9490" spans="1:4">
      <c r="A9490" s="1">
        <v>32056</v>
      </c>
      <c r="B9490">
        <v>319.22000000000003</v>
      </c>
      <c r="C9490">
        <f t="shared" si="316"/>
        <v>-2.700560838819787E-2</v>
      </c>
      <c r="D9490">
        <f t="shared" si="315"/>
        <v>-2.8846865630768561</v>
      </c>
    </row>
    <row r="9491" spans="1:4">
      <c r="A9491" s="1">
        <v>32057</v>
      </c>
      <c r="B9491">
        <v>318.54000000000002</v>
      </c>
      <c r="C9491">
        <f t="shared" si="316"/>
        <v>-2.1301923438381267E-3</v>
      </c>
      <c r="D9491">
        <f t="shared" si="315"/>
        <v>-0.2578510843572151</v>
      </c>
    </row>
    <row r="9492" spans="1:4">
      <c r="A9492" s="1">
        <v>32058</v>
      </c>
      <c r="B9492">
        <v>314.16000000000003</v>
      </c>
      <c r="C9492">
        <f t="shared" si="316"/>
        <v>-1.375023544923713E-2</v>
      </c>
      <c r="D9492">
        <f t="shared" si="315"/>
        <v>-1.4849236864427853</v>
      </c>
    </row>
    <row r="9493" spans="1:4">
      <c r="A9493" s="1">
        <v>32059</v>
      </c>
      <c r="B9493">
        <v>311.07</v>
      </c>
      <c r="C9493">
        <f t="shared" si="316"/>
        <v>-9.8357524828114069E-3</v>
      </c>
      <c r="D9493">
        <f t="shared" si="315"/>
        <v>-1.0715556157856396</v>
      </c>
    </row>
    <row r="9494" spans="1:4">
      <c r="A9494" s="1">
        <v>32062</v>
      </c>
      <c r="B9494">
        <v>309.39</v>
      </c>
      <c r="C9494">
        <f t="shared" si="316"/>
        <v>-5.400713665734423E-3</v>
      </c>
      <c r="D9494">
        <f t="shared" si="315"/>
        <v>-0.60321702424525181</v>
      </c>
    </row>
    <row r="9495" spans="1:4">
      <c r="A9495" s="1">
        <v>32063</v>
      </c>
      <c r="B9495">
        <v>314.52</v>
      </c>
      <c r="C9495">
        <f t="shared" si="316"/>
        <v>1.6581014253854345E-2</v>
      </c>
      <c r="D9495">
        <f t="shared" si="315"/>
        <v>1.7180459721109587</v>
      </c>
    </row>
    <row r="9496" spans="1:4">
      <c r="A9496" s="1">
        <v>32064</v>
      </c>
      <c r="B9496">
        <v>305.23</v>
      </c>
      <c r="C9496">
        <f t="shared" si="316"/>
        <v>-2.9537072364237454E-2</v>
      </c>
      <c r="D9496">
        <f t="shared" si="315"/>
        <v>-3.1520082984602218</v>
      </c>
    </row>
    <row r="9497" spans="1:4">
      <c r="A9497" s="1">
        <v>32065</v>
      </c>
      <c r="B9497">
        <v>298.08</v>
      </c>
      <c r="C9497">
        <f t="shared" si="316"/>
        <v>-2.3424958228221451E-2</v>
      </c>
      <c r="D9497">
        <f t="shared" si="315"/>
        <v>-2.5065711233054726</v>
      </c>
    </row>
    <row r="9498" spans="1:4">
      <c r="A9498" s="1">
        <v>32066</v>
      </c>
      <c r="B9498">
        <v>282.7</v>
      </c>
      <c r="C9498">
        <f t="shared" si="316"/>
        <v>-5.1596886741814264E-2</v>
      </c>
      <c r="D9498">
        <f t="shared" si="315"/>
        <v>-5.4815171982370927</v>
      </c>
    </row>
    <row r="9499" spans="1:4">
      <c r="A9499" s="1">
        <v>32069</v>
      </c>
      <c r="B9499">
        <v>224.84</v>
      </c>
      <c r="C9499">
        <f t="shared" si="316"/>
        <v>-0.20466926070038907</v>
      </c>
      <c r="D9499">
        <f t="shared" si="315"/>
        <v>-21.645907856434587</v>
      </c>
    </row>
    <row r="9500" spans="1:4">
      <c r="A9500" s="1">
        <v>32070</v>
      </c>
      <c r="B9500">
        <v>236.83</v>
      </c>
      <c r="C9500">
        <f t="shared" si="316"/>
        <v>5.3326810176125283E-2</v>
      </c>
      <c r="D9500">
        <f t="shared" si="315"/>
        <v>5.5983895309998539</v>
      </c>
    </row>
    <row r="9501" spans="1:4">
      <c r="A9501" s="1">
        <v>32071</v>
      </c>
      <c r="B9501">
        <v>258.38</v>
      </c>
      <c r="C9501">
        <f t="shared" si="316"/>
        <v>9.0993539669805265E-2</v>
      </c>
      <c r="D9501">
        <f t="shared" si="315"/>
        <v>9.575983361989012</v>
      </c>
    </row>
    <row r="9502" spans="1:4">
      <c r="A9502" s="1">
        <v>32072</v>
      </c>
      <c r="B9502">
        <v>248.25</v>
      </c>
      <c r="C9502">
        <f t="shared" si="316"/>
        <v>-3.9205820883969331E-2</v>
      </c>
      <c r="D9502">
        <f t="shared" si="315"/>
        <v>-4.1730248555765996</v>
      </c>
    </row>
    <row r="9503" spans="1:4">
      <c r="A9503" s="1">
        <v>32073</v>
      </c>
      <c r="B9503">
        <v>248.22</v>
      </c>
      <c r="C9503">
        <f t="shared" si="316"/>
        <v>-1.2084592145015564E-4</v>
      </c>
      <c r="D9503">
        <f t="shared" si="315"/>
        <v>-4.5664785163080084E-2</v>
      </c>
    </row>
    <row r="9504" spans="1:4">
      <c r="A9504" s="1">
        <v>32076</v>
      </c>
      <c r="B9504">
        <v>227.67</v>
      </c>
      <c r="C9504">
        <f t="shared" si="316"/>
        <v>-8.2789460962049838E-2</v>
      </c>
      <c r="D9504">
        <f t="shared" si="315"/>
        <v>-8.7754424330228247</v>
      </c>
    </row>
    <row r="9505" spans="1:4">
      <c r="A9505" s="1">
        <v>32077</v>
      </c>
      <c r="B9505">
        <v>233.19</v>
      </c>
      <c r="C9505">
        <f t="shared" si="316"/>
        <v>2.4245618658584839E-2</v>
      </c>
      <c r="D9505">
        <f t="shared" si="315"/>
        <v>2.5274255919248754</v>
      </c>
    </row>
    <row r="9506" spans="1:4">
      <c r="A9506" s="1">
        <v>32078</v>
      </c>
      <c r="B9506">
        <v>233.28</v>
      </c>
      <c r="C9506">
        <f t="shared" si="316"/>
        <v>3.8595137012737861E-4</v>
      </c>
      <c r="D9506">
        <f t="shared" si="315"/>
        <v>7.8528365587380231E-3</v>
      </c>
    </row>
    <row r="9507" spans="1:4">
      <c r="A9507" s="1">
        <v>32079</v>
      </c>
      <c r="B9507">
        <v>244.77</v>
      </c>
      <c r="C9507">
        <f t="shared" si="316"/>
        <v>4.9254115226337485E-2</v>
      </c>
      <c r="D9507">
        <f t="shared" si="315"/>
        <v>5.1683143286785391</v>
      </c>
    </row>
    <row r="9508" spans="1:4">
      <c r="A9508" s="1">
        <v>32080</v>
      </c>
      <c r="B9508">
        <v>251.79</v>
      </c>
      <c r="C9508">
        <f t="shared" si="316"/>
        <v>2.867998529231516E-2</v>
      </c>
      <c r="D9508">
        <f t="shared" si="315"/>
        <v>2.9956932011323421</v>
      </c>
    </row>
    <row r="9509" spans="1:4">
      <c r="A9509" s="1">
        <v>32083</v>
      </c>
      <c r="B9509">
        <v>255.75</v>
      </c>
      <c r="C9509">
        <f t="shared" si="316"/>
        <v>1.5727391874180898E-2</v>
      </c>
      <c r="D9509">
        <f t="shared" si="315"/>
        <v>1.627903738977788</v>
      </c>
    </row>
    <row r="9510" spans="1:4">
      <c r="A9510" s="1">
        <v>32084</v>
      </c>
      <c r="B9510">
        <v>250.82</v>
      </c>
      <c r="C9510">
        <f t="shared" si="316"/>
        <v>-1.9276637341153497E-2</v>
      </c>
      <c r="D9510">
        <f t="shared" si="315"/>
        <v>-2.0685098477138784</v>
      </c>
    </row>
    <row r="9511" spans="1:4">
      <c r="A9511" s="1">
        <v>32085</v>
      </c>
      <c r="B9511">
        <v>248.96</v>
      </c>
      <c r="C9511">
        <f t="shared" si="316"/>
        <v>-7.4156765808148679E-3</v>
      </c>
      <c r="D9511">
        <f t="shared" si="315"/>
        <v>-0.81599642315857346</v>
      </c>
    </row>
    <row r="9512" spans="1:4">
      <c r="A9512" s="1">
        <v>32086</v>
      </c>
      <c r="B9512">
        <v>254.48</v>
      </c>
      <c r="C9512">
        <f t="shared" si="316"/>
        <v>2.2172236503855969E-2</v>
      </c>
      <c r="D9512">
        <f t="shared" si="315"/>
        <v>2.3084771411623444</v>
      </c>
    </row>
    <row r="9513" spans="1:4">
      <c r="A9513" s="1">
        <v>32087</v>
      </c>
      <c r="B9513">
        <v>250.41</v>
      </c>
      <c r="C9513">
        <f t="shared" si="316"/>
        <v>-1.5993398302420598E-2</v>
      </c>
      <c r="D9513">
        <f t="shared" si="315"/>
        <v>-1.7218009212508585</v>
      </c>
    </row>
    <row r="9514" spans="1:4">
      <c r="A9514" s="1">
        <v>32090</v>
      </c>
      <c r="B9514">
        <v>243.17</v>
      </c>
      <c r="C9514">
        <f t="shared" si="316"/>
        <v>-2.8912583363284252E-2</v>
      </c>
      <c r="D9514">
        <f t="shared" si="315"/>
        <v>-3.0860624722336887</v>
      </c>
    </row>
    <row r="9515" spans="1:4">
      <c r="A9515" s="1">
        <v>32091</v>
      </c>
      <c r="B9515">
        <v>239</v>
      </c>
      <c r="C9515">
        <f t="shared" si="316"/>
        <v>-1.7148496936299659E-2</v>
      </c>
      <c r="D9515">
        <f t="shared" si="315"/>
        <v>-1.8437789443513843</v>
      </c>
    </row>
    <row r="9516" spans="1:4">
      <c r="A9516" s="1">
        <v>32092</v>
      </c>
      <c r="B9516">
        <v>241.9</v>
      </c>
      <c r="C9516">
        <f t="shared" si="316"/>
        <v>1.2133891213389146E-2</v>
      </c>
      <c r="D9516">
        <f t="shared" si="315"/>
        <v>1.2484312906884025</v>
      </c>
    </row>
    <row r="9517" spans="1:4">
      <c r="A9517" s="1">
        <v>32093</v>
      </c>
      <c r="B9517">
        <v>248.52</v>
      </c>
      <c r="C9517">
        <f t="shared" si="316"/>
        <v>2.7366680446465501E-2</v>
      </c>
      <c r="D9517">
        <f t="shared" si="315"/>
        <v>2.8570086558246253</v>
      </c>
    </row>
    <row r="9518" spans="1:4">
      <c r="A9518" s="1">
        <v>32094</v>
      </c>
      <c r="B9518">
        <v>245.64</v>
      </c>
      <c r="C9518">
        <f t="shared" si="316"/>
        <v>-1.1588604538870206E-2</v>
      </c>
      <c r="D9518">
        <f t="shared" si="315"/>
        <v>-1.2566561970820853</v>
      </c>
    </row>
    <row r="9519" spans="1:4">
      <c r="A9519" s="1">
        <v>32097</v>
      </c>
      <c r="B9519">
        <v>246.76</v>
      </c>
      <c r="C9519">
        <f t="shared" si="316"/>
        <v>4.5595179938121011E-3</v>
      </c>
      <c r="D9519">
        <f t="shared" si="315"/>
        <v>0.44858005335561996</v>
      </c>
    </row>
    <row r="9520" spans="1:4">
      <c r="A9520" s="1">
        <v>32098</v>
      </c>
      <c r="B9520">
        <v>243.04</v>
      </c>
      <c r="C9520">
        <f t="shared" si="316"/>
        <v>-1.5075376884422106E-2</v>
      </c>
      <c r="D9520">
        <f t="shared" si="315"/>
        <v>-1.6248581715608592</v>
      </c>
    </row>
    <row r="9521" spans="1:4">
      <c r="A9521" s="1">
        <v>32099</v>
      </c>
      <c r="B9521">
        <v>245.55</v>
      </c>
      <c r="C9521">
        <f t="shared" si="316"/>
        <v>1.032751810401588E-2</v>
      </c>
      <c r="D9521">
        <f t="shared" si="315"/>
        <v>1.0576789043546391</v>
      </c>
    </row>
    <row r="9522" spans="1:4">
      <c r="A9522" s="1">
        <v>32100</v>
      </c>
      <c r="B9522">
        <v>240.05</v>
      </c>
      <c r="C9522">
        <f t="shared" si="316"/>
        <v>-2.2398696803095093E-2</v>
      </c>
      <c r="D9522">
        <f t="shared" si="315"/>
        <v>-2.3981982656553367</v>
      </c>
    </row>
    <row r="9523" spans="1:4">
      <c r="A9523" s="1">
        <v>32101</v>
      </c>
      <c r="B9523">
        <v>242</v>
      </c>
      <c r="C9523">
        <f t="shared" si="316"/>
        <v>8.1233076442407352E-3</v>
      </c>
      <c r="D9523">
        <f t="shared" si="315"/>
        <v>0.82491502904992309</v>
      </c>
    </row>
    <row r="9524" spans="1:4">
      <c r="A9524" s="1">
        <v>32104</v>
      </c>
      <c r="B9524">
        <v>242.99</v>
      </c>
      <c r="C9524">
        <f t="shared" si="316"/>
        <v>4.0909090909091285E-3</v>
      </c>
      <c r="D9524">
        <f t="shared" si="315"/>
        <v>0.3990951124969716</v>
      </c>
    </row>
    <row r="9525" spans="1:4">
      <c r="A9525" s="1">
        <v>32105</v>
      </c>
      <c r="B9525">
        <v>246.39</v>
      </c>
      <c r="C9525">
        <f t="shared" si="316"/>
        <v>1.3992345364006654E-2</v>
      </c>
      <c r="D9525">
        <f t="shared" si="315"/>
        <v>1.4446834172743521</v>
      </c>
    </row>
    <row r="9526" spans="1:4">
      <c r="A9526" s="1">
        <v>32106</v>
      </c>
      <c r="B9526">
        <v>244.1</v>
      </c>
      <c r="C9526">
        <f t="shared" si="316"/>
        <v>-9.2942083688461064E-3</v>
      </c>
      <c r="D9526">
        <f t="shared" si="315"/>
        <v>-1.0143687414306921</v>
      </c>
    </row>
    <row r="9527" spans="1:4">
      <c r="A9527" s="1">
        <v>32108</v>
      </c>
      <c r="B9527">
        <v>240.34</v>
      </c>
      <c r="C9527">
        <f t="shared" si="316"/>
        <v>-1.5403523146251499E-2</v>
      </c>
      <c r="D9527">
        <f t="shared" si="315"/>
        <v>-1.6595103052677094</v>
      </c>
    </row>
    <row r="9528" spans="1:4">
      <c r="A9528" s="1">
        <v>32111</v>
      </c>
      <c r="B9528">
        <v>230.3</v>
      </c>
      <c r="C9528">
        <f t="shared" si="316"/>
        <v>-4.1774153282849266E-2</v>
      </c>
      <c r="D9528">
        <f t="shared" si="315"/>
        <v>-4.4442398838797201</v>
      </c>
    </row>
    <row r="9529" spans="1:4">
      <c r="A9529" s="1">
        <v>32112</v>
      </c>
      <c r="B9529">
        <v>232</v>
      </c>
      <c r="C9529">
        <f t="shared" si="316"/>
        <v>7.3816760746851437E-3</v>
      </c>
      <c r="D9529">
        <f t="shared" si="315"/>
        <v>0.74659898739767161</v>
      </c>
    </row>
    <row r="9530" spans="1:4">
      <c r="A9530" s="1">
        <v>32113</v>
      </c>
      <c r="B9530">
        <v>233.45</v>
      </c>
      <c r="C9530">
        <f t="shared" si="316"/>
        <v>6.2499999999999509E-3</v>
      </c>
      <c r="D9530">
        <f t="shared" si="315"/>
        <v>0.62709437858630346</v>
      </c>
    </row>
    <row r="9531" spans="1:4">
      <c r="A9531" s="1">
        <v>32114</v>
      </c>
      <c r="B9531">
        <v>225.21</v>
      </c>
      <c r="C9531">
        <f t="shared" si="316"/>
        <v>-3.5296637395587839E-2</v>
      </c>
      <c r="D9531">
        <f t="shared" si="315"/>
        <v>-3.7602164079995446</v>
      </c>
    </row>
    <row r="9532" spans="1:4">
      <c r="A9532" s="1">
        <v>32115</v>
      </c>
      <c r="B9532">
        <v>223.92</v>
      </c>
      <c r="C9532">
        <f t="shared" si="316"/>
        <v>-5.7279872119356178E-3</v>
      </c>
      <c r="D9532">
        <f t="shared" si="315"/>
        <v>-0.63777699947841449</v>
      </c>
    </row>
    <row r="9533" spans="1:4">
      <c r="A9533" s="1">
        <v>32118</v>
      </c>
      <c r="B9533">
        <v>228.76</v>
      </c>
      <c r="C9533">
        <f t="shared" si="316"/>
        <v>2.1614862450875329E-2</v>
      </c>
      <c r="D9533">
        <f t="shared" si="315"/>
        <v>2.2496186306282349</v>
      </c>
    </row>
    <row r="9534" spans="1:4">
      <c r="A9534" s="1">
        <v>32119</v>
      </c>
      <c r="B9534">
        <v>234.91</v>
      </c>
      <c r="C9534">
        <f t="shared" si="316"/>
        <v>2.6884070641720607E-2</v>
      </c>
      <c r="D9534">
        <f t="shared" si="315"/>
        <v>2.8060452244906076</v>
      </c>
    </row>
    <row r="9535" spans="1:4">
      <c r="A9535" s="1">
        <v>32120</v>
      </c>
      <c r="B9535">
        <v>238.89</v>
      </c>
      <c r="C9535">
        <f t="shared" si="316"/>
        <v>1.6942658890638927E-2</v>
      </c>
      <c r="D9535">
        <f t="shared" si="315"/>
        <v>1.7562355228264257</v>
      </c>
    </row>
    <row r="9536" spans="1:4">
      <c r="A9536" s="1">
        <v>32121</v>
      </c>
      <c r="B9536">
        <v>233.57</v>
      </c>
      <c r="C9536">
        <f t="shared" si="316"/>
        <v>-2.226966386202852E-2</v>
      </c>
      <c r="D9536">
        <f t="shared" si="315"/>
        <v>-2.3845724309391345</v>
      </c>
    </row>
    <row r="9537" spans="1:4">
      <c r="A9537" s="1">
        <v>32122</v>
      </c>
      <c r="B9537">
        <v>235.32</v>
      </c>
      <c r="C9537">
        <f t="shared" si="316"/>
        <v>7.4924005651410717E-3</v>
      </c>
      <c r="D9537">
        <f t="shared" si="315"/>
        <v>0.75829145595273462</v>
      </c>
    </row>
    <row r="9538" spans="1:4">
      <c r="A9538" s="1">
        <v>32125</v>
      </c>
      <c r="B9538">
        <v>242.19</v>
      </c>
      <c r="C9538">
        <f t="shared" si="316"/>
        <v>2.9194288628250912E-2</v>
      </c>
      <c r="D9538">
        <f t="shared" si="315"/>
        <v>3.0500034585869593</v>
      </c>
    </row>
    <row r="9539" spans="1:4">
      <c r="A9539" s="1">
        <v>32126</v>
      </c>
      <c r="B9539">
        <v>242.81</v>
      </c>
      <c r="C9539">
        <f t="shared" si="316"/>
        <v>2.559973574466347E-3</v>
      </c>
      <c r="D9539">
        <f t="shared" ref="D9539:D9602" si="317">(C9539-avg)/sd</f>
        <v>0.23742884235088035</v>
      </c>
    </row>
    <row r="9540" spans="1:4">
      <c r="A9540" s="1">
        <v>32127</v>
      </c>
      <c r="B9540">
        <v>248.08</v>
      </c>
      <c r="C9540">
        <f t="shared" ref="C9540:C9603" si="318">(B9540-B9539)/B9539</f>
        <v>2.1704213170792019E-2</v>
      </c>
      <c r="D9540">
        <f t="shared" si="317"/>
        <v>2.2590540362796521</v>
      </c>
    </row>
    <row r="9541" spans="1:4">
      <c r="A9541" s="1">
        <v>32128</v>
      </c>
      <c r="B9541">
        <v>242.98</v>
      </c>
      <c r="C9541">
        <f t="shared" si="318"/>
        <v>-2.055788455336997E-2</v>
      </c>
      <c r="D9541">
        <f t="shared" si="317"/>
        <v>-2.2038091178068497</v>
      </c>
    </row>
    <row r="9542" spans="1:4">
      <c r="A9542" s="1">
        <v>32129</v>
      </c>
      <c r="B9542">
        <v>249.16</v>
      </c>
      <c r="C9542">
        <f t="shared" si="318"/>
        <v>2.5434192114577359E-2</v>
      </c>
      <c r="D9542">
        <f t="shared" si="317"/>
        <v>2.6529385448619376</v>
      </c>
    </row>
    <row r="9543" spans="1:4">
      <c r="A9543" s="1">
        <v>32132</v>
      </c>
      <c r="B9543">
        <v>249.54</v>
      </c>
      <c r="C9543">
        <f t="shared" si="318"/>
        <v>1.5251244180446118E-3</v>
      </c>
      <c r="D9543">
        <f t="shared" si="317"/>
        <v>0.12814912319506463</v>
      </c>
    </row>
    <row r="9544" spans="1:4">
      <c r="A9544" s="1">
        <v>32133</v>
      </c>
      <c r="B9544">
        <v>249.95</v>
      </c>
      <c r="C9544">
        <f t="shared" si="318"/>
        <v>1.6430231626192058E-3</v>
      </c>
      <c r="D9544">
        <f t="shared" si="317"/>
        <v>0.14059919054641129</v>
      </c>
    </row>
    <row r="9545" spans="1:4">
      <c r="A9545" s="1">
        <v>32134</v>
      </c>
      <c r="B9545">
        <v>253.16</v>
      </c>
      <c r="C9545">
        <f t="shared" si="318"/>
        <v>1.2842568513702773E-2</v>
      </c>
      <c r="D9545">
        <f t="shared" si="317"/>
        <v>1.323267372710403</v>
      </c>
    </row>
    <row r="9546" spans="1:4">
      <c r="A9546" s="1">
        <v>32135</v>
      </c>
      <c r="B9546">
        <v>252.03</v>
      </c>
      <c r="C9546">
        <f t="shared" si="318"/>
        <v>-4.4635803444461825E-3</v>
      </c>
      <c r="D9546">
        <f t="shared" si="317"/>
        <v>-0.5042560640643069</v>
      </c>
    </row>
    <row r="9547" spans="1:4">
      <c r="A9547" s="1">
        <v>32139</v>
      </c>
      <c r="B9547">
        <v>245.57</v>
      </c>
      <c r="C9547">
        <f t="shared" si="318"/>
        <v>-2.5631869221918058E-2</v>
      </c>
      <c r="D9547">
        <f t="shared" si="317"/>
        <v>-2.7396201740743389</v>
      </c>
    </row>
    <row r="9548" spans="1:4">
      <c r="A9548" s="1">
        <v>32140</v>
      </c>
      <c r="B9548">
        <v>244.59</v>
      </c>
      <c r="C9548">
        <f t="shared" si="318"/>
        <v>-3.9907154782749922E-3</v>
      </c>
      <c r="D9548">
        <f t="shared" si="317"/>
        <v>-0.45432169493120694</v>
      </c>
    </row>
    <row r="9549" spans="1:4">
      <c r="A9549" s="1">
        <v>32141</v>
      </c>
      <c r="B9549">
        <v>247.86</v>
      </c>
      <c r="C9549">
        <f t="shared" si="318"/>
        <v>1.3369311909726523E-2</v>
      </c>
      <c r="D9549">
        <f t="shared" si="317"/>
        <v>1.3788912962817312</v>
      </c>
    </row>
    <row r="9550" spans="1:4">
      <c r="A9550" s="1">
        <v>32142</v>
      </c>
      <c r="B9550">
        <v>247.08</v>
      </c>
      <c r="C9550">
        <f t="shared" si="318"/>
        <v>-3.1469377874606677E-3</v>
      </c>
      <c r="D9550">
        <f t="shared" si="317"/>
        <v>-0.36521905759518686</v>
      </c>
    </row>
    <row r="9551" spans="1:4">
      <c r="A9551" s="1">
        <v>32146</v>
      </c>
      <c r="B9551">
        <v>255.94</v>
      </c>
      <c r="C9551">
        <f t="shared" si="318"/>
        <v>3.5858831147806317E-2</v>
      </c>
      <c r="D9551">
        <f t="shared" si="317"/>
        <v>3.7537768832639387</v>
      </c>
    </row>
    <row r="9552" spans="1:4">
      <c r="A9552" s="1">
        <v>32147</v>
      </c>
      <c r="B9552">
        <v>258.63</v>
      </c>
      <c r="C9552">
        <f t="shared" si="318"/>
        <v>1.0510275845901374E-2</v>
      </c>
      <c r="D9552">
        <f t="shared" si="317"/>
        <v>1.0769780597753724</v>
      </c>
    </row>
    <row r="9553" spans="1:4">
      <c r="A9553" s="1">
        <v>32148</v>
      </c>
      <c r="B9553">
        <v>258.89</v>
      </c>
      <c r="C9553">
        <f t="shared" si="318"/>
        <v>1.0052971426361633E-3</v>
      </c>
      <c r="D9553">
        <f t="shared" si="317"/>
        <v>7.3255539609808698E-2</v>
      </c>
    </row>
    <row r="9554" spans="1:4">
      <c r="A9554" s="1">
        <v>32149</v>
      </c>
      <c r="B9554">
        <v>261.07</v>
      </c>
      <c r="C9554">
        <f t="shared" si="318"/>
        <v>8.4205647186063846E-3</v>
      </c>
      <c r="D9554">
        <f t="shared" si="317"/>
        <v>0.8563052750603467</v>
      </c>
    </row>
    <row r="9555" spans="1:4">
      <c r="A9555" s="1">
        <v>32150</v>
      </c>
      <c r="B9555">
        <v>243.4</v>
      </c>
      <c r="C9555">
        <f t="shared" si="318"/>
        <v>-6.7682996897383801E-2</v>
      </c>
      <c r="D9555">
        <f t="shared" si="317"/>
        <v>-7.1802049627307207</v>
      </c>
    </row>
    <row r="9556" spans="1:4">
      <c r="A9556" s="1">
        <v>32153</v>
      </c>
      <c r="B9556">
        <v>247.49</v>
      </c>
      <c r="C9556">
        <f t="shared" si="318"/>
        <v>1.6803615447822527E-2</v>
      </c>
      <c r="D9556">
        <f t="shared" si="317"/>
        <v>1.7415525825281764</v>
      </c>
    </row>
    <row r="9557" spans="1:4">
      <c r="A9557" s="1">
        <v>32154</v>
      </c>
      <c r="B9557">
        <v>245.42</v>
      </c>
      <c r="C9557">
        <f t="shared" si="318"/>
        <v>-8.3639743019920873E-3</v>
      </c>
      <c r="D9557">
        <f t="shared" si="317"/>
        <v>-0.91613634017283052</v>
      </c>
    </row>
    <row r="9558" spans="1:4">
      <c r="A9558" s="1">
        <v>32155</v>
      </c>
      <c r="B9558">
        <v>245.81</v>
      </c>
      <c r="C9558">
        <f t="shared" si="318"/>
        <v>1.5891125417651975E-3</v>
      </c>
      <c r="D9558">
        <f t="shared" si="317"/>
        <v>0.13490624730933842</v>
      </c>
    </row>
    <row r="9559" spans="1:4">
      <c r="A9559" s="1">
        <v>32156</v>
      </c>
      <c r="B9559">
        <v>245.88</v>
      </c>
      <c r="C9559">
        <f t="shared" si="318"/>
        <v>2.8477279199378862E-4</v>
      </c>
      <c r="D9559">
        <f t="shared" si="317"/>
        <v>-2.8315868998993387E-3</v>
      </c>
    </row>
    <row r="9560" spans="1:4">
      <c r="A9560" s="1">
        <v>32157</v>
      </c>
      <c r="B9560">
        <v>252.05</v>
      </c>
      <c r="C9560">
        <f t="shared" si="318"/>
        <v>2.5093541564991117E-2</v>
      </c>
      <c r="D9560">
        <f t="shared" si="317"/>
        <v>2.6169659626183783</v>
      </c>
    </row>
    <row r="9561" spans="1:4">
      <c r="A9561" s="1">
        <v>32160</v>
      </c>
      <c r="B9561">
        <v>251.88</v>
      </c>
      <c r="C9561">
        <f t="shared" si="318"/>
        <v>-6.7446935131924585E-4</v>
      </c>
      <c r="D9561">
        <f t="shared" si="317"/>
        <v>-0.10412723117150871</v>
      </c>
    </row>
    <row r="9562" spans="1:4">
      <c r="A9562" s="1">
        <v>32161</v>
      </c>
      <c r="B9562">
        <v>249.32</v>
      </c>
      <c r="C9562">
        <f t="shared" si="318"/>
        <v>-1.0163569953946332E-2</v>
      </c>
      <c r="D9562">
        <f t="shared" si="317"/>
        <v>-1.1061730293069152</v>
      </c>
    </row>
    <row r="9563" spans="1:4">
      <c r="A9563" s="1">
        <v>32162</v>
      </c>
      <c r="B9563">
        <v>242.63</v>
      </c>
      <c r="C9563">
        <f t="shared" si="318"/>
        <v>-2.6832985721161551E-2</v>
      </c>
      <c r="D9563">
        <f t="shared" si="317"/>
        <v>-2.8664576681151162</v>
      </c>
    </row>
    <row r="9564" spans="1:4">
      <c r="A9564" s="1">
        <v>32163</v>
      </c>
      <c r="B9564">
        <v>243.14</v>
      </c>
      <c r="C9564">
        <f t="shared" si="318"/>
        <v>2.1019659563944726E-3</v>
      </c>
      <c r="D9564">
        <f t="shared" si="317"/>
        <v>0.18906339356684412</v>
      </c>
    </row>
    <row r="9565" spans="1:4">
      <c r="A9565" s="1">
        <v>32164</v>
      </c>
      <c r="B9565">
        <v>246.5</v>
      </c>
      <c r="C9565">
        <f t="shared" si="318"/>
        <v>1.3819198815497301E-2</v>
      </c>
      <c r="D9565">
        <f t="shared" si="317"/>
        <v>1.4263992006071358</v>
      </c>
    </row>
    <row r="9566" spans="1:4">
      <c r="A9566" s="1">
        <v>32167</v>
      </c>
      <c r="B9566">
        <v>252.17</v>
      </c>
      <c r="C9566">
        <f t="shared" si="318"/>
        <v>2.3002028397565873E-2</v>
      </c>
      <c r="D9566">
        <f t="shared" si="317"/>
        <v>2.3961028830781412</v>
      </c>
    </row>
    <row r="9567" spans="1:4">
      <c r="A9567" s="1">
        <v>32168</v>
      </c>
      <c r="B9567">
        <v>249.57</v>
      </c>
      <c r="C9567">
        <f t="shared" si="318"/>
        <v>-1.0310504818178192E-2</v>
      </c>
      <c r="D9567">
        <f t="shared" si="317"/>
        <v>-1.1216893010242124</v>
      </c>
    </row>
    <row r="9568" spans="1:4">
      <c r="A9568" s="1">
        <v>32169</v>
      </c>
      <c r="B9568">
        <v>249.38</v>
      </c>
      <c r="C9568">
        <f t="shared" si="318"/>
        <v>-7.6130945225787443E-4</v>
      </c>
      <c r="D9568">
        <f t="shared" si="317"/>
        <v>-0.11329751631224337</v>
      </c>
    </row>
    <row r="9569" spans="1:4">
      <c r="A9569" s="1">
        <v>32170</v>
      </c>
      <c r="B9569">
        <v>253.29</v>
      </c>
      <c r="C9569">
        <f t="shared" si="318"/>
        <v>1.5678883631405873E-2</v>
      </c>
      <c r="D9569">
        <f t="shared" si="317"/>
        <v>1.622781285029498</v>
      </c>
    </row>
    <row r="9570" spans="1:4">
      <c r="A9570" s="1">
        <v>32171</v>
      </c>
      <c r="B9570">
        <v>257.07</v>
      </c>
      <c r="C9570">
        <f t="shared" si="318"/>
        <v>1.4923605353547323E-2</v>
      </c>
      <c r="D9570">
        <f t="shared" si="317"/>
        <v>1.5430241556191957</v>
      </c>
    </row>
    <row r="9571" spans="1:4">
      <c r="A9571" s="1">
        <v>32174</v>
      </c>
      <c r="B9571">
        <v>255.04</v>
      </c>
      <c r="C9571">
        <f t="shared" si="318"/>
        <v>-7.8966818376317773E-3</v>
      </c>
      <c r="D9571">
        <f t="shared" si="317"/>
        <v>-0.86679041477680807</v>
      </c>
    </row>
    <row r="9572" spans="1:4">
      <c r="A9572" s="1">
        <v>32175</v>
      </c>
      <c r="B9572">
        <v>255.57</v>
      </c>
      <c r="C9572">
        <f t="shared" si="318"/>
        <v>2.078105395232125E-3</v>
      </c>
      <c r="D9572">
        <f t="shared" si="317"/>
        <v>0.18654372641869901</v>
      </c>
    </row>
    <row r="9573" spans="1:4">
      <c r="A9573" s="1">
        <v>32176</v>
      </c>
      <c r="B9573">
        <v>252.21</v>
      </c>
      <c r="C9573">
        <f t="shared" si="318"/>
        <v>-1.3147082990961323E-2</v>
      </c>
      <c r="D9573">
        <f t="shared" si="317"/>
        <v>-1.4212309918703421</v>
      </c>
    </row>
    <row r="9574" spans="1:4">
      <c r="A9574" s="1">
        <v>32177</v>
      </c>
      <c r="B9574">
        <v>252.21</v>
      </c>
      <c r="C9574">
        <f t="shared" si="318"/>
        <v>0</v>
      </c>
      <c r="D9574">
        <f t="shared" si="317"/>
        <v>-3.29034969354682E-2</v>
      </c>
    </row>
    <row r="9575" spans="1:4">
      <c r="A9575" s="1">
        <v>32178</v>
      </c>
      <c r="B9575">
        <v>250.96</v>
      </c>
      <c r="C9575">
        <f t="shared" si="318"/>
        <v>-4.9561873042306016E-3</v>
      </c>
      <c r="D9575">
        <f t="shared" si="317"/>
        <v>-0.55627519157230021</v>
      </c>
    </row>
    <row r="9576" spans="1:4">
      <c r="A9576" s="1">
        <v>32181</v>
      </c>
      <c r="B9576">
        <v>249.1</v>
      </c>
      <c r="C9576">
        <f t="shared" si="318"/>
        <v>-7.4115396875996716E-3</v>
      </c>
      <c r="D9576">
        <f t="shared" si="317"/>
        <v>-0.81555956864124701</v>
      </c>
    </row>
    <row r="9577" spans="1:4">
      <c r="A9577" s="1">
        <v>32182</v>
      </c>
      <c r="B9577">
        <v>251.72</v>
      </c>
      <c r="C9577">
        <f t="shared" si="318"/>
        <v>1.0517864311521496E-2</v>
      </c>
      <c r="D9577">
        <f t="shared" si="317"/>
        <v>1.0777793991654125</v>
      </c>
    </row>
    <row r="9578" spans="1:4">
      <c r="A9578" s="1">
        <v>32183</v>
      </c>
      <c r="B9578">
        <v>256.66000000000003</v>
      </c>
      <c r="C9578">
        <f t="shared" si="318"/>
        <v>1.9624980136659885E-2</v>
      </c>
      <c r="D9578">
        <f t="shared" si="317"/>
        <v>2.039487734640947</v>
      </c>
    </row>
    <row r="9579" spans="1:4">
      <c r="A9579" s="1">
        <v>32184</v>
      </c>
      <c r="B9579">
        <v>255.95</v>
      </c>
      <c r="C9579">
        <f t="shared" si="318"/>
        <v>-2.7663056183278903E-3</v>
      </c>
      <c r="D9579">
        <f t="shared" si="317"/>
        <v>-0.32502442991792629</v>
      </c>
    </row>
    <row r="9580" spans="1:4">
      <c r="A9580" s="1">
        <v>32185</v>
      </c>
      <c r="B9580">
        <v>257.63</v>
      </c>
      <c r="C9580">
        <f t="shared" si="318"/>
        <v>6.563781988669689E-3</v>
      </c>
      <c r="D9580">
        <f t="shared" si="317"/>
        <v>0.66022964993014754</v>
      </c>
    </row>
    <row r="9581" spans="1:4">
      <c r="A9581" s="1">
        <v>32189</v>
      </c>
      <c r="B9581">
        <v>259.83</v>
      </c>
      <c r="C9581">
        <f t="shared" si="318"/>
        <v>8.5393781780071752E-3</v>
      </c>
      <c r="D9581">
        <f t="shared" si="317"/>
        <v>0.86885193598641308</v>
      </c>
    </row>
    <row r="9582" spans="1:4">
      <c r="A9582" s="1">
        <v>32190</v>
      </c>
      <c r="B9582">
        <v>259.20999999999998</v>
      </c>
      <c r="C9582">
        <f t="shared" si="318"/>
        <v>-2.3861755763383927E-3</v>
      </c>
      <c r="D9582">
        <f t="shared" si="317"/>
        <v>-0.28488282669631471</v>
      </c>
    </row>
    <row r="9583" spans="1:4">
      <c r="A9583" s="1">
        <v>32191</v>
      </c>
      <c r="B9583">
        <v>257.91000000000003</v>
      </c>
      <c r="C9583">
        <f t="shared" si="318"/>
        <v>-5.0152386096213673E-3</v>
      </c>
      <c r="D9583">
        <f t="shared" si="317"/>
        <v>-0.56251098934905108</v>
      </c>
    </row>
    <row r="9584" spans="1:4">
      <c r="A9584" s="1">
        <v>32192</v>
      </c>
      <c r="B9584">
        <v>261.61</v>
      </c>
      <c r="C9584">
        <f t="shared" si="318"/>
        <v>1.4346089721220536E-2</v>
      </c>
      <c r="D9584">
        <f t="shared" si="317"/>
        <v>1.4820387011525886</v>
      </c>
    </row>
    <row r="9585" spans="1:4">
      <c r="A9585" s="1">
        <v>32195</v>
      </c>
      <c r="B9585">
        <v>265.64</v>
      </c>
      <c r="C9585">
        <f t="shared" si="318"/>
        <v>1.5404609915523003E-2</v>
      </c>
      <c r="D9585">
        <f t="shared" si="317"/>
        <v>1.5938180738624328</v>
      </c>
    </row>
    <row r="9586" spans="1:4">
      <c r="A9586" s="1">
        <v>32196</v>
      </c>
      <c r="B9586">
        <v>265.02</v>
      </c>
      <c r="C9586">
        <f t="shared" si="318"/>
        <v>-2.3339858455052121E-3</v>
      </c>
      <c r="D9586">
        <f t="shared" si="317"/>
        <v>-0.27937160886048229</v>
      </c>
    </row>
    <row r="9587" spans="1:4">
      <c r="A9587" s="1">
        <v>32197</v>
      </c>
      <c r="B9587">
        <v>264.43</v>
      </c>
      <c r="C9587">
        <f t="shared" si="318"/>
        <v>-2.2262470756923064E-3</v>
      </c>
      <c r="D9587">
        <f t="shared" si="317"/>
        <v>-0.26799443139042672</v>
      </c>
    </row>
    <row r="9588" spans="1:4">
      <c r="A9588" s="1">
        <v>32198</v>
      </c>
      <c r="B9588">
        <v>261.58</v>
      </c>
      <c r="C9588">
        <f t="shared" si="318"/>
        <v>-1.0777899633173327E-2</v>
      </c>
      <c r="D9588">
        <f t="shared" si="317"/>
        <v>-1.1710460346124816</v>
      </c>
    </row>
    <row r="9589" spans="1:4">
      <c r="A9589" s="1">
        <v>32199</v>
      </c>
      <c r="B9589">
        <v>262.45999999999998</v>
      </c>
      <c r="C9589">
        <f t="shared" si="318"/>
        <v>3.3641715727501932E-3</v>
      </c>
      <c r="D9589">
        <f t="shared" si="317"/>
        <v>0.32235187760947298</v>
      </c>
    </row>
    <row r="9590" spans="1:4">
      <c r="A9590" s="1">
        <v>32202</v>
      </c>
      <c r="B9590">
        <v>267.82</v>
      </c>
      <c r="C9590">
        <f t="shared" si="318"/>
        <v>2.0422159567172193E-2</v>
      </c>
      <c r="D9590">
        <f t="shared" si="317"/>
        <v>2.1236696115285922</v>
      </c>
    </row>
    <row r="9591" spans="1:4">
      <c r="A9591" s="1">
        <v>32203</v>
      </c>
      <c r="B9591">
        <v>267.22000000000003</v>
      </c>
      <c r="C9591">
        <f t="shared" si="318"/>
        <v>-2.240310656410895E-3</v>
      </c>
      <c r="D9591">
        <f t="shared" si="317"/>
        <v>-0.26947954073386632</v>
      </c>
    </row>
    <row r="9592" spans="1:4">
      <c r="A9592" s="1">
        <v>32204</v>
      </c>
      <c r="B9592">
        <v>267.98</v>
      </c>
      <c r="C9592">
        <f t="shared" si="318"/>
        <v>2.8440984956215509E-3</v>
      </c>
      <c r="D9592">
        <f t="shared" si="317"/>
        <v>0.26743233744611666</v>
      </c>
    </row>
    <row r="9593" spans="1:4">
      <c r="A9593" s="1">
        <v>32205</v>
      </c>
      <c r="B9593">
        <v>267.88</v>
      </c>
      <c r="C9593">
        <f t="shared" si="318"/>
        <v>-3.7316217628189692E-4</v>
      </c>
      <c r="D9593">
        <f t="shared" si="317"/>
        <v>-7.2309295906849758E-2</v>
      </c>
    </row>
    <row r="9594" spans="1:4">
      <c r="A9594" s="1">
        <v>32206</v>
      </c>
      <c r="B9594">
        <v>267.3</v>
      </c>
      <c r="C9594">
        <f t="shared" si="318"/>
        <v>-2.1651485739882935E-3</v>
      </c>
      <c r="D9594">
        <f t="shared" si="317"/>
        <v>-0.26154245037887275</v>
      </c>
    </row>
    <row r="9595" spans="1:4">
      <c r="A9595" s="1">
        <v>32209</v>
      </c>
      <c r="B9595">
        <v>267.38</v>
      </c>
      <c r="C9595">
        <f t="shared" si="318"/>
        <v>2.9928918817801749E-4</v>
      </c>
      <c r="D9595">
        <f t="shared" si="317"/>
        <v>-1.2986603972075805E-3</v>
      </c>
    </row>
    <row r="9596" spans="1:4">
      <c r="A9596" s="1">
        <v>32210</v>
      </c>
      <c r="B9596">
        <v>269.43</v>
      </c>
      <c r="C9596">
        <f t="shared" si="318"/>
        <v>7.6669907996110833E-3</v>
      </c>
      <c r="D9596">
        <f t="shared" si="317"/>
        <v>0.77672812536666369</v>
      </c>
    </row>
    <row r="9597" spans="1:4">
      <c r="A9597" s="1">
        <v>32211</v>
      </c>
      <c r="B9597">
        <v>269.06</v>
      </c>
      <c r="C9597">
        <f t="shared" si="318"/>
        <v>-1.3732694948595352E-3</v>
      </c>
      <c r="D9597">
        <f t="shared" si="317"/>
        <v>-0.1779202887956533</v>
      </c>
    </row>
    <row r="9598" spans="1:4">
      <c r="A9598" s="1">
        <v>32212</v>
      </c>
      <c r="B9598">
        <v>263.83999999999997</v>
      </c>
      <c r="C9598">
        <f t="shared" si="318"/>
        <v>-1.9400877127778292E-2</v>
      </c>
      <c r="D9598">
        <f t="shared" si="317"/>
        <v>-2.0816295269503011</v>
      </c>
    </row>
    <row r="9599" spans="1:4">
      <c r="A9599" s="1">
        <v>32213</v>
      </c>
      <c r="B9599">
        <v>264.94</v>
      </c>
      <c r="C9599">
        <f t="shared" si="318"/>
        <v>4.1691934505761934E-3</v>
      </c>
      <c r="D9599">
        <f t="shared" si="317"/>
        <v>0.40736191426766688</v>
      </c>
    </row>
    <row r="9600" spans="1:4">
      <c r="A9600" s="1">
        <v>32216</v>
      </c>
      <c r="B9600">
        <v>266.37</v>
      </c>
      <c r="C9600">
        <f t="shared" si="318"/>
        <v>5.3974484789009094E-3</v>
      </c>
      <c r="D9600">
        <f t="shared" si="317"/>
        <v>0.5370652277545872</v>
      </c>
    </row>
    <row r="9601" spans="1:4">
      <c r="A9601" s="1">
        <v>32217</v>
      </c>
      <c r="B9601">
        <v>266.13</v>
      </c>
      <c r="C9601">
        <f t="shared" si="318"/>
        <v>-9.0100236513124255E-4</v>
      </c>
      <c r="D9601">
        <f t="shared" si="317"/>
        <v>-0.12804904042774282</v>
      </c>
    </row>
    <row r="9602" spans="1:4">
      <c r="A9602" s="1">
        <v>32218</v>
      </c>
      <c r="B9602">
        <v>268.64999999999998</v>
      </c>
      <c r="C9602">
        <f t="shared" si="318"/>
        <v>9.4690564761581997E-3</v>
      </c>
      <c r="D9602">
        <f t="shared" si="317"/>
        <v>0.96702564825815351</v>
      </c>
    </row>
    <row r="9603" spans="1:4">
      <c r="A9603" s="1">
        <v>32219</v>
      </c>
      <c r="B9603">
        <v>271.22000000000003</v>
      </c>
      <c r="C9603">
        <f t="shared" si="318"/>
        <v>9.5663502698680441E-3</v>
      </c>
      <c r="D9603">
        <f t="shared" ref="D9603:D9666" si="319">(C9603-avg)/sd</f>
        <v>0.97729983980214563</v>
      </c>
    </row>
    <row r="9604" spans="1:4">
      <c r="A9604" s="1">
        <v>32220</v>
      </c>
      <c r="B9604">
        <v>271.12</v>
      </c>
      <c r="C9604">
        <f t="shared" ref="C9604:C9667" si="320">(B9604-B9603)/B9603</f>
        <v>-3.687043728339456E-4</v>
      </c>
      <c r="D9604">
        <f t="shared" si="319"/>
        <v>-7.1838553378027123E-2</v>
      </c>
    </row>
    <row r="9605" spans="1:4">
      <c r="A9605" s="1">
        <v>32223</v>
      </c>
      <c r="B9605">
        <v>268.74</v>
      </c>
      <c r="C9605">
        <f t="shared" si="320"/>
        <v>-8.7784007081734856E-3</v>
      </c>
      <c r="D9605">
        <f t="shared" si="319"/>
        <v>-0.9598996277952061</v>
      </c>
    </row>
    <row r="9606" spans="1:4">
      <c r="A9606" s="1">
        <v>32224</v>
      </c>
      <c r="B9606">
        <v>268.83999999999997</v>
      </c>
      <c r="C9606">
        <f t="shared" si="320"/>
        <v>3.7210686909267655E-4</v>
      </c>
      <c r="D9606">
        <f t="shared" si="319"/>
        <v>6.3908619554480378E-3</v>
      </c>
    </row>
    <row r="9607" spans="1:4">
      <c r="A9607" s="1">
        <v>32225</v>
      </c>
      <c r="B9607">
        <v>268.91000000000003</v>
      </c>
      <c r="C9607">
        <f t="shared" si="320"/>
        <v>2.6037791995257414E-4</v>
      </c>
      <c r="D9607">
        <f t="shared" si="319"/>
        <v>-5.4076770952316824E-3</v>
      </c>
    </row>
    <row r="9608" spans="1:4">
      <c r="A9608" s="1">
        <v>32226</v>
      </c>
      <c r="B9608">
        <v>263.35000000000002</v>
      </c>
      <c r="C9608">
        <f t="shared" si="320"/>
        <v>-2.0676062623182483E-2</v>
      </c>
      <c r="D9608">
        <f t="shared" si="319"/>
        <v>-2.2162886818083734</v>
      </c>
    </row>
    <row r="9609" spans="1:4">
      <c r="A9609" s="1">
        <v>32227</v>
      </c>
      <c r="B9609">
        <v>258.51</v>
      </c>
      <c r="C9609">
        <f t="shared" si="320"/>
        <v>-1.8378583633947339E-2</v>
      </c>
      <c r="D9609">
        <f t="shared" si="319"/>
        <v>-1.9736756814961951</v>
      </c>
    </row>
    <row r="9610" spans="1:4">
      <c r="A9610" s="1">
        <v>32230</v>
      </c>
      <c r="B9610">
        <v>258.06</v>
      </c>
      <c r="C9610">
        <f t="shared" si="320"/>
        <v>-1.7407450388765952E-3</v>
      </c>
      <c r="D9610">
        <f t="shared" si="319"/>
        <v>-0.21672558133284833</v>
      </c>
    </row>
    <row r="9611" spans="1:4">
      <c r="A9611" s="1">
        <v>32231</v>
      </c>
      <c r="B9611">
        <v>260.07</v>
      </c>
      <c r="C9611">
        <f t="shared" si="320"/>
        <v>7.7888863055103107E-3</v>
      </c>
      <c r="D9611">
        <f t="shared" si="319"/>
        <v>0.78960024935532647</v>
      </c>
    </row>
    <row r="9612" spans="1:4">
      <c r="A9612" s="1">
        <v>32232</v>
      </c>
      <c r="B9612">
        <v>258.07</v>
      </c>
      <c r="C9612">
        <f t="shared" si="320"/>
        <v>-7.6902372438189719E-3</v>
      </c>
      <c r="D9612">
        <f t="shared" si="319"/>
        <v>-0.84498993584410287</v>
      </c>
    </row>
    <row r="9613" spans="1:4">
      <c r="A9613" s="1">
        <v>32233</v>
      </c>
      <c r="B9613">
        <v>258.89</v>
      </c>
      <c r="C9613">
        <f t="shared" si="320"/>
        <v>3.1774324795597829E-3</v>
      </c>
      <c r="D9613">
        <f t="shared" si="319"/>
        <v>0.30263229284426757</v>
      </c>
    </row>
    <row r="9614" spans="1:4">
      <c r="A9614" s="1">
        <v>32237</v>
      </c>
      <c r="B9614">
        <v>256.08999999999997</v>
      </c>
      <c r="C9614">
        <f t="shared" si="320"/>
        <v>-1.0815404225732982E-2</v>
      </c>
      <c r="D9614">
        <f t="shared" si="319"/>
        <v>-1.1750065068383508</v>
      </c>
    </row>
    <row r="9615" spans="1:4">
      <c r="A9615" s="1">
        <v>32238</v>
      </c>
      <c r="B9615">
        <v>258.51</v>
      </c>
      <c r="C9615">
        <f t="shared" si="320"/>
        <v>9.4498028037018865E-3</v>
      </c>
      <c r="D9615">
        <f t="shared" si="319"/>
        <v>0.96499246699140806</v>
      </c>
    </row>
    <row r="9616" spans="1:4">
      <c r="A9616" s="1">
        <v>32239</v>
      </c>
      <c r="B9616">
        <v>265.49</v>
      </c>
      <c r="C9616">
        <f t="shared" si="320"/>
        <v>2.7000889714131053E-2</v>
      </c>
      <c r="D9616">
        <f t="shared" si="319"/>
        <v>2.8183812788284186</v>
      </c>
    </row>
    <row r="9617" spans="1:4">
      <c r="A9617" s="1">
        <v>32240</v>
      </c>
      <c r="B9617">
        <v>266.16000000000003</v>
      </c>
      <c r="C9617">
        <f t="shared" si="320"/>
        <v>2.5236355418283775E-3</v>
      </c>
      <c r="D9617">
        <f t="shared" si="319"/>
        <v>0.23359155845620821</v>
      </c>
    </row>
    <row r="9618" spans="1:4">
      <c r="A9618" s="1">
        <v>32241</v>
      </c>
      <c r="B9618">
        <v>269.43</v>
      </c>
      <c r="C9618">
        <f t="shared" si="320"/>
        <v>1.2285843101893528E-2</v>
      </c>
      <c r="D9618">
        <f t="shared" si="319"/>
        <v>1.2644773584635087</v>
      </c>
    </row>
    <row r="9619" spans="1:4">
      <c r="A9619" s="1">
        <v>32244</v>
      </c>
      <c r="B9619">
        <v>270.16000000000003</v>
      </c>
      <c r="C9619">
        <f t="shared" si="320"/>
        <v>2.7094235979661439E-3</v>
      </c>
      <c r="D9619">
        <f t="shared" si="319"/>
        <v>0.25321071403192763</v>
      </c>
    </row>
    <row r="9620" spans="1:4">
      <c r="A9620" s="1">
        <v>32245</v>
      </c>
      <c r="B9620">
        <v>271.37</v>
      </c>
      <c r="C9620">
        <f t="shared" si="320"/>
        <v>4.4788273615634418E-3</v>
      </c>
      <c r="D9620">
        <f t="shared" si="319"/>
        <v>0.44005915001824009</v>
      </c>
    </row>
    <row r="9621" spans="1:4">
      <c r="A9621" s="1">
        <v>32246</v>
      </c>
      <c r="B9621">
        <v>271.58</v>
      </c>
      <c r="C9621">
        <f t="shared" si="320"/>
        <v>7.7385119946928374E-4</v>
      </c>
      <c r="D9621">
        <f t="shared" si="319"/>
        <v>4.8814926683684777E-2</v>
      </c>
    </row>
    <row r="9622" spans="1:4">
      <c r="A9622" s="1">
        <v>32247</v>
      </c>
      <c r="B9622">
        <v>259.75</v>
      </c>
      <c r="C9622">
        <f t="shared" si="320"/>
        <v>-4.3559908682524427E-2</v>
      </c>
      <c r="D9622">
        <f t="shared" si="319"/>
        <v>-4.6328150470776643</v>
      </c>
    </row>
    <row r="9623" spans="1:4">
      <c r="A9623" s="1">
        <v>32248</v>
      </c>
      <c r="B9623">
        <v>259.77</v>
      </c>
      <c r="C9623">
        <f t="shared" si="320"/>
        <v>7.6997112608207164E-5</v>
      </c>
      <c r="D9623">
        <f t="shared" si="319"/>
        <v>-2.4772628016631756E-2</v>
      </c>
    </row>
    <row r="9624" spans="1:4">
      <c r="A9624" s="1">
        <v>32251</v>
      </c>
      <c r="B9624">
        <v>259.20999999999998</v>
      </c>
      <c r="C9624">
        <f t="shared" si="320"/>
        <v>-2.1557531662624719E-3</v>
      </c>
      <c r="D9624">
        <f t="shared" si="319"/>
        <v>-0.26055029851668027</v>
      </c>
    </row>
    <row r="9625" spans="1:4">
      <c r="A9625" s="1">
        <v>32252</v>
      </c>
      <c r="B9625">
        <v>257.92</v>
      </c>
      <c r="C9625">
        <f t="shared" si="320"/>
        <v>-4.9766598510858524E-3</v>
      </c>
      <c r="D9625">
        <f t="shared" si="319"/>
        <v>-0.55843708556125793</v>
      </c>
    </row>
    <row r="9626" spans="1:4">
      <c r="A9626" s="1">
        <v>32253</v>
      </c>
      <c r="B9626">
        <v>256.13</v>
      </c>
      <c r="C9626">
        <f t="shared" si="320"/>
        <v>-6.9401364764268775E-3</v>
      </c>
      <c r="D9626">
        <f t="shared" si="319"/>
        <v>-0.76577954977913698</v>
      </c>
    </row>
    <row r="9627" spans="1:4">
      <c r="A9627" s="1">
        <v>32254</v>
      </c>
      <c r="B9627">
        <v>256.42</v>
      </c>
      <c r="C9627">
        <f t="shared" si="320"/>
        <v>1.1322375356265196E-3</v>
      </c>
      <c r="D9627">
        <f t="shared" si="319"/>
        <v>8.6660401960454228E-2</v>
      </c>
    </row>
    <row r="9628" spans="1:4">
      <c r="A9628" s="1">
        <v>32255</v>
      </c>
      <c r="B9628">
        <v>260.14</v>
      </c>
      <c r="C9628">
        <f t="shared" si="320"/>
        <v>1.450744871694864E-2</v>
      </c>
      <c r="D9628">
        <f t="shared" si="319"/>
        <v>1.4990781562528888</v>
      </c>
    </row>
    <row r="9629" spans="1:4">
      <c r="A9629" s="1">
        <v>32258</v>
      </c>
      <c r="B9629">
        <v>262.51</v>
      </c>
      <c r="C9629">
        <f t="shared" si="320"/>
        <v>9.110478972860785E-3</v>
      </c>
      <c r="D9629">
        <f t="shared" si="319"/>
        <v>0.92915998579636194</v>
      </c>
    </row>
    <row r="9630" spans="1:4">
      <c r="A9630" s="1">
        <v>32259</v>
      </c>
      <c r="B9630">
        <v>263.93</v>
      </c>
      <c r="C9630">
        <f t="shared" si="320"/>
        <v>5.4093177402766215E-3</v>
      </c>
      <c r="D9630">
        <f t="shared" si="319"/>
        <v>0.5383186177213044</v>
      </c>
    </row>
    <row r="9631" spans="1:4">
      <c r="A9631" s="1">
        <v>32260</v>
      </c>
      <c r="B9631">
        <v>263.8</v>
      </c>
      <c r="C9631">
        <f t="shared" si="320"/>
        <v>-4.9255484408743013E-4</v>
      </c>
      <c r="D9631">
        <f t="shared" si="319"/>
        <v>-8.4917121043574434E-2</v>
      </c>
    </row>
    <row r="9632" spans="1:4">
      <c r="A9632" s="1">
        <v>32261</v>
      </c>
      <c r="B9632">
        <v>262.61</v>
      </c>
      <c r="C9632">
        <f t="shared" si="320"/>
        <v>-4.5109931766489676E-3</v>
      </c>
      <c r="D9632">
        <f t="shared" si="319"/>
        <v>-0.50926284302851632</v>
      </c>
    </row>
    <row r="9633" spans="1:4">
      <c r="A9633" s="1">
        <v>32262</v>
      </c>
      <c r="B9633">
        <v>261.33</v>
      </c>
      <c r="C9633">
        <f t="shared" si="320"/>
        <v>-4.8741479760863234E-3</v>
      </c>
      <c r="D9633">
        <f t="shared" si="319"/>
        <v>-0.54761186640678694</v>
      </c>
    </row>
    <row r="9634" spans="1:4">
      <c r="A9634" s="1">
        <v>32265</v>
      </c>
      <c r="B9634">
        <v>261.56</v>
      </c>
      <c r="C9634">
        <f t="shared" si="320"/>
        <v>8.8011326675092112E-4</v>
      </c>
      <c r="D9634">
        <f t="shared" si="319"/>
        <v>6.0036164868394026E-2</v>
      </c>
    </row>
    <row r="9635" spans="1:4">
      <c r="A9635" s="1">
        <v>32266</v>
      </c>
      <c r="B9635">
        <v>263</v>
      </c>
      <c r="C9635">
        <f t="shared" si="320"/>
        <v>5.5054289646734884E-3</v>
      </c>
      <c r="D9635">
        <f t="shared" si="319"/>
        <v>0.54846793034782104</v>
      </c>
    </row>
    <row r="9636" spans="1:4">
      <c r="A9636" s="1">
        <v>32267</v>
      </c>
      <c r="B9636">
        <v>260.32</v>
      </c>
      <c r="C9636">
        <f t="shared" si="320"/>
        <v>-1.019011406844109E-2</v>
      </c>
      <c r="D9636">
        <f t="shared" si="319"/>
        <v>-1.1089760787747787</v>
      </c>
    </row>
    <row r="9637" spans="1:4">
      <c r="A9637" s="1">
        <v>32268</v>
      </c>
      <c r="B9637">
        <v>258.79000000000002</v>
      </c>
      <c r="C9637">
        <f t="shared" si="320"/>
        <v>-5.8773816840810263E-3</v>
      </c>
      <c r="D9637">
        <f t="shared" si="319"/>
        <v>-0.6535530049553212</v>
      </c>
    </row>
    <row r="9638" spans="1:4">
      <c r="A9638" s="1">
        <v>32269</v>
      </c>
      <c r="B9638">
        <v>257.48</v>
      </c>
      <c r="C9638">
        <f t="shared" si="320"/>
        <v>-5.0620193979674724E-3</v>
      </c>
      <c r="D9638">
        <f t="shared" si="319"/>
        <v>-0.56745102469683717</v>
      </c>
    </row>
    <row r="9639" spans="1:4">
      <c r="A9639" s="1">
        <v>32272</v>
      </c>
      <c r="B9639">
        <v>256.54000000000002</v>
      </c>
      <c r="C9639">
        <f t="shared" si="320"/>
        <v>-3.6507689917663418E-3</v>
      </c>
      <c r="D9639">
        <f t="shared" si="319"/>
        <v>-0.41842346150931858</v>
      </c>
    </row>
    <row r="9640" spans="1:4">
      <c r="A9640" s="1">
        <v>32273</v>
      </c>
      <c r="B9640">
        <v>257.62</v>
      </c>
      <c r="C9640">
        <f t="shared" si="320"/>
        <v>4.2098698058781634E-3</v>
      </c>
      <c r="D9640">
        <f t="shared" si="319"/>
        <v>0.41165732356098994</v>
      </c>
    </row>
    <row r="9641" spans="1:4">
      <c r="A9641" s="1">
        <v>32274</v>
      </c>
      <c r="B9641">
        <v>253.31</v>
      </c>
      <c r="C9641">
        <f t="shared" si="320"/>
        <v>-1.6730067541339967E-2</v>
      </c>
      <c r="D9641">
        <f t="shared" si="319"/>
        <v>-1.7995929424747028</v>
      </c>
    </row>
    <row r="9642" spans="1:4">
      <c r="A9642" s="1">
        <v>32275</v>
      </c>
      <c r="B9642">
        <v>253.85</v>
      </c>
      <c r="C9642">
        <f t="shared" si="320"/>
        <v>2.1317752950929377E-3</v>
      </c>
      <c r="D9642">
        <f t="shared" si="319"/>
        <v>0.19221124960071548</v>
      </c>
    </row>
    <row r="9643" spans="1:4">
      <c r="A9643" s="1">
        <v>32276</v>
      </c>
      <c r="B9643">
        <v>256.77999999999997</v>
      </c>
      <c r="C9643">
        <f t="shared" si="320"/>
        <v>1.1542249359858099E-2</v>
      </c>
      <c r="D9643">
        <f t="shared" si="319"/>
        <v>1.1859541120643615</v>
      </c>
    </row>
    <row r="9644" spans="1:4">
      <c r="A9644" s="1">
        <v>32279</v>
      </c>
      <c r="B9644">
        <v>258.70999999999998</v>
      </c>
      <c r="C9644">
        <f t="shared" si="320"/>
        <v>7.5161616948360736E-3</v>
      </c>
      <c r="D9644">
        <f t="shared" si="319"/>
        <v>0.76080062317172648</v>
      </c>
    </row>
    <row r="9645" spans="1:4">
      <c r="A9645" s="1">
        <v>32280</v>
      </c>
      <c r="B9645">
        <v>255.39</v>
      </c>
      <c r="C9645">
        <f t="shared" si="320"/>
        <v>-1.2832901704611316E-2</v>
      </c>
      <c r="D9645">
        <f t="shared" si="319"/>
        <v>-1.3880535548271895</v>
      </c>
    </row>
    <row r="9646" spans="1:4">
      <c r="A9646" s="1">
        <v>32281</v>
      </c>
      <c r="B9646">
        <v>251.35</v>
      </c>
      <c r="C9646">
        <f t="shared" si="320"/>
        <v>-1.5818943576490826E-2</v>
      </c>
      <c r="D9646">
        <f t="shared" si="319"/>
        <v>-1.703378561492717</v>
      </c>
    </row>
    <row r="9647" spans="1:4">
      <c r="A9647" s="1">
        <v>32282</v>
      </c>
      <c r="B9647">
        <v>252.57</v>
      </c>
      <c r="C9647">
        <f t="shared" si="320"/>
        <v>4.8537895365028802E-3</v>
      </c>
      <c r="D9647">
        <f t="shared" si="319"/>
        <v>0.47965502823600875</v>
      </c>
    </row>
    <row r="9648" spans="1:4">
      <c r="A9648" s="1">
        <v>32283</v>
      </c>
      <c r="B9648">
        <v>253.02</v>
      </c>
      <c r="C9648">
        <f t="shared" si="320"/>
        <v>1.781684285544669E-3</v>
      </c>
      <c r="D9648">
        <f t="shared" si="319"/>
        <v>0.15524175799413445</v>
      </c>
    </row>
    <row r="9649" spans="1:4">
      <c r="A9649" s="1">
        <v>32286</v>
      </c>
      <c r="B9649">
        <v>250.83</v>
      </c>
      <c r="C9649">
        <f t="shared" si="320"/>
        <v>-8.6554422575290391E-3</v>
      </c>
      <c r="D9649">
        <f t="shared" si="319"/>
        <v>-0.94691525720276071</v>
      </c>
    </row>
    <row r="9650" spans="1:4">
      <c r="A9650" s="1">
        <v>32287</v>
      </c>
      <c r="B9650">
        <v>253.51</v>
      </c>
      <c r="C9650">
        <f t="shared" si="320"/>
        <v>1.0684527369134387E-2</v>
      </c>
      <c r="D9650">
        <f t="shared" si="319"/>
        <v>1.095378961397808</v>
      </c>
    </row>
    <row r="9651" spans="1:4">
      <c r="A9651" s="1">
        <v>32288</v>
      </c>
      <c r="B9651">
        <v>253.76</v>
      </c>
      <c r="C9651">
        <f t="shared" si="320"/>
        <v>9.861543923316634E-4</v>
      </c>
      <c r="D9651">
        <f t="shared" si="319"/>
        <v>7.1234071684590491E-2</v>
      </c>
    </row>
    <row r="9652" spans="1:4">
      <c r="A9652" s="1">
        <v>32289</v>
      </c>
      <c r="B9652">
        <v>254.63</v>
      </c>
      <c r="C9652">
        <f t="shared" si="320"/>
        <v>3.4284363177805983E-3</v>
      </c>
      <c r="D9652">
        <f t="shared" si="319"/>
        <v>0.32913821284003558</v>
      </c>
    </row>
    <row r="9653" spans="1:4">
      <c r="A9653" s="1">
        <v>32290</v>
      </c>
      <c r="B9653">
        <v>253.42</v>
      </c>
      <c r="C9653">
        <f t="shared" si="320"/>
        <v>-4.7519930880100848E-3</v>
      </c>
      <c r="D9653">
        <f t="shared" si="319"/>
        <v>-0.53471235174840015</v>
      </c>
    </row>
    <row r="9654" spans="1:4">
      <c r="A9654" s="1">
        <v>32294</v>
      </c>
      <c r="B9654">
        <v>262.16000000000003</v>
      </c>
      <c r="C9654">
        <f t="shared" si="320"/>
        <v>3.4488201404782724E-2</v>
      </c>
      <c r="D9654">
        <f t="shared" si="319"/>
        <v>3.6090388483003335</v>
      </c>
    </row>
    <row r="9655" spans="1:4">
      <c r="A9655" s="1">
        <v>32295</v>
      </c>
      <c r="B9655">
        <v>266.69</v>
      </c>
      <c r="C9655">
        <f t="shared" si="320"/>
        <v>1.7279523954836635E-2</v>
      </c>
      <c r="D9655">
        <f t="shared" si="319"/>
        <v>1.7918083590997047</v>
      </c>
    </row>
    <row r="9656" spans="1:4">
      <c r="A9656" s="1">
        <v>32296</v>
      </c>
      <c r="B9656">
        <v>265.33</v>
      </c>
      <c r="C9656">
        <f t="shared" si="320"/>
        <v>-5.0995537890435099E-3</v>
      </c>
      <c r="D9656">
        <f t="shared" si="319"/>
        <v>-0.57141464363590733</v>
      </c>
    </row>
    <row r="9657" spans="1:4">
      <c r="A9657" s="1">
        <v>32297</v>
      </c>
      <c r="B9657">
        <v>266.45</v>
      </c>
      <c r="C9657">
        <f t="shared" si="320"/>
        <v>4.2211585572683244E-3</v>
      </c>
      <c r="D9657">
        <f t="shared" si="319"/>
        <v>0.41284941187055785</v>
      </c>
    </row>
    <row r="9658" spans="1:4">
      <c r="A9658" s="1">
        <v>32300</v>
      </c>
      <c r="B9658">
        <v>267.05</v>
      </c>
      <c r="C9658">
        <f t="shared" si="320"/>
        <v>2.2518296115594774E-3</v>
      </c>
      <c r="D9658">
        <f t="shared" si="319"/>
        <v>0.20488894461113713</v>
      </c>
    </row>
    <row r="9659" spans="1:4">
      <c r="A9659" s="1">
        <v>32301</v>
      </c>
      <c r="B9659">
        <v>265.17</v>
      </c>
      <c r="C9659">
        <f t="shared" si="320"/>
        <v>-7.0398801722523696E-3</v>
      </c>
      <c r="D9659">
        <f t="shared" si="319"/>
        <v>-0.77631245015377937</v>
      </c>
    </row>
    <row r="9660" spans="1:4">
      <c r="A9660" s="1">
        <v>32302</v>
      </c>
      <c r="B9660">
        <v>271.52</v>
      </c>
      <c r="C9660">
        <f t="shared" si="320"/>
        <v>2.3946901987404175E-2</v>
      </c>
      <c r="D9660">
        <f t="shared" si="319"/>
        <v>2.4958812129869274</v>
      </c>
    </row>
    <row r="9661" spans="1:4">
      <c r="A9661" s="1">
        <v>32303</v>
      </c>
      <c r="B9661">
        <v>270.2</v>
      </c>
      <c r="C9661">
        <f t="shared" si="320"/>
        <v>-4.8615203299940827E-3</v>
      </c>
      <c r="D9661">
        <f t="shared" si="319"/>
        <v>-0.54627839127179179</v>
      </c>
    </row>
    <row r="9662" spans="1:4">
      <c r="A9662" s="1">
        <v>32304</v>
      </c>
      <c r="B9662">
        <v>271.26</v>
      </c>
      <c r="C9662">
        <f t="shared" si="320"/>
        <v>3.9230199851961597E-3</v>
      </c>
      <c r="D9662">
        <f t="shared" si="319"/>
        <v>0.38136608000196193</v>
      </c>
    </row>
    <row r="9663" spans="1:4">
      <c r="A9663" s="1">
        <v>32307</v>
      </c>
      <c r="B9663">
        <v>271.43</v>
      </c>
      <c r="C9663">
        <f t="shared" si="320"/>
        <v>6.2670500626710876E-4</v>
      </c>
      <c r="D9663">
        <f t="shared" si="319"/>
        <v>3.3276338698956388E-2</v>
      </c>
    </row>
    <row r="9664" spans="1:4">
      <c r="A9664" s="1">
        <v>32308</v>
      </c>
      <c r="B9664">
        <v>274.3</v>
      </c>
      <c r="C9664">
        <f t="shared" si="320"/>
        <v>1.0573628559849701E-2</v>
      </c>
      <c r="D9664">
        <f t="shared" si="319"/>
        <v>1.0836680848336819</v>
      </c>
    </row>
    <row r="9665" spans="1:4">
      <c r="A9665" s="1">
        <v>32309</v>
      </c>
      <c r="B9665">
        <v>274.45</v>
      </c>
      <c r="C9665">
        <f t="shared" si="320"/>
        <v>5.4684651841041651E-4</v>
      </c>
      <c r="D9665">
        <f t="shared" si="319"/>
        <v>2.4843309526508629E-2</v>
      </c>
    </row>
    <row r="9666" spans="1:4">
      <c r="A9666" s="1">
        <v>32310</v>
      </c>
      <c r="B9666">
        <v>269.77</v>
      </c>
      <c r="C9666">
        <f t="shared" si="320"/>
        <v>-1.7052286390963772E-2</v>
      </c>
      <c r="D9666">
        <f t="shared" si="319"/>
        <v>-1.833619143467468</v>
      </c>
    </row>
    <row r="9667" spans="1:4">
      <c r="A9667" s="1">
        <v>32311</v>
      </c>
      <c r="B9667">
        <v>270.68</v>
      </c>
      <c r="C9667">
        <f t="shared" si="320"/>
        <v>3.3732438744116288E-3</v>
      </c>
      <c r="D9667">
        <f t="shared" ref="D9667:D9730" si="321">(C9667-avg)/sd</f>
        <v>0.32330990958109546</v>
      </c>
    </row>
    <row r="9668" spans="1:4">
      <c r="A9668" s="1">
        <v>32314</v>
      </c>
      <c r="B9668">
        <v>268.94</v>
      </c>
      <c r="C9668">
        <f t="shared" ref="C9668:C9731" si="322">(B9668-B9667)/B9667</f>
        <v>-6.4282547657751182E-3</v>
      </c>
      <c r="D9668">
        <f t="shared" si="321"/>
        <v>-0.71172501513135877</v>
      </c>
    </row>
    <row r="9669" spans="1:4">
      <c r="A9669" s="1">
        <v>32315</v>
      </c>
      <c r="B9669">
        <v>271.67</v>
      </c>
      <c r="C9669">
        <f t="shared" si="322"/>
        <v>1.0150963040083357E-2</v>
      </c>
      <c r="D9669">
        <f t="shared" si="321"/>
        <v>1.0390347496173469</v>
      </c>
    </row>
    <row r="9670" spans="1:4">
      <c r="A9670" s="1">
        <v>32316</v>
      </c>
      <c r="B9670">
        <v>275.66000000000003</v>
      </c>
      <c r="C9670">
        <f t="shared" si="322"/>
        <v>1.4686936356609155E-2</v>
      </c>
      <c r="D9670">
        <f t="shared" si="321"/>
        <v>1.5180319899902261</v>
      </c>
    </row>
    <row r="9671" spans="1:4">
      <c r="A9671" s="1">
        <v>32317</v>
      </c>
      <c r="B9671">
        <v>274.82</v>
      </c>
      <c r="C9671">
        <f t="shared" si="322"/>
        <v>-3.0472320975115422E-3</v>
      </c>
      <c r="D9671">
        <f t="shared" si="321"/>
        <v>-0.35469017062816993</v>
      </c>
    </row>
    <row r="9672" spans="1:4">
      <c r="A9672" s="1">
        <v>32318</v>
      </c>
      <c r="B9672">
        <v>273.77999999999997</v>
      </c>
      <c r="C9672">
        <f t="shared" si="322"/>
        <v>-3.7842951750237264E-3</v>
      </c>
      <c r="D9672">
        <f t="shared" si="321"/>
        <v>-0.4325237810735435</v>
      </c>
    </row>
    <row r="9673" spans="1:4">
      <c r="A9673" s="1">
        <v>32321</v>
      </c>
      <c r="B9673">
        <v>269.06</v>
      </c>
      <c r="C9673">
        <f t="shared" si="322"/>
        <v>-1.7240119804222263E-2</v>
      </c>
      <c r="D9673">
        <f t="shared" si="321"/>
        <v>-1.8534542880598854</v>
      </c>
    </row>
    <row r="9674" spans="1:4">
      <c r="A9674" s="1">
        <v>32322</v>
      </c>
      <c r="B9674">
        <v>272.31</v>
      </c>
      <c r="C9674">
        <f t="shared" si="322"/>
        <v>1.2079090165762283E-2</v>
      </c>
      <c r="D9674">
        <f t="shared" si="321"/>
        <v>1.242644318686787</v>
      </c>
    </row>
    <row r="9675" spans="1:4">
      <c r="A9675" s="1">
        <v>32323</v>
      </c>
      <c r="B9675">
        <v>270.98</v>
      </c>
      <c r="C9675">
        <f t="shared" si="322"/>
        <v>-4.8841393999485292E-3</v>
      </c>
      <c r="D9675">
        <f t="shared" si="321"/>
        <v>-0.54866695737038595</v>
      </c>
    </row>
    <row r="9676" spans="1:4">
      <c r="A9676" s="1">
        <v>32324</v>
      </c>
      <c r="B9676">
        <v>273.5</v>
      </c>
      <c r="C9676">
        <f t="shared" si="322"/>
        <v>9.2995793047456702E-3</v>
      </c>
      <c r="D9676">
        <f t="shared" si="321"/>
        <v>0.94912891656507992</v>
      </c>
    </row>
    <row r="9677" spans="1:4">
      <c r="A9677" s="1">
        <v>32325</v>
      </c>
      <c r="B9677">
        <v>271.77999999999997</v>
      </c>
      <c r="C9677">
        <f t="shared" si="322"/>
        <v>-6.2888482632542132E-3</v>
      </c>
      <c r="D9677">
        <f t="shared" si="321"/>
        <v>-0.69700373585172382</v>
      </c>
    </row>
    <row r="9678" spans="1:4">
      <c r="A9678" s="1">
        <v>32329</v>
      </c>
      <c r="B9678">
        <v>275.81</v>
      </c>
      <c r="C9678">
        <f t="shared" si="322"/>
        <v>1.4828169843255684E-2</v>
      </c>
      <c r="D9678">
        <f t="shared" si="321"/>
        <v>1.532946198172505</v>
      </c>
    </row>
    <row r="9679" spans="1:4">
      <c r="A9679" s="1">
        <v>32330</v>
      </c>
      <c r="B9679">
        <v>272.02</v>
      </c>
      <c r="C9679">
        <f t="shared" si="322"/>
        <v>-1.3741343678619414E-2</v>
      </c>
      <c r="D9679">
        <f t="shared" si="321"/>
        <v>-1.4839847184880142</v>
      </c>
    </row>
    <row r="9680" spans="1:4">
      <c r="A9680" s="1">
        <v>32331</v>
      </c>
      <c r="B9680">
        <v>271.77999999999997</v>
      </c>
      <c r="C9680">
        <f t="shared" si="322"/>
        <v>-8.822880670539266E-4</v>
      </c>
      <c r="D9680">
        <f t="shared" si="321"/>
        <v>-0.12607281691207725</v>
      </c>
    </row>
    <row r="9681" spans="1:4">
      <c r="A9681" s="1">
        <v>32332</v>
      </c>
      <c r="B9681">
        <v>270.02</v>
      </c>
      <c r="C9681">
        <f t="shared" si="322"/>
        <v>-6.4758260357641881E-3</v>
      </c>
      <c r="D9681">
        <f t="shared" si="321"/>
        <v>-0.7167485250719442</v>
      </c>
    </row>
    <row r="9682" spans="1:4">
      <c r="A9682" s="1">
        <v>32335</v>
      </c>
      <c r="B9682">
        <v>270.55</v>
      </c>
      <c r="C9682">
        <f t="shared" si="322"/>
        <v>1.9628175690690674E-3</v>
      </c>
      <c r="D9682">
        <f t="shared" si="321"/>
        <v>0.1743693711641163</v>
      </c>
    </row>
    <row r="9683" spans="1:4">
      <c r="A9683" s="1">
        <v>32336</v>
      </c>
      <c r="B9683">
        <v>267.85000000000002</v>
      </c>
      <c r="C9683">
        <f t="shared" si="322"/>
        <v>-9.9796710404730683E-3</v>
      </c>
      <c r="D9683">
        <f t="shared" si="321"/>
        <v>-1.0867533665544162</v>
      </c>
    </row>
    <row r="9684" spans="1:4">
      <c r="A9684" s="1">
        <v>32337</v>
      </c>
      <c r="B9684">
        <v>269.32</v>
      </c>
      <c r="C9684">
        <f t="shared" si="322"/>
        <v>5.4881463505692379E-3</v>
      </c>
      <c r="D9684">
        <f t="shared" si="321"/>
        <v>0.54664289217305817</v>
      </c>
    </row>
    <row r="9685" spans="1:4">
      <c r="A9685" s="1">
        <v>32338</v>
      </c>
      <c r="B9685">
        <v>270.26</v>
      </c>
      <c r="C9685">
        <f t="shared" si="322"/>
        <v>3.490271795633439E-3</v>
      </c>
      <c r="D9685">
        <f t="shared" si="321"/>
        <v>0.3356680182823954</v>
      </c>
    </row>
    <row r="9686" spans="1:4">
      <c r="A9686" s="1">
        <v>32339</v>
      </c>
      <c r="B9686">
        <v>272.05</v>
      </c>
      <c r="C9686">
        <f t="shared" si="322"/>
        <v>6.623251683564051E-3</v>
      </c>
      <c r="D9686">
        <f t="shared" si="321"/>
        <v>0.66650962949626069</v>
      </c>
    </row>
    <row r="9687" spans="1:4">
      <c r="A9687" s="1">
        <v>32342</v>
      </c>
      <c r="B9687">
        <v>270.51</v>
      </c>
      <c r="C9687">
        <f t="shared" si="322"/>
        <v>-5.6607241315935319E-3</v>
      </c>
      <c r="D9687">
        <f t="shared" si="321"/>
        <v>-0.63067404105812208</v>
      </c>
    </row>
    <row r="9688" spans="1:4">
      <c r="A9688" s="1">
        <v>32343</v>
      </c>
      <c r="B9688">
        <v>268.47000000000003</v>
      </c>
      <c r="C9688">
        <f t="shared" si="322"/>
        <v>-7.5413108572694679E-3</v>
      </c>
      <c r="D9688">
        <f t="shared" si="321"/>
        <v>-0.82926336004701362</v>
      </c>
    </row>
    <row r="9689" spans="1:4">
      <c r="A9689" s="1">
        <v>32344</v>
      </c>
      <c r="B9689">
        <v>270</v>
      </c>
      <c r="C9689">
        <f t="shared" si="322"/>
        <v>5.6989607777404271E-3</v>
      </c>
      <c r="D9689">
        <f t="shared" si="321"/>
        <v>0.56890482402303022</v>
      </c>
    </row>
    <row r="9690" spans="1:4">
      <c r="A9690" s="1">
        <v>32345</v>
      </c>
      <c r="B9690">
        <v>266.66000000000003</v>
      </c>
      <c r="C9690">
        <f t="shared" si="322"/>
        <v>-1.2370370370370278E-2</v>
      </c>
      <c r="D9690">
        <f t="shared" si="321"/>
        <v>-1.3392104031533754</v>
      </c>
    </row>
    <row r="9691" spans="1:4">
      <c r="A9691" s="1">
        <v>32346</v>
      </c>
      <c r="B9691">
        <v>263.5</v>
      </c>
      <c r="C9691">
        <f t="shared" si="322"/>
        <v>-1.1850296257406528E-2</v>
      </c>
      <c r="D9691">
        <f t="shared" si="321"/>
        <v>-1.2842907536061838</v>
      </c>
    </row>
    <row r="9692" spans="1:4">
      <c r="A9692" s="1">
        <v>32349</v>
      </c>
      <c r="B9692">
        <v>264.68</v>
      </c>
      <c r="C9692">
        <f t="shared" si="322"/>
        <v>4.4781783681214684E-3</v>
      </c>
      <c r="D9692">
        <f t="shared" si="321"/>
        <v>0.43999061653137128</v>
      </c>
    </row>
    <row r="9693" spans="1:4">
      <c r="A9693" s="1">
        <v>32350</v>
      </c>
      <c r="B9693">
        <v>265.19</v>
      </c>
      <c r="C9693">
        <f t="shared" si="322"/>
        <v>1.9268550702735035E-3</v>
      </c>
      <c r="D9693">
        <f t="shared" si="321"/>
        <v>0.17057174351555204</v>
      </c>
    </row>
    <row r="9694" spans="1:4">
      <c r="A9694" s="1">
        <v>32351</v>
      </c>
      <c r="B9694">
        <v>262.5</v>
      </c>
      <c r="C9694">
        <f t="shared" si="322"/>
        <v>-1.0143670575813559E-2</v>
      </c>
      <c r="D9694">
        <f t="shared" si="321"/>
        <v>-1.1040716617402215</v>
      </c>
    </row>
    <row r="9695" spans="1:4">
      <c r="A9695" s="1">
        <v>32352</v>
      </c>
      <c r="B9695">
        <v>266.02</v>
      </c>
      <c r="C9695">
        <f t="shared" si="322"/>
        <v>1.3409523809523741E-2</v>
      </c>
      <c r="D9695">
        <f t="shared" si="321"/>
        <v>1.3831376592316285</v>
      </c>
    </row>
    <row r="9696" spans="1:4">
      <c r="A9696" s="1">
        <v>32353</v>
      </c>
      <c r="B9696">
        <v>272.02</v>
      </c>
      <c r="C9696">
        <f t="shared" si="322"/>
        <v>2.2554695135704083E-2</v>
      </c>
      <c r="D9696">
        <f t="shared" si="321"/>
        <v>2.3488646426814999</v>
      </c>
    </row>
    <row r="9697" spans="1:4">
      <c r="A9697" s="1">
        <v>32356</v>
      </c>
      <c r="B9697">
        <v>272.20999999999998</v>
      </c>
      <c r="C9697">
        <f t="shared" si="322"/>
        <v>6.9847805308432371E-4</v>
      </c>
      <c r="D9697">
        <f t="shared" si="321"/>
        <v>4.0855548046010291E-2</v>
      </c>
    </row>
    <row r="9698" spans="1:4">
      <c r="A9698" s="1">
        <v>32357</v>
      </c>
      <c r="B9698">
        <v>272.06</v>
      </c>
      <c r="C9698">
        <f t="shared" si="322"/>
        <v>-5.510451489657885E-4</v>
      </c>
      <c r="D9698">
        <f t="shared" si="321"/>
        <v>-9.1093677356908431E-2</v>
      </c>
    </row>
    <row r="9699" spans="1:4">
      <c r="A9699" s="1">
        <v>32358</v>
      </c>
      <c r="B9699">
        <v>272.98</v>
      </c>
      <c r="C9699">
        <f t="shared" si="322"/>
        <v>3.3816069984562813E-3</v>
      </c>
      <c r="D9699">
        <f t="shared" si="321"/>
        <v>0.32419305263744674</v>
      </c>
    </row>
    <row r="9700" spans="1:4">
      <c r="A9700" s="1">
        <v>32359</v>
      </c>
      <c r="B9700">
        <v>271.93</v>
      </c>
      <c r="C9700">
        <f t="shared" si="322"/>
        <v>-3.8464356363103937E-3</v>
      </c>
      <c r="D9700">
        <f t="shared" si="321"/>
        <v>-0.43908579266284647</v>
      </c>
    </row>
    <row r="9701" spans="1:4">
      <c r="A9701" s="1">
        <v>32360</v>
      </c>
      <c r="B9701">
        <v>271.14999999999998</v>
      </c>
      <c r="C9701">
        <f t="shared" si="322"/>
        <v>-2.8683852462031757E-3</v>
      </c>
      <c r="D9701">
        <f t="shared" si="321"/>
        <v>-0.33580400392300497</v>
      </c>
    </row>
    <row r="9702" spans="1:4">
      <c r="A9702" s="1">
        <v>32363</v>
      </c>
      <c r="B9702">
        <v>269.98</v>
      </c>
      <c r="C9702">
        <f t="shared" si="322"/>
        <v>-4.314954822054063E-3</v>
      </c>
      <c r="D9702">
        <f t="shared" si="321"/>
        <v>-0.48856125941996881</v>
      </c>
    </row>
    <row r="9703" spans="1:4">
      <c r="A9703" s="1">
        <v>32364</v>
      </c>
      <c r="B9703">
        <v>266.49</v>
      </c>
      <c r="C9703">
        <f t="shared" si="322"/>
        <v>-1.2926883472849874E-2</v>
      </c>
      <c r="D9703">
        <f t="shared" si="321"/>
        <v>-1.397977997607226</v>
      </c>
    </row>
    <row r="9704" spans="1:4">
      <c r="A9704" s="1">
        <v>32365</v>
      </c>
      <c r="B9704">
        <v>261.89999999999998</v>
      </c>
      <c r="C9704">
        <f t="shared" si="322"/>
        <v>-1.7223910840932236E-2</v>
      </c>
      <c r="D9704">
        <f t="shared" si="321"/>
        <v>-1.8517426270461528</v>
      </c>
    </row>
    <row r="9705" spans="1:4">
      <c r="A9705" s="1">
        <v>32366</v>
      </c>
      <c r="B9705">
        <v>262.75</v>
      </c>
      <c r="C9705">
        <f t="shared" si="322"/>
        <v>3.2455135547919925E-3</v>
      </c>
      <c r="D9705">
        <f t="shared" si="321"/>
        <v>0.30982163124690704</v>
      </c>
    </row>
    <row r="9706" spans="1:4">
      <c r="A9706" s="1">
        <v>32367</v>
      </c>
      <c r="B9706">
        <v>262.55</v>
      </c>
      <c r="C9706">
        <f t="shared" si="322"/>
        <v>-7.6117982873449527E-4</v>
      </c>
      <c r="D9706">
        <f t="shared" si="321"/>
        <v>-0.11328382811223571</v>
      </c>
    </row>
    <row r="9707" spans="1:4">
      <c r="A9707" s="1">
        <v>32370</v>
      </c>
      <c r="B9707">
        <v>258.69</v>
      </c>
      <c r="C9707">
        <f t="shared" si="322"/>
        <v>-1.4701961531136978E-2</v>
      </c>
      <c r="D9707">
        <f t="shared" si="321"/>
        <v>-1.5854256371839954</v>
      </c>
    </row>
    <row r="9708" spans="1:4">
      <c r="A9708" s="1">
        <v>32371</v>
      </c>
      <c r="B9708">
        <v>260.56</v>
      </c>
      <c r="C9708">
        <f t="shared" si="322"/>
        <v>7.2287293671962757E-3</v>
      </c>
      <c r="D9708">
        <f t="shared" si="321"/>
        <v>0.7304478670759591</v>
      </c>
    </row>
    <row r="9709" spans="1:4">
      <c r="A9709" s="1">
        <v>32372</v>
      </c>
      <c r="B9709">
        <v>260.77</v>
      </c>
      <c r="C9709">
        <f t="shared" si="322"/>
        <v>8.0595640159648266E-4</v>
      </c>
      <c r="D9709">
        <f t="shared" si="321"/>
        <v>5.2205225115228543E-2</v>
      </c>
    </row>
    <row r="9710" spans="1:4">
      <c r="A9710" s="1">
        <v>32373</v>
      </c>
      <c r="B9710">
        <v>261.02999999999997</v>
      </c>
      <c r="C9710">
        <f t="shared" si="322"/>
        <v>9.9704720635038885E-4</v>
      </c>
      <c r="D9710">
        <f t="shared" si="321"/>
        <v>7.2384349142320503E-2</v>
      </c>
    </row>
    <row r="9711" spans="1:4">
      <c r="A9711" s="1">
        <v>32374</v>
      </c>
      <c r="B9711">
        <v>260.24</v>
      </c>
      <c r="C9711">
        <f t="shared" si="322"/>
        <v>-3.0264720530205867E-3</v>
      </c>
      <c r="D9711">
        <f t="shared" si="321"/>
        <v>-0.35249791698660704</v>
      </c>
    </row>
    <row r="9712" spans="1:4">
      <c r="A9712" s="1">
        <v>32377</v>
      </c>
      <c r="B9712">
        <v>256.98</v>
      </c>
      <c r="C9712">
        <f t="shared" si="322"/>
        <v>-1.2526898247771253E-2</v>
      </c>
      <c r="D9712">
        <f t="shared" si="321"/>
        <v>-1.3557396938005077</v>
      </c>
    </row>
    <row r="9713" spans="1:4">
      <c r="A9713" s="1">
        <v>32378</v>
      </c>
      <c r="B9713">
        <v>257.08999999999997</v>
      </c>
      <c r="C9713">
        <f t="shared" si="322"/>
        <v>4.2804887539869558E-4</v>
      </c>
      <c r="D9713">
        <f t="shared" si="321"/>
        <v>1.2298318805751784E-2</v>
      </c>
    </row>
    <row r="9714" spans="1:4">
      <c r="A9714" s="1">
        <v>32379</v>
      </c>
      <c r="B9714">
        <v>261.13</v>
      </c>
      <c r="C9714">
        <f t="shared" si="322"/>
        <v>1.5714341281263453E-2</v>
      </c>
      <c r="D9714">
        <f t="shared" si="321"/>
        <v>1.6265256008018179</v>
      </c>
    </row>
    <row r="9715" spans="1:4">
      <c r="A9715" s="1">
        <v>32380</v>
      </c>
      <c r="B9715">
        <v>259.18</v>
      </c>
      <c r="C9715">
        <f t="shared" si="322"/>
        <v>-7.4675449010071174E-3</v>
      </c>
      <c r="D9715">
        <f t="shared" si="321"/>
        <v>-0.82147370013997634</v>
      </c>
    </row>
    <row r="9716" spans="1:4">
      <c r="A9716" s="1">
        <v>32381</v>
      </c>
      <c r="B9716">
        <v>259.68</v>
      </c>
      <c r="C9716">
        <f t="shared" si="322"/>
        <v>1.9291612007099313E-3</v>
      </c>
      <c r="D9716">
        <f t="shared" si="321"/>
        <v>0.17081527010574699</v>
      </c>
    </row>
    <row r="9717" spans="1:4">
      <c r="A9717" s="1">
        <v>32384</v>
      </c>
      <c r="B9717">
        <v>262.33</v>
      </c>
      <c r="C9717">
        <f t="shared" si="322"/>
        <v>1.0204867529266703E-2</v>
      </c>
      <c r="D9717">
        <f t="shared" si="321"/>
        <v>1.0447270453520821</v>
      </c>
    </row>
    <row r="9718" spans="1:4">
      <c r="A9718" s="1">
        <v>32385</v>
      </c>
      <c r="B9718">
        <v>262.51</v>
      </c>
      <c r="C9718">
        <f t="shared" si="322"/>
        <v>6.8615865512906197E-4</v>
      </c>
      <c r="D9718">
        <f t="shared" si="321"/>
        <v>3.9554623809501484E-2</v>
      </c>
    </row>
    <row r="9719" spans="1:4">
      <c r="A9719" s="1">
        <v>32386</v>
      </c>
      <c r="B9719">
        <v>261.52</v>
      </c>
      <c r="C9719">
        <f t="shared" si="322"/>
        <v>-3.7712849034322849E-3</v>
      </c>
      <c r="D9719">
        <f t="shared" si="321"/>
        <v>-0.43114990081589344</v>
      </c>
    </row>
    <row r="9720" spans="1:4">
      <c r="A9720" s="1">
        <v>32387</v>
      </c>
      <c r="B9720">
        <v>258.35000000000002</v>
      </c>
      <c r="C9720">
        <f t="shared" si="322"/>
        <v>-1.2121443866625723E-2</v>
      </c>
      <c r="D9720">
        <f t="shared" si="321"/>
        <v>-1.3129238489721802</v>
      </c>
    </row>
    <row r="9721" spans="1:4">
      <c r="A9721" s="1">
        <v>32388</v>
      </c>
      <c r="B9721">
        <v>264.48</v>
      </c>
      <c r="C9721">
        <f t="shared" si="322"/>
        <v>2.3727501451519237E-2</v>
      </c>
      <c r="D9721">
        <f t="shared" si="321"/>
        <v>2.4727125909753433</v>
      </c>
    </row>
    <row r="9722" spans="1:4">
      <c r="A9722" s="1">
        <v>32392</v>
      </c>
      <c r="B9722">
        <v>265.58999999999997</v>
      </c>
      <c r="C9722">
        <f t="shared" si="322"/>
        <v>4.1969147005443009E-3</v>
      </c>
      <c r="D9722">
        <f t="shared" si="321"/>
        <v>0.41028926884138833</v>
      </c>
    </row>
    <row r="9723" spans="1:4">
      <c r="A9723" s="1">
        <v>32393</v>
      </c>
      <c r="B9723">
        <v>265.87</v>
      </c>
      <c r="C9723">
        <f t="shared" si="322"/>
        <v>1.0542565608646017E-3</v>
      </c>
      <c r="D9723">
        <f t="shared" si="321"/>
        <v>7.8425637532616929E-2</v>
      </c>
    </row>
    <row r="9724" spans="1:4">
      <c r="A9724" s="1">
        <v>32394</v>
      </c>
      <c r="B9724">
        <v>265.88</v>
      </c>
      <c r="C9724">
        <f t="shared" si="322"/>
        <v>3.761236694621772E-5</v>
      </c>
      <c r="D9724">
        <f t="shared" si="321"/>
        <v>-2.8931643771012323E-2</v>
      </c>
    </row>
    <row r="9725" spans="1:4">
      <c r="A9725" s="1">
        <v>32395</v>
      </c>
      <c r="B9725">
        <v>266.83999999999997</v>
      </c>
      <c r="C9725">
        <f t="shared" si="322"/>
        <v>3.6106514216939205E-3</v>
      </c>
      <c r="D9725">
        <f t="shared" si="321"/>
        <v>0.34838006587535919</v>
      </c>
    </row>
    <row r="9726" spans="1:4">
      <c r="A9726" s="1">
        <v>32398</v>
      </c>
      <c r="B9726">
        <v>266.47000000000003</v>
      </c>
      <c r="C9726">
        <f t="shared" si="322"/>
        <v>-1.3865987108377595E-3</v>
      </c>
      <c r="D9726">
        <f t="shared" si="321"/>
        <v>-0.17932784947213315</v>
      </c>
    </row>
    <row r="9727" spans="1:4">
      <c r="A9727" s="1">
        <v>32399</v>
      </c>
      <c r="B9727">
        <v>267.43</v>
      </c>
      <c r="C9727">
        <f t="shared" si="322"/>
        <v>3.6026569595075599E-3</v>
      </c>
      <c r="D9727">
        <f t="shared" si="321"/>
        <v>0.34753585338592924</v>
      </c>
    </row>
    <row r="9728" spans="1:4">
      <c r="A9728" s="1">
        <v>32400</v>
      </c>
      <c r="B9728">
        <v>269.31</v>
      </c>
      <c r="C9728">
        <f t="shared" si="322"/>
        <v>7.0298769771528829E-3</v>
      </c>
      <c r="D9728">
        <f t="shared" si="321"/>
        <v>0.70944912228058843</v>
      </c>
    </row>
    <row r="9729" spans="1:4">
      <c r="A9729" s="1">
        <v>32401</v>
      </c>
      <c r="B9729">
        <v>268.13</v>
      </c>
      <c r="C9729">
        <f t="shared" si="322"/>
        <v>-4.3815677100739175E-3</v>
      </c>
      <c r="D9729">
        <f t="shared" si="321"/>
        <v>-0.49559555775204467</v>
      </c>
    </row>
    <row r="9730" spans="1:4">
      <c r="A9730" s="1">
        <v>32402</v>
      </c>
      <c r="B9730">
        <v>270.64999999999998</v>
      </c>
      <c r="C9730">
        <f t="shared" si="322"/>
        <v>9.3984261365754745E-3</v>
      </c>
      <c r="D9730">
        <f t="shared" si="321"/>
        <v>0.95956710840663662</v>
      </c>
    </row>
    <row r="9731" spans="1:4">
      <c r="A9731" s="1">
        <v>32405</v>
      </c>
      <c r="B9731">
        <v>268.82</v>
      </c>
      <c r="C9731">
        <f t="shared" si="322"/>
        <v>-6.761500092370162E-3</v>
      </c>
      <c r="D9731">
        <f t="shared" ref="D9731:D9794" si="323">(C9731-avg)/sd</f>
        <v>-0.74691560834420512</v>
      </c>
    </row>
    <row r="9732" spans="1:4">
      <c r="A9732" s="1">
        <v>32406</v>
      </c>
      <c r="B9732">
        <v>269.73</v>
      </c>
      <c r="C9732">
        <f t="shared" ref="C9732:C9795" si="324">(B9732-B9731)/B9731</f>
        <v>3.3851647942862327E-3</v>
      </c>
      <c r="D9732">
        <f t="shared" si="323"/>
        <v>0.32456875466773605</v>
      </c>
    </row>
    <row r="9733" spans="1:4">
      <c r="A9733" s="1">
        <v>32407</v>
      </c>
      <c r="B9733">
        <v>270.16000000000003</v>
      </c>
      <c r="C9733">
        <f t="shared" si="324"/>
        <v>1.5941867793719897E-3</v>
      </c>
      <c r="D9733">
        <f t="shared" si="323"/>
        <v>0.13544208507579852</v>
      </c>
    </row>
    <row r="9734" spans="1:4">
      <c r="A9734" s="1">
        <v>32408</v>
      </c>
      <c r="B9734">
        <v>269.18</v>
      </c>
      <c r="C9734">
        <f t="shared" si="324"/>
        <v>-3.6274800118448998E-3</v>
      </c>
      <c r="D9734">
        <f t="shared" si="323"/>
        <v>-0.41596415314592328</v>
      </c>
    </row>
    <row r="9735" spans="1:4">
      <c r="A9735" s="1">
        <v>32409</v>
      </c>
      <c r="B9735">
        <v>269.76</v>
      </c>
      <c r="C9735">
        <f t="shared" si="324"/>
        <v>2.1546920276394386E-3</v>
      </c>
      <c r="D9735">
        <f t="shared" si="323"/>
        <v>0.1946312487678501</v>
      </c>
    </row>
    <row r="9736" spans="1:4">
      <c r="A9736" s="1">
        <v>32412</v>
      </c>
      <c r="B9736">
        <v>268.88</v>
      </c>
      <c r="C9736">
        <f t="shared" si="324"/>
        <v>-3.2621589561091175E-3</v>
      </c>
      <c r="D9736">
        <f t="shared" si="323"/>
        <v>-0.37738637383888501</v>
      </c>
    </row>
    <row r="9737" spans="1:4">
      <c r="A9737" s="1">
        <v>32413</v>
      </c>
      <c r="B9737">
        <v>268.26</v>
      </c>
      <c r="C9737">
        <f t="shared" si="324"/>
        <v>-2.3058613507884727E-3</v>
      </c>
      <c r="D9737">
        <f t="shared" si="323"/>
        <v>-0.27640167177837488</v>
      </c>
    </row>
    <row r="9738" spans="1:4">
      <c r="A9738" s="1">
        <v>32414</v>
      </c>
      <c r="B9738">
        <v>269.08</v>
      </c>
      <c r="C9738">
        <f t="shared" si="324"/>
        <v>3.0567360023857197E-3</v>
      </c>
      <c r="D9738">
        <f t="shared" si="323"/>
        <v>0.28988678588141248</v>
      </c>
    </row>
    <row r="9739" spans="1:4">
      <c r="A9739" s="1">
        <v>32415</v>
      </c>
      <c r="B9739">
        <v>272.58999999999997</v>
      </c>
      <c r="C9739">
        <f t="shared" si="324"/>
        <v>1.3044447747881638E-2</v>
      </c>
      <c r="D9739">
        <f t="shared" si="323"/>
        <v>1.3445857512176052</v>
      </c>
    </row>
    <row r="9740" spans="1:4">
      <c r="A9740" s="1">
        <v>32416</v>
      </c>
      <c r="B9740">
        <v>271.91000000000003</v>
      </c>
      <c r="C9740">
        <f t="shared" si="324"/>
        <v>-2.4945889431011777E-3</v>
      </c>
      <c r="D9740">
        <f t="shared" si="323"/>
        <v>-0.29633124137497091</v>
      </c>
    </row>
    <row r="9741" spans="1:4">
      <c r="A9741" s="1">
        <v>32419</v>
      </c>
      <c r="B9741">
        <v>271.38</v>
      </c>
      <c r="C9741">
        <f t="shared" si="324"/>
        <v>-1.9491743591630668E-3</v>
      </c>
      <c r="D9741">
        <f t="shared" si="323"/>
        <v>-0.23873564670653144</v>
      </c>
    </row>
    <row r="9742" spans="1:4">
      <c r="A9742" s="1">
        <v>32420</v>
      </c>
      <c r="B9742">
        <v>270.62</v>
      </c>
      <c r="C9742">
        <f t="shared" si="324"/>
        <v>-2.8005011423096432E-3</v>
      </c>
      <c r="D9742">
        <f t="shared" si="323"/>
        <v>-0.32863546562677604</v>
      </c>
    </row>
    <row r="9743" spans="1:4">
      <c r="A9743" s="1">
        <v>32421</v>
      </c>
      <c r="B9743">
        <v>271.86</v>
      </c>
      <c r="C9743">
        <f t="shared" si="324"/>
        <v>4.5820708003843367E-3</v>
      </c>
      <c r="D9743">
        <f t="shared" si="323"/>
        <v>0.45096162206357659</v>
      </c>
    </row>
    <row r="9744" spans="1:4">
      <c r="A9744" s="1">
        <v>32422</v>
      </c>
      <c r="B9744">
        <v>272.39</v>
      </c>
      <c r="C9744">
        <f t="shared" si="324"/>
        <v>1.9495328477892029E-3</v>
      </c>
      <c r="D9744">
        <f t="shared" si="323"/>
        <v>0.17296650911265879</v>
      </c>
    </row>
    <row r="9745" spans="1:4">
      <c r="A9745" s="1">
        <v>32423</v>
      </c>
      <c r="B9745">
        <v>278.07</v>
      </c>
      <c r="C9745">
        <f t="shared" si="324"/>
        <v>2.0852454201696125E-2</v>
      </c>
      <c r="D9745">
        <f t="shared" si="323"/>
        <v>2.1691085786700666</v>
      </c>
    </row>
    <row r="9746" spans="1:4">
      <c r="A9746" s="1">
        <v>32426</v>
      </c>
      <c r="B9746">
        <v>278.24</v>
      </c>
      <c r="C9746">
        <f t="shared" si="324"/>
        <v>6.1135685259113145E-4</v>
      </c>
      <c r="D9746">
        <f t="shared" si="323"/>
        <v>3.1655578887864105E-2</v>
      </c>
    </row>
    <row r="9747" spans="1:4">
      <c r="A9747" s="1">
        <v>32427</v>
      </c>
      <c r="B9747">
        <v>277.93</v>
      </c>
      <c r="C9747">
        <f t="shared" si="324"/>
        <v>-1.1141460609545798E-3</v>
      </c>
      <c r="D9747">
        <f t="shared" si="323"/>
        <v>-0.1505569422556248</v>
      </c>
    </row>
    <row r="9748" spans="1:4">
      <c r="A9748" s="1">
        <v>32428</v>
      </c>
      <c r="B9748">
        <v>273.98</v>
      </c>
      <c r="C9748">
        <f t="shared" si="324"/>
        <v>-1.4212211707983983E-2</v>
      </c>
      <c r="D9748">
        <f t="shared" si="323"/>
        <v>-1.5337082223330927</v>
      </c>
    </row>
    <row r="9749" spans="1:4">
      <c r="A9749" s="1">
        <v>32429</v>
      </c>
      <c r="B9749">
        <v>275.22000000000003</v>
      </c>
      <c r="C9749">
        <f t="shared" si="324"/>
        <v>4.5258778012993977E-3</v>
      </c>
      <c r="D9749">
        <f t="shared" si="323"/>
        <v>0.44502766046113551</v>
      </c>
    </row>
    <row r="9750" spans="1:4">
      <c r="A9750" s="1">
        <v>32430</v>
      </c>
      <c r="B9750">
        <v>275.5</v>
      </c>
      <c r="C9750">
        <f t="shared" si="324"/>
        <v>1.0173679238426447E-3</v>
      </c>
      <c r="D9750">
        <f t="shared" si="323"/>
        <v>7.4530210002155234E-2</v>
      </c>
    </row>
    <row r="9751" spans="1:4">
      <c r="A9751" s="1">
        <v>32433</v>
      </c>
      <c r="B9751">
        <v>276.41000000000003</v>
      </c>
      <c r="C9751">
        <f t="shared" si="324"/>
        <v>3.303085299455626E-3</v>
      </c>
      <c r="D9751">
        <f t="shared" si="323"/>
        <v>0.3159011879137999</v>
      </c>
    </row>
    <row r="9752" spans="1:4">
      <c r="A9752" s="1">
        <v>32434</v>
      </c>
      <c r="B9752">
        <v>279.38</v>
      </c>
      <c r="C9752">
        <f t="shared" si="324"/>
        <v>1.0744907926630623E-2</v>
      </c>
      <c r="D9752">
        <f t="shared" si="323"/>
        <v>1.1017551277450617</v>
      </c>
    </row>
    <row r="9753" spans="1:4">
      <c r="A9753" s="1">
        <v>32435</v>
      </c>
      <c r="B9753">
        <v>276.97000000000003</v>
      </c>
      <c r="C9753">
        <f t="shared" si="324"/>
        <v>-8.6262438256137462E-3</v>
      </c>
      <c r="D9753">
        <f t="shared" si="323"/>
        <v>-0.94383191271753497</v>
      </c>
    </row>
    <row r="9754" spans="1:4">
      <c r="A9754" s="1">
        <v>32436</v>
      </c>
      <c r="B9754">
        <v>282.88</v>
      </c>
      <c r="C9754">
        <f t="shared" si="324"/>
        <v>2.1338051052460439E-2</v>
      </c>
      <c r="D9754">
        <f t="shared" si="323"/>
        <v>2.2203874410483886</v>
      </c>
    </row>
    <row r="9755" spans="1:4">
      <c r="A9755" s="1">
        <v>32437</v>
      </c>
      <c r="B9755">
        <v>283.66000000000003</v>
      </c>
      <c r="C9755">
        <f t="shared" si="324"/>
        <v>2.7573529411765753E-3</v>
      </c>
      <c r="D9755">
        <f t="shared" si="323"/>
        <v>0.25827203638297386</v>
      </c>
    </row>
    <row r="9756" spans="1:4">
      <c r="A9756" s="1">
        <v>32440</v>
      </c>
      <c r="B9756">
        <v>282.27999999999997</v>
      </c>
      <c r="C9756">
        <f t="shared" si="324"/>
        <v>-4.8649792004514282E-3</v>
      </c>
      <c r="D9756">
        <f t="shared" si="323"/>
        <v>-0.54664364681636035</v>
      </c>
    </row>
    <row r="9757" spans="1:4">
      <c r="A9757" s="1">
        <v>32441</v>
      </c>
      <c r="B9757">
        <v>282.38</v>
      </c>
      <c r="C9757">
        <f t="shared" si="324"/>
        <v>3.542581833641163E-4</v>
      </c>
      <c r="D9757">
        <f t="shared" si="323"/>
        <v>4.5060468095751384E-3</v>
      </c>
    </row>
    <row r="9758" spans="1:4">
      <c r="A9758" s="1">
        <v>32442</v>
      </c>
      <c r="B9758">
        <v>281.38</v>
      </c>
      <c r="C9758">
        <f t="shared" si="324"/>
        <v>-3.5413272894680927E-3</v>
      </c>
      <c r="D9758">
        <f t="shared" si="323"/>
        <v>-0.4068664549476656</v>
      </c>
    </row>
    <row r="9759" spans="1:4">
      <c r="A9759" s="1">
        <v>32443</v>
      </c>
      <c r="B9759">
        <v>277.27999999999997</v>
      </c>
      <c r="C9759">
        <f t="shared" si="324"/>
        <v>-1.4571042718032634E-2</v>
      </c>
      <c r="D9759">
        <f t="shared" si="323"/>
        <v>-1.5716006550216437</v>
      </c>
    </row>
    <row r="9760" spans="1:4">
      <c r="A9760" s="1">
        <v>32444</v>
      </c>
      <c r="B9760">
        <v>278.52999999999997</v>
      </c>
      <c r="C9760">
        <f t="shared" si="324"/>
        <v>4.5080784766301212E-3</v>
      </c>
      <c r="D9760">
        <f t="shared" si="323"/>
        <v>0.44314805782634431</v>
      </c>
    </row>
    <row r="9761" spans="1:4">
      <c r="A9761" s="1">
        <v>32447</v>
      </c>
      <c r="B9761">
        <v>278.97000000000003</v>
      </c>
      <c r="C9761">
        <f t="shared" si="324"/>
        <v>1.5797221125194939E-3</v>
      </c>
      <c r="D9761">
        <f t="shared" si="323"/>
        <v>0.13391462117295411</v>
      </c>
    </row>
    <row r="9762" spans="1:4">
      <c r="A9762" s="1">
        <v>32448</v>
      </c>
      <c r="B9762">
        <v>279.06</v>
      </c>
      <c r="C9762">
        <f t="shared" si="324"/>
        <v>3.2261533498216646E-4</v>
      </c>
      <c r="D9762">
        <f t="shared" si="323"/>
        <v>1.1645727763680044E-3</v>
      </c>
    </row>
    <row r="9763" spans="1:4">
      <c r="A9763" s="1">
        <v>32449</v>
      </c>
      <c r="B9763">
        <v>279.06</v>
      </c>
      <c r="C9763">
        <f t="shared" si="324"/>
        <v>0</v>
      </c>
      <c r="D9763">
        <f t="shared" si="323"/>
        <v>-3.29034969354682E-2</v>
      </c>
    </row>
    <row r="9764" spans="1:4">
      <c r="A9764" s="1">
        <v>32450</v>
      </c>
      <c r="B9764">
        <v>279.2</v>
      </c>
      <c r="C9764">
        <f t="shared" si="324"/>
        <v>5.0168422561451434E-4</v>
      </c>
      <c r="D9764">
        <f t="shared" si="323"/>
        <v>2.0074186758670568E-2</v>
      </c>
    </row>
    <row r="9765" spans="1:4">
      <c r="A9765" s="1">
        <v>32451</v>
      </c>
      <c r="B9765">
        <v>276.31</v>
      </c>
      <c r="C9765">
        <f t="shared" si="324"/>
        <v>-1.0351002865329464E-2</v>
      </c>
      <c r="D9765">
        <f t="shared" si="323"/>
        <v>-1.1259658810374316</v>
      </c>
    </row>
    <row r="9766" spans="1:4">
      <c r="A9766" s="1">
        <v>32454</v>
      </c>
      <c r="B9766">
        <v>273.93</v>
      </c>
      <c r="C9766">
        <f t="shared" si="324"/>
        <v>-8.6135138069559393E-3</v>
      </c>
      <c r="D9766">
        <f t="shared" si="323"/>
        <v>-0.94248762707441425</v>
      </c>
    </row>
    <row r="9767" spans="1:4">
      <c r="A9767" s="1">
        <v>32455</v>
      </c>
      <c r="B9767">
        <v>275.14999999999998</v>
      </c>
      <c r="C9767">
        <f t="shared" si="324"/>
        <v>4.4536925491912909E-3</v>
      </c>
      <c r="D9767">
        <f t="shared" si="323"/>
        <v>0.43740492237547879</v>
      </c>
    </row>
    <row r="9768" spans="1:4">
      <c r="A9768" s="1">
        <v>32456</v>
      </c>
      <c r="B9768">
        <v>273.33</v>
      </c>
      <c r="C9768">
        <f t="shared" si="324"/>
        <v>-6.6145738687988127E-3</v>
      </c>
      <c r="D9768">
        <f t="shared" si="323"/>
        <v>-0.73140024907772061</v>
      </c>
    </row>
    <row r="9769" spans="1:4">
      <c r="A9769" s="1">
        <v>32457</v>
      </c>
      <c r="B9769">
        <v>273.69</v>
      </c>
      <c r="C9769">
        <f t="shared" si="324"/>
        <v>1.3170892327955719E-3</v>
      </c>
      <c r="D9769">
        <f t="shared" si="323"/>
        <v>0.10618067834736133</v>
      </c>
    </row>
    <row r="9770" spans="1:4">
      <c r="A9770" s="1">
        <v>32458</v>
      </c>
      <c r="B9770">
        <v>267.92</v>
      </c>
      <c r="C9770">
        <f t="shared" si="324"/>
        <v>-2.1082246337096648E-2</v>
      </c>
      <c r="D9770">
        <f t="shared" si="323"/>
        <v>-2.2591815439291563</v>
      </c>
    </row>
    <row r="9771" spans="1:4">
      <c r="A9771" s="1">
        <v>32461</v>
      </c>
      <c r="B9771">
        <v>267.72000000000003</v>
      </c>
      <c r="C9771">
        <f t="shared" si="324"/>
        <v>-7.4649148999697155E-4</v>
      </c>
      <c r="D9771">
        <f t="shared" si="323"/>
        <v>-0.11173274453436212</v>
      </c>
    </row>
    <row r="9772" spans="1:4">
      <c r="A9772" s="1">
        <v>32462</v>
      </c>
      <c r="B9772">
        <v>268.33999999999997</v>
      </c>
      <c r="C9772">
        <f t="shared" si="324"/>
        <v>2.3158523830866117E-3</v>
      </c>
      <c r="D9772">
        <f t="shared" si="323"/>
        <v>0.21164972752200509</v>
      </c>
    </row>
    <row r="9773" spans="1:4">
      <c r="A9773" s="1">
        <v>32463</v>
      </c>
      <c r="B9773">
        <v>263.82</v>
      </c>
      <c r="C9773">
        <f t="shared" si="324"/>
        <v>-1.6844302004919067E-2</v>
      </c>
      <c r="D9773">
        <f t="shared" si="323"/>
        <v>-1.811656062998475</v>
      </c>
    </row>
    <row r="9774" spans="1:4">
      <c r="A9774" s="1">
        <v>32464</v>
      </c>
      <c r="B9774">
        <v>264.60000000000002</v>
      </c>
      <c r="C9774">
        <f t="shared" si="324"/>
        <v>2.9565612917899688E-3</v>
      </c>
      <c r="D9774">
        <f t="shared" si="323"/>
        <v>0.27930837049353979</v>
      </c>
    </row>
    <row r="9775" spans="1:4">
      <c r="A9775" s="1">
        <v>32465</v>
      </c>
      <c r="B9775">
        <v>266.47000000000003</v>
      </c>
      <c r="C9775">
        <f t="shared" si="324"/>
        <v>7.0672713529856554E-3</v>
      </c>
      <c r="D9775">
        <f t="shared" si="323"/>
        <v>0.71339795565756325</v>
      </c>
    </row>
    <row r="9776" spans="1:4">
      <c r="A9776" s="1">
        <v>32468</v>
      </c>
      <c r="B9776">
        <v>266.22000000000003</v>
      </c>
      <c r="C9776">
        <f t="shared" si="324"/>
        <v>-9.3819191653844703E-4</v>
      </c>
      <c r="D9776">
        <f t="shared" si="323"/>
        <v>-0.13197624441500089</v>
      </c>
    </row>
    <row r="9777" spans="1:4">
      <c r="A9777" s="1">
        <v>32469</v>
      </c>
      <c r="B9777">
        <v>267.20999999999998</v>
      </c>
      <c r="C9777">
        <f t="shared" si="324"/>
        <v>3.7187288708585087E-3</v>
      </c>
      <c r="D9777">
        <f t="shared" si="323"/>
        <v>0.35979300776982975</v>
      </c>
    </row>
    <row r="9778" spans="1:4">
      <c r="A9778" s="1">
        <v>32470</v>
      </c>
      <c r="B9778">
        <v>269</v>
      </c>
      <c r="C9778">
        <f t="shared" si="324"/>
        <v>6.6988510909023634E-3</v>
      </c>
      <c r="D9778">
        <f t="shared" si="323"/>
        <v>0.67449290121369931</v>
      </c>
    </row>
    <row r="9779" spans="1:4">
      <c r="A9779" s="1">
        <v>32472</v>
      </c>
      <c r="B9779">
        <v>267.23</v>
      </c>
      <c r="C9779">
        <f t="shared" si="324"/>
        <v>-6.5799256505575535E-3</v>
      </c>
      <c r="D9779">
        <f t="shared" si="323"/>
        <v>-0.72774140900894524</v>
      </c>
    </row>
    <row r="9780" spans="1:4">
      <c r="A9780" s="1">
        <v>32475</v>
      </c>
      <c r="B9780">
        <v>268.64</v>
      </c>
      <c r="C9780">
        <f t="shared" si="324"/>
        <v>5.2763537028027094E-3</v>
      </c>
      <c r="D9780">
        <f t="shared" si="323"/>
        <v>0.52427766056073166</v>
      </c>
    </row>
    <row r="9781" spans="1:4">
      <c r="A9781" s="1">
        <v>32476</v>
      </c>
      <c r="B9781">
        <v>270.91000000000003</v>
      </c>
      <c r="C9781">
        <f t="shared" si="324"/>
        <v>8.4499702203694113E-3</v>
      </c>
      <c r="D9781">
        <f t="shared" si="323"/>
        <v>0.8594104860511067</v>
      </c>
    </row>
    <row r="9782" spans="1:4">
      <c r="A9782" s="1">
        <v>32477</v>
      </c>
      <c r="B9782">
        <v>273.7</v>
      </c>
      <c r="C9782">
        <f t="shared" si="324"/>
        <v>1.0298623158982553E-2</v>
      </c>
      <c r="D9782">
        <f t="shared" si="323"/>
        <v>1.0546276079809889</v>
      </c>
    </row>
    <row r="9783" spans="1:4">
      <c r="A9783" s="1">
        <v>32478</v>
      </c>
      <c r="B9783">
        <v>272.49</v>
      </c>
      <c r="C9783">
        <f t="shared" si="324"/>
        <v>-4.4208987943002544E-3</v>
      </c>
      <c r="D9783">
        <f t="shared" si="323"/>
        <v>-0.49974890687706069</v>
      </c>
    </row>
    <row r="9784" spans="1:4">
      <c r="A9784" s="1">
        <v>32479</v>
      </c>
      <c r="B9784">
        <v>271.81</v>
      </c>
      <c r="C9784">
        <f t="shared" si="324"/>
        <v>-2.4955044221806554E-3</v>
      </c>
      <c r="D9784">
        <f t="shared" si="323"/>
        <v>-0.29642791565457732</v>
      </c>
    </row>
    <row r="9785" spans="1:4">
      <c r="A9785" s="1">
        <v>32482</v>
      </c>
      <c r="B9785">
        <v>274.93</v>
      </c>
      <c r="C9785">
        <f t="shared" si="324"/>
        <v>1.1478606379456255E-2</v>
      </c>
      <c r="D9785">
        <f t="shared" si="323"/>
        <v>1.1792334349672269</v>
      </c>
    </row>
    <row r="9786" spans="1:4">
      <c r="A9786" s="1">
        <v>32483</v>
      </c>
      <c r="B9786">
        <v>277.58999999999997</v>
      </c>
      <c r="C9786">
        <f t="shared" si="324"/>
        <v>9.6751900483758348E-3</v>
      </c>
      <c r="D9786">
        <f t="shared" si="323"/>
        <v>0.98879328341613004</v>
      </c>
    </row>
    <row r="9787" spans="1:4">
      <c r="A9787" s="1">
        <v>32484</v>
      </c>
      <c r="B9787">
        <v>278.13</v>
      </c>
      <c r="C9787">
        <f t="shared" si="324"/>
        <v>1.9453150329623563E-3</v>
      </c>
      <c r="D9787">
        <f t="shared" si="323"/>
        <v>0.17252110930064871</v>
      </c>
    </row>
    <row r="9788" spans="1:4">
      <c r="A9788" s="1">
        <v>32485</v>
      </c>
      <c r="B9788">
        <v>276.58999999999997</v>
      </c>
      <c r="C9788">
        <f t="shared" si="324"/>
        <v>-5.5369791104879747E-3</v>
      </c>
      <c r="D9788">
        <f t="shared" si="323"/>
        <v>-0.61760660889235164</v>
      </c>
    </row>
    <row r="9789" spans="1:4">
      <c r="A9789" s="1">
        <v>32486</v>
      </c>
      <c r="B9789">
        <v>277.02999999999997</v>
      </c>
      <c r="C9789">
        <f t="shared" si="324"/>
        <v>1.5908022705086872E-3</v>
      </c>
      <c r="D9789">
        <f t="shared" si="323"/>
        <v>0.13508468209028424</v>
      </c>
    </row>
    <row r="9790" spans="1:4">
      <c r="A9790" s="1">
        <v>32489</v>
      </c>
      <c r="B9790">
        <v>276.52</v>
      </c>
      <c r="C9790">
        <f t="shared" si="324"/>
        <v>-1.8409558531566651E-3</v>
      </c>
      <c r="D9790">
        <f t="shared" si="323"/>
        <v>-0.22730780925751287</v>
      </c>
    </row>
    <row r="9791" spans="1:4">
      <c r="A9791" s="1">
        <v>32490</v>
      </c>
      <c r="B9791">
        <v>276.31</v>
      </c>
      <c r="C9791">
        <f t="shared" si="324"/>
        <v>-7.5943873860834493E-4</v>
      </c>
      <c r="D9791">
        <f t="shared" si="323"/>
        <v>-0.11309996958673951</v>
      </c>
    </row>
    <row r="9792" spans="1:4">
      <c r="A9792" s="1">
        <v>32491</v>
      </c>
      <c r="B9792">
        <v>275.31</v>
      </c>
      <c r="C9792">
        <f t="shared" si="324"/>
        <v>-3.6191234483008215E-3</v>
      </c>
      <c r="D9792">
        <f t="shared" si="323"/>
        <v>-0.41508170287620255</v>
      </c>
    </row>
    <row r="9793" spans="1:4">
      <c r="A9793" s="1">
        <v>32492</v>
      </c>
      <c r="B9793">
        <v>274.27999999999997</v>
      </c>
      <c r="C9793">
        <f t="shared" si="324"/>
        <v>-3.741237150848242E-3</v>
      </c>
      <c r="D9793">
        <f t="shared" si="323"/>
        <v>-0.42797686835674587</v>
      </c>
    </row>
    <row r="9794" spans="1:4">
      <c r="A9794" s="1">
        <v>32493</v>
      </c>
      <c r="B9794">
        <v>276.29000000000002</v>
      </c>
      <c r="C9794">
        <f t="shared" si="324"/>
        <v>7.328277672451684E-3</v>
      </c>
      <c r="D9794">
        <f t="shared" si="323"/>
        <v>0.74096013427281715</v>
      </c>
    </row>
    <row r="9795" spans="1:4">
      <c r="A9795" s="1">
        <v>32496</v>
      </c>
      <c r="B9795">
        <v>278.91000000000003</v>
      </c>
      <c r="C9795">
        <f t="shared" si="324"/>
        <v>9.4827898222881908E-3</v>
      </c>
      <c r="D9795">
        <f t="shared" ref="D9795:D9858" si="325">(C9795-avg)/sd</f>
        <v>0.96847588494128933</v>
      </c>
    </row>
    <row r="9796" spans="1:4">
      <c r="A9796" s="1">
        <v>32497</v>
      </c>
      <c r="B9796">
        <v>277.47000000000003</v>
      </c>
      <c r="C9796">
        <f t="shared" ref="C9796:C9859" si="326">(B9796-B9795)/B9795</f>
        <v>-5.1629557921910206E-3</v>
      </c>
      <c r="D9796">
        <f t="shared" si="325"/>
        <v>-0.57810987361689647</v>
      </c>
    </row>
    <row r="9797" spans="1:4">
      <c r="A9797" s="1">
        <v>32498</v>
      </c>
      <c r="B9797">
        <v>277.38</v>
      </c>
      <c r="C9797">
        <f t="shared" si="326"/>
        <v>-3.2435939020446111E-4</v>
      </c>
      <c r="D9797">
        <f t="shared" si="325"/>
        <v>-6.7155738285945538E-2</v>
      </c>
    </row>
    <row r="9798" spans="1:4">
      <c r="A9798" s="1">
        <v>32499</v>
      </c>
      <c r="B9798">
        <v>276.87</v>
      </c>
      <c r="C9798">
        <f t="shared" si="326"/>
        <v>-1.838632922344765E-3</v>
      </c>
      <c r="D9798">
        <f t="shared" si="325"/>
        <v>-0.22706250855337878</v>
      </c>
    </row>
    <row r="9799" spans="1:4">
      <c r="A9799" s="1">
        <v>32500</v>
      </c>
      <c r="B9799">
        <v>277.87</v>
      </c>
      <c r="C9799">
        <f t="shared" si="326"/>
        <v>3.6118033734243507E-3</v>
      </c>
      <c r="D9799">
        <f t="shared" si="325"/>
        <v>0.34850171158652515</v>
      </c>
    </row>
    <row r="9800" spans="1:4">
      <c r="A9800" s="1">
        <v>32504</v>
      </c>
      <c r="B9800">
        <v>276.83</v>
      </c>
      <c r="C9800">
        <f t="shared" si="326"/>
        <v>-3.7427574045417657E-3</v>
      </c>
      <c r="D9800">
        <f t="shared" si="325"/>
        <v>-0.42813740663002264</v>
      </c>
    </row>
    <row r="9801" spans="1:4">
      <c r="A9801" s="1">
        <v>32505</v>
      </c>
      <c r="B9801">
        <v>277.08</v>
      </c>
      <c r="C9801">
        <f t="shared" si="326"/>
        <v>9.0308131344146237E-4</v>
      </c>
      <c r="D9801">
        <f t="shared" si="325"/>
        <v>6.2461582791696772E-2</v>
      </c>
    </row>
    <row r="9802" spans="1:4">
      <c r="A9802" s="1">
        <v>32506</v>
      </c>
      <c r="B9802">
        <v>279.39999999999998</v>
      </c>
      <c r="C9802">
        <f t="shared" si="326"/>
        <v>8.3730330590442957E-3</v>
      </c>
      <c r="D9802">
        <f t="shared" si="325"/>
        <v>0.85128594796738621</v>
      </c>
    </row>
    <row r="9803" spans="1:4">
      <c r="A9803" s="1">
        <v>32507</v>
      </c>
      <c r="B9803">
        <v>277.72000000000003</v>
      </c>
      <c r="C9803">
        <f t="shared" si="326"/>
        <v>-6.0128847530420545E-3</v>
      </c>
      <c r="D9803">
        <f t="shared" si="325"/>
        <v>-0.66786208297787464</v>
      </c>
    </row>
    <row r="9804" spans="1:4">
      <c r="A9804" s="1">
        <v>32511</v>
      </c>
      <c r="B9804">
        <v>275.31</v>
      </c>
      <c r="C9804">
        <f t="shared" si="326"/>
        <v>-8.6778049834366437E-3</v>
      </c>
      <c r="D9804">
        <f t="shared" si="325"/>
        <v>-0.94927675345714391</v>
      </c>
    </row>
    <row r="9805" spans="1:4">
      <c r="A9805" s="1">
        <v>32512</v>
      </c>
      <c r="B9805">
        <v>279.43</v>
      </c>
      <c r="C9805">
        <f t="shared" si="326"/>
        <v>1.4964948603392555E-2</v>
      </c>
      <c r="D9805">
        <f t="shared" si="325"/>
        <v>1.547389988749599</v>
      </c>
    </row>
    <row r="9806" spans="1:4">
      <c r="A9806" s="1">
        <v>32513</v>
      </c>
      <c r="B9806">
        <v>280.01</v>
      </c>
      <c r="C9806">
        <f t="shared" si="326"/>
        <v>2.0756540099487672E-3</v>
      </c>
      <c r="D9806">
        <f t="shared" si="325"/>
        <v>0.18628486096604277</v>
      </c>
    </row>
    <row r="9807" spans="1:4">
      <c r="A9807" s="1">
        <v>32514</v>
      </c>
      <c r="B9807">
        <v>280.67</v>
      </c>
      <c r="C9807">
        <f t="shared" si="326"/>
        <v>2.3570586764759295E-3</v>
      </c>
      <c r="D9807">
        <f t="shared" si="325"/>
        <v>0.21600109809721738</v>
      </c>
    </row>
    <row r="9808" spans="1:4">
      <c r="A9808" s="1">
        <v>32517</v>
      </c>
      <c r="B9808">
        <v>280.98</v>
      </c>
      <c r="C9808">
        <f t="shared" si="326"/>
        <v>1.1044999465564622E-3</v>
      </c>
      <c r="D9808">
        <f t="shared" si="325"/>
        <v>8.3731321983120804E-2</v>
      </c>
    </row>
    <row r="9809" spans="1:4">
      <c r="A9809" s="1">
        <v>32518</v>
      </c>
      <c r="B9809">
        <v>280.38</v>
      </c>
      <c r="C9809">
        <f t="shared" si="326"/>
        <v>-2.1353833013026645E-3</v>
      </c>
      <c r="D9809">
        <f t="shared" si="325"/>
        <v>-0.25839924770097811</v>
      </c>
    </row>
    <row r="9810" spans="1:4">
      <c r="A9810" s="1">
        <v>32519</v>
      </c>
      <c r="B9810">
        <v>282.01</v>
      </c>
      <c r="C9810">
        <f t="shared" si="326"/>
        <v>5.8135387688137367E-3</v>
      </c>
      <c r="D9810">
        <f t="shared" si="325"/>
        <v>0.58100422093342019</v>
      </c>
    </row>
    <row r="9811" spans="1:4">
      <c r="A9811" s="1">
        <v>32520</v>
      </c>
      <c r="B9811">
        <v>283.17</v>
      </c>
      <c r="C9811">
        <f t="shared" si="326"/>
        <v>4.113329314563402E-3</v>
      </c>
      <c r="D9811">
        <f t="shared" si="325"/>
        <v>0.40146268049385858</v>
      </c>
    </row>
    <row r="9812" spans="1:4">
      <c r="A9812" s="1">
        <v>32521</v>
      </c>
      <c r="B9812">
        <v>283.87</v>
      </c>
      <c r="C9812">
        <f t="shared" si="326"/>
        <v>2.4720132782427113E-3</v>
      </c>
      <c r="D9812">
        <f t="shared" si="325"/>
        <v>0.22814026496882184</v>
      </c>
    </row>
    <row r="9813" spans="1:4">
      <c r="A9813" s="1">
        <v>32524</v>
      </c>
      <c r="B9813">
        <v>284.14</v>
      </c>
      <c r="C9813">
        <f t="shared" si="326"/>
        <v>9.511396061576842E-4</v>
      </c>
      <c r="D9813">
        <f t="shared" si="325"/>
        <v>6.7536522166722388E-2</v>
      </c>
    </row>
    <row r="9814" spans="1:4">
      <c r="A9814" s="1">
        <v>32525</v>
      </c>
      <c r="B9814">
        <v>283.55</v>
      </c>
      <c r="C9814">
        <f t="shared" si="326"/>
        <v>-2.0764411909621138E-3</v>
      </c>
      <c r="D9814">
        <f t="shared" si="325"/>
        <v>-0.25217498088441276</v>
      </c>
    </row>
    <row r="9815" spans="1:4">
      <c r="A9815" s="1">
        <v>32526</v>
      </c>
      <c r="B9815">
        <v>286.52999999999997</v>
      </c>
      <c r="C9815">
        <f t="shared" si="326"/>
        <v>1.0509610298007269E-2</v>
      </c>
      <c r="D9815">
        <f t="shared" si="325"/>
        <v>1.0769077781439857</v>
      </c>
    </row>
    <row r="9816" spans="1:4">
      <c r="A9816" s="1">
        <v>32527</v>
      </c>
      <c r="B9816">
        <v>286.91000000000003</v>
      </c>
      <c r="C9816">
        <f t="shared" si="326"/>
        <v>1.3262136600008807E-3</v>
      </c>
      <c r="D9816">
        <f t="shared" si="325"/>
        <v>0.10714421475869844</v>
      </c>
    </row>
    <row r="9817" spans="1:4">
      <c r="A9817" s="1">
        <v>32528</v>
      </c>
      <c r="B9817">
        <v>286.63</v>
      </c>
      <c r="C9817">
        <f t="shared" si="326"/>
        <v>-9.7591579240887219E-4</v>
      </c>
      <c r="D9817">
        <f t="shared" si="325"/>
        <v>-0.13595987288394934</v>
      </c>
    </row>
    <row r="9818" spans="1:4">
      <c r="A9818" s="1">
        <v>32531</v>
      </c>
      <c r="B9818">
        <v>284.5</v>
      </c>
      <c r="C9818">
        <f t="shared" si="326"/>
        <v>-7.4311830582981389E-3</v>
      </c>
      <c r="D9818">
        <f t="shared" si="325"/>
        <v>-0.81763390190989904</v>
      </c>
    </row>
    <row r="9819" spans="1:4">
      <c r="A9819" s="1">
        <v>32532</v>
      </c>
      <c r="B9819">
        <v>288.49</v>
      </c>
      <c r="C9819">
        <f t="shared" si="326"/>
        <v>1.4024604569420068E-2</v>
      </c>
      <c r="D9819">
        <f t="shared" si="325"/>
        <v>1.4480899784005719</v>
      </c>
    </row>
    <row r="9820" spans="1:4">
      <c r="A9820" s="1">
        <v>32533</v>
      </c>
      <c r="B9820">
        <v>289.14</v>
      </c>
      <c r="C9820">
        <f t="shared" si="326"/>
        <v>2.2531110263786518E-3</v>
      </c>
      <c r="D9820">
        <f t="shared" si="325"/>
        <v>0.20502426158046788</v>
      </c>
    </row>
    <row r="9821" spans="1:4">
      <c r="A9821" s="1">
        <v>32534</v>
      </c>
      <c r="B9821">
        <v>291.69</v>
      </c>
      <c r="C9821">
        <f t="shared" si="326"/>
        <v>8.8192571072837084E-3</v>
      </c>
      <c r="D9821">
        <f t="shared" si="325"/>
        <v>0.89840705578254454</v>
      </c>
    </row>
    <row r="9822" spans="1:4">
      <c r="A9822" s="1">
        <v>32535</v>
      </c>
      <c r="B9822">
        <v>293.82</v>
      </c>
      <c r="C9822">
        <f t="shared" si="326"/>
        <v>7.3022729610202454E-3</v>
      </c>
      <c r="D9822">
        <f t="shared" si="325"/>
        <v>0.73821404558508807</v>
      </c>
    </row>
    <row r="9823" spans="1:4">
      <c r="A9823" s="1">
        <v>32538</v>
      </c>
      <c r="B9823">
        <v>294.99</v>
      </c>
      <c r="C9823">
        <f t="shared" si="326"/>
        <v>3.9820298141719961E-3</v>
      </c>
      <c r="D9823">
        <f t="shared" si="325"/>
        <v>0.38759749788339476</v>
      </c>
    </row>
    <row r="9824" spans="1:4">
      <c r="A9824" s="1">
        <v>32539</v>
      </c>
      <c r="B9824">
        <v>297.47000000000003</v>
      </c>
      <c r="C9824">
        <f t="shared" si="326"/>
        <v>8.4070646462592567E-3</v>
      </c>
      <c r="D9824">
        <f t="shared" si="325"/>
        <v>0.85487967200938764</v>
      </c>
    </row>
    <row r="9825" spans="1:4">
      <c r="A9825" s="1">
        <v>32540</v>
      </c>
      <c r="B9825">
        <v>297.08999999999997</v>
      </c>
      <c r="C9825">
        <f t="shared" si="326"/>
        <v>-1.2774397418228805E-3</v>
      </c>
      <c r="D9825">
        <f t="shared" si="325"/>
        <v>-0.16780069944909831</v>
      </c>
    </row>
    <row r="9826" spans="1:4">
      <c r="A9826" s="1">
        <v>32541</v>
      </c>
      <c r="B9826">
        <v>296.83999999999997</v>
      </c>
      <c r="C9826">
        <f t="shared" si="326"/>
        <v>-8.4149584301053556E-4</v>
      </c>
      <c r="D9826">
        <f t="shared" si="325"/>
        <v>-0.12176517191904582</v>
      </c>
    </row>
    <row r="9827" spans="1:4">
      <c r="A9827" s="1">
        <v>32542</v>
      </c>
      <c r="B9827">
        <v>296.97000000000003</v>
      </c>
      <c r="C9827">
        <f t="shared" si="326"/>
        <v>4.3794636841413658E-4</v>
      </c>
      <c r="D9827">
        <f t="shared" si="325"/>
        <v>1.3343490703861014E-2</v>
      </c>
    </row>
    <row r="9828" spans="1:4">
      <c r="A9828" s="1">
        <v>32545</v>
      </c>
      <c r="B9828">
        <v>296.04000000000002</v>
      </c>
      <c r="C9828">
        <f t="shared" si="326"/>
        <v>-3.1316294575209846E-3</v>
      </c>
      <c r="D9828">
        <f t="shared" si="325"/>
        <v>-0.36360250315711051</v>
      </c>
    </row>
    <row r="9829" spans="1:4">
      <c r="A9829" s="1">
        <v>32546</v>
      </c>
      <c r="B9829">
        <v>299.63</v>
      </c>
      <c r="C9829">
        <f t="shared" si="326"/>
        <v>1.2126739629779674E-2</v>
      </c>
      <c r="D9829">
        <f t="shared" si="325"/>
        <v>1.2476760858901836</v>
      </c>
    </row>
    <row r="9830" spans="1:4">
      <c r="A9830" s="1">
        <v>32547</v>
      </c>
      <c r="B9830">
        <v>298.64999999999998</v>
      </c>
      <c r="C9830">
        <f t="shared" si="326"/>
        <v>-3.2707005306545347E-3</v>
      </c>
      <c r="D9830">
        <f t="shared" si="325"/>
        <v>-0.37828836120745879</v>
      </c>
    </row>
    <row r="9831" spans="1:4">
      <c r="A9831" s="1">
        <v>32548</v>
      </c>
      <c r="B9831">
        <v>296.06</v>
      </c>
      <c r="C9831">
        <f t="shared" si="326"/>
        <v>-8.6723589486019589E-3</v>
      </c>
      <c r="D9831">
        <f t="shared" si="325"/>
        <v>-0.94870165402979834</v>
      </c>
    </row>
    <row r="9832" spans="1:4">
      <c r="A9832" s="1">
        <v>32549</v>
      </c>
      <c r="B9832">
        <v>292.02</v>
      </c>
      <c r="C9832">
        <f t="shared" si="326"/>
        <v>-1.3645882591366685E-2</v>
      </c>
      <c r="D9832">
        <f t="shared" si="325"/>
        <v>-1.4739040601229261</v>
      </c>
    </row>
    <row r="9833" spans="1:4">
      <c r="A9833" s="1">
        <v>32552</v>
      </c>
      <c r="B9833">
        <v>292.54000000000002</v>
      </c>
      <c r="C9833">
        <f t="shared" si="326"/>
        <v>1.7806999520582107E-3</v>
      </c>
      <c r="D9833">
        <f t="shared" si="325"/>
        <v>0.15513781271255567</v>
      </c>
    </row>
    <row r="9834" spans="1:4">
      <c r="A9834" s="1">
        <v>32553</v>
      </c>
      <c r="B9834">
        <v>291.81</v>
      </c>
      <c r="C9834">
        <f t="shared" si="326"/>
        <v>-2.4953852464620844E-3</v>
      </c>
      <c r="D9834">
        <f t="shared" si="325"/>
        <v>-0.29641533073920601</v>
      </c>
    </row>
    <row r="9835" spans="1:4">
      <c r="A9835" s="1">
        <v>32554</v>
      </c>
      <c r="B9835">
        <v>294.24</v>
      </c>
      <c r="C9835">
        <f t="shared" si="326"/>
        <v>8.3273362804564838E-3</v>
      </c>
      <c r="D9835">
        <f t="shared" si="325"/>
        <v>0.84646038368160315</v>
      </c>
    </row>
    <row r="9836" spans="1:4">
      <c r="A9836" s="1">
        <v>32555</v>
      </c>
      <c r="B9836">
        <v>294.81</v>
      </c>
      <c r="C9836">
        <f t="shared" si="326"/>
        <v>1.9371941272430437E-3</v>
      </c>
      <c r="D9836">
        <f t="shared" si="325"/>
        <v>0.17166354441711928</v>
      </c>
    </row>
    <row r="9837" spans="1:4">
      <c r="A9837" s="1">
        <v>32556</v>
      </c>
      <c r="B9837">
        <v>296.76</v>
      </c>
      <c r="C9837">
        <f t="shared" si="326"/>
        <v>6.6144296326447159E-3</v>
      </c>
      <c r="D9837">
        <f t="shared" si="325"/>
        <v>0.66557802391793974</v>
      </c>
    </row>
    <row r="9838" spans="1:4">
      <c r="A9838" s="1">
        <v>32560</v>
      </c>
      <c r="B9838">
        <v>295.98</v>
      </c>
      <c r="C9838">
        <f t="shared" si="326"/>
        <v>-2.6283865750100174E-3</v>
      </c>
      <c r="D9838">
        <f t="shared" si="325"/>
        <v>-0.31046022582451954</v>
      </c>
    </row>
    <row r="9839" spans="1:4">
      <c r="A9839" s="1">
        <v>32561</v>
      </c>
      <c r="B9839">
        <v>290.91000000000003</v>
      </c>
      <c r="C9839">
        <f t="shared" si="326"/>
        <v>-1.7129535779444535E-2</v>
      </c>
      <c r="D9839">
        <f t="shared" si="325"/>
        <v>-1.8417766526326935</v>
      </c>
    </row>
    <row r="9840" spans="1:4">
      <c r="A9840" s="1">
        <v>32562</v>
      </c>
      <c r="B9840">
        <v>292.05</v>
      </c>
      <c r="C9840">
        <f t="shared" si="326"/>
        <v>3.9187377539444714E-3</v>
      </c>
      <c r="D9840">
        <f t="shared" si="325"/>
        <v>0.38091387783738473</v>
      </c>
    </row>
    <row r="9841" spans="1:4">
      <c r="A9841" s="1">
        <v>32563</v>
      </c>
      <c r="B9841">
        <v>287.13</v>
      </c>
      <c r="C9841">
        <f t="shared" si="326"/>
        <v>-1.6846430405752493E-2</v>
      </c>
      <c r="D9841">
        <f t="shared" si="325"/>
        <v>-1.8118808214030062</v>
      </c>
    </row>
    <row r="9842" spans="1:4">
      <c r="A9842" s="1">
        <v>32566</v>
      </c>
      <c r="B9842">
        <v>287.82</v>
      </c>
      <c r="C9842">
        <f t="shared" si="326"/>
        <v>2.4030926757914453E-3</v>
      </c>
      <c r="D9842">
        <f t="shared" si="325"/>
        <v>0.22086227277721918</v>
      </c>
    </row>
    <row r="9843" spans="1:4">
      <c r="A9843" s="1">
        <v>32567</v>
      </c>
      <c r="B9843">
        <v>288.86</v>
      </c>
      <c r="C9843">
        <f t="shared" si="326"/>
        <v>3.6133694670280746E-3</v>
      </c>
      <c r="D9843">
        <f t="shared" si="325"/>
        <v>0.34866709053873735</v>
      </c>
    </row>
    <row r="9844" spans="1:4">
      <c r="A9844" s="1">
        <v>32568</v>
      </c>
      <c r="B9844">
        <v>287.11</v>
      </c>
      <c r="C9844">
        <f t="shared" si="326"/>
        <v>-6.0582981375060579E-3</v>
      </c>
      <c r="D9844">
        <f t="shared" si="325"/>
        <v>-0.67265772094051401</v>
      </c>
    </row>
    <row r="9845" spans="1:4">
      <c r="A9845" s="1">
        <v>32569</v>
      </c>
      <c r="B9845">
        <v>289.95</v>
      </c>
      <c r="C9845">
        <f t="shared" si="326"/>
        <v>9.8916791473650338E-3</v>
      </c>
      <c r="D9845">
        <f t="shared" si="325"/>
        <v>1.0116544586811693</v>
      </c>
    </row>
    <row r="9846" spans="1:4">
      <c r="A9846" s="1">
        <v>32570</v>
      </c>
      <c r="B9846">
        <v>291.18</v>
      </c>
      <c r="C9846">
        <f t="shared" si="326"/>
        <v>4.2421107087429492E-3</v>
      </c>
      <c r="D9846">
        <f t="shared" si="325"/>
        <v>0.4150619519442959</v>
      </c>
    </row>
    <row r="9847" spans="1:4">
      <c r="A9847" s="1">
        <v>32573</v>
      </c>
      <c r="B9847">
        <v>294.81</v>
      </c>
      <c r="C9847">
        <f t="shared" si="326"/>
        <v>1.2466515557387167E-2</v>
      </c>
      <c r="D9847">
        <f t="shared" si="325"/>
        <v>1.2835563083500856</v>
      </c>
    </row>
    <row r="9848" spans="1:4">
      <c r="A9848" s="1">
        <v>32574</v>
      </c>
      <c r="B9848">
        <v>293.87</v>
      </c>
      <c r="C9848">
        <f t="shared" si="326"/>
        <v>-3.1884942844543867E-3</v>
      </c>
      <c r="D9848">
        <f t="shared" si="325"/>
        <v>-0.36960740955198396</v>
      </c>
    </row>
    <row r="9849" spans="1:4">
      <c r="A9849" s="1">
        <v>32575</v>
      </c>
      <c r="B9849">
        <v>294.08</v>
      </c>
      <c r="C9849">
        <f t="shared" si="326"/>
        <v>7.146016946268062E-4</v>
      </c>
      <c r="D9849">
        <f t="shared" si="325"/>
        <v>4.255819911220439E-2</v>
      </c>
    </row>
    <row r="9850" spans="1:4">
      <c r="A9850" s="1">
        <v>32576</v>
      </c>
      <c r="B9850">
        <v>293.93</v>
      </c>
      <c r="C9850">
        <f t="shared" si="326"/>
        <v>-5.1006528835683242E-4</v>
      </c>
      <c r="D9850">
        <f t="shared" si="325"/>
        <v>-8.6766218006334106E-2</v>
      </c>
    </row>
    <row r="9851" spans="1:4">
      <c r="A9851" s="1">
        <v>32577</v>
      </c>
      <c r="B9851">
        <v>292.88</v>
      </c>
      <c r="C9851">
        <f t="shared" si="326"/>
        <v>-3.5722791140748184E-3</v>
      </c>
      <c r="D9851">
        <f t="shared" si="325"/>
        <v>-0.41013495710509945</v>
      </c>
    </row>
    <row r="9852" spans="1:4">
      <c r="A9852" s="1">
        <v>32580</v>
      </c>
      <c r="B9852">
        <v>295.32</v>
      </c>
      <c r="C9852">
        <f t="shared" si="326"/>
        <v>8.331057088227253E-3</v>
      </c>
      <c r="D9852">
        <f t="shared" si="325"/>
        <v>0.84685329971743228</v>
      </c>
    </row>
    <row r="9853" spans="1:4">
      <c r="A9853" s="1">
        <v>32581</v>
      </c>
      <c r="B9853">
        <v>295.14</v>
      </c>
      <c r="C9853">
        <f t="shared" si="326"/>
        <v>-6.0950832994719904E-4</v>
      </c>
      <c r="D9853">
        <f t="shared" si="325"/>
        <v>-9.7267369395944603E-2</v>
      </c>
    </row>
    <row r="9854" spans="1:4">
      <c r="A9854" s="1">
        <v>32582</v>
      </c>
      <c r="B9854">
        <v>296.67</v>
      </c>
      <c r="C9854">
        <f t="shared" si="326"/>
        <v>5.1839804838382788E-3</v>
      </c>
      <c r="D9854">
        <f t="shared" si="325"/>
        <v>0.51452308003727054</v>
      </c>
    </row>
    <row r="9855" spans="1:4">
      <c r="A9855" s="1">
        <v>32583</v>
      </c>
      <c r="B9855">
        <v>299.44</v>
      </c>
      <c r="C9855">
        <f t="shared" si="326"/>
        <v>9.3369737418680064E-3</v>
      </c>
      <c r="D9855">
        <f t="shared" si="325"/>
        <v>0.95307775641421189</v>
      </c>
    </row>
    <row r="9856" spans="1:4">
      <c r="A9856" s="1">
        <v>32584</v>
      </c>
      <c r="B9856">
        <v>292.69</v>
      </c>
      <c r="C9856">
        <f t="shared" si="326"/>
        <v>-2.2542078546620357E-2</v>
      </c>
      <c r="D9856">
        <f t="shared" si="325"/>
        <v>-2.4133393290337821</v>
      </c>
    </row>
    <row r="9857" spans="1:4">
      <c r="A9857" s="1">
        <v>32587</v>
      </c>
      <c r="B9857">
        <v>289.92</v>
      </c>
      <c r="C9857">
        <f t="shared" si="326"/>
        <v>-9.4639379548326959E-3</v>
      </c>
      <c r="D9857">
        <f t="shared" si="325"/>
        <v>-1.0322921280169866</v>
      </c>
    </row>
    <row r="9858" spans="1:4">
      <c r="A9858" s="1">
        <v>32588</v>
      </c>
      <c r="B9858">
        <v>291.33</v>
      </c>
      <c r="C9858">
        <f t="shared" si="326"/>
        <v>4.8634105960263796E-3</v>
      </c>
      <c r="D9858">
        <f t="shared" si="325"/>
        <v>0.48067100885133324</v>
      </c>
    </row>
    <row r="9859" spans="1:4">
      <c r="A9859" s="1">
        <v>32589</v>
      </c>
      <c r="B9859">
        <v>290.49</v>
      </c>
      <c r="C9859">
        <f t="shared" si="326"/>
        <v>-2.8833281845329181E-3</v>
      </c>
      <c r="D9859">
        <f t="shared" ref="D9859:D9922" si="327">(C9859-avg)/sd</f>
        <v>-0.33738197313127427</v>
      </c>
    </row>
    <row r="9860" spans="1:4">
      <c r="A9860" s="1">
        <v>32590</v>
      </c>
      <c r="B9860">
        <v>288.98</v>
      </c>
      <c r="C9860">
        <f t="shared" ref="C9860:C9923" si="328">(B9860-B9859)/B9859</f>
        <v>-5.1981135323074489E-3</v>
      </c>
      <c r="D9860">
        <f t="shared" si="327"/>
        <v>-0.58182251902249471</v>
      </c>
    </row>
    <row r="9861" spans="1:4">
      <c r="A9861" s="1">
        <v>32594</v>
      </c>
      <c r="B9861">
        <v>290.57</v>
      </c>
      <c r="C9861">
        <f t="shared" si="328"/>
        <v>5.5021108727246687E-3</v>
      </c>
      <c r="D9861">
        <f t="shared" si="327"/>
        <v>0.54811754096589993</v>
      </c>
    </row>
    <row r="9862" spans="1:4">
      <c r="A9862" s="1">
        <v>32595</v>
      </c>
      <c r="B9862">
        <v>291.58999999999997</v>
      </c>
      <c r="C9862">
        <f t="shared" si="328"/>
        <v>3.5103417420930647E-3</v>
      </c>
      <c r="D9862">
        <f t="shared" si="327"/>
        <v>0.33778739780642558</v>
      </c>
    </row>
    <row r="9863" spans="1:4">
      <c r="A9863" s="1">
        <v>32596</v>
      </c>
      <c r="B9863">
        <v>292.35000000000002</v>
      </c>
      <c r="C9863">
        <f t="shared" si="328"/>
        <v>2.6063993964129352E-3</v>
      </c>
      <c r="D9863">
        <f t="shared" si="327"/>
        <v>0.24233139336753642</v>
      </c>
    </row>
    <row r="9864" spans="1:4">
      <c r="A9864" s="1">
        <v>32597</v>
      </c>
      <c r="B9864">
        <v>292.52</v>
      </c>
      <c r="C9864">
        <f t="shared" si="328"/>
        <v>5.8149478364959487E-4</v>
      </c>
      <c r="D9864">
        <f t="shared" si="327"/>
        <v>2.8502154558248269E-2</v>
      </c>
    </row>
    <row r="9865" spans="1:4">
      <c r="A9865" s="1">
        <v>32598</v>
      </c>
      <c r="B9865">
        <v>294.87</v>
      </c>
      <c r="C9865">
        <f t="shared" si="328"/>
        <v>8.0336387255573044E-3</v>
      </c>
      <c r="D9865">
        <f t="shared" si="327"/>
        <v>0.81544602171689917</v>
      </c>
    </row>
    <row r="9866" spans="1:4">
      <c r="A9866" s="1">
        <v>32601</v>
      </c>
      <c r="B9866">
        <v>296.39</v>
      </c>
      <c r="C9866">
        <f t="shared" si="328"/>
        <v>5.1548139858241995E-3</v>
      </c>
      <c r="D9866">
        <f t="shared" si="327"/>
        <v>0.51144310776115809</v>
      </c>
    </row>
    <row r="9867" spans="1:4">
      <c r="A9867" s="1">
        <v>32602</v>
      </c>
      <c r="B9867">
        <v>295.31</v>
      </c>
      <c r="C9867">
        <f t="shared" si="328"/>
        <v>-3.6438476331859516E-3</v>
      </c>
      <c r="D9867">
        <f t="shared" si="327"/>
        <v>-0.41769256839591351</v>
      </c>
    </row>
    <row r="9868" spans="1:4">
      <c r="A9868" s="1">
        <v>32603</v>
      </c>
      <c r="B9868">
        <v>296.24</v>
      </c>
      <c r="C9868">
        <f t="shared" si="328"/>
        <v>3.1492330093799968E-3</v>
      </c>
      <c r="D9868">
        <f t="shared" si="327"/>
        <v>0.29965443837874783</v>
      </c>
    </row>
    <row r="9869" spans="1:4">
      <c r="A9869" s="1">
        <v>32604</v>
      </c>
      <c r="B9869">
        <v>295.29000000000002</v>
      </c>
      <c r="C9869">
        <f t="shared" si="328"/>
        <v>-3.2068593032675823E-3</v>
      </c>
      <c r="D9869">
        <f t="shared" si="327"/>
        <v>-0.37154674929608422</v>
      </c>
    </row>
    <row r="9870" spans="1:4">
      <c r="A9870" s="1">
        <v>32605</v>
      </c>
      <c r="B9870">
        <v>297.16000000000003</v>
      </c>
      <c r="C9870">
        <f t="shared" si="328"/>
        <v>6.3327576280944303E-3</v>
      </c>
      <c r="D9870">
        <f t="shared" si="327"/>
        <v>0.63583355598239588</v>
      </c>
    </row>
    <row r="9871" spans="1:4">
      <c r="A9871" s="1">
        <v>32608</v>
      </c>
      <c r="B9871">
        <v>297.11</v>
      </c>
      <c r="C9871">
        <f t="shared" si="328"/>
        <v>-1.6825952348906772E-4</v>
      </c>
      <c r="D9871">
        <f t="shared" si="327"/>
        <v>-5.067164542172279E-2</v>
      </c>
    </row>
    <row r="9872" spans="1:4">
      <c r="A9872" s="1">
        <v>32609</v>
      </c>
      <c r="B9872">
        <v>298.49</v>
      </c>
      <c r="C9872">
        <f t="shared" si="328"/>
        <v>4.6447443707717528E-3</v>
      </c>
      <c r="D9872">
        <f t="shared" si="327"/>
        <v>0.45757992979270606</v>
      </c>
    </row>
    <row r="9873" spans="1:4">
      <c r="A9873" s="1">
        <v>32610</v>
      </c>
      <c r="B9873">
        <v>298.99</v>
      </c>
      <c r="C9873">
        <f t="shared" si="328"/>
        <v>1.675097993232604E-3</v>
      </c>
      <c r="D9873">
        <f t="shared" si="327"/>
        <v>0.14398628175642147</v>
      </c>
    </row>
    <row r="9874" spans="1:4">
      <c r="A9874" s="1">
        <v>32611</v>
      </c>
      <c r="B9874">
        <v>296.39999999999998</v>
      </c>
      <c r="C9874">
        <f t="shared" si="328"/>
        <v>-8.6624970734808238E-3</v>
      </c>
      <c r="D9874">
        <f t="shared" si="327"/>
        <v>-0.94766024336922072</v>
      </c>
    </row>
    <row r="9875" spans="1:4">
      <c r="A9875" s="1">
        <v>32612</v>
      </c>
      <c r="B9875">
        <v>301.36</v>
      </c>
      <c r="C9875">
        <f t="shared" si="328"/>
        <v>1.6734143049932648E-2</v>
      </c>
      <c r="D9875">
        <f t="shared" si="327"/>
        <v>1.7342163209258208</v>
      </c>
    </row>
    <row r="9876" spans="1:4">
      <c r="A9876" s="1">
        <v>32615</v>
      </c>
      <c r="B9876">
        <v>301.72000000000003</v>
      </c>
      <c r="C9876">
        <f t="shared" si="328"/>
        <v>1.1945845500398646E-3</v>
      </c>
      <c r="D9876">
        <f t="shared" si="327"/>
        <v>9.3244225489723567E-2</v>
      </c>
    </row>
    <row r="9877" spans="1:4">
      <c r="A9877" s="1">
        <v>32616</v>
      </c>
      <c r="B9877">
        <v>306.02</v>
      </c>
      <c r="C9877">
        <f t="shared" si="328"/>
        <v>1.4251624022272154E-2</v>
      </c>
      <c r="D9877">
        <f t="shared" si="327"/>
        <v>1.4720631554540906</v>
      </c>
    </row>
    <row r="9878" spans="1:4">
      <c r="A9878" s="1">
        <v>32617</v>
      </c>
      <c r="B9878">
        <v>307.14999999999998</v>
      </c>
      <c r="C9878">
        <f t="shared" si="328"/>
        <v>3.6925691131298463E-3</v>
      </c>
      <c r="D9878">
        <f t="shared" si="327"/>
        <v>0.3570305462458167</v>
      </c>
    </row>
    <row r="9879" spans="1:4">
      <c r="A9879" s="1">
        <v>32618</v>
      </c>
      <c r="B9879">
        <v>306.19</v>
      </c>
      <c r="C9879">
        <f t="shared" si="328"/>
        <v>-3.125508709099722E-3</v>
      </c>
      <c r="D9879">
        <f t="shared" si="327"/>
        <v>-0.36295615420436866</v>
      </c>
    </row>
    <row r="9880" spans="1:4">
      <c r="A9880" s="1">
        <v>32619</v>
      </c>
      <c r="B9880">
        <v>309.61</v>
      </c>
      <c r="C9880">
        <f t="shared" si="328"/>
        <v>1.1169535255886921E-2</v>
      </c>
      <c r="D9880">
        <f t="shared" si="327"/>
        <v>1.1465956293766846</v>
      </c>
    </row>
    <row r="9881" spans="1:4">
      <c r="A9881" s="1">
        <v>32622</v>
      </c>
      <c r="B9881">
        <v>308.69</v>
      </c>
      <c r="C9881">
        <f t="shared" si="328"/>
        <v>-2.9714802493460025E-3</v>
      </c>
      <c r="D9881">
        <f t="shared" si="327"/>
        <v>-0.34669080121119322</v>
      </c>
    </row>
    <row r="9882" spans="1:4">
      <c r="A9882" s="1">
        <v>32623</v>
      </c>
      <c r="B9882">
        <v>306.75</v>
      </c>
      <c r="C9882">
        <f t="shared" si="328"/>
        <v>-6.2846221127992414E-3</v>
      </c>
      <c r="D9882">
        <f t="shared" si="327"/>
        <v>-0.69655745580021711</v>
      </c>
    </row>
    <row r="9883" spans="1:4">
      <c r="A9883" s="1">
        <v>32624</v>
      </c>
      <c r="B9883">
        <v>306.93</v>
      </c>
      <c r="C9883">
        <f t="shared" si="328"/>
        <v>5.8679706601469221E-4</v>
      </c>
      <c r="D9883">
        <f t="shared" si="327"/>
        <v>2.9062073773669199E-2</v>
      </c>
    </row>
    <row r="9884" spans="1:4">
      <c r="A9884" s="1">
        <v>32625</v>
      </c>
      <c r="B9884">
        <v>309.58</v>
      </c>
      <c r="C9884">
        <f t="shared" si="328"/>
        <v>8.6338904636235527E-3</v>
      </c>
      <c r="D9884">
        <f t="shared" si="327"/>
        <v>0.87883240122121575</v>
      </c>
    </row>
    <row r="9885" spans="1:4">
      <c r="A9885" s="1">
        <v>32626</v>
      </c>
      <c r="B9885">
        <v>309.64</v>
      </c>
      <c r="C9885">
        <f t="shared" si="328"/>
        <v>1.9381096970089244E-4</v>
      </c>
      <c r="D9885">
        <f t="shared" si="327"/>
        <v>-1.2437124414603481E-2</v>
      </c>
    </row>
    <row r="9886" spans="1:4">
      <c r="A9886" s="1">
        <v>32629</v>
      </c>
      <c r="B9886">
        <v>309.12</v>
      </c>
      <c r="C9886">
        <f t="shared" si="328"/>
        <v>-1.6793695904921259E-3</v>
      </c>
      <c r="D9886">
        <f t="shared" si="327"/>
        <v>-0.21024435484597695</v>
      </c>
    </row>
    <row r="9887" spans="1:4">
      <c r="A9887" s="1">
        <v>32630</v>
      </c>
      <c r="B9887">
        <v>308.12</v>
      </c>
      <c r="C9887">
        <f t="shared" si="328"/>
        <v>-3.234989648033126E-3</v>
      </c>
      <c r="D9887">
        <f t="shared" si="327"/>
        <v>-0.37451730414135687</v>
      </c>
    </row>
    <row r="9888" spans="1:4">
      <c r="A9888" s="1">
        <v>32631</v>
      </c>
      <c r="B9888">
        <v>308.16000000000003</v>
      </c>
      <c r="C9888">
        <f t="shared" si="328"/>
        <v>1.2981955082442057E-4</v>
      </c>
      <c r="D9888">
        <f t="shared" si="327"/>
        <v>-1.9194596496218772E-2</v>
      </c>
    </row>
    <row r="9889" spans="1:4">
      <c r="A9889" s="1">
        <v>32632</v>
      </c>
      <c r="B9889">
        <v>307.77</v>
      </c>
      <c r="C9889">
        <f t="shared" si="328"/>
        <v>-1.2655763239876789E-3</v>
      </c>
      <c r="D9889">
        <f t="shared" si="327"/>
        <v>-0.16654792655827269</v>
      </c>
    </row>
    <row r="9890" spans="1:4">
      <c r="A9890" s="1">
        <v>32633</v>
      </c>
      <c r="B9890">
        <v>307.61</v>
      </c>
      <c r="C9890">
        <f t="shared" si="328"/>
        <v>-5.1986873314477757E-4</v>
      </c>
      <c r="D9890">
        <f t="shared" si="327"/>
        <v>-8.7801458443588332E-2</v>
      </c>
    </row>
    <row r="9891" spans="1:4">
      <c r="A9891" s="1">
        <v>32636</v>
      </c>
      <c r="B9891">
        <v>306</v>
      </c>
      <c r="C9891">
        <f t="shared" si="328"/>
        <v>-5.2339000682683056E-3</v>
      </c>
      <c r="D9891">
        <f t="shared" si="327"/>
        <v>-0.58560156505552663</v>
      </c>
    </row>
    <row r="9892" spans="1:4">
      <c r="A9892" s="1">
        <v>32637</v>
      </c>
      <c r="B9892">
        <v>305.19</v>
      </c>
      <c r="C9892">
        <f t="shared" si="328"/>
        <v>-2.647058823529419E-3</v>
      </c>
      <c r="D9892">
        <f t="shared" si="327"/>
        <v>-0.31243200892116268</v>
      </c>
    </row>
    <row r="9893" spans="1:4">
      <c r="A9893" s="1">
        <v>32638</v>
      </c>
      <c r="B9893">
        <v>305.8</v>
      </c>
      <c r="C9893">
        <f t="shared" si="328"/>
        <v>1.9987548740129546E-3</v>
      </c>
      <c r="D9893">
        <f t="shared" si="327"/>
        <v>0.17816433835050732</v>
      </c>
    </row>
    <row r="9894" spans="1:4">
      <c r="A9894" s="1">
        <v>32639</v>
      </c>
      <c r="B9894">
        <v>306.95</v>
      </c>
      <c r="C9894">
        <f t="shared" si="328"/>
        <v>3.7606278613472113E-3</v>
      </c>
      <c r="D9894">
        <f t="shared" si="327"/>
        <v>0.36421752692327786</v>
      </c>
    </row>
    <row r="9895" spans="1:4">
      <c r="A9895" s="1">
        <v>32640</v>
      </c>
      <c r="B9895">
        <v>313.83999999999997</v>
      </c>
      <c r="C9895">
        <f t="shared" si="328"/>
        <v>2.2446652549275081E-2</v>
      </c>
      <c r="D9895">
        <f t="shared" si="327"/>
        <v>2.3374553822800568</v>
      </c>
    </row>
    <row r="9896" spans="1:4">
      <c r="A9896" s="1">
        <v>32643</v>
      </c>
      <c r="B9896">
        <v>316.16000000000003</v>
      </c>
      <c r="C9896">
        <f t="shared" si="328"/>
        <v>7.3923018098395682E-3</v>
      </c>
      <c r="D9896">
        <f t="shared" si="327"/>
        <v>0.74772106141811601</v>
      </c>
    </row>
    <row r="9897" spans="1:4">
      <c r="A9897" s="1">
        <v>32644</v>
      </c>
      <c r="B9897">
        <v>315.27999999999997</v>
      </c>
      <c r="C9897">
        <f t="shared" si="328"/>
        <v>-2.7834008097167642E-3</v>
      </c>
      <c r="D9897">
        <f t="shared" si="327"/>
        <v>-0.32682967631765347</v>
      </c>
    </row>
    <row r="9898" spans="1:4">
      <c r="A9898" s="1">
        <v>32645</v>
      </c>
      <c r="B9898">
        <v>317.48</v>
      </c>
      <c r="C9898">
        <f t="shared" si="328"/>
        <v>6.9779243846740851E-3</v>
      </c>
      <c r="D9898">
        <f t="shared" si="327"/>
        <v>0.7039629461743715</v>
      </c>
    </row>
    <row r="9899" spans="1:4">
      <c r="A9899" s="1">
        <v>32646</v>
      </c>
      <c r="B9899">
        <v>317.97000000000003</v>
      </c>
      <c r="C9899">
        <f t="shared" si="328"/>
        <v>1.5434043089328747E-3</v>
      </c>
      <c r="D9899">
        <f t="shared" si="327"/>
        <v>0.13007947345922838</v>
      </c>
    </row>
    <row r="9900" spans="1:4">
      <c r="A9900" s="1">
        <v>32647</v>
      </c>
      <c r="B9900">
        <v>321.24</v>
      </c>
      <c r="C9900">
        <f t="shared" si="328"/>
        <v>1.0283989055571222E-2</v>
      </c>
      <c r="D9900">
        <f t="shared" si="327"/>
        <v>1.0530822516351257</v>
      </c>
    </row>
    <row r="9901" spans="1:4">
      <c r="A9901" s="1">
        <v>32650</v>
      </c>
      <c r="B9901">
        <v>321.98</v>
      </c>
      <c r="C9901">
        <f t="shared" si="328"/>
        <v>2.3035736520981482E-3</v>
      </c>
      <c r="D9901">
        <f t="shared" si="327"/>
        <v>0.2103530977033668</v>
      </c>
    </row>
    <row r="9902" spans="1:4">
      <c r="A9902" s="1">
        <v>32651</v>
      </c>
      <c r="B9902">
        <v>318.32</v>
      </c>
      <c r="C9902">
        <f t="shared" si="328"/>
        <v>-1.1367165662463584E-2</v>
      </c>
      <c r="D9902">
        <f t="shared" si="327"/>
        <v>-1.2332723270042774</v>
      </c>
    </row>
    <row r="9903" spans="1:4">
      <c r="A9903" s="1">
        <v>32652</v>
      </c>
      <c r="B9903">
        <v>319.14</v>
      </c>
      <c r="C9903">
        <f t="shared" si="328"/>
        <v>2.5760241266649699E-3</v>
      </c>
      <c r="D9903">
        <f t="shared" si="327"/>
        <v>0.23912377520720715</v>
      </c>
    </row>
    <row r="9904" spans="1:4">
      <c r="A9904" s="1">
        <v>32653</v>
      </c>
      <c r="B9904">
        <v>319.17</v>
      </c>
      <c r="C9904">
        <f t="shared" si="328"/>
        <v>9.4002632073790686E-5</v>
      </c>
      <c r="D9904">
        <f t="shared" si="327"/>
        <v>-2.2976850941523061E-2</v>
      </c>
    </row>
    <row r="9905" spans="1:4">
      <c r="A9905" s="1">
        <v>32654</v>
      </c>
      <c r="B9905">
        <v>321.58999999999997</v>
      </c>
      <c r="C9905">
        <f t="shared" si="328"/>
        <v>7.5821662436944539E-3</v>
      </c>
      <c r="D9905">
        <f t="shared" si="327"/>
        <v>0.76777068109513513</v>
      </c>
    </row>
    <row r="9906" spans="1:4">
      <c r="A9906" s="1">
        <v>32658</v>
      </c>
      <c r="B9906">
        <v>319.05</v>
      </c>
      <c r="C9906">
        <f t="shared" si="328"/>
        <v>-7.8982555427717406E-3</v>
      </c>
      <c r="D9906">
        <f t="shared" si="327"/>
        <v>-0.86695659750465981</v>
      </c>
    </row>
    <row r="9907" spans="1:4">
      <c r="A9907" s="1">
        <v>32659</v>
      </c>
      <c r="B9907">
        <v>320.52</v>
      </c>
      <c r="C9907">
        <f t="shared" si="328"/>
        <v>4.6074283027737672E-3</v>
      </c>
      <c r="D9907">
        <f t="shared" si="327"/>
        <v>0.45363936569646657</v>
      </c>
    </row>
    <row r="9908" spans="1:4">
      <c r="A9908" s="1">
        <v>32660</v>
      </c>
      <c r="B9908">
        <v>321.97000000000003</v>
      </c>
      <c r="C9908">
        <f t="shared" si="328"/>
        <v>4.5238986646700535E-3</v>
      </c>
      <c r="D9908">
        <f t="shared" si="327"/>
        <v>0.44481866430581796</v>
      </c>
    </row>
    <row r="9909" spans="1:4">
      <c r="A9909" s="1">
        <v>32661</v>
      </c>
      <c r="B9909">
        <v>325.52</v>
      </c>
      <c r="C9909">
        <f t="shared" si="328"/>
        <v>1.1025871975649764E-2</v>
      </c>
      <c r="D9909">
        <f t="shared" si="327"/>
        <v>1.1314248358171624</v>
      </c>
    </row>
    <row r="9910" spans="1:4">
      <c r="A9910" s="1">
        <v>32664</v>
      </c>
      <c r="B9910">
        <v>322.02999999999997</v>
      </c>
      <c r="C9910">
        <f t="shared" si="328"/>
        <v>-1.0721307446547092E-2</v>
      </c>
      <c r="D9910">
        <f t="shared" si="327"/>
        <v>-1.1650699189413702</v>
      </c>
    </row>
    <row r="9911" spans="1:4">
      <c r="A9911" s="1">
        <v>32665</v>
      </c>
      <c r="B9911">
        <v>324.24</v>
      </c>
      <c r="C9911">
        <f t="shared" si="328"/>
        <v>6.8627146539143452E-3</v>
      </c>
      <c r="D9911">
        <f t="shared" si="327"/>
        <v>0.69179683776783329</v>
      </c>
    </row>
    <row r="9912" spans="1:4">
      <c r="A9912" s="1">
        <v>32666</v>
      </c>
      <c r="B9912">
        <v>326.95</v>
      </c>
      <c r="C9912">
        <f t="shared" si="328"/>
        <v>8.35800641500117E-3</v>
      </c>
      <c r="D9912">
        <f t="shared" si="327"/>
        <v>0.8496991394642367</v>
      </c>
    </row>
    <row r="9913" spans="1:4">
      <c r="A9913" s="1">
        <v>32667</v>
      </c>
      <c r="B9913">
        <v>326.75</v>
      </c>
      <c r="C9913">
        <f t="shared" si="328"/>
        <v>-6.117143294081316E-4</v>
      </c>
      <c r="D9913">
        <f t="shared" si="327"/>
        <v>-9.7500322189163435E-2</v>
      </c>
    </row>
    <row r="9914" spans="1:4">
      <c r="A9914" s="1">
        <v>32668</v>
      </c>
      <c r="B9914">
        <v>326.69</v>
      </c>
      <c r="C9914">
        <f t="shared" si="328"/>
        <v>-1.8362662586075677E-4</v>
      </c>
      <c r="D9914">
        <f t="shared" si="327"/>
        <v>-5.2294406208641259E-2</v>
      </c>
    </row>
    <row r="9915" spans="1:4">
      <c r="A9915" s="1">
        <v>32671</v>
      </c>
      <c r="B9915">
        <v>326.24</v>
      </c>
      <c r="C9915">
        <f t="shared" si="328"/>
        <v>-1.3774526309344903E-3</v>
      </c>
      <c r="D9915">
        <f t="shared" si="327"/>
        <v>-0.17836202654325153</v>
      </c>
    </row>
    <row r="9916" spans="1:4">
      <c r="A9916" s="1">
        <v>32672</v>
      </c>
      <c r="B9916">
        <v>323.91000000000003</v>
      </c>
      <c r="C9916">
        <f t="shared" si="328"/>
        <v>-7.1419813634133892E-3</v>
      </c>
      <c r="D9916">
        <f t="shared" si="327"/>
        <v>-0.78709430123450197</v>
      </c>
    </row>
    <row r="9917" spans="1:4">
      <c r="A9917" s="1">
        <v>32673</v>
      </c>
      <c r="B9917">
        <v>323.83</v>
      </c>
      <c r="C9917">
        <f t="shared" si="328"/>
        <v>-2.4698218640993152E-4</v>
      </c>
      <c r="D9917">
        <f t="shared" si="327"/>
        <v>-5.8984731867032715E-2</v>
      </c>
    </row>
    <row r="9918" spans="1:4">
      <c r="A9918" s="1">
        <v>32674</v>
      </c>
      <c r="B9918">
        <v>320.08</v>
      </c>
      <c r="C9918">
        <f t="shared" si="328"/>
        <v>-1.1580150078745022E-2</v>
      </c>
      <c r="D9918">
        <f t="shared" si="327"/>
        <v>-1.2557634089666765</v>
      </c>
    </row>
    <row r="9919" spans="1:4">
      <c r="A9919" s="1">
        <v>32675</v>
      </c>
      <c r="B9919">
        <v>321.35000000000002</v>
      </c>
      <c r="C9919">
        <f t="shared" si="328"/>
        <v>3.9677580604849999E-3</v>
      </c>
      <c r="D9919">
        <f t="shared" si="327"/>
        <v>0.38609040554525276</v>
      </c>
    </row>
    <row r="9920" spans="1:4">
      <c r="A9920" s="1">
        <v>32678</v>
      </c>
      <c r="B9920">
        <v>321.89</v>
      </c>
      <c r="C9920">
        <f t="shared" si="328"/>
        <v>1.6804107670762832E-3</v>
      </c>
      <c r="D9920">
        <f t="shared" si="327"/>
        <v>0.14454730886841444</v>
      </c>
    </row>
    <row r="9921" spans="1:4">
      <c r="A9921" s="1">
        <v>32679</v>
      </c>
      <c r="B9921">
        <v>321.25</v>
      </c>
      <c r="C9921">
        <f t="shared" si="328"/>
        <v>-1.988256857932792E-3</v>
      </c>
      <c r="D9921">
        <f t="shared" si="327"/>
        <v>-0.24286274529182758</v>
      </c>
    </row>
    <row r="9922" spans="1:4">
      <c r="A9922" s="1">
        <v>32680</v>
      </c>
      <c r="B9922">
        <v>320.48</v>
      </c>
      <c r="C9922">
        <f t="shared" si="328"/>
        <v>-2.3968871595330173E-3</v>
      </c>
      <c r="D9922">
        <f t="shared" si="327"/>
        <v>-0.28601396624062303</v>
      </c>
    </row>
    <row r="9923" spans="1:4">
      <c r="A9923" s="1">
        <v>32681</v>
      </c>
      <c r="B9923">
        <v>322.32</v>
      </c>
      <c r="C9923">
        <f t="shared" si="328"/>
        <v>5.7413879181227373E-3</v>
      </c>
      <c r="D9923">
        <f t="shared" ref="D9923:D9986" si="329">(C9923-avg)/sd</f>
        <v>0.57338511562571648</v>
      </c>
    </row>
    <row r="9924" spans="1:4">
      <c r="A9924" s="1">
        <v>32682</v>
      </c>
      <c r="B9924">
        <v>328</v>
      </c>
      <c r="C9924">
        <f t="shared" ref="C9924:C9987" si="330">(B9924-B9923)/B9923</f>
        <v>1.7622238768925314E-2</v>
      </c>
      <c r="D9924">
        <f t="shared" si="329"/>
        <v>1.8279989269730439</v>
      </c>
    </row>
    <row r="9925" spans="1:4">
      <c r="A9925" s="1">
        <v>32685</v>
      </c>
      <c r="B9925">
        <v>326.60000000000002</v>
      </c>
      <c r="C9925">
        <f t="shared" si="330"/>
        <v>-4.2682926829267602E-3</v>
      </c>
      <c r="D9925">
        <f t="shared" si="329"/>
        <v>-0.48363375338935738</v>
      </c>
    </row>
    <row r="9926" spans="1:4">
      <c r="A9926" s="1">
        <v>32686</v>
      </c>
      <c r="B9926">
        <v>328.44</v>
      </c>
      <c r="C9926">
        <f t="shared" si="330"/>
        <v>5.6338028169013316E-3</v>
      </c>
      <c r="D9926">
        <f t="shared" si="329"/>
        <v>0.56202416550668877</v>
      </c>
    </row>
    <row r="9927" spans="1:4">
      <c r="A9927" s="1">
        <v>32687</v>
      </c>
      <c r="B9927">
        <v>325.81</v>
      </c>
      <c r="C9927">
        <f t="shared" si="330"/>
        <v>-8.0075508464255134E-3</v>
      </c>
      <c r="D9927">
        <f t="shared" si="329"/>
        <v>-0.87849814441921936</v>
      </c>
    </row>
    <row r="9928" spans="1:4">
      <c r="A9928" s="1">
        <v>32688</v>
      </c>
      <c r="B9928">
        <v>319.68</v>
      </c>
      <c r="C9928">
        <f t="shared" si="330"/>
        <v>-1.8814646573156121E-2</v>
      </c>
      <c r="D9928">
        <f t="shared" si="329"/>
        <v>-2.0197237796516476</v>
      </c>
    </row>
    <row r="9929" spans="1:4">
      <c r="A9929" s="1">
        <v>32689</v>
      </c>
      <c r="B9929">
        <v>317.98</v>
      </c>
      <c r="C9929">
        <f t="shared" si="330"/>
        <v>-5.3178178178177821E-3</v>
      </c>
      <c r="D9929">
        <f t="shared" si="329"/>
        <v>-0.59446325088292229</v>
      </c>
    </row>
    <row r="9930" spans="1:4">
      <c r="A9930" s="1">
        <v>32692</v>
      </c>
      <c r="B9930">
        <v>319.23</v>
      </c>
      <c r="C9930">
        <f t="shared" si="330"/>
        <v>3.9310648468457131E-3</v>
      </c>
      <c r="D9930">
        <f t="shared" si="329"/>
        <v>0.38221561465757342</v>
      </c>
    </row>
    <row r="9931" spans="1:4">
      <c r="A9931" s="1">
        <v>32694</v>
      </c>
      <c r="B9931">
        <v>320.64</v>
      </c>
      <c r="C9931">
        <f t="shared" si="330"/>
        <v>4.4168781129592088E-3</v>
      </c>
      <c r="D9931">
        <f t="shared" si="329"/>
        <v>0.43351733042320584</v>
      </c>
    </row>
    <row r="9932" spans="1:4">
      <c r="A9932" s="1">
        <v>32695</v>
      </c>
      <c r="B9932">
        <v>321.55</v>
      </c>
      <c r="C9932">
        <f t="shared" si="330"/>
        <v>2.8380738522954872E-3</v>
      </c>
      <c r="D9932">
        <f t="shared" si="329"/>
        <v>0.2667961371587601</v>
      </c>
    </row>
    <row r="9933" spans="1:4">
      <c r="A9933" s="1">
        <v>32696</v>
      </c>
      <c r="B9933">
        <v>324.91000000000003</v>
      </c>
      <c r="C9933">
        <f t="shared" si="330"/>
        <v>1.0449385787591397E-2</v>
      </c>
      <c r="D9933">
        <f t="shared" si="329"/>
        <v>1.0705480903153752</v>
      </c>
    </row>
    <row r="9934" spans="1:4">
      <c r="A9934" s="1">
        <v>32699</v>
      </c>
      <c r="B9934">
        <v>327.07</v>
      </c>
      <c r="C9934">
        <f t="shared" si="330"/>
        <v>6.6479948293372568E-3</v>
      </c>
      <c r="D9934">
        <f t="shared" si="329"/>
        <v>0.66912249727930739</v>
      </c>
    </row>
    <row r="9935" spans="1:4">
      <c r="A9935" s="1">
        <v>32700</v>
      </c>
      <c r="B9935">
        <v>328.78</v>
      </c>
      <c r="C9935">
        <f t="shared" si="330"/>
        <v>5.2282386033570168E-3</v>
      </c>
      <c r="D9935">
        <f t="shared" si="329"/>
        <v>0.51919672241438342</v>
      </c>
    </row>
    <row r="9936" spans="1:4">
      <c r="A9936" s="1">
        <v>32701</v>
      </c>
      <c r="B9936">
        <v>329.81</v>
      </c>
      <c r="C9936">
        <f t="shared" si="330"/>
        <v>3.1327939655697722E-3</v>
      </c>
      <c r="D9936">
        <f t="shared" si="329"/>
        <v>0.29791848094029061</v>
      </c>
    </row>
    <row r="9937" spans="1:4">
      <c r="A9937" s="1">
        <v>32702</v>
      </c>
      <c r="B9937">
        <v>329.95</v>
      </c>
      <c r="C9937">
        <f t="shared" si="330"/>
        <v>4.2448682574811665E-4</v>
      </c>
      <c r="D9937">
        <f t="shared" si="329"/>
        <v>1.1922167573450155E-2</v>
      </c>
    </row>
    <row r="9938" spans="1:4">
      <c r="A9938" s="1">
        <v>32703</v>
      </c>
      <c r="B9938">
        <v>331.84</v>
      </c>
      <c r="C9938">
        <f t="shared" si="330"/>
        <v>5.7281406273677416E-3</v>
      </c>
      <c r="D9938">
        <f t="shared" si="329"/>
        <v>0.57198620622496177</v>
      </c>
    </row>
    <row r="9939" spans="1:4">
      <c r="A9939" s="1">
        <v>32706</v>
      </c>
      <c r="B9939">
        <v>332.44</v>
      </c>
      <c r="C9939">
        <f t="shared" si="330"/>
        <v>1.808100289296115E-3</v>
      </c>
      <c r="D9939">
        <f t="shared" si="329"/>
        <v>0.15803127901105118</v>
      </c>
    </row>
    <row r="9940" spans="1:4">
      <c r="A9940" s="1">
        <v>32707</v>
      </c>
      <c r="B9940">
        <v>331.35</v>
      </c>
      <c r="C9940">
        <f t="shared" si="330"/>
        <v>-3.2787871495607479E-3</v>
      </c>
      <c r="D9940">
        <f t="shared" si="329"/>
        <v>-0.37914230541517957</v>
      </c>
    </row>
    <row r="9941" spans="1:4">
      <c r="A9941" s="1">
        <v>32708</v>
      </c>
      <c r="B9941">
        <v>335.73</v>
      </c>
      <c r="C9941">
        <f t="shared" si="330"/>
        <v>1.3218650973291068E-2</v>
      </c>
      <c r="D9941">
        <f t="shared" si="329"/>
        <v>1.3629815526062876</v>
      </c>
    </row>
    <row r="9942" spans="1:4">
      <c r="A9942" s="1">
        <v>32709</v>
      </c>
      <c r="B9942">
        <v>333.51</v>
      </c>
      <c r="C9942">
        <f t="shared" si="330"/>
        <v>-6.612456438209356E-3</v>
      </c>
      <c r="D9942">
        <f t="shared" si="329"/>
        <v>-0.73117664912722358</v>
      </c>
    </row>
    <row r="9943" spans="1:4">
      <c r="A9943" s="1">
        <v>32710</v>
      </c>
      <c r="B9943">
        <v>335.9</v>
      </c>
      <c r="C9943">
        <f t="shared" si="330"/>
        <v>7.166201912986077E-3</v>
      </c>
      <c r="D9943">
        <f t="shared" si="329"/>
        <v>0.72384498916547646</v>
      </c>
    </row>
    <row r="9944" spans="1:4">
      <c r="A9944" s="1">
        <v>32713</v>
      </c>
      <c r="B9944">
        <v>333.67</v>
      </c>
      <c r="C9944">
        <f t="shared" si="330"/>
        <v>-6.6388806192317993E-3</v>
      </c>
      <c r="D9944">
        <f t="shared" si="329"/>
        <v>-0.7339670336611781</v>
      </c>
    </row>
    <row r="9945" spans="1:4">
      <c r="A9945" s="1">
        <v>32714</v>
      </c>
      <c r="B9945">
        <v>333.88</v>
      </c>
      <c r="C9945">
        <f t="shared" si="330"/>
        <v>6.2936434201450394E-4</v>
      </c>
      <c r="D9945">
        <f t="shared" si="329"/>
        <v>3.3557163649929181E-2</v>
      </c>
    </row>
    <row r="9946" spans="1:4">
      <c r="A9946" s="1">
        <v>32715</v>
      </c>
      <c r="B9946">
        <v>338.05</v>
      </c>
      <c r="C9946">
        <f t="shared" si="330"/>
        <v>1.2489517191805487E-2</v>
      </c>
      <c r="D9946">
        <f t="shared" si="329"/>
        <v>1.2859852731260246</v>
      </c>
    </row>
    <row r="9947" spans="1:4">
      <c r="A9947" s="1">
        <v>32716</v>
      </c>
      <c r="B9947">
        <v>341.99</v>
      </c>
      <c r="C9947">
        <f t="shared" si="330"/>
        <v>1.1655080609377304E-2</v>
      </c>
      <c r="D9947">
        <f t="shared" si="329"/>
        <v>1.1978690536603842</v>
      </c>
    </row>
    <row r="9948" spans="1:4">
      <c r="A9948" s="1">
        <v>32717</v>
      </c>
      <c r="B9948">
        <v>342.15</v>
      </c>
      <c r="C9948">
        <f t="shared" si="330"/>
        <v>4.6784993713257163E-4</v>
      </c>
      <c r="D9948">
        <f t="shared" si="329"/>
        <v>1.6501297395810868E-2</v>
      </c>
    </row>
    <row r="9949" spans="1:4">
      <c r="A9949" s="1">
        <v>32720</v>
      </c>
      <c r="B9949">
        <v>346.08</v>
      </c>
      <c r="C9949">
        <f t="shared" si="330"/>
        <v>1.1486190267426588E-2</v>
      </c>
      <c r="D9949">
        <f t="shared" si="329"/>
        <v>1.1800342909590054</v>
      </c>
    </row>
    <row r="9950" spans="1:4">
      <c r="A9950" s="1">
        <v>32721</v>
      </c>
      <c r="B9950">
        <v>343.75</v>
      </c>
      <c r="C9950">
        <f t="shared" si="330"/>
        <v>-6.7325473878871479E-3</v>
      </c>
      <c r="D9950">
        <f t="shared" si="329"/>
        <v>-0.74385821259230123</v>
      </c>
    </row>
    <row r="9951" spans="1:4">
      <c r="A9951" s="1">
        <v>32722</v>
      </c>
      <c r="B9951">
        <v>344.34</v>
      </c>
      <c r="C9951">
        <f t="shared" si="330"/>
        <v>1.7163636363635637E-3</v>
      </c>
      <c r="D9951">
        <f t="shared" si="329"/>
        <v>0.1483439196441772</v>
      </c>
    </row>
    <row r="9952" spans="1:4">
      <c r="A9952" s="1">
        <v>32723</v>
      </c>
      <c r="B9952">
        <v>344.74</v>
      </c>
      <c r="C9952">
        <f t="shared" si="330"/>
        <v>1.1616425625835922E-3</v>
      </c>
      <c r="D9952">
        <f t="shared" si="329"/>
        <v>8.9765562811866789E-2</v>
      </c>
    </row>
    <row r="9953" spans="1:4">
      <c r="A9953" s="1">
        <v>32724</v>
      </c>
      <c r="B9953">
        <v>343.92</v>
      </c>
      <c r="C9953">
        <f t="shared" si="330"/>
        <v>-2.3786041654580065E-3</v>
      </c>
      <c r="D9953">
        <f t="shared" si="329"/>
        <v>-0.28408328828099355</v>
      </c>
    </row>
    <row r="9954" spans="1:4">
      <c r="A9954" s="1">
        <v>32727</v>
      </c>
      <c r="B9954">
        <v>349.41</v>
      </c>
      <c r="C9954">
        <f t="shared" si="330"/>
        <v>1.5963014654570857E-2</v>
      </c>
      <c r="D9954">
        <f t="shared" si="329"/>
        <v>1.6527854244948927</v>
      </c>
    </row>
    <row r="9955" spans="1:4">
      <c r="A9955" s="1">
        <v>32728</v>
      </c>
      <c r="B9955">
        <v>349.35</v>
      </c>
      <c r="C9955">
        <f t="shared" si="330"/>
        <v>-1.7171803898000134E-4</v>
      </c>
      <c r="D9955">
        <f t="shared" si="329"/>
        <v>-5.1036863481958843E-2</v>
      </c>
    </row>
    <row r="9956" spans="1:4">
      <c r="A9956" s="1">
        <v>32729</v>
      </c>
      <c r="B9956">
        <v>346.94</v>
      </c>
      <c r="C9956">
        <f t="shared" si="330"/>
        <v>-6.8985258336912115E-3</v>
      </c>
      <c r="D9956">
        <f t="shared" si="329"/>
        <v>-0.76138548005039541</v>
      </c>
    </row>
    <row r="9957" spans="1:4">
      <c r="A9957" s="1">
        <v>32730</v>
      </c>
      <c r="B9957">
        <v>348.25</v>
      </c>
      <c r="C9957">
        <f t="shared" si="330"/>
        <v>3.7758690263446195E-3</v>
      </c>
      <c r="D9957">
        <f t="shared" si="329"/>
        <v>0.36582698876628045</v>
      </c>
    </row>
    <row r="9958" spans="1:4">
      <c r="A9958" s="1">
        <v>32731</v>
      </c>
      <c r="B9958">
        <v>344.74</v>
      </c>
      <c r="C9958">
        <f t="shared" si="330"/>
        <v>-1.0078966259870757E-2</v>
      </c>
      <c r="D9958">
        <f t="shared" si="329"/>
        <v>-1.0972389079707272</v>
      </c>
    </row>
    <row r="9959" spans="1:4">
      <c r="A9959" s="1">
        <v>32734</v>
      </c>
      <c r="B9959">
        <v>343.06</v>
      </c>
      <c r="C9959">
        <f t="shared" si="330"/>
        <v>-4.8732378024018298E-3</v>
      </c>
      <c r="D9959">
        <f t="shared" si="329"/>
        <v>-0.54751575237508754</v>
      </c>
    </row>
    <row r="9960" spans="1:4">
      <c r="A9960" s="1">
        <v>32735</v>
      </c>
      <c r="B9960">
        <v>344.71</v>
      </c>
      <c r="C9960">
        <f t="shared" si="330"/>
        <v>4.8096542878796047E-3</v>
      </c>
      <c r="D9960">
        <f t="shared" si="329"/>
        <v>0.4749943609836908</v>
      </c>
    </row>
    <row r="9961" spans="1:4">
      <c r="A9961" s="1">
        <v>32736</v>
      </c>
      <c r="B9961">
        <v>345.66</v>
      </c>
      <c r="C9961">
        <f t="shared" si="330"/>
        <v>2.7559397754635651E-3</v>
      </c>
      <c r="D9961">
        <f t="shared" si="329"/>
        <v>0.25812280656403835</v>
      </c>
    </row>
    <row r="9962" spans="1:4">
      <c r="A9962" s="1">
        <v>32737</v>
      </c>
      <c r="B9962">
        <v>344.45</v>
      </c>
      <c r="C9962">
        <f t="shared" si="330"/>
        <v>-3.5005496730892679E-3</v>
      </c>
      <c r="D9962">
        <f t="shared" si="329"/>
        <v>-0.40256035251904698</v>
      </c>
    </row>
    <row r="9963" spans="1:4">
      <c r="A9963" s="1">
        <v>32738</v>
      </c>
      <c r="B9963">
        <v>346.03</v>
      </c>
      <c r="C9963">
        <f t="shared" si="330"/>
        <v>4.5870227899549544E-3</v>
      </c>
      <c r="D9963">
        <f t="shared" si="329"/>
        <v>0.45148455047897079</v>
      </c>
    </row>
    <row r="9964" spans="1:4">
      <c r="A9964" s="1">
        <v>32741</v>
      </c>
      <c r="B9964">
        <v>340.67</v>
      </c>
      <c r="C9964">
        <f t="shared" si="330"/>
        <v>-1.5489986417362532E-2</v>
      </c>
      <c r="D9964">
        <f t="shared" si="329"/>
        <v>-1.6686407973067405</v>
      </c>
    </row>
    <row r="9965" spans="1:4">
      <c r="A9965" s="1">
        <v>32742</v>
      </c>
      <c r="B9965">
        <v>341.19</v>
      </c>
      <c r="C9965">
        <f t="shared" si="330"/>
        <v>1.5264038512342788E-3</v>
      </c>
      <c r="D9965">
        <f t="shared" si="329"/>
        <v>0.128284230904993</v>
      </c>
    </row>
    <row r="9966" spans="1:4">
      <c r="A9966" s="1">
        <v>32743</v>
      </c>
      <c r="B9966">
        <v>344.7</v>
      </c>
      <c r="C9966">
        <f t="shared" si="330"/>
        <v>1.0287523080981244E-2</v>
      </c>
      <c r="D9966">
        <f t="shared" si="329"/>
        <v>1.0534554435171504</v>
      </c>
    </row>
    <row r="9967" spans="1:4">
      <c r="A9967" s="1">
        <v>32744</v>
      </c>
      <c r="B9967">
        <v>351.52</v>
      </c>
      <c r="C9967">
        <f t="shared" si="330"/>
        <v>1.9785320568610366E-2</v>
      </c>
      <c r="D9967">
        <f t="shared" si="329"/>
        <v>2.0564196297525568</v>
      </c>
    </row>
    <row r="9968" spans="1:4">
      <c r="A9968" s="1">
        <v>32745</v>
      </c>
      <c r="B9968">
        <v>350.52</v>
      </c>
      <c r="C9968">
        <f t="shared" si="330"/>
        <v>-2.8447883477469276E-3</v>
      </c>
      <c r="D9968">
        <f t="shared" si="329"/>
        <v>-0.3333121794670007</v>
      </c>
    </row>
    <row r="9969" spans="1:4">
      <c r="A9969" s="1">
        <v>32748</v>
      </c>
      <c r="B9969">
        <v>352.09</v>
      </c>
      <c r="C9969">
        <f t="shared" si="330"/>
        <v>4.4790596827570276E-3</v>
      </c>
      <c r="D9969">
        <f t="shared" si="329"/>
        <v>0.44008368305731294</v>
      </c>
    </row>
    <row r="9970" spans="1:4">
      <c r="A9970" s="1">
        <v>32749</v>
      </c>
      <c r="B9970">
        <v>349.84</v>
      </c>
      <c r="C9970">
        <f t="shared" si="330"/>
        <v>-6.3904115425033377E-3</v>
      </c>
      <c r="D9970">
        <f t="shared" si="329"/>
        <v>-0.70772878361739533</v>
      </c>
    </row>
    <row r="9971" spans="1:4">
      <c r="A9971" s="1">
        <v>32750</v>
      </c>
      <c r="B9971">
        <v>350.65</v>
      </c>
      <c r="C9971">
        <f t="shared" si="330"/>
        <v>2.3153441573290712E-3</v>
      </c>
      <c r="D9971">
        <f t="shared" si="329"/>
        <v>0.21159605905476314</v>
      </c>
    </row>
    <row r="9972" spans="1:4">
      <c r="A9972" s="1">
        <v>32751</v>
      </c>
      <c r="B9972">
        <v>351.45</v>
      </c>
      <c r="C9972">
        <f t="shared" si="330"/>
        <v>2.2814772565236314E-3</v>
      </c>
      <c r="D9972">
        <f t="shared" si="329"/>
        <v>0.20801972584162762</v>
      </c>
    </row>
    <row r="9973" spans="1:4">
      <c r="A9973" s="1">
        <v>32752</v>
      </c>
      <c r="B9973">
        <v>353.73</v>
      </c>
      <c r="C9973">
        <f t="shared" si="330"/>
        <v>6.4874093043107975E-3</v>
      </c>
      <c r="D9973">
        <f t="shared" si="329"/>
        <v>0.65216472042218543</v>
      </c>
    </row>
    <row r="9974" spans="1:4">
      <c r="A9974" s="1">
        <v>32756</v>
      </c>
      <c r="B9974">
        <v>352.56</v>
      </c>
      <c r="C9974">
        <f t="shared" si="330"/>
        <v>-3.3076074972437051E-3</v>
      </c>
      <c r="D9974">
        <f t="shared" si="329"/>
        <v>-0.38218572433398773</v>
      </c>
    </row>
    <row r="9975" spans="1:4">
      <c r="A9975" s="1">
        <v>32757</v>
      </c>
      <c r="B9975">
        <v>349.24</v>
      </c>
      <c r="C9975">
        <f t="shared" si="330"/>
        <v>-9.4168368504651493E-3</v>
      </c>
      <c r="D9975">
        <f t="shared" si="329"/>
        <v>-1.0273182674062169</v>
      </c>
    </row>
    <row r="9976" spans="1:4">
      <c r="A9976" s="1">
        <v>32758</v>
      </c>
      <c r="B9976">
        <v>348.35</v>
      </c>
      <c r="C9976">
        <f t="shared" si="330"/>
        <v>-2.5483907914327863E-3</v>
      </c>
      <c r="D9976">
        <f t="shared" si="329"/>
        <v>-0.30201269827065197</v>
      </c>
    </row>
    <row r="9977" spans="1:4">
      <c r="A9977" s="1">
        <v>32759</v>
      </c>
      <c r="B9977">
        <v>348.76</v>
      </c>
      <c r="C9977">
        <f t="shared" si="330"/>
        <v>1.1769771781253572E-3</v>
      </c>
      <c r="D9977">
        <f t="shared" si="329"/>
        <v>9.1384893000588094E-2</v>
      </c>
    </row>
    <row r="9978" spans="1:4">
      <c r="A9978" s="1">
        <v>32762</v>
      </c>
      <c r="B9978">
        <v>347.66</v>
      </c>
      <c r="C9978">
        <f t="shared" si="330"/>
        <v>-3.1540314256221069E-3</v>
      </c>
      <c r="D9978">
        <f t="shared" si="329"/>
        <v>-0.36596814337379008</v>
      </c>
    </row>
    <row r="9979" spans="1:4">
      <c r="A9979" s="1">
        <v>32763</v>
      </c>
      <c r="B9979">
        <v>348.7</v>
      </c>
      <c r="C9979">
        <f t="shared" si="330"/>
        <v>2.9914284070642685E-3</v>
      </c>
      <c r="D9979">
        <f t="shared" si="329"/>
        <v>0.2829903260145975</v>
      </c>
    </row>
    <row r="9980" spans="1:4">
      <c r="A9980" s="1">
        <v>32764</v>
      </c>
      <c r="B9980">
        <v>345.46</v>
      </c>
      <c r="C9980">
        <f t="shared" si="330"/>
        <v>-9.2916547175222516E-3</v>
      </c>
      <c r="D9980">
        <f t="shared" si="329"/>
        <v>-1.0140990767189213</v>
      </c>
    </row>
    <row r="9981" spans="1:4">
      <c r="A9981" s="1">
        <v>32765</v>
      </c>
      <c r="B9981">
        <v>343.16</v>
      </c>
      <c r="C9981">
        <f t="shared" si="330"/>
        <v>-6.6577896138480712E-3</v>
      </c>
      <c r="D9981">
        <f t="shared" si="329"/>
        <v>-0.73596381706517677</v>
      </c>
    </row>
    <row r="9982" spans="1:4">
      <c r="A9982" s="1">
        <v>32766</v>
      </c>
      <c r="B9982">
        <v>345.06</v>
      </c>
      <c r="C9982">
        <f t="shared" si="330"/>
        <v>5.5367758480008656E-3</v>
      </c>
      <c r="D9982">
        <f t="shared" si="329"/>
        <v>0.55177815057186874</v>
      </c>
    </row>
    <row r="9983" spans="1:4">
      <c r="A9983" s="1">
        <v>32769</v>
      </c>
      <c r="B9983">
        <v>346.73</v>
      </c>
      <c r="C9983">
        <f t="shared" si="330"/>
        <v>4.8397380165768732E-3</v>
      </c>
      <c r="D9983">
        <f t="shared" si="329"/>
        <v>0.47817119250816609</v>
      </c>
    </row>
    <row r="9984" spans="1:4">
      <c r="A9984" s="1">
        <v>32770</v>
      </c>
      <c r="B9984">
        <v>346.55</v>
      </c>
      <c r="C9984">
        <f t="shared" si="330"/>
        <v>-5.1913592709026274E-4</v>
      </c>
      <c r="D9984">
        <f t="shared" si="329"/>
        <v>-8.772407437332444E-2</v>
      </c>
    </row>
    <row r="9985" spans="1:4">
      <c r="A9985" s="1">
        <v>32771</v>
      </c>
      <c r="B9985">
        <v>346.47</v>
      </c>
      <c r="C9985">
        <f t="shared" si="330"/>
        <v>-2.3084691963637017E-4</v>
      </c>
      <c r="D9985">
        <f t="shared" si="329"/>
        <v>-5.7280853180388308E-2</v>
      </c>
    </row>
    <row r="9986" spans="1:4">
      <c r="A9986" s="1">
        <v>32772</v>
      </c>
      <c r="B9986">
        <v>345.7</v>
      </c>
      <c r="C9986">
        <f t="shared" si="330"/>
        <v>-2.2224146390742014E-3</v>
      </c>
      <c r="D9986">
        <f t="shared" si="329"/>
        <v>-0.2675897273862633</v>
      </c>
    </row>
    <row r="9987" spans="1:4">
      <c r="A9987" s="1">
        <v>32773</v>
      </c>
      <c r="B9987">
        <v>347.05</v>
      </c>
      <c r="C9987">
        <f t="shared" si="330"/>
        <v>3.9051200462829703E-3</v>
      </c>
      <c r="D9987">
        <f t="shared" ref="D9987:D10050" si="331">(C9987-avg)/sd</f>
        <v>0.379475852537214</v>
      </c>
    </row>
    <row r="9988" spans="1:4">
      <c r="A9988" s="1">
        <v>32776</v>
      </c>
      <c r="B9988">
        <v>344.23</v>
      </c>
      <c r="C9988">
        <f t="shared" ref="C9988:C10051" si="332">(B9988-B9987)/B9987</f>
        <v>-8.1256303126350463E-3</v>
      </c>
      <c r="D9988">
        <f t="shared" si="331"/>
        <v>-0.89096729591378532</v>
      </c>
    </row>
    <row r="9989" spans="1:4">
      <c r="A9989" s="1">
        <v>32777</v>
      </c>
      <c r="B9989">
        <v>344.33</v>
      </c>
      <c r="C9989">
        <f t="shared" si="332"/>
        <v>2.9050344246569414E-4</v>
      </c>
      <c r="D9989">
        <f t="shared" si="331"/>
        <v>-2.2264321580088568E-3</v>
      </c>
    </row>
    <row r="9990" spans="1:4">
      <c r="A9990" s="1">
        <v>32778</v>
      </c>
      <c r="B9990">
        <v>345.1</v>
      </c>
      <c r="C9990">
        <f t="shared" si="332"/>
        <v>2.2362268753812874E-3</v>
      </c>
      <c r="D9990">
        <f t="shared" si="331"/>
        <v>0.20324130097434798</v>
      </c>
    </row>
    <row r="9991" spans="1:4">
      <c r="A9991" s="1">
        <v>32779</v>
      </c>
      <c r="B9991">
        <v>348.6</v>
      </c>
      <c r="C9991">
        <f t="shared" si="332"/>
        <v>1.0141987829614604E-2</v>
      </c>
      <c r="D9991">
        <f t="shared" si="331"/>
        <v>1.0380869704426687</v>
      </c>
    </row>
    <row r="9992" spans="1:4">
      <c r="A9992" s="1">
        <v>32780</v>
      </c>
      <c r="B9992">
        <v>349.15</v>
      </c>
      <c r="C9992">
        <f t="shared" si="332"/>
        <v>1.577739529546628E-3</v>
      </c>
      <c r="D9992">
        <f t="shared" si="331"/>
        <v>0.13370526108493216</v>
      </c>
    </row>
    <row r="9993" spans="1:4">
      <c r="A9993" s="1">
        <v>32783</v>
      </c>
      <c r="B9993">
        <v>350.87</v>
      </c>
      <c r="C9993">
        <f t="shared" si="332"/>
        <v>4.926249462981605E-3</v>
      </c>
      <c r="D9993">
        <f t="shared" si="331"/>
        <v>0.48730677184183635</v>
      </c>
    </row>
    <row r="9994" spans="1:4">
      <c r="A9994" s="1">
        <v>32784</v>
      </c>
      <c r="B9994">
        <v>354.71</v>
      </c>
      <c r="C9994">
        <f t="shared" si="332"/>
        <v>1.0944224356599239E-2</v>
      </c>
      <c r="D9994">
        <f t="shared" si="331"/>
        <v>1.1228028749988013</v>
      </c>
    </row>
    <row r="9995" spans="1:4">
      <c r="A9995" s="1">
        <v>32785</v>
      </c>
      <c r="B9995">
        <v>356.94</v>
      </c>
      <c r="C9995">
        <f t="shared" si="332"/>
        <v>6.2868258577429966E-3</v>
      </c>
      <c r="D9995">
        <f t="shared" si="331"/>
        <v>0.63098317664625192</v>
      </c>
    </row>
    <row r="9996" spans="1:4">
      <c r="A9996" s="1">
        <v>32786</v>
      </c>
      <c r="B9996">
        <v>356.97</v>
      </c>
      <c r="C9996">
        <f t="shared" si="332"/>
        <v>8.4047739115900594E-5</v>
      </c>
      <c r="D9996">
        <f t="shared" si="331"/>
        <v>-2.4028084254043725E-2</v>
      </c>
    </row>
    <row r="9997" spans="1:4">
      <c r="A9997" s="1">
        <v>32787</v>
      </c>
      <c r="B9997">
        <v>358.78</v>
      </c>
      <c r="C9997">
        <f t="shared" si="332"/>
        <v>5.0704540997841422E-3</v>
      </c>
      <c r="D9997">
        <f t="shared" si="331"/>
        <v>0.50253473247064662</v>
      </c>
    </row>
    <row r="9998" spans="1:4">
      <c r="A9998" s="1">
        <v>32790</v>
      </c>
      <c r="B9998">
        <v>359.8</v>
      </c>
      <c r="C9998">
        <f t="shared" si="332"/>
        <v>2.8429678354424401E-3</v>
      </c>
      <c r="D9998">
        <f t="shared" si="331"/>
        <v>0.26731294011553264</v>
      </c>
    </row>
    <row r="9999" spans="1:4">
      <c r="A9999" s="1">
        <v>32791</v>
      </c>
      <c r="B9999">
        <v>359.13</v>
      </c>
      <c r="C9999">
        <f t="shared" si="332"/>
        <v>-1.8621456364647467E-3</v>
      </c>
      <c r="D9999">
        <f t="shared" si="331"/>
        <v>-0.229545443172089</v>
      </c>
    </row>
    <row r="10000" spans="1:4">
      <c r="A10000" s="1">
        <v>32792</v>
      </c>
      <c r="B10000">
        <v>356.99</v>
      </c>
      <c r="C10000">
        <f t="shared" si="332"/>
        <v>-5.9588449864951031E-3</v>
      </c>
      <c r="D10000">
        <f t="shared" si="331"/>
        <v>-0.66215550199952578</v>
      </c>
    </row>
    <row r="10001" spans="1:4">
      <c r="A10001" s="1">
        <v>32793</v>
      </c>
      <c r="B10001">
        <v>355.39</v>
      </c>
      <c r="C10001">
        <f t="shared" si="332"/>
        <v>-4.4819182610157781E-3</v>
      </c>
      <c r="D10001">
        <f t="shared" si="331"/>
        <v>-0.50619254182069551</v>
      </c>
    </row>
    <row r="10002" spans="1:4">
      <c r="A10002" s="1">
        <v>32794</v>
      </c>
      <c r="B10002">
        <v>333.65</v>
      </c>
      <c r="C10002">
        <f t="shared" si="332"/>
        <v>-6.1172233321140183E-2</v>
      </c>
      <c r="D10002">
        <f t="shared" si="331"/>
        <v>-6.492670542195464</v>
      </c>
    </row>
    <row r="10003" spans="1:4">
      <c r="A10003" s="1">
        <v>32797</v>
      </c>
      <c r="B10003">
        <v>342.85</v>
      </c>
      <c r="C10003">
        <f t="shared" si="332"/>
        <v>2.7573804885359047E-2</v>
      </c>
      <c r="D10003">
        <f t="shared" si="331"/>
        <v>2.8788809261667661</v>
      </c>
    </row>
    <row r="10004" spans="1:4">
      <c r="A10004" s="1">
        <v>32798</v>
      </c>
      <c r="B10004">
        <v>341.16</v>
      </c>
      <c r="C10004">
        <f t="shared" si="332"/>
        <v>-4.9292693597783217E-3</v>
      </c>
      <c r="D10004">
        <f t="shared" si="331"/>
        <v>-0.55343266578799333</v>
      </c>
    </row>
    <row r="10005" spans="1:4">
      <c r="A10005" s="1">
        <v>32799</v>
      </c>
      <c r="B10005">
        <v>341.76</v>
      </c>
      <c r="C10005">
        <f t="shared" si="332"/>
        <v>1.7587055926836846E-3</v>
      </c>
      <c r="D10005">
        <f t="shared" si="331"/>
        <v>0.15281521583885171</v>
      </c>
    </row>
    <row r="10006" spans="1:4">
      <c r="A10006" s="1">
        <v>32800</v>
      </c>
      <c r="B10006">
        <v>347.13</v>
      </c>
      <c r="C10006">
        <f t="shared" si="332"/>
        <v>1.5712780898876417E-2</v>
      </c>
      <c r="D10006">
        <f t="shared" si="331"/>
        <v>1.6263608249521464</v>
      </c>
    </row>
    <row r="10007" spans="1:4">
      <c r="A10007" s="1">
        <v>32801</v>
      </c>
      <c r="B10007">
        <v>347.16</v>
      </c>
      <c r="C10007">
        <f t="shared" si="332"/>
        <v>8.6422953936650707E-5</v>
      </c>
      <c r="D10007">
        <f t="shared" si="331"/>
        <v>-2.3777262376347263E-2</v>
      </c>
    </row>
    <row r="10008" spans="1:4">
      <c r="A10008" s="1">
        <v>32804</v>
      </c>
      <c r="B10008">
        <v>344.83</v>
      </c>
      <c r="C10008">
        <f t="shared" si="332"/>
        <v>-6.711602719207399E-3</v>
      </c>
      <c r="D10008">
        <f t="shared" si="331"/>
        <v>-0.74164646269915857</v>
      </c>
    </row>
    <row r="10009" spans="1:4">
      <c r="A10009" s="1">
        <v>32805</v>
      </c>
      <c r="B10009">
        <v>343.7</v>
      </c>
      <c r="C10009">
        <f t="shared" si="332"/>
        <v>-3.2769770611605588E-3</v>
      </c>
      <c r="D10009">
        <f t="shared" si="331"/>
        <v>-0.37895116069539858</v>
      </c>
    </row>
    <row r="10010" spans="1:4">
      <c r="A10010" s="1">
        <v>32806</v>
      </c>
      <c r="B10010">
        <v>342.5</v>
      </c>
      <c r="C10010">
        <f t="shared" si="332"/>
        <v>-3.4914169333720938E-3</v>
      </c>
      <c r="D10010">
        <f t="shared" si="331"/>
        <v>-0.40159593830928247</v>
      </c>
    </row>
    <row r="10011" spans="1:4">
      <c r="A10011" s="1">
        <v>32807</v>
      </c>
      <c r="B10011">
        <v>337.93</v>
      </c>
      <c r="C10011">
        <f t="shared" si="332"/>
        <v>-1.3343065693430637E-2</v>
      </c>
      <c r="D10011">
        <f t="shared" si="331"/>
        <v>-1.4419266986333443</v>
      </c>
    </row>
    <row r="10012" spans="1:4">
      <c r="A10012" s="1">
        <v>32808</v>
      </c>
      <c r="B10012">
        <v>335.06</v>
      </c>
      <c r="C10012">
        <f t="shared" si="332"/>
        <v>-8.4928831414790174E-3</v>
      </c>
      <c r="D10012">
        <f t="shared" si="331"/>
        <v>-0.92974906980440675</v>
      </c>
    </row>
    <row r="10013" spans="1:4">
      <c r="A10013" s="1">
        <v>32811</v>
      </c>
      <c r="B10013">
        <v>335.07</v>
      </c>
      <c r="C10013">
        <f t="shared" si="332"/>
        <v>2.9845400823705918E-5</v>
      </c>
      <c r="D10013">
        <f t="shared" si="331"/>
        <v>-2.9751832753429512E-2</v>
      </c>
    </row>
    <row r="10014" spans="1:4">
      <c r="A10014" s="1">
        <v>32812</v>
      </c>
      <c r="B10014">
        <v>340.36</v>
      </c>
      <c r="C10014">
        <f t="shared" si="332"/>
        <v>1.5787745844152028E-2</v>
      </c>
      <c r="D10014">
        <f t="shared" si="331"/>
        <v>1.634277097691428</v>
      </c>
    </row>
    <row r="10015" spans="1:4">
      <c r="A10015" s="1">
        <v>32813</v>
      </c>
      <c r="B10015">
        <v>341.2</v>
      </c>
      <c r="C10015">
        <f t="shared" si="332"/>
        <v>2.4679750852038282E-3</v>
      </c>
      <c r="D10015">
        <f t="shared" si="331"/>
        <v>0.22771383315656429</v>
      </c>
    </row>
    <row r="10016" spans="1:4">
      <c r="A10016" s="1">
        <v>32814</v>
      </c>
      <c r="B10016">
        <v>338.48</v>
      </c>
      <c r="C10016">
        <f t="shared" si="332"/>
        <v>-7.9718640093785764E-3</v>
      </c>
      <c r="D10016">
        <f t="shared" si="331"/>
        <v>-0.87472962655760822</v>
      </c>
    </row>
    <row r="10017" spans="1:4">
      <c r="A10017" s="1">
        <v>32815</v>
      </c>
      <c r="B10017">
        <v>337.62</v>
      </c>
      <c r="C10017">
        <f t="shared" si="332"/>
        <v>-2.5407705034271259E-3</v>
      </c>
      <c r="D10017">
        <f t="shared" si="331"/>
        <v>-0.301207998447516</v>
      </c>
    </row>
    <row r="10018" spans="1:4">
      <c r="A10018" s="1">
        <v>32818</v>
      </c>
      <c r="B10018">
        <v>332.61</v>
      </c>
      <c r="C10018">
        <f t="shared" si="332"/>
        <v>-1.4839168295717051E-2</v>
      </c>
      <c r="D10018">
        <f t="shared" si="331"/>
        <v>-1.599914624884806</v>
      </c>
    </row>
    <row r="10019" spans="1:4">
      <c r="A10019" s="1">
        <v>32819</v>
      </c>
      <c r="B10019">
        <v>334.81</v>
      </c>
      <c r="C10019">
        <f t="shared" si="332"/>
        <v>6.614353146327496E-3</v>
      </c>
      <c r="D10019">
        <f t="shared" si="331"/>
        <v>0.66556994698884031</v>
      </c>
    </row>
    <row r="10020" spans="1:4">
      <c r="A10020" s="1">
        <v>32820</v>
      </c>
      <c r="B10020">
        <v>338.15</v>
      </c>
      <c r="C10020">
        <f t="shared" si="332"/>
        <v>9.9758071742181379E-3</v>
      </c>
      <c r="D10020">
        <f t="shared" si="331"/>
        <v>1.0205383497203513</v>
      </c>
    </row>
    <row r="10021" spans="1:4">
      <c r="A10021" s="1">
        <v>32821</v>
      </c>
      <c r="B10021">
        <v>336.57</v>
      </c>
      <c r="C10021">
        <f t="shared" si="332"/>
        <v>-4.6724826260534794E-3</v>
      </c>
      <c r="D10021">
        <f t="shared" si="331"/>
        <v>-0.52631607399270175</v>
      </c>
    </row>
    <row r="10022" spans="1:4">
      <c r="A10022" s="1">
        <v>32822</v>
      </c>
      <c r="B10022">
        <v>339.1</v>
      </c>
      <c r="C10022">
        <f t="shared" si="332"/>
        <v>7.5170098345070258E-3</v>
      </c>
      <c r="D10022">
        <f t="shared" si="331"/>
        <v>0.76089018643268236</v>
      </c>
    </row>
    <row r="10023" spans="1:4">
      <c r="A10023" s="1">
        <v>32825</v>
      </c>
      <c r="B10023">
        <v>339.55</v>
      </c>
      <c r="C10023">
        <f t="shared" si="332"/>
        <v>1.3270421704511606E-3</v>
      </c>
      <c r="D10023">
        <f t="shared" si="331"/>
        <v>0.10723170518062361</v>
      </c>
    </row>
    <row r="10024" spans="1:4">
      <c r="A10024" s="1">
        <v>32826</v>
      </c>
      <c r="B10024">
        <v>337.99</v>
      </c>
      <c r="C10024">
        <f t="shared" si="332"/>
        <v>-4.5943160064791698E-3</v>
      </c>
      <c r="D10024">
        <f t="shared" si="331"/>
        <v>-0.51806170553577968</v>
      </c>
    </row>
    <row r="10025" spans="1:4">
      <c r="A10025" s="1">
        <v>32827</v>
      </c>
      <c r="B10025">
        <v>340.54</v>
      </c>
      <c r="C10025">
        <f t="shared" si="332"/>
        <v>7.5446019112991843E-3</v>
      </c>
      <c r="D10025">
        <f t="shared" si="331"/>
        <v>0.76380390036293166</v>
      </c>
    </row>
    <row r="10026" spans="1:4">
      <c r="A10026" s="1">
        <v>32828</v>
      </c>
      <c r="B10026">
        <v>340.58</v>
      </c>
      <c r="C10026">
        <f t="shared" si="332"/>
        <v>1.1746050390545492E-4</v>
      </c>
      <c r="D10026">
        <f t="shared" si="331"/>
        <v>-2.0499707649817379E-2</v>
      </c>
    </row>
    <row r="10027" spans="1:4">
      <c r="A10027" s="1">
        <v>32829</v>
      </c>
      <c r="B10027">
        <v>341.61</v>
      </c>
      <c r="C10027">
        <f t="shared" si="332"/>
        <v>3.0242527453168996E-3</v>
      </c>
      <c r="D10027">
        <f t="shared" si="331"/>
        <v>0.28645656497654065</v>
      </c>
    </row>
    <row r="10028" spans="1:4">
      <c r="A10028" s="1">
        <v>32832</v>
      </c>
      <c r="B10028">
        <v>339.35</v>
      </c>
      <c r="C10028">
        <f t="shared" si="332"/>
        <v>-6.6157313895962968E-3</v>
      </c>
      <c r="D10028">
        <f t="shared" si="331"/>
        <v>-0.7315224828804745</v>
      </c>
    </row>
    <row r="10029" spans="1:4">
      <c r="A10029" s="1">
        <v>32833</v>
      </c>
      <c r="B10029">
        <v>339.59</v>
      </c>
      <c r="C10029">
        <f t="shared" si="332"/>
        <v>7.0723441874157131E-4</v>
      </c>
      <c r="D10029">
        <f t="shared" si="331"/>
        <v>4.1780217282982333E-2</v>
      </c>
    </row>
    <row r="10030" spans="1:4">
      <c r="A10030" s="1">
        <v>32834</v>
      </c>
      <c r="B10030">
        <v>341.91</v>
      </c>
      <c r="C10030">
        <f t="shared" si="332"/>
        <v>6.8317677198976709E-3</v>
      </c>
      <c r="D10030">
        <f t="shared" si="331"/>
        <v>0.68852885205504644</v>
      </c>
    </row>
    <row r="10031" spans="1:4">
      <c r="A10031" s="1">
        <v>32836</v>
      </c>
      <c r="B10031">
        <v>343.97</v>
      </c>
      <c r="C10031">
        <f t="shared" si="332"/>
        <v>6.0249773332163494E-3</v>
      </c>
      <c r="D10031">
        <f t="shared" si="331"/>
        <v>0.60333206146287599</v>
      </c>
    </row>
    <row r="10032" spans="1:4">
      <c r="A10032" s="1">
        <v>32839</v>
      </c>
      <c r="B10032">
        <v>345.61</v>
      </c>
      <c r="C10032">
        <f t="shared" si="332"/>
        <v>4.7678576620053675E-3</v>
      </c>
      <c r="D10032">
        <f t="shared" si="331"/>
        <v>0.47058065149873479</v>
      </c>
    </row>
    <row r="10033" spans="1:4">
      <c r="A10033" s="1">
        <v>32840</v>
      </c>
      <c r="B10033">
        <v>345.77</v>
      </c>
      <c r="C10033">
        <f t="shared" si="332"/>
        <v>4.6294956743140583E-4</v>
      </c>
      <c r="D10033">
        <f t="shared" si="331"/>
        <v>1.5983820021084356E-2</v>
      </c>
    </row>
    <row r="10034" spans="1:4">
      <c r="A10034" s="1">
        <v>32841</v>
      </c>
      <c r="B10034">
        <v>343.6</v>
      </c>
      <c r="C10034">
        <f t="shared" si="332"/>
        <v>-6.2758481071231139E-3</v>
      </c>
      <c r="D10034">
        <f t="shared" si="331"/>
        <v>-0.69563092378324742</v>
      </c>
    </row>
    <row r="10035" spans="1:4">
      <c r="A10035" s="1">
        <v>32842</v>
      </c>
      <c r="B10035">
        <v>345.99</v>
      </c>
      <c r="C10035">
        <f t="shared" si="332"/>
        <v>6.9557625145517639E-3</v>
      </c>
      <c r="D10035">
        <f t="shared" si="331"/>
        <v>0.70162266022264008</v>
      </c>
    </row>
    <row r="10036" spans="1:4">
      <c r="A10036" s="1">
        <v>32843</v>
      </c>
      <c r="B10036">
        <v>350.63</v>
      </c>
      <c r="C10036">
        <f t="shared" si="332"/>
        <v>1.3410792219428267E-2</v>
      </c>
      <c r="D10036">
        <f t="shared" si="331"/>
        <v>1.3832716028863929</v>
      </c>
    </row>
    <row r="10037" spans="1:4">
      <c r="A10037" s="1">
        <v>32846</v>
      </c>
      <c r="B10037">
        <v>351.41</v>
      </c>
      <c r="C10037">
        <f t="shared" si="332"/>
        <v>2.2245672075978371E-3</v>
      </c>
      <c r="D10037">
        <f t="shared" si="331"/>
        <v>0.20201004401972927</v>
      </c>
    </row>
    <row r="10038" spans="1:4">
      <c r="A10038" s="1">
        <v>32847</v>
      </c>
      <c r="B10038">
        <v>349.58</v>
      </c>
      <c r="C10038">
        <f t="shared" si="332"/>
        <v>-5.2075922711363959E-3</v>
      </c>
      <c r="D10038">
        <f t="shared" si="331"/>
        <v>-0.58282347062085171</v>
      </c>
    </row>
    <row r="10039" spans="1:4">
      <c r="A10039" s="1">
        <v>32848</v>
      </c>
      <c r="B10039">
        <v>348.55</v>
      </c>
      <c r="C10039">
        <f t="shared" si="332"/>
        <v>-2.9463928142341462E-3</v>
      </c>
      <c r="D10039">
        <f t="shared" si="331"/>
        <v>-0.34404157659101475</v>
      </c>
    </row>
    <row r="10040" spans="1:4">
      <c r="A10040" s="1">
        <v>32849</v>
      </c>
      <c r="B10040">
        <v>347.59</v>
      </c>
      <c r="C10040">
        <f t="shared" si="332"/>
        <v>-2.7542676803902922E-3</v>
      </c>
      <c r="D10040">
        <f t="shared" si="331"/>
        <v>-0.32375322776360982</v>
      </c>
    </row>
    <row r="10041" spans="1:4">
      <c r="A10041" s="1">
        <v>32850</v>
      </c>
      <c r="B10041">
        <v>348.69</v>
      </c>
      <c r="C10041">
        <f t="shared" si="332"/>
        <v>3.1646480048333463E-3</v>
      </c>
      <c r="D10041">
        <f t="shared" si="331"/>
        <v>0.30128225665880998</v>
      </c>
    </row>
    <row r="10042" spans="1:4">
      <c r="A10042" s="1">
        <v>32853</v>
      </c>
      <c r="B10042">
        <v>348.56</v>
      </c>
      <c r="C10042">
        <f t="shared" si="332"/>
        <v>-3.7282399839397588E-4</v>
      </c>
      <c r="D10042">
        <f t="shared" si="331"/>
        <v>-7.2273584436837554E-2</v>
      </c>
    </row>
    <row r="10043" spans="1:4">
      <c r="A10043" s="1">
        <v>32854</v>
      </c>
      <c r="B10043">
        <v>351.73</v>
      </c>
      <c r="C10043">
        <f t="shared" si="332"/>
        <v>9.0945604773927467E-3</v>
      </c>
      <c r="D10043">
        <f t="shared" si="331"/>
        <v>0.92747899808589662</v>
      </c>
    </row>
    <row r="10044" spans="1:4">
      <c r="A10044" s="1">
        <v>32855</v>
      </c>
      <c r="B10044">
        <v>352.75</v>
      </c>
      <c r="C10044">
        <f t="shared" si="332"/>
        <v>2.899951667472157E-3</v>
      </c>
      <c r="D10044">
        <f t="shared" si="331"/>
        <v>0.27333041340812508</v>
      </c>
    </row>
    <row r="10045" spans="1:4">
      <c r="A10045" s="1">
        <v>32856</v>
      </c>
      <c r="B10045">
        <v>350.93</v>
      </c>
      <c r="C10045">
        <f t="shared" si="332"/>
        <v>-5.1594613749113907E-3</v>
      </c>
      <c r="D10045">
        <f t="shared" si="331"/>
        <v>-0.57774086433997773</v>
      </c>
    </row>
    <row r="10046" spans="1:4">
      <c r="A10046" s="1">
        <v>32857</v>
      </c>
      <c r="B10046">
        <v>350.14</v>
      </c>
      <c r="C10046">
        <f t="shared" si="332"/>
        <v>-2.2511612002394221E-3</v>
      </c>
      <c r="D10046">
        <f t="shared" si="331"/>
        <v>-0.2706253544738797</v>
      </c>
    </row>
    <row r="10047" spans="1:4">
      <c r="A10047" s="1">
        <v>32860</v>
      </c>
      <c r="B10047">
        <v>343.69</v>
      </c>
      <c r="C10047">
        <f t="shared" si="332"/>
        <v>-1.842120294739244E-2</v>
      </c>
      <c r="D10047">
        <f t="shared" si="331"/>
        <v>-1.9781762665089893</v>
      </c>
    </row>
    <row r="10048" spans="1:4">
      <c r="A10048" s="1">
        <v>32861</v>
      </c>
      <c r="B10048">
        <v>342.46</v>
      </c>
      <c r="C10048">
        <f t="shared" si="332"/>
        <v>-3.5788064825861042E-3</v>
      </c>
      <c r="D10048">
        <f t="shared" si="331"/>
        <v>-0.41082424500113091</v>
      </c>
    </row>
    <row r="10049" spans="1:4">
      <c r="A10049" s="1">
        <v>32862</v>
      </c>
      <c r="B10049">
        <v>342.84</v>
      </c>
      <c r="C10049">
        <f t="shared" si="332"/>
        <v>1.1096186415931655E-3</v>
      </c>
      <c r="D10049">
        <f t="shared" si="331"/>
        <v>8.4271854439067678E-2</v>
      </c>
    </row>
    <row r="10050" spans="1:4">
      <c r="A10050" s="1">
        <v>32863</v>
      </c>
      <c r="B10050">
        <v>344.78</v>
      </c>
      <c r="C10050">
        <f t="shared" si="332"/>
        <v>5.6586162641465345E-3</v>
      </c>
      <c r="D10050">
        <f t="shared" si="331"/>
        <v>0.56464445710128164</v>
      </c>
    </row>
    <row r="10051" spans="1:4">
      <c r="A10051" s="1">
        <v>32864</v>
      </c>
      <c r="B10051">
        <v>347.42</v>
      </c>
      <c r="C10051">
        <f t="shared" si="332"/>
        <v>7.6570566738211132E-3</v>
      </c>
      <c r="D10051">
        <f t="shared" ref="D10051:D10114" si="333">(C10051-avg)/sd</f>
        <v>0.77567908506001626</v>
      </c>
    </row>
    <row r="10052" spans="1:4">
      <c r="A10052" s="1">
        <v>32868</v>
      </c>
      <c r="B10052">
        <v>346.81</v>
      </c>
      <c r="C10052">
        <f t="shared" ref="C10052:C10115" si="334">(B10052-B10051)/B10051</f>
        <v>-1.7557998963790616E-3</v>
      </c>
      <c r="D10052">
        <f t="shared" si="333"/>
        <v>-0.2183153691677141</v>
      </c>
    </row>
    <row r="10053" spans="1:4">
      <c r="A10053" s="1">
        <v>32869</v>
      </c>
      <c r="B10053">
        <v>348.81</v>
      </c>
      <c r="C10053">
        <f t="shared" si="334"/>
        <v>5.7668464000461351E-3</v>
      </c>
      <c r="D10053">
        <f t="shared" si="333"/>
        <v>0.57607352266306877</v>
      </c>
    </row>
    <row r="10054" spans="1:4">
      <c r="A10054" s="1">
        <v>32870</v>
      </c>
      <c r="B10054">
        <v>350.67</v>
      </c>
      <c r="C10054">
        <f t="shared" si="334"/>
        <v>5.3324159284424575E-3</v>
      </c>
      <c r="D10054">
        <f t="shared" si="333"/>
        <v>0.53019781253181264</v>
      </c>
    </row>
    <row r="10055" spans="1:4">
      <c r="A10055" s="1">
        <v>32871</v>
      </c>
      <c r="B10055">
        <v>353.4</v>
      </c>
      <c r="C10055">
        <f t="shared" si="334"/>
        <v>7.7850970998373436E-3</v>
      </c>
      <c r="D10055">
        <f t="shared" si="333"/>
        <v>0.78920011052427474</v>
      </c>
    </row>
    <row r="10056" spans="1:4">
      <c r="A10056" s="1">
        <v>32875</v>
      </c>
      <c r="B10056">
        <v>359.69</v>
      </c>
      <c r="C10056">
        <f t="shared" si="334"/>
        <v>1.7798528579513358E-2</v>
      </c>
      <c r="D10056">
        <f t="shared" si="333"/>
        <v>1.846615071047323</v>
      </c>
    </row>
    <row r="10057" spans="1:4">
      <c r="A10057" s="1">
        <v>32876</v>
      </c>
      <c r="B10057">
        <v>358.76</v>
      </c>
      <c r="C10057">
        <f t="shared" si="334"/>
        <v>-2.5855597875948924E-3</v>
      </c>
      <c r="D10057">
        <f t="shared" si="333"/>
        <v>-0.30593773163101473</v>
      </c>
    </row>
    <row r="10058" spans="1:4">
      <c r="A10058" s="1">
        <v>32877</v>
      </c>
      <c r="B10058">
        <v>355.67</v>
      </c>
      <c r="C10058">
        <f t="shared" si="334"/>
        <v>-8.6130003344853812E-3</v>
      </c>
      <c r="D10058">
        <f t="shared" si="333"/>
        <v>-0.94243340455606106</v>
      </c>
    </row>
    <row r="10059" spans="1:4">
      <c r="A10059" s="1">
        <v>32878</v>
      </c>
      <c r="B10059">
        <v>352.2</v>
      </c>
      <c r="C10059">
        <f t="shared" si="334"/>
        <v>-9.7562347119521664E-3</v>
      </c>
      <c r="D10059">
        <f t="shared" si="333"/>
        <v>-1.0631585662123073</v>
      </c>
    </row>
    <row r="10060" spans="1:4">
      <c r="A10060" s="1">
        <v>32881</v>
      </c>
      <c r="B10060">
        <v>353.79</v>
      </c>
      <c r="C10060">
        <f t="shared" si="334"/>
        <v>4.5144804088586938E-3</v>
      </c>
      <c r="D10060">
        <f t="shared" si="333"/>
        <v>0.44382409969355907</v>
      </c>
    </row>
    <row r="10061" spans="1:4">
      <c r="A10061" s="1">
        <v>32882</v>
      </c>
      <c r="B10061">
        <v>349.62</v>
      </c>
      <c r="C10061">
        <f t="shared" si="334"/>
        <v>-1.1786653099296237E-2</v>
      </c>
      <c r="D10061">
        <f t="shared" si="333"/>
        <v>-1.2775700577430975</v>
      </c>
    </row>
    <row r="10062" spans="1:4">
      <c r="A10062" s="1">
        <v>32883</v>
      </c>
      <c r="B10062">
        <v>347.31</v>
      </c>
      <c r="C10062">
        <f t="shared" si="334"/>
        <v>-6.6071735026600369E-3</v>
      </c>
      <c r="D10062">
        <f t="shared" si="333"/>
        <v>-0.73061877292897248</v>
      </c>
    </row>
    <row r="10063" spans="1:4">
      <c r="A10063" s="1">
        <v>32884</v>
      </c>
      <c r="B10063">
        <v>348.53</v>
      </c>
      <c r="C10063">
        <f t="shared" si="334"/>
        <v>3.5127119864097503E-3</v>
      </c>
      <c r="D10063">
        <f t="shared" si="333"/>
        <v>0.33803769480058238</v>
      </c>
    </row>
    <row r="10064" spans="1:4">
      <c r="A10064" s="1">
        <v>32885</v>
      </c>
      <c r="B10064">
        <v>339.93</v>
      </c>
      <c r="C10064">
        <f t="shared" si="334"/>
        <v>-2.4675063839554607E-2</v>
      </c>
      <c r="D10064">
        <f t="shared" si="333"/>
        <v>-2.6385818509307102</v>
      </c>
    </row>
    <row r="10065" spans="1:4">
      <c r="A10065" s="1">
        <v>32888</v>
      </c>
      <c r="B10065">
        <v>337</v>
      </c>
      <c r="C10065">
        <f t="shared" si="334"/>
        <v>-8.6194216456329451E-3</v>
      </c>
      <c r="D10065">
        <f t="shared" si="333"/>
        <v>-0.94311149283053408</v>
      </c>
    </row>
    <row r="10066" spans="1:4">
      <c r="A10066" s="1">
        <v>32889</v>
      </c>
      <c r="B10066">
        <v>340.75</v>
      </c>
      <c r="C10066">
        <f t="shared" si="334"/>
        <v>1.112759643916914E-2</v>
      </c>
      <c r="D10066">
        <f t="shared" si="333"/>
        <v>1.1421669045869833</v>
      </c>
    </row>
    <row r="10067" spans="1:4">
      <c r="A10067" s="1">
        <v>32890</v>
      </c>
      <c r="B10067">
        <v>337.4</v>
      </c>
      <c r="C10067">
        <f t="shared" si="334"/>
        <v>-9.8312545854732872E-3</v>
      </c>
      <c r="D10067">
        <f t="shared" si="333"/>
        <v>-1.0710806393556438</v>
      </c>
    </row>
    <row r="10068" spans="1:4">
      <c r="A10068" s="1">
        <v>32891</v>
      </c>
      <c r="B10068">
        <v>338.19</v>
      </c>
      <c r="C10068">
        <f t="shared" si="334"/>
        <v>2.3414344991109083E-3</v>
      </c>
      <c r="D10068">
        <f t="shared" si="333"/>
        <v>0.21435119027838706</v>
      </c>
    </row>
    <row r="10069" spans="1:4">
      <c r="A10069" s="1">
        <v>32892</v>
      </c>
      <c r="B10069">
        <v>339.15</v>
      </c>
      <c r="C10069">
        <f t="shared" si="334"/>
        <v>2.838641000620892E-3</v>
      </c>
      <c r="D10069">
        <f t="shared" si="333"/>
        <v>0.26685602782913975</v>
      </c>
    </row>
    <row r="10070" spans="1:4">
      <c r="A10070" s="1">
        <v>32895</v>
      </c>
      <c r="B10070">
        <v>330.38</v>
      </c>
      <c r="C10070">
        <f t="shared" si="334"/>
        <v>-2.585876455845491E-2</v>
      </c>
      <c r="D10070">
        <f t="shared" si="333"/>
        <v>-2.7635802444871582</v>
      </c>
    </row>
    <row r="10071" spans="1:4">
      <c r="A10071" s="1">
        <v>32896</v>
      </c>
      <c r="B10071">
        <v>331.61</v>
      </c>
      <c r="C10071">
        <f t="shared" si="334"/>
        <v>3.7229856528846121E-3</v>
      </c>
      <c r="D10071">
        <f t="shared" si="333"/>
        <v>0.36024252250483574</v>
      </c>
    </row>
    <row r="10072" spans="1:4">
      <c r="A10072" s="1">
        <v>32897</v>
      </c>
      <c r="B10072">
        <v>330.26</v>
      </c>
      <c r="C10072">
        <f t="shared" si="334"/>
        <v>-4.0710473146166361E-3</v>
      </c>
      <c r="D10072">
        <f t="shared" si="333"/>
        <v>-0.46280470954276659</v>
      </c>
    </row>
    <row r="10073" spans="1:4">
      <c r="A10073" s="1">
        <v>32898</v>
      </c>
      <c r="B10073">
        <v>326.08</v>
      </c>
      <c r="C10073">
        <f t="shared" si="334"/>
        <v>-1.2656694725367913E-2</v>
      </c>
      <c r="D10073">
        <f t="shared" si="333"/>
        <v>-1.3694461577147485</v>
      </c>
    </row>
    <row r="10074" spans="1:4">
      <c r="A10074" s="1">
        <v>32899</v>
      </c>
      <c r="B10074">
        <v>325.8</v>
      </c>
      <c r="C10074">
        <f t="shared" si="334"/>
        <v>-8.5868498527960234E-4</v>
      </c>
      <c r="D10074">
        <f t="shared" si="333"/>
        <v>-0.12358033949978593</v>
      </c>
    </row>
    <row r="10075" spans="1:4">
      <c r="A10075" s="1">
        <v>32902</v>
      </c>
      <c r="B10075">
        <v>325.2</v>
      </c>
      <c r="C10075">
        <f t="shared" si="334"/>
        <v>-1.8416206261510826E-3</v>
      </c>
      <c r="D10075">
        <f t="shared" si="333"/>
        <v>-0.22737800905975605</v>
      </c>
    </row>
    <row r="10076" spans="1:4">
      <c r="A10076" s="1">
        <v>32903</v>
      </c>
      <c r="B10076">
        <v>322.98</v>
      </c>
      <c r="C10076">
        <f t="shared" si="334"/>
        <v>-6.8265682656825661E-3</v>
      </c>
      <c r="D10076">
        <f t="shared" si="333"/>
        <v>-0.75378678532824817</v>
      </c>
    </row>
    <row r="10077" spans="1:4">
      <c r="A10077" s="1">
        <v>32904</v>
      </c>
      <c r="B10077">
        <v>329.08</v>
      </c>
      <c r="C10077">
        <f t="shared" si="334"/>
        <v>1.8886618366462212E-2</v>
      </c>
      <c r="D10077">
        <f t="shared" si="333"/>
        <v>1.961516982689433</v>
      </c>
    </row>
    <row r="10078" spans="1:4">
      <c r="A10078" s="1">
        <v>32905</v>
      </c>
      <c r="B10078">
        <v>328.79</v>
      </c>
      <c r="C10078">
        <f t="shared" si="334"/>
        <v>-8.8124468214404892E-4</v>
      </c>
      <c r="D10078">
        <f t="shared" si="333"/>
        <v>-0.12596263582025793</v>
      </c>
    </row>
    <row r="10079" spans="1:4">
      <c r="A10079" s="1">
        <v>32906</v>
      </c>
      <c r="B10079">
        <v>330.92</v>
      </c>
      <c r="C10079">
        <f t="shared" si="334"/>
        <v>6.4782992183460425E-3</v>
      </c>
      <c r="D10079">
        <f t="shared" si="333"/>
        <v>0.65120269844097589</v>
      </c>
    </row>
    <row r="10080" spans="1:4">
      <c r="A10080" s="1">
        <v>32909</v>
      </c>
      <c r="B10080">
        <v>331.85</v>
      </c>
      <c r="C10080">
        <f t="shared" si="334"/>
        <v>2.8103469116402963E-3</v>
      </c>
      <c r="D10080">
        <f t="shared" si="333"/>
        <v>0.26386818165041698</v>
      </c>
    </row>
    <row r="10081" spans="1:4">
      <c r="A10081" s="1">
        <v>32910</v>
      </c>
      <c r="B10081">
        <v>329.66</v>
      </c>
      <c r="C10081">
        <f t="shared" si="334"/>
        <v>-6.5993671839686529E-3</v>
      </c>
      <c r="D10081">
        <f t="shared" si="333"/>
        <v>-0.72979442832865904</v>
      </c>
    </row>
    <row r="10082" spans="1:4">
      <c r="A10082" s="1">
        <v>32911</v>
      </c>
      <c r="B10082">
        <v>333.75</v>
      </c>
      <c r="C10082">
        <f t="shared" si="334"/>
        <v>1.2406722077291679E-2</v>
      </c>
      <c r="D10082">
        <f t="shared" si="333"/>
        <v>1.2772421371767935</v>
      </c>
    </row>
    <row r="10083" spans="1:4">
      <c r="A10083" s="1">
        <v>32912</v>
      </c>
      <c r="B10083">
        <v>332.96</v>
      </c>
      <c r="C10083">
        <f t="shared" si="334"/>
        <v>-2.3670411985019339E-3</v>
      </c>
      <c r="D10083">
        <f t="shared" si="333"/>
        <v>-0.28286224290087569</v>
      </c>
    </row>
    <row r="10084" spans="1:4">
      <c r="A10084" s="1">
        <v>32913</v>
      </c>
      <c r="B10084">
        <v>333.62</v>
      </c>
      <c r="C10084">
        <f t="shared" si="334"/>
        <v>1.9822200864969518E-3</v>
      </c>
      <c r="D10084">
        <f t="shared" si="333"/>
        <v>0.17641827040926478</v>
      </c>
    </row>
    <row r="10085" spans="1:4">
      <c r="A10085" s="1">
        <v>32916</v>
      </c>
      <c r="B10085">
        <v>330.08</v>
      </c>
      <c r="C10085">
        <f t="shared" si="334"/>
        <v>-1.0610874647802951E-2</v>
      </c>
      <c r="D10085">
        <f t="shared" si="333"/>
        <v>-1.153408252931921</v>
      </c>
    </row>
    <row r="10086" spans="1:4">
      <c r="A10086" s="1">
        <v>32917</v>
      </c>
      <c r="B10086">
        <v>331.02</v>
      </c>
      <c r="C10086">
        <f t="shared" si="334"/>
        <v>2.8477944740668863E-3</v>
      </c>
      <c r="D10086">
        <f t="shared" si="333"/>
        <v>0.26782263151361996</v>
      </c>
    </row>
    <row r="10087" spans="1:4">
      <c r="A10087" s="1">
        <v>32918</v>
      </c>
      <c r="B10087">
        <v>332.01</v>
      </c>
      <c r="C10087">
        <f t="shared" si="334"/>
        <v>2.9907558455682711E-3</v>
      </c>
      <c r="D10087">
        <f t="shared" si="333"/>
        <v>0.28291930374923491</v>
      </c>
    </row>
    <row r="10088" spans="1:4">
      <c r="A10088" s="1">
        <v>32919</v>
      </c>
      <c r="B10088">
        <v>334.89</v>
      </c>
      <c r="C10088">
        <f t="shared" si="334"/>
        <v>8.6744375169422478E-3</v>
      </c>
      <c r="D10088">
        <f t="shared" si="333"/>
        <v>0.88311415626905687</v>
      </c>
    </row>
    <row r="10089" spans="1:4">
      <c r="A10089" s="1">
        <v>32920</v>
      </c>
      <c r="B10089">
        <v>332.72</v>
      </c>
      <c r="C10089">
        <f t="shared" si="334"/>
        <v>-6.4797396159931896E-3</v>
      </c>
      <c r="D10089">
        <f t="shared" si="333"/>
        <v>-0.71716179781383615</v>
      </c>
    </row>
    <row r="10090" spans="1:4">
      <c r="A10090" s="1">
        <v>32924</v>
      </c>
      <c r="B10090">
        <v>327.99</v>
      </c>
      <c r="C10090">
        <f t="shared" si="334"/>
        <v>-1.4216157730223665E-2</v>
      </c>
      <c r="D10090">
        <f t="shared" si="333"/>
        <v>-1.534124920940285</v>
      </c>
    </row>
    <row r="10091" spans="1:4">
      <c r="A10091" s="1">
        <v>32925</v>
      </c>
      <c r="B10091">
        <v>327.67</v>
      </c>
      <c r="C10091">
        <f t="shared" si="334"/>
        <v>-9.7563950120428417E-4</v>
      </c>
      <c r="D10091">
        <f t="shared" si="333"/>
        <v>-0.13593069662666077</v>
      </c>
    </row>
    <row r="10092" spans="1:4">
      <c r="A10092" s="1">
        <v>32926</v>
      </c>
      <c r="B10092">
        <v>325.7</v>
      </c>
      <c r="C10092">
        <f t="shared" si="334"/>
        <v>-6.0121463667715301E-3</v>
      </c>
      <c r="D10092">
        <f t="shared" si="333"/>
        <v>-0.66778410963869694</v>
      </c>
    </row>
    <row r="10093" spans="1:4">
      <c r="A10093" s="1">
        <v>32927</v>
      </c>
      <c r="B10093">
        <v>324.14999999999998</v>
      </c>
      <c r="C10093">
        <f t="shared" si="334"/>
        <v>-4.7589806570463968E-3</v>
      </c>
      <c r="D10093">
        <f t="shared" si="333"/>
        <v>-0.53545023666344449</v>
      </c>
    </row>
    <row r="10094" spans="1:4">
      <c r="A10094" s="1">
        <v>32930</v>
      </c>
      <c r="B10094">
        <v>328.67</v>
      </c>
      <c r="C10094">
        <f t="shared" si="334"/>
        <v>1.3944161653555573E-2</v>
      </c>
      <c r="D10094">
        <f t="shared" si="333"/>
        <v>1.4395952338291569</v>
      </c>
    </row>
    <row r="10095" spans="1:4">
      <c r="A10095" s="1">
        <v>32931</v>
      </c>
      <c r="B10095">
        <v>330.26</v>
      </c>
      <c r="C10095">
        <f t="shared" si="334"/>
        <v>4.8376791310432198E-3</v>
      </c>
      <c r="D10095">
        <f t="shared" si="333"/>
        <v>0.47795377489566149</v>
      </c>
    </row>
    <row r="10096" spans="1:4">
      <c r="A10096" s="1">
        <v>32932</v>
      </c>
      <c r="B10096">
        <v>331.89</v>
      </c>
      <c r="C10096">
        <f t="shared" si="334"/>
        <v>4.9355053594137815E-3</v>
      </c>
      <c r="D10096">
        <f t="shared" si="333"/>
        <v>0.48828419135884216</v>
      </c>
    </row>
    <row r="10097" spans="1:4">
      <c r="A10097" s="1">
        <v>32933</v>
      </c>
      <c r="B10097">
        <v>332.74</v>
      </c>
      <c r="C10097">
        <f t="shared" si="334"/>
        <v>2.5610895176113252E-3</v>
      </c>
      <c r="D10097">
        <f t="shared" si="333"/>
        <v>0.23754668556766254</v>
      </c>
    </row>
    <row r="10098" spans="1:4">
      <c r="A10098" s="1">
        <v>32934</v>
      </c>
      <c r="B10098">
        <v>335.54</v>
      </c>
      <c r="C10098">
        <f t="shared" si="334"/>
        <v>8.4149786620184262E-3</v>
      </c>
      <c r="D10098">
        <f t="shared" si="333"/>
        <v>0.85571538938345126</v>
      </c>
    </row>
    <row r="10099" spans="1:4">
      <c r="A10099" s="1">
        <v>32937</v>
      </c>
      <c r="B10099">
        <v>333.74</v>
      </c>
      <c r="C10099">
        <f t="shared" si="334"/>
        <v>-5.3644870954282983E-3</v>
      </c>
      <c r="D10099">
        <f t="shared" si="333"/>
        <v>-0.59939151073493457</v>
      </c>
    </row>
    <row r="10100" spans="1:4">
      <c r="A10100" s="1">
        <v>32938</v>
      </c>
      <c r="B10100">
        <v>337.93</v>
      </c>
      <c r="C10100">
        <f t="shared" si="334"/>
        <v>1.2554683286390596E-2</v>
      </c>
      <c r="D10100">
        <f t="shared" si="333"/>
        <v>1.2928667905631803</v>
      </c>
    </row>
    <row r="10101" spans="1:4">
      <c r="A10101" s="1">
        <v>32939</v>
      </c>
      <c r="B10101">
        <v>336.95</v>
      </c>
      <c r="C10101">
        <f t="shared" si="334"/>
        <v>-2.9000088775782504E-3</v>
      </c>
      <c r="D10101">
        <f t="shared" si="333"/>
        <v>-0.33914344864681828</v>
      </c>
    </row>
    <row r="10102" spans="1:4">
      <c r="A10102" s="1">
        <v>32940</v>
      </c>
      <c r="B10102">
        <v>340.27</v>
      </c>
      <c r="C10102">
        <f t="shared" si="334"/>
        <v>9.8530939308502548E-3</v>
      </c>
      <c r="D10102">
        <f t="shared" si="333"/>
        <v>1.007579872932961</v>
      </c>
    </row>
    <row r="10103" spans="1:4">
      <c r="A10103" s="1">
        <v>32941</v>
      </c>
      <c r="B10103">
        <v>337.93</v>
      </c>
      <c r="C10103">
        <f t="shared" si="334"/>
        <v>-6.8768918799775921E-3</v>
      </c>
      <c r="D10103">
        <f t="shared" si="333"/>
        <v>-0.7591009418919753</v>
      </c>
    </row>
    <row r="10104" spans="1:4">
      <c r="A10104" s="1">
        <v>32944</v>
      </c>
      <c r="B10104">
        <v>338.67</v>
      </c>
      <c r="C10104">
        <f t="shared" si="334"/>
        <v>2.1898026218447877E-3</v>
      </c>
      <c r="D10104">
        <f t="shared" si="333"/>
        <v>0.19833891558126412</v>
      </c>
    </row>
    <row r="10105" spans="1:4">
      <c r="A10105" s="1">
        <v>32945</v>
      </c>
      <c r="B10105">
        <v>336</v>
      </c>
      <c r="C10105">
        <f t="shared" si="334"/>
        <v>-7.8837806714501316E-3</v>
      </c>
      <c r="D10105">
        <f t="shared" si="333"/>
        <v>-0.86542805601334571</v>
      </c>
    </row>
    <row r="10106" spans="1:4">
      <c r="A10106" s="1">
        <v>32946</v>
      </c>
      <c r="B10106">
        <v>336.87</v>
      </c>
      <c r="C10106">
        <f t="shared" si="334"/>
        <v>2.589285714285728E-3</v>
      </c>
      <c r="D10106">
        <f t="shared" si="333"/>
        <v>0.24052419435212655</v>
      </c>
    </row>
    <row r="10107" spans="1:4">
      <c r="A10107" s="1">
        <v>32947</v>
      </c>
      <c r="B10107">
        <v>338.07</v>
      </c>
      <c r="C10107">
        <f t="shared" si="334"/>
        <v>3.562205004897998E-3</v>
      </c>
      <c r="D10107">
        <f t="shared" si="333"/>
        <v>0.34326414072944694</v>
      </c>
    </row>
    <row r="10108" spans="1:4">
      <c r="A10108" s="1">
        <v>32948</v>
      </c>
      <c r="B10108">
        <v>341.91</v>
      </c>
      <c r="C10108">
        <f t="shared" si="334"/>
        <v>1.1358594373946318E-2</v>
      </c>
      <c r="D10108">
        <f t="shared" si="333"/>
        <v>1.1665602079794404</v>
      </c>
    </row>
    <row r="10109" spans="1:4">
      <c r="A10109" s="1">
        <v>32951</v>
      </c>
      <c r="B10109">
        <v>343.53</v>
      </c>
      <c r="C10109">
        <f t="shared" si="334"/>
        <v>4.738088970781631E-3</v>
      </c>
      <c r="D10109">
        <f t="shared" si="333"/>
        <v>0.46743708782437798</v>
      </c>
    </row>
    <row r="10110" spans="1:4">
      <c r="A10110" s="1">
        <v>32952</v>
      </c>
      <c r="B10110">
        <v>341.57</v>
      </c>
      <c r="C10110">
        <f t="shared" si="334"/>
        <v>-5.705469682414868E-3</v>
      </c>
      <c r="D10110">
        <f t="shared" si="333"/>
        <v>-0.63539915601510344</v>
      </c>
    </row>
    <row r="10111" spans="1:4">
      <c r="A10111" s="1">
        <v>32953</v>
      </c>
      <c r="B10111">
        <v>339.74</v>
      </c>
      <c r="C10111">
        <f t="shared" si="334"/>
        <v>-5.357613373539784E-3</v>
      </c>
      <c r="D10111">
        <f t="shared" si="333"/>
        <v>-0.59866564803999911</v>
      </c>
    </row>
    <row r="10112" spans="1:4">
      <c r="A10112" s="1">
        <v>32954</v>
      </c>
      <c r="B10112">
        <v>335.69</v>
      </c>
      <c r="C10112">
        <f t="shared" si="334"/>
        <v>-1.1920880673456206E-2</v>
      </c>
      <c r="D10112">
        <f t="shared" si="333"/>
        <v>-1.2917444439482209</v>
      </c>
    </row>
    <row r="10113" spans="1:4">
      <c r="A10113" s="1">
        <v>32955</v>
      </c>
      <c r="B10113">
        <v>337.22</v>
      </c>
      <c r="C10113">
        <f t="shared" si="334"/>
        <v>4.5577765200036629E-3</v>
      </c>
      <c r="D10113">
        <f t="shared" si="333"/>
        <v>0.44839615431340457</v>
      </c>
    </row>
    <row r="10114" spans="1:4">
      <c r="A10114" s="1">
        <v>32958</v>
      </c>
      <c r="B10114">
        <v>337.63</v>
      </c>
      <c r="C10114">
        <f t="shared" si="334"/>
        <v>1.215823498013072E-3</v>
      </c>
      <c r="D10114">
        <f t="shared" si="333"/>
        <v>9.5487051176225066E-2</v>
      </c>
    </row>
    <row r="10115" spans="1:4">
      <c r="A10115" s="1">
        <v>32959</v>
      </c>
      <c r="B10115">
        <v>341.5</v>
      </c>
      <c r="C10115">
        <f t="shared" si="334"/>
        <v>1.1462251577170289E-2</v>
      </c>
      <c r="D10115">
        <f t="shared" ref="D10115:D10178" si="335">(C10115-avg)/sd</f>
        <v>1.1775063734050961</v>
      </c>
    </row>
    <row r="10116" spans="1:4">
      <c r="A10116" s="1">
        <v>32960</v>
      </c>
      <c r="B10116">
        <v>342</v>
      </c>
      <c r="C10116">
        <f t="shared" ref="C10116:C10179" si="336">(B10116-B10115)/B10115</f>
        <v>1.4641288433382138E-3</v>
      </c>
      <c r="D10116">
        <f t="shared" si="335"/>
        <v>0.12170801123947224</v>
      </c>
    </row>
    <row r="10117" spans="1:4">
      <c r="A10117" s="1">
        <v>32961</v>
      </c>
      <c r="B10117">
        <v>340.79</v>
      </c>
      <c r="C10117">
        <f t="shared" si="336"/>
        <v>-3.5380116959063731E-3</v>
      </c>
      <c r="D10117">
        <f t="shared" si="335"/>
        <v>-0.40651632939457305</v>
      </c>
    </row>
    <row r="10118" spans="1:4">
      <c r="A10118" s="1">
        <v>32962</v>
      </c>
      <c r="B10118">
        <v>339.94</v>
      </c>
      <c r="C10118">
        <f t="shared" si="336"/>
        <v>-2.4942046421550595E-3</v>
      </c>
      <c r="D10118">
        <f t="shared" si="335"/>
        <v>-0.2962906593256911</v>
      </c>
    </row>
    <row r="10119" spans="1:4">
      <c r="A10119" s="1">
        <v>32965</v>
      </c>
      <c r="B10119">
        <v>338.7</v>
      </c>
      <c r="C10119">
        <f t="shared" si="336"/>
        <v>-3.6477025357416282E-3</v>
      </c>
      <c r="D10119">
        <f t="shared" si="335"/>
        <v>-0.41809964479544792</v>
      </c>
    </row>
    <row r="10120" spans="1:4">
      <c r="A10120" s="1">
        <v>32966</v>
      </c>
      <c r="B10120">
        <v>343.64</v>
      </c>
      <c r="C10120">
        <f t="shared" si="336"/>
        <v>1.458517862415116E-2</v>
      </c>
      <c r="D10120">
        <f t="shared" si="335"/>
        <v>1.5072864080317956</v>
      </c>
    </row>
    <row r="10121" spans="1:4">
      <c r="A10121" s="1">
        <v>32967</v>
      </c>
      <c r="B10121">
        <v>341.09</v>
      </c>
      <c r="C10121">
        <f t="shared" si="336"/>
        <v>-7.4205563962286445E-3</v>
      </c>
      <c r="D10121">
        <f t="shared" si="335"/>
        <v>-0.81651173000753841</v>
      </c>
    </row>
    <row r="10122" spans="1:4">
      <c r="A10122" s="1">
        <v>32968</v>
      </c>
      <c r="B10122">
        <v>340.73</v>
      </c>
      <c r="C10122">
        <f t="shared" si="336"/>
        <v>-1.0554399132192583E-3</v>
      </c>
      <c r="D10122">
        <f t="shared" si="335"/>
        <v>-0.14435759300996404</v>
      </c>
    </row>
    <row r="10123" spans="1:4">
      <c r="A10123" s="1">
        <v>32969</v>
      </c>
      <c r="B10123">
        <v>340.08</v>
      </c>
      <c r="C10123">
        <f t="shared" si="336"/>
        <v>-1.9076688286914392E-3</v>
      </c>
      <c r="D10123">
        <f t="shared" si="335"/>
        <v>-0.23435267679714283</v>
      </c>
    </row>
    <row r="10124" spans="1:4">
      <c r="A10124" s="1">
        <v>32972</v>
      </c>
      <c r="B10124">
        <v>341.37</v>
      </c>
      <c r="C10124">
        <f t="shared" si="336"/>
        <v>3.7932251235004134E-3</v>
      </c>
      <c r="D10124">
        <f t="shared" si="335"/>
        <v>0.36765978672630822</v>
      </c>
    </row>
    <row r="10125" spans="1:4">
      <c r="A10125" s="1">
        <v>32973</v>
      </c>
      <c r="B10125">
        <v>342.07</v>
      </c>
      <c r="C10125">
        <f t="shared" si="336"/>
        <v>2.0505609748952417E-3</v>
      </c>
      <c r="D10125">
        <f t="shared" si="335"/>
        <v>0.18363504499392752</v>
      </c>
    </row>
    <row r="10126" spans="1:4">
      <c r="A10126" s="1">
        <v>32974</v>
      </c>
      <c r="B10126">
        <v>341.92</v>
      </c>
      <c r="C10126">
        <f t="shared" si="336"/>
        <v>-4.3850673838681341E-4</v>
      </c>
      <c r="D10126">
        <f t="shared" si="335"/>
        <v>-7.9209659453433071E-2</v>
      </c>
    </row>
    <row r="10127" spans="1:4">
      <c r="A10127" s="1">
        <v>32975</v>
      </c>
      <c r="B10127">
        <v>344.34</v>
      </c>
      <c r="C10127">
        <f t="shared" si="336"/>
        <v>7.0776789892371284E-3</v>
      </c>
      <c r="D10127">
        <f t="shared" si="335"/>
        <v>0.71449699850799131</v>
      </c>
    </row>
    <row r="10128" spans="1:4">
      <c r="A10128" s="1">
        <v>32979</v>
      </c>
      <c r="B10128">
        <v>344.74</v>
      </c>
      <c r="C10128">
        <f t="shared" si="336"/>
        <v>1.1616425625835922E-3</v>
      </c>
      <c r="D10128">
        <f t="shared" si="335"/>
        <v>8.9765562811866789E-2</v>
      </c>
    </row>
    <row r="10129" spans="1:4">
      <c r="A10129" s="1">
        <v>32980</v>
      </c>
      <c r="B10129">
        <v>344.68</v>
      </c>
      <c r="C10129">
        <f t="shared" si="336"/>
        <v>-1.7404420722864265E-4</v>
      </c>
      <c r="D10129">
        <f t="shared" si="335"/>
        <v>-5.1282506058312367E-2</v>
      </c>
    </row>
    <row r="10130" spans="1:4">
      <c r="A10130" s="1">
        <v>32981</v>
      </c>
      <c r="B10130">
        <v>340.72</v>
      </c>
      <c r="C10130">
        <f t="shared" si="336"/>
        <v>-1.1488917256585759E-2</v>
      </c>
      <c r="D10130">
        <f t="shared" si="335"/>
        <v>-1.2461292539582014</v>
      </c>
    </row>
    <row r="10131" spans="1:4">
      <c r="A10131" s="1">
        <v>32982</v>
      </c>
      <c r="B10131">
        <v>338.09</v>
      </c>
      <c r="C10131">
        <f t="shared" si="336"/>
        <v>-7.7189481098851025E-3</v>
      </c>
      <c r="D10131">
        <f t="shared" si="335"/>
        <v>-0.84802179354138862</v>
      </c>
    </row>
    <row r="10132" spans="1:4">
      <c r="A10132" s="1">
        <v>32983</v>
      </c>
      <c r="B10132">
        <v>335.12</v>
      </c>
      <c r="C10132">
        <f t="shared" si="336"/>
        <v>-8.7846431423584566E-3</v>
      </c>
      <c r="D10132">
        <f t="shared" si="335"/>
        <v>-0.96055882672323256</v>
      </c>
    </row>
    <row r="10133" spans="1:4">
      <c r="A10133" s="1">
        <v>32986</v>
      </c>
      <c r="B10133">
        <v>331.05</v>
      </c>
      <c r="C10133">
        <f t="shared" si="336"/>
        <v>-1.2144903318214351E-2</v>
      </c>
      <c r="D10133">
        <f t="shared" si="335"/>
        <v>-1.3154011590856842</v>
      </c>
    </row>
    <row r="10134" spans="1:4">
      <c r="A10134" s="1">
        <v>32987</v>
      </c>
      <c r="B10134">
        <v>330.36</v>
      </c>
      <c r="C10134">
        <f t="shared" si="336"/>
        <v>-2.0842772995015788E-3</v>
      </c>
      <c r="D10134">
        <f t="shared" si="335"/>
        <v>-0.25300247128255754</v>
      </c>
    </row>
    <row r="10135" spans="1:4">
      <c r="A10135" s="1">
        <v>32988</v>
      </c>
      <c r="B10135">
        <v>332.03</v>
      </c>
      <c r="C10135">
        <f t="shared" si="336"/>
        <v>5.0550914154254721E-3</v>
      </c>
      <c r="D10135">
        <f t="shared" si="335"/>
        <v>0.50091243822440112</v>
      </c>
    </row>
    <row r="10136" spans="1:4">
      <c r="A10136" s="1">
        <v>32989</v>
      </c>
      <c r="B10136">
        <v>332.92</v>
      </c>
      <c r="C10136">
        <f t="shared" si="336"/>
        <v>2.6804806794568058E-3</v>
      </c>
      <c r="D10136">
        <f t="shared" si="335"/>
        <v>0.25015435167551753</v>
      </c>
    </row>
    <row r="10137" spans="1:4">
      <c r="A10137" s="1">
        <v>32990</v>
      </c>
      <c r="B10137">
        <v>329.11</v>
      </c>
      <c r="C10137">
        <f t="shared" si="336"/>
        <v>-1.1444190796587775E-2</v>
      </c>
      <c r="D10137">
        <f t="shared" si="335"/>
        <v>-1.2414061549856767</v>
      </c>
    </row>
    <row r="10138" spans="1:4">
      <c r="A10138" s="1">
        <v>32993</v>
      </c>
      <c r="B10138">
        <v>330.8</v>
      </c>
      <c r="C10138">
        <f t="shared" si="336"/>
        <v>5.1350612257299918E-3</v>
      </c>
      <c r="D10138">
        <f t="shared" si="335"/>
        <v>0.50935722300949915</v>
      </c>
    </row>
    <row r="10139" spans="1:4">
      <c r="A10139" s="1">
        <v>32994</v>
      </c>
      <c r="B10139">
        <v>332.25</v>
      </c>
      <c r="C10139">
        <f t="shared" si="336"/>
        <v>4.3833131801692517E-3</v>
      </c>
      <c r="D10139">
        <f t="shared" si="335"/>
        <v>0.42997288492986135</v>
      </c>
    </row>
    <row r="10140" spans="1:4">
      <c r="A10140" s="1">
        <v>32995</v>
      </c>
      <c r="B10140">
        <v>334.48</v>
      </c>
      <c r="C10140">
        <f t="shared" si="336"/>
        <v>6.7118133935290241E-3</v>
      </c>
      <c r="D10140">
        <f t="shared" si="335"/>
        <v>0.67586171596497402</v>
      </c>
    </row>
    <row r="10141" spans="1:4">
      <c r="A10141" s="1">
        <v>32996</v>
      </c>
      <c r="B10141">
        <v>335.57</v>
      </c>
      <c r="C10141">
        <f t="shared" si="336"/>
        <v>3.2587897632144671E-3</v>
      </c>
      <c r="D10141">
        <f t="shared" si="335"/>
        <v>0.31122359434351787</v>
      </c>
    </row>
    <row r="10142" spans="1:4">
      <c r="A10142" s="1">
        <v>32997</v>
      </c>
      <c r="B10142">
        <v>338.39</v>
      </c>
      <c r="C10142">
        <f t="shared" si="336"/>
        <v>8.4036117650564505E-3</v>
      </c>
      <c r="D10142">
        <f t="shared" si="335"/>
        <v>0.85451504892806263</v>
      </c>
    </row>
    <row r="10143" spans="1:4">
      <c r="A10143" s="1">
        <v>33000</v>
      </c>
      <c r="B10143">
        <v>340.53</v>
      </c>
      <c r="C10143">
        <f t="shared" si="336"/>
        <v>6.3240639498802756E-3</v>
      </c>
      <c r="D10143">
        <f t="shared" si="335"/>
        <v>0.63491550651810602</v>
      </c>
    </row>
    <row r="10144" spans="1:4">
      <c r="A10144" s="1">
        <v>33001</v>
      </c>
      <c r="B10144">
        <v>342.01</v>
      </c>
      <c r="C10144">
        <f t="shared" si="336"/>
        <v>4.3461662702258784E-3</v>
      </c>
      <c r="D10144">
        <f t="shared" si="335"/>
        <v>0.4260501838666893</v>
      </c>
    </row>
    <row r="10145" spans="1:4">
      <c r="A10145" s="1">
        <v>33002</v>
      </c>
      <c r="B10145">
        <v>342.86</v>
      </c>
      <c r="C10145">
        <f t="shared" si="336"/>
        <v>2.4853074471507348E-3</v>
      </c>
      <c r="D10145">
        <f t="shared" si="335"/>
        <v>0.22954412468660154</v>
      </c>
    </row>
    <row r="10146" spans="1:4">
      <c r="A10146" s="1">
        <v>33003</v>
      </c>
      <c r="B10146">
        <v>343.82</v>
      </c>
      <c r="C10146">
        <f t="shared" si="336"/>
        <v>2.7999766668610495E-3</v>
      </c>
      <c r="D10146">
        <f t="shared" si="335"/>
        <v>0.26277308732674604</v>
      </c>
    </row>
    <row r="10147" spans="1:4">
      <c r="A10147" s="1">
        <v>33004</v>
      </c>
      <c r="B10147">
        <v>352</v>
      </c>
      <c r="C10147">
        <f t="shared" si="336"/>
        <v>2.3791518817986176E-2</v>
      </c>
      <c r="D10147">
        <f t="shared" si="335"/>
        <v>2.4794728031136923</v>
      </c>
    </row>
    <row r="10148" spans="1:4">
      <c r="A10148" s="1">
        <v>33007</v>
      </c>
      <c r="B10148">
        <v>354.75</v>
      </c>
      <c r="C10148">
        <f t="shared" si="336"/>
        <v>7.8125E-3</v>
      </c>
      <c r="D10148">
        <f t="shared" si="335"/>
        <v>0.79209384746675293</v>
      </c>
    </row>
    <row r="10149" spans="1:4">
      <c r="A10149" s="1">
        <v>33008</v>
      </c>
      <c r="B10149">
        <v>354.28</v>
      </c>
      <c r="C10149">
        <f t="shared" si="336"/>
        <v>-1.3248766737139598E-3</v>
      </c>
      <c r="D10149">
        <f t="shared" si="335"/>
        <v>-0.17281002333219969</v>
      </c>
    </row>
    <row r="10150" spans="1:4">
      <c r="A10150" s="1">
        <v>33009</v>
      </c>
      <c r="B10150">
        <v>354</v>
      </c>
      <c r="C10150">
        <f t="shared" si="336"/>
        <v>-7.9033532798908411E-4</v>
      </c>
      <c r="D10150">
        <f t="shared" si="335"/>
        <v>-0.11636263892308456</v>
      </c>
    </row>
    <row r="10151" spans="1:4">
      <c r="A10151" s="1">
        <v>33010</v>
      </c>
      <c r="B10151">
        <v>354.47</v>
      </c>
      <c r="C10151">
        <f t="shared" si="336"/>
        <v>1.327683615819286E-3</v>
      </c>
      <c r="D10151">
        <f t="shared" si="335"/>
        <v>0.10729944159345978</v>
      </c>
    </row>
    <row r="10152" spans="1:4">
      <c r="A10152" s="1">
        <v>33011</v>
      </c>
      <c r="B10152">
        <v>354.64</v>
      </c>
      <c r="C10152">
        <f t="shared" si="336"/>
        <v>4.795892459163231E-4</v>
      </c>
      <c r="D10152">
        <f t="shared" si="335"/>
        <v>1.7740964412990085E-2</v>
      </c>
    </row>
    <row r="10153" spans="1:4">
      <c r="A10153" s="1">
        <v>33014</v>
      </c>
      <c r="B10153">
        <v>358</v>
      </c>
      <c r="C10153">
        <f t="shared" si="336"/>
        <v>9.4743965711708029E-3</v>
      </c>
      <c r="D10153">
        <f t="shared" si="335"/>
        <v>0.96758956047629785</v>
      </c>
    </row>
    <row r="10154" spans="1:4">
      <c r="A10154" s="1">
        <v>33015</v>
      </c>
      <c r="B10154">
        <v>358.43</v>
      </c>
      <c r="C10154">
        <f t="shared" si="336"/>
        <v>1.2011173184357732E-3</v>
      </c>
      <c r="D10154">
        <f t="shared" si="335"/>
        <v>9.3934083611735636E-2</v>
      </c>
    </row>
    <row r="10155" spans="1:4">
      <c r="A10155" s="1">
        <v>33016</v>
      </c>
      <c r="B10155">
        <v>359.29</v>
      </c>
      <c r="C10155">
        <f t="shared" si="336"/>
        <v>2.399352732751203E-3</v>
      </c>
      <c r="D10155">
        <f t="shared" si="335"/>
        <v>0.22046733606343802</v>
      </c>
    </row>
    <row r="10156" spans="1:4">
      <c r="A10156" s="1">
        <v>33017</v>
      </c>
      <c r="B10156">
        <v>358.41</v>
      </c>
      <c r="C10156">
        <f t="shared" si="336"/>
        <v>-2.4492749589467991E-3</v>
      </c>
      <c r="D10156">
        <f t="shared" si="335"/>
        <v>-0.29154610005124015</v>
      </c>
    </row>
    <row r="10157" spans="1:4">
      <c r="A10157" s="1">
        <v>33018</v>
      </c>
      <c r="B10157">
        <v>354.58</v>
      </c>
      <c r="C10157">
        <f t="shared" si="336"/>
        <v>-1.0686085767696328E-2</v>
      </c>
      <c r="D10157">
        <f t="shared" si="335"/>
        <v>-1.1613505216271598</v>
      </c>
    </row>
    <row r="10158" spans="1:4">
      <c r="A10158" s="1">
        <v>33022</v>
      </c>
      <c r="B10158">
        <v>360.65</v>
      </c>
      <c r="C10158">
        <f t="shared" si="336"/>
        <v>1.7118844830503677E-2</v>
      </c>
      <c r="D10158">
        <f t="shared" si="335"/>
        <v>1.7748406981876326</v>
      </c>
    </row>
    <row r="10159" spans="1:4">
      <c r="A10159" s="1">
        <v>33023</v>
      </c>
      <c r="B10159">
        <v>360.86</v>
      </c>
      <c r="C10159">
        <f t="shared" si="336"/>
        <v>5.8228199084995539E-4</v>
      </c>
      <c r="D10159">
        <f t="shared" si="335"/>
        <v>2.8585283371021612E-2</v>
      </c>
    </row>
    <row r="10160" spans="1:4">
      <c r="A10160" s="1">
        <v>33024</v>
      </c>
      <c r="B10160">
        <v>361.23</v>
      </c>
      <c r="C10160">
        <f t="shared" si="336"/>
        <v>1.0253283821980948E-3</v>
      </c>
      <c r="D10160">
        <f t="shared" si="335"/>
        <v>7.5370831698599511E-2</v>
      </c>
    </row>
    <row r="10161" spans="1:4">
      <c r="A10161" s="1">
        <v>33025</v>
      </c>
      <c r="B10161">
        <v>363.16</v>
      </c>
      <c r="C10161">
        <f t="shared" si="336"/>
        <v>5.3428563519087747E-3</v>
      </c>
      <c r="D10161">
        <f t="shared" si="335"/>
        <v>0.5313003177009834</v>
      </c>
    </row>
    <row r="10162" spans="1:4">
      <c r="A10162" s="1">
        <v>33028</v>
      </c>
      <c r="B10162">
        <v>367.4</v>
      </c>
      <c r="C10162">
        <f t="shared" si="336"/>
        <v>1.1675294635972992E-2</v>
      </c>
      <c r="D10162">
        <f t="shared" si="335"/>
        <v>1.2000036479978076</v>
      </c>
    </row>
    <row r="10163" spans="1:4">
      <c r="A10163" s="1">
        <v>33029</v>
      </c>
      <c r="B10163">
        <v>366.64</v>
      </c>
      <c r="C10163">
        <f t="shared" si="336"/>
        <v>-2.0685900925421635E-3</v>
      </c>
      <c r="D10163">
        <f t="shared" si="335"/>
        <v>-0.25134590755998398</v>
      </c>
    </row>
    <row r="10164" spans="1:4">
      <c r="A10164" s="1">
        <v>33030</v>
      </c>
      <c r="B10164">
        <v>364.96</v>
      </c>
      <c r="C10164">
        <f t="shared" si="336"/>
        <v>-4.5821514291948693E-3</v>
      </c>
      <c r="D10164">
        <f t="shared" si="335"/>
        <v>-0.51677713030949823</v>
      </c>
    </row>
    <row r="10165" spans="1:4">
      <c r="A10165" s="1">
        <v>33031</v>
      </c>
      <c r="B10165">
        <v>363.15</v>
      </c>
      <c r="C10165">
        <f t="shared" si="336"/>
        <v>-4.9594476106970689E-3</v>
      </c>
      <c r="D10165">
        <f t="shared" si="335"/>
        <v>-0.55661947882692708</v>
      </c>
    </row>
    <row r="10166" spans="1:4">
      <c r="A10166" s="1">
        <v>33032</v>
      </c>
      <c r="B10166">
        <v>358.71</v>
      </c>
      <c r="C10166">
        <f t="shared" si="336"/>
        <v>-1.2226352746798837E-2</v>
      </c>
      <c r="D10166">
        <f t="shared" si="335"/>
        <v>-1.3240021910582001</v>
      </c>
    </row>
    <row r="10167" spans="1:4">
      <c r="A10167" s="1">
        <v>33035</v>
      </c>
      <c r="B10167">
        <v>361.63</v>
      </c>
      <c r="C10167">
        <f t="shared" si="336"/>
        <v>8.1402804493881306E-3</v>
      </c>
      <c r="D10167">
        <f t="shared" si="335"/>
        <v>0.82670735150415131</v>
      </c>
    </row>
    <row r="10168" spans="1:4">
      <c r="A10168" s="1">
        <v>33036</v>
      </c>
      <c r="B10168">
        <v>366.25</v>
      </c>
      <c r="C10168">
        <f t="shared" si="336"/>
        <v>1.277548875922906E-2</v>
      </c>
      <c r="D10168">
        <f t="shared" si="335"/>
        <v>1.3161837734394952</v>
      </c>
    </row>
    <row r="10169" spans="1:4">
      <c r="A10169" s="1">
        <v>33037</v>
      </c>
      <c r="B10169">
        <v>364.9</v>
      </c>
      <c r="C10169">
        <f t="shared" si="336"/>
        <v>-3.6860068259386286E-3</v>
      </c>
      <c r="D10169">
        <f t="shared" si="335"/>
        <v>-0.4221445648199903</v>
      </c>
    </row>
    <row r="10170" spans="1:4">
      <c r="A10170" s="1">
        <v>33038</v>
      </c>
      <c r="B10170">
        <v>362.9</v>
      </c>
      <c r="C10170">
        <f t="shared" si="336"/>
        <v>-5.4809536859413543E-3</v>
      </c>
      <c r="D10170">
        <f t="shared" si="335"/>
        <v>-0.61169034310419568</v>
      </c>
    </row>
    <row r="10171" spans="1:4">
      <c r="A10171" s="1">
        <v>33039</v>
      </c>
      <c r="B10171">
        <v>362.91</v>
      </c>
      <c r="C10171">
        <f t="shared" si="336"/>
        <v>2.7555800496135984E-5</v>
      </c>
      <c r="D10171">
        <f t="shared" si="335"/>
        <v>-2.9993613769747931E-2</v>
      </c>
    </row>
    <row r="10172" spans="1:4">
      <c r="A10172" s="1">
        <v>33042</v>
      </c>
      <c r="B10172">
        <v>356.88</v>
      </c>
      <c r="C10172">
        <f t="shared" si="336"/>
        <v>-1.6615689840456391E-2</v>
      </c>
      <c r="D10172">
        <f t="shared" si="335"/>
        <v>-1.7875146961402668</v>
      </c>
    </row>
    <row r="10173" spans="1:4">
      <c r="A10173" s="1">
        <v>33043</v>
      </c>
      <c r="B10173">
        <v>358.47</v>
      </c>
      <c r="C10173">
        <f t="shared" si="336"/>
        <v>4.4552790854069484E-3</v>
      </c>
      <c r="D10173">
        <f t="shared" si="335"/>
        <v>0.43757246006056238</v>
      </c>
    </row>
    <row r="10174" spans="1:4">
      <c r="A10174" s="1">
        <v>33044</v>
      </c>
      <c r="B10174">
        <v>359.1</v>
      </c>
      <c r="C10174">
        <f t="shared" si="336"/>
        <v>1.7574692442882121E-3</v>
      </c>
      <c r="D10174">
        <f t="shared" si="335"/>
        <v>0.15268465786854504</v>
      </c>
    </row>
    <row r="10175" spans="1:4">
      <c r="A10175" s="1">
        <v>33045</v>
      </c>
      <c r="B10175">
        <v>360.47</v>
      </c>
      <c r="C10175">
        <f t="shared" si="336"/>
        <v>3.8150932887775118E-3</v>
      </c>
      <c r="D10175">
        <f t="shared" si="335"/>
        <v>0.36996905754621928</v>
      </c>
    </row>
    <row r="10176" spans="1:4">
      <c r="A10176" s="1">
        <v>33046</v>
      </c>
      <c r="B10176">
        <v>355.43</v>
      </c>
      <c r="C10176">
        <f t="shared" si="336"/>
        <v>-1.3981746053763199E-2</v>
      </c>
      <c r="D10176">
        <f t="shared" si="335"/>
        <v>-1.5093711275864601</v>
      </c>
    </row>
    <row r="10177" spans="1:4">
      <c r="A10177" s="1">
        <v>33049</v>
      </c>
      <c r="B10177">
        <v>352.31</v>
      </c>
      <c r="C10177">
        <f t="shared" si="336"/>
        <v>-8.7780997664800506E-3</v>
      </c>
      <c r="D10177">
        <f t="shared" si="335"/>
        <v>-0.95986784845467443</v>
      </c>
    </row>
    <row r="10178" spans="1:4">
      <c r="A10178" s="1">
        <v>33050</v>
      </c>
      <c r="B10178">
        <v>352.06</v>
      </c>
      <c r="C10178">
        <f t="shared" si="336"/>
        <v>-7.096023388493089E-4</v>
      </c>
      <c r="D10178">
        <f t="shared" si="335"/>
        <v>-0.10783726271240067</v>
      </c>
    </row>
    <row r="10179" spans="1:4">
      <c r="A10179" s="1">
        <v>33051</v>
      </c>
      <c r="B10179">
        <v>355.14</v>
      </c>
      <c r="C10179">
        <f t="shared" si="336"/>
        <v>8.7485087769129805E-3</v>
      </c>
      <c r="D10179">
        <f t="shared" ref="D10179:D10242" si="337">(C10179-avg)/sd</f>
        <v>0.89093605614392168</v>
      </c>
    </row>
    <row r="10180" spans="1:4">
      <c r="A10180" s="1">
        <v>33052</v>
      </c>
      <c r="B10180">
        <v>357.63</v>
      </c>
      <c r="C10180">
        <f t="shared" ref="C10180:C10243" si="338">(B10180-B10179)/B10179</f>
        <v>7.0113194796418568E-3</v>
      </c>
      <c r="D10180">
        <f t="shared" si="337"/>
        <v>0.70748945685142395</v>
      </c>
    </row>
    <row r="10181" spans="1:4">
      <c r="A10181" s="1">
        <v>33053</v>
      </c>
      <c r="B10181">
        <v>358.02</v>
      </c>
      <c r="C10181">
        <f t="shared" si="338"/>
        <v>1.0905125408941822E-3</v>
      </c>
      <c r="D10181">
        <f t="shared" si="337"/>
        <v>8.2254256699734227E-2</v>
      </c>
    </row>
    <row r="10182" spans="1:4">
      <c r="A10182" s="1">
        <v>33056</v>
      </c>
      <c r="B10182">
        <v>359.54</v>
      </c>
      <c r="C10182">
        <f t="shared" si="338"/>
        <v>4.2455728730239617E-3</v>
      </c>
      <c r="D10182">
        <f t="shared" si="337"/>
        <v>0.415427555315524</v>
      </c>
    </row>
    <row r="10183" spans="1:4">
      <c r="A10183" s="1">
        <v>33057</v>
      </c>
      <c r="B10183">
        <v>360.16</v>
      </c>
      <c r="C10183">
        <f t="shared" si="338"/>
        <v>1.7244256550036283E-3</v>
      </c>
      <c r="D10183">
        <f t="shared" si="337"/>
        <v>0.14919526607215475</v>
      </c>
    </row>
    <row r="10184" spans="1:4">
      <c r="A10184" s="1">
        <v>33059</v>
      </c>
      <c r="B10184">
        <v>355.68</v>
      </c>
      <c r="C10184">
        <f t="shared" si="338"/>
        <v>-1.2438916037316798E-2</v>
      </c>
      <c r="D10184">
        <f t="shared" si="337"/>
        <v>-1.3464488022831236</v>
      </c>
    </row>
    <row r="10185" spans="1:4">
      <c r="A10185" s="1">
        <v>33060</v>
      </c>
      <c r="B10185">
        <v>358.42</v>
      </c>
      <c r="C10185">
        <f t="shared" si="338"/>
        <v>7.7035537561853601E-3</v>
      </c>
      <c r="D10185">
        <f t="shared" si="337"/>
        <v>0.7805891611525545</v>
      </c>
    </row>
    <row r="10186" spans="1:4">
      <c r="A10186" s="1">
        <v>33063</v>
      </c>
      <c r="B10186">
        <v>359.52</v>
      </c>
      <c r="C10186">
        <f t="shared" si="338"/>
        <v>3.069025166006266E-3</v>
      </c>
      <c r="D10186">
        <f t="shared" si="337"/>
        <v>0.29118451738245249</v>
      </c>
    </row>
    <row r="10187" spans="1:4">
      <c r="A10187" s="1">
        <v>33064</v>
      </c>
      <c r="B10187">
        <v>356.49</v>
      </c>
      <c r="C10187">
        <f t="shared" si="338"/>
        <v>-8.4279038718290296E-3</v>
      </c>
      <c r="D10187">
        <f t="shared" si="337"/>
        <v>-0.92288728101689499</v>
      </c>
    </row>
    <row r="10188" spans="1:4">
      <c r="A10188" s="1">
        <v>33065</v>
      </c>
      <c r="B10188">
        <v>361.23</v>
      </c>
      <c r="C10188">
        <f t="shared" si="338"/>
        <v>1.3296305646722233E-2</v>
      </c>
      <c r="D10188">
        <f t="shared" si="337"/>
        <v>1.3711818597245127</v>
      </c>
    </row>
    <row r="10189" spans="1:4">
      <c r="A10189" s="1">
        <v>33066</v>
      </c>
      <c r="B10189">
        <v>365.44</v>
      </c>
      <c r="C10189">
        <f t="shared" si="338"/>
        <v>1.1654624477479664E-2</v>
      </c>
      <c r="D10189">
        <f t="shared" si="337"/>
        <v>1.1978208862870403</v>
      </c>
    </row>
    <row r="10190" spans="1:4">
      <c r="A10190" s="1">
        <v>33067</v>
      </c>
      <c r="B10190">
        <v>367.31</v>
      </c>
      <c r="C10190">
        <f t="shared" si="338"/>
        <v>5.1171190893169998E-3</v>
      </c>
      <c r="D10190">
        <f t="shared" si="337"/>
        <v>0.50746253950311571</v>
      </c>
    </row>
    <row r="10191" spans="1:4">
      <c r="A10191" s="1">
        <v>33070</v>
      </c>
      <c r="B10191">
        <v>368.95</v>
      </c>
      <c r="C10191">
        <f t="shared" si="338"/>
        <v>4.4648934142821764E-3</v>
      </c>
      <c r="D10191">
        <f t="shared" si="337"/>
        <v>0.4385877299217173</v>
      </c>
    </row>
    <row r="10192" spans="1:4">
      <c r="A10192" s="1">
        <v>33071</v>
      </c>
      <c r="B10192">
        <v>367.52</v>
      </c>
      <c r="C10192">
        <f t="shared" si="338"/>
        <v>-3.8758639382030272E-3</v>
      </c>
      <c r="D10192">
        <f t="shared" si="337"/>
        <v>-0.44219341133954271</v>
      </c>
    </row>
    <row r="10193" spans="1:4">
      <c r="A10193" s="1">
        <v>33072</v>
      </c>
      <c r="B10193">
        <v>364.22</v>
      </c>
      <c r="C10193">
        <f t="shared" si="338"/>
        <v>-8.9791031780582144E-3</v>
      </c>
      <c r="D10193">
        <f t="shared" si="337"/>
        <v>-0.98109374039294928</v>
      </c>
    </row>
    <row r="10194" spans="1:4">
      <c r="A10194" s="1">
        <v>33073</v>
      </c>
      <c r="B10194">
        <v>365.32</v>
      </c>
      <c r="C10194">
        <f t="shared" si="338"/>
        <v>3.0201526549886492E-3</v>
      </c>
      <c r="D10194">
        <f t="shared" si="337"/>
        <v>0.28602359683156581</v>
      </c>
    </row>
    <row r="10195" spans="1:4">
      <c r="A10195" s="1">
        <v>33074</v>
      </c>
      <c r="B10195">
        <v>361.61</v>
      </c>
      <c r="C10195">
        <f t="shared" si="338"/>
        <v>-1.0155480127011878E-2</v>
      </c>
      <c r="D10195">
        <f t="shared" si="337"/>
        <v>-1.1053187463325025</v>
      </c>
    </row>
    <row r="10196" spans="1:4">
      <c r="A10196" s="1">
        <v>33077</v>
      </c>
      <c r="B10196">
        <v>355.31</v>
      </c>
      <c r="C10196">
        <f t="shared" si="338"/>
        <v>-1.7422084566245433E-2</v>
      </c>
      <c r="D10196">
        <f t="shared" si="337"/>
        <v>-1.8726697050767043</v>
      </c>
    </row>
    <row r="10197" spans="1:4">
      <c r="A10197" s="1">
        <v>33078</v>
      </c>
      <c r="B10197">
        <v>355.79</v>
      </c>
      <c r="C10197">
        <f t="shared" si="338"/>
        <v>1.3509329880949542E-3</v>
      </c>
      <c r="D10197">
        <f t="shared" si="337"/>
        <v>0.10975456740292472</v>
      </c>
    </row>
    <row r="10198" spans="1:4">
      <c r="A10198" s="1">
        <v>33079</v>
      </c>
      <c r="B10198">
        <v>357.09</v>
      </c>
      <c r="C10198">
        <f t="shared" si="338"/>
        <v>3.6538407487561606E-3</v>
      </c>
      <c r="D10198">
        <f t="shared" si="337"/>
        <v>0.35294084413236615</v>
      </c>
    </row>
    <row r="10199" spans="1:4">
      <c r="A10199" s="1">
        <v>33080</v>
      </c>
      <c r="B10199">
        <v>355.91</v>
      </c>
      <c r="C10199">
        <f t="shared" si="338"/>
        <v>-3.3044890643813885E-3</v>
      </c>
      <c r="D10199">
        <f t="shared" si="337"/>
        <v>-0.38185641888373389</v>
      </c>
    </row>
    <row r="10200" spans="1:4">
      <c r="A10200" s="1">
        <v>33081</v>
      </c>
      <c r="B10200">
        <v>353.44</v>
      </c>
      <c r="C10200">
        <f t="shared" si="338"/>
        <v>-6.9399567306342256E-3</v>
      </c>
      <c r="D10200">
        <f t="shared" si="337"/>
        <v>-0.76576056868453157</v>
      </c>
    </row>
    <row r="10201" spans="1:4">
      <c r="A10201" s="1">
        <v>33084</v>
      </c>
      <c r="B10201">
        <v>355.55</v>
      </c>
      <c r="C10201">
        <f t="shared" si="338"/>
        <v>5.9698958804889476E-3</v>
      </c>
      <c r="D10201">
        <f t="shared" si="337"/>
        <v>0.59751547877795785</v>
      </c>
    </row>
    <row r="10202" spans="1:4">
      <c r="A10202" s="1">
        <v>33085</v>
      </c>
      <c r="B10202">
        <v>356.15</v>
      </c>
      <c r="C10202">
        <f t="shared" si="338"/>
        <v>1.6875263675993977E-3</v>
      </c>
      <c r="D10202">
        <f t="shared" si="337"/>
        <v>0.14529871386494519</v>
      </c>
    </row>
    <row r="10203" spans="1:4">
      <c r="A10203" s="1">
        <v>33086</v>
      </c>
      <c r="B10203">
        <v>355.52</v>
      </c>
      <c r="C10203">
        <f t="shared" si="338"/>
        <v>-1.7689175909026968E-3</v>
      </c>
      <c r="D10203">
        <f t="shared" si="337"/>
        <v>-0.21970059325048896</v>
      </c>
    </row>
    <row r="10204" spans="1:4">
      <c r="A10204" s="1">
        <v>33087</v>
      </c>
      <c r="B10204">
        <v>351.48</v>
      </c>
      <c r="C10204">
        <f t="shared" si="338"/>
        <v>-1.1363636363636262E-2</v>
      </c>
      <c r="D10204">
        <f t="shared" si="337"/>
        <v>-1.2328996342477789</v>
      </c>
    </row>
    <row r="10205" spans="1:4">
      <c r="A10205" s="1">
        <v>33088</v>
      </c>
      <c r="B10205">
        <v>344.86</v>
      </c>
      <c r="C10205">
        <f t="shared" si="338"/>
        <v>-1.8834642084898157E-2</v>
      </c>
      <c r="D10205">
        <f t="shared" si="337"/>
        <v>-2.0218352988948016</v>
      </c>
    </row>
    <row r="10206" spans="1:4">
      <c r="A10206" s="1">
        <v>33091</v>
      </c>
      <c r="B10206">
        <v>334.43</v>
      </c>
      <c r="C10206">
        <f t="shared" si="338"/>
        <v>-3.0244157049237389E-2</v>
      </c>
      <c r="D10206">
        <f t="shared" si="337"/>
        <v>-3.2266762008464522</v>
      </c>
    </row>
    <row r="10207" spans="1:4">
      <c r="A10207" s="1">
        <v>33092</v>
      </c>
      <c r="B10207">
        <v>334.83</v>
      </c>
      <c r="C10207">
        <f t="shared" si="338"/>
        <v>1.1960649463265175E-3</v>
      </c>
      <c r="D10207">
        <f t="shared" si="337"/>
        <v>9.3400554834382962E-2</v>
      </c>
    </row>
    <row r="10208" spans="1:4">
      <c r="A10208" s="1">
        <v>33093</v>
      </c>
      <c r="B10208">
        <v>338.35</v>
      </c>
      <c r="C10208">
        <f t="shared" si="338"/>
        <v>1.0512797539049783E-2</v>
      </c>
      <c r="D10208">
        <f t="shared" si="337"/>
        <v>1.0772443497146793</v>
      </c>
    </row>
    <row r="10209" spans="1:4">
      <c r="A10209" s="1">
        <v>33094</v>
      </c>
      <c r="B10209">
        <v>339.94</v>
      </c>
      <c r="C10209">
        <f t="shared" si="338"/>
        <v>4.6992758977389536E-3</v>
      </c>
      <c r="D10209">
        <f t="shared" si="337"/>
        <v>0.46333844050427581</v>
      </c>
    </row>
    <row r="10210" spans="1:4">
      <c r="A10210" s="1">
        <v>33095</v>
      </c>
      <c r="B10210">
        <v>335.52</v>
      </c>
      <c r="C10210">
        <f t="shared" si="338"/>
        <v>-1.3002294522562852E-2</v>
      </c>
      <c r="D10210">
        <f t="shared" si="337"/>
        <v>-1.4059413788234552</v>
      </c>
    </row>
    <row r="10211" spans="1:4">
      <c r="A10211" s="1">
        <v>33098</v>
      </c>
      <c r="B10211">
        <v>338.84</v>
      </c>
      <c r="C10211">
        <f t="shared" si="338"/>
        <v>9.8950882212684582E-3</v>
      </c>
      <c r="D10211">
        <f t="shared" si="337"/>
        <v>1.0120144557265704</v>
      </c>
    </row>
    <row r="10212" spans="1:4">
      <c r="A10212" s="1">
        <v>33099</v>
      </c>
      <c r="B10212">
        <v>339.39</v>
      </c>
      <c r="C10212">
        <f t="shared" si="338"/>
        <v>1.6231849840633084E-3</v>
      </c>
      <c r="D10212">
        <f t="shared" si="337"/>
        <v>0.13850428563423306</v>
      </c>
    </row>
    <row r="10213" spans="1:4">
      <c r="A10213" s="1">
        <v>33100</v>
      </c>
      <c r="B10213">
        <v>340.06</v>
      </c>
      <c r="C10213">
        <f t="shared" si="338"/>
        <v>1.9741300568667784E-3</v>
      </c>
      <c r="D10213">
        <f t="shared" si="337"/>
        <v>0.17556396603025315</v>
      </c>
    </row>
    <row r="10214" spans="1:4">
      <c r="A10214" s="1">
        <v>33101</v>
      </c>
      <c r="B10214">
        <v>332.39</v>
      </c>
      <c r="C10214">
        <f t="shared" si="338"/>
        <v>-2.2554843262953643E-2</v>
      </c>
      <c r="D10214">
        <f t="shared" si="337"/>
        <v>-2.4146872787396392</v>
      </c>
    </row>
    <row r="10215" spans="1:4">
      <c r="A10215" s="1">
        <v>33102</v>
      </c>
      <c r="B10215">
        <v>327.83</v>
      </c>
      <c r="C10215">
        <f t="shared" si="338"/>
        <v>-1.3718824272691724E-2</v>
      </c>
      <c r="D10215">
        <f t="shared" si="337"/>
        <v>-1.4816066768767682</v>
      </c>
    </row>
    <row r="10216" spans="1:4">
      <c r="A10216" s="1">
        <v>33105</v>
      </c>
      <c r="B10216">
        <v>328.51</v>
      </c>
      <c r="C10216">
        <f t="shared" si="338"/>
        <v>2.0742457981270989E-3</v>
      </c>
      <c r="D10216">
        <f t="shared" si="337"/>
        <v>0.18613615427634905</v>
      </c>
    </row>
    <row r="10217" spans="1:4">
      <c r="A10217" s="1">
        <v>33106</v>
      </c>
      <c r="B10217">
        <v>321.86</v>
      </c>
      <c r="C10217">
        <f t="shared" si="338"/>
        <v>-2.0242914979757016E-2</v>
      </c>
      <c r="D10217">
        <f t="shared" si="337"/>
        <v>-2.1705484378966817</v>
      </c>
    </row>
    <row r="10218" spans="1:4">
      <c r="A10218" s="1">
        <v>33107</v>
      </c>
      <c r="B10218">
        <v>316.55</v>
      </c>
      <c r="C10218">
        <f t="shared" si="338"/>
        <v>-1.6497856210774878E-2</v>
      </c>
      <c r="D10218">
        <f t="shared" si="337"/>
        <v>-1.7750715048994958</v>
      </c>
    </row>
    <row r="10219" spans="1:4">
      <c r="A10219" s="1">
        <v>33108</v>
      </c>
      <c r="B10219">
        <v>307.06</v>
      </c>
      <c r="C10219">
        <f t="shared" si="338"/>
        <v>-2.9979466119096538E-2</v>
      </c>
      <c r="D10219">
        <f t="shared" si="337"/>
        <v>-3.198724928596397</v>
      </c>
    </row>
    <row r="10220" spans="1:4">
      <c r="A10220" s="1">
        <v>33109</v>
      </c>
      <c r="B10220">
        <v>311.51</v>
      </c>
      <c r="C10220">
        <f t="shared" si="338"/>
        <v>1.449228163876763E-2</v>
      </c>
      <c r="D10220">
        <f t="shared" si="337"/>
        <v>1.4974765179525145</v>
      </c>
    </row>
    <row r="10221" spans="1:4">
      <c r="A10221" s="1">
        <v>33112</v>
      </c>
      <c r="B10221">
        <v>321.44</v>
      </c>
      <c r="C10221">
        <f t="shared" si="338"/>
        <v>3.1876986292574898E-2</v>
      </c>
      <c r="D10221">
        <f t="shared" si="337"/>
        <v>3.3332954200463298</v>
      </c>
    </row>
    <row r="10222" spans="1:4">
      <c r="A10222" s="1">
        <v>33113</v>
      </c>
      <c r="B10222">
        <v>321.33999999999997</v>
      </c>
      <c r="C10222">
        <f t="shared" si="338"/>
        <v>-3.1110004977607868E-4</v>
      </c>
      <c r="D10222">
        <f t="shared" si="337"/>
        <v>-6.5755556443777161E-2</v>
      </c>
    </row>
    <row r="10223" spans="1:4">
      <c r="A10223" s="1">
        <v>33114</v>
      </c>
      <c r="B10223">
        <v>324.19</v>
      </c>
      <c r="C10223">
        <f t="shared" si="338"/>
        <v>8.8691105993652306E-3</v>
      </c>
      <c r="D10223">
        <f t="shared" si="337"/>
        <v>0.90367156760032796</v>
      </c>
    </row>
    <row r="10224" spans="1:4">
      <c r="A10224" s="1">
        <v>33115</v>
      </c>
      <c r="B10224">
        <v>318.70999999999998</v>
      </c>
      <c r="C10224">
        <f t="shared" si="338"/>
        <v>-1.6903667602332022E-2</v>
      </c>
      <c r="D10224">
        <f t="shared" si="337"/>
        <v>-1.8179250499059361</v>
      </c>
    </row>
    <row r="10225" spans="1:4">
      <c r="A10225" s="1">
        <v>33116</v>
      </c>
      <c r="B10225">
        <v>322.56</v>
      </c>
      <c r="C10225">
        <f t="shared" si="338"/>
        <v>1.2079947287502817E-2</v>
      </c>
      <c r="D10225">
        <f t="shared" si="337"/>
        <v>1.2427348304512376</v>
      </c>
    </row>
    <row r="10226" spans="1:4">
      <c r="A10226" s="1">
        <v>33120</v>
      </c>
      <c r="B10226">
        <v>323.08999999999997</v>
      </c>
      <c r="C10226">
        <f t="shared" si="338"/>
        <v>1.6431051587300742E-3</v>
      </c>
      <c r="D10226">
        <f t="shared" si="337"/>
        <v>0.14060784930784717</v>
      </c>
    </row>
    <row r="10227" spans="1:4">
      <c r="A10227" s="1">
        <v>33121</v>
      </c>
      <c r="B10227">
        <v>324.39</v>
      </c>
      <c r="C10227">
        <f t="shared" si="338"/>
        <v>4.0236466619208624E-3</v>
      </c>
      <c r="D10227">
        <f t="shared" si="337"/>
        <v>0.3919922228594212</v>
      </c>
    </row>
    <row r="10228" spans="1:4">
      <c r="A10228" s="1">
        <v>33122</v>
      </c>
      <c r="B10228">
        <v>320.45999999999998</v>
      </c>
      <c r="C10228">
        <f t="shared" si="338"/>
        <v>-1.2115046703042656E-2</v>
      </c>
      <c r="D10228">
        <f t="shared" si="337"/>
        <v>-1.31224831067231</v>
      </c>
    </row>
    <row r="10229" spans="1:4">
      <c r="A10229" s="1">
        <v>33123</v>
      </c>
      <c r="B10229">
        <v>323.39999999999998</v>
      </c>
      <c r="C10229">
        <f t="shared" si="338"/>
        <v>9.1743119266054982E-3</v>
      </c>
      <c r="D10229">
        <f t="shared" si="337"/>
        <v>0.93590072401392843</v>
      </c>
    </row>
    <row r="10230" spans="1:4">
      <c r="A10230" s="1">
        <v>33126</v>
      </c>
      <c r="B10230">
        <v>321.63</v>
      </c>
      <c r="C10230">
        <f t="shared" si="338"/>
        <v>-5.4730983302411313E-3</v>
      </c>
      <c r="D10230">
        <f t="shared" si="337"/>
        <v>-0.61086082021241728</v>
      </c>
    </row>
    <row r="10231" spans="1:4">
      <c r="A10231" s="1">
        <v>33127</v>
      </c>
      <c r="B10231">
        <v>321.04000000000002</v>
      </c>
      <c r="C10231">
        <f t="shared" si="338"/>
        <v>-1.8344059944656126E-3</v>
      </c>
      <c r="D10231">
        <f t="shared" si="337"/>
        <v>-0.22661614640614289</v>
      </c>
    </row>
    <row r="10232" spans="1:4">
      <c r="A10232" s="1">
        <v>33128</v>
      </c>
      <c r="B10232">
        <v>322.54000000000002</v>
      </c>
      <c r="C10232">
        <f t="shared" si="338"/>
        <v>4.6723149763269372E-3</v>
      </c>
      <c r="D10232">
        <f t="shared" si="337"/>
        <v>0.46049137636762938</v>
      </c>
    </row>
    <row r="10233" spans="1:4">
      <c r="A10233" s="1">
        <v>33129</v>
      </c>
      <c r="B10233">
        <v>318.64999999999998</v>
      </c>
      <c r="C10233">
        <f t="shared" si="338"/>
        <v>-1.2060519625472943E-2</v>
      </c>
      <c r="D10233">
        <f t="shared" si="337"/>
        <v>-1.3064902698156025</v>
      </c>
    </row>
    <row r="10234" spans="1:4">
      <c r="A10234" s="1">
        <v>33130</v>
      </c>
      <c r="B10234">
        <v>316.83</v>
      </c>
      <c r="C10234">
        <f t="shared" si="338"/>
        <v>-5.7115957947591195E-3</v>
      </c>
      <c r="D10234">
        <f t="shared" si="337"/>
        <v>-0.63604607139628966</v>
      </c>
    </row>
    <row r="10235" spans="1:4">
      <c r="A10235" s="1">
        <v>33133</v>
      </c>
      <c r="B10235">
        <v>317.77</v>
      </c>
      <c r="C10235">
        <f t="shared" si="338"/>
        <v>2.9668907616071639E-3</v>
      </c>
      <c r="D10235">
        <f t="shared" si="337"/>
        <v>0.28039915899507817</v>
      </c>
    </row>
    <row r="10236" spans="1:4">
      <c r="A10236" s="1">
        <v>33134</v>
      </c>
      <c r="B10236">
        <v>318.60000000000002</v>
      </c>
      <c r="C10236">
        <f t="shared" si="338"/>
        <v>2.6119520407843441E-3</v>
      </c>
      <c r="D10236">
        <f t="shared" si="337"/>
        <v>0.24291775072572169</v>
      </c>
    </row>
    <row r="10237" spans="1:4">
      <c r="A10237" s="1">
        <v>33135</v>
      </c>
      <c r="B10237">
        <v>316.60000000000002</v>
      </c>
      <c r="C10237">
        <f t="shared" si="338"/>
        <v>-6.2774639045825482E-3</v>
      </c>
      <c r="D10237">
        <f t="shared" si="337"/>
        <v>-0.69580155144572753</v>
      </c>
    </row>
    <row r="10238" spans="1:4">
      <c r="A10238" s="1">
        <v>33136</v>
      </c>
      <c r="B10238">
        <v>311.48</v>
      </c>
      <c r="C10238">
        <f t="shared" si="338"/>
        <v>-1.6171825647504752E-2</v>
      </c>
      <c r="D10238">
        <f t="shared" si="337"/>
        <v>-1.7406427882413436</v>
      </c>
    </row>
    <row r="10239" spans="1:4">
      <c r="A10239" s="1">
        <v>33137</v>
      </c>
      <c r="B10239">
        <v>311.32</v>
      </c>
      <c r="C10239">
        <f t="shared" si="338"/>
        <v>-5.1367664055485104E-4</v>
      </c>
      <c r="D10239">
        <f t="shared" si="337"/>
        <v>-8.7147575570886621E-2</v>
      </c>
    </row>
    <row r="10240" spans="1:4">
      <c r="A10240" s="1">
        <v>33140</v>
      </c>
      <c r="B10240">
        <v>304.58999999999997</v>
      </c>
      <c r="C10240">
        <f t="shared" si="338"/>
        <v>-2.1617628163947123E-2</v>
      </c>
      <c r="D10240">
        <f t="shared" si="337"/>
        <v>-2.3157176828594417</v>
      </c>
    </row>
    <row r="10241" spans="1:4">
      <c r="A10241" s="1">
        <v>33141</v>
      </c>
      <c r="B10241">
        <v>308.26</v>
      </c>
      <c r="C10241">
        <f t="shared" si="338"/>
        <v>1.2048983879969848E-2</v>
      </c>
      <c r="D10241">
        <f t="shared" si="337"/>
        <v>1.2394651051407297</v>
      </c>
    </row>
    <row r="10242" spans="1:4">
      <c r="A10242" s="1">
        <v>33142</v>
      </c>
      <c r="B10242">
        <v>305.06</v>
      </c>
      <c r="C10242">
        <f t="shared" si="338"/>
        <v>-1.0380847336663819E-2</v>
      </c>
      <c r="D10242">
        <f t="shared" si="337"/>
        <v>-1.1291174470657108</v>
      </c>
    </row>
    <row r="10243" spans="1:4">
      <c r="A10243" s="1">
        <v>33143</v>
      </c>
      <c r="B10243">
        <v>300.97000000000003</v>
      </c>
      <c r="C10243">
        <f t="shared" si="338"/>
        <v>-1.3407198583885055E-2</v>
      </c>
      <c r="D10243">
        <f t="shared" ref="D10243:D10306" si="339">(C10243-avg)/sd</f>
        <v>-1.4486991100655022</v>
      </c>
    </row>
    <row r="10244" spans="1:4">
      <c r="A10244" s="1">
        <v>33144</v>
      </c>
      <c r="B10244">
        <v>306.05</v>
      </c>
      <c r="C10244">
        <f t="shared" ref="C10244:C10307" si="340">(B10244-B10243)/B10243</f>
        <v>1.6878758680267083E-2</v>
      </c>
      <c r="D10244">
        <f t="shared" si="339"/>
        <v>1.7494876823318959</v>
      </c>
    </row>
    <row r="10245" spans="1:4">
      <c r="A10245" s="1">
        <v>33147</v>
      </c>
      <c r="B10245">
        <v>314.94</v>
      </c>
      <c r="C10245">
        <f t="shared" si="340"/>
        <v>2.904754125142946E-2</v>
      </c>
      <c r="D10245">
        <f t="shared" si="339"/>
        <v>3.034506985476471</v>
      </c>
    </row>
    <row r="10246" spans="1:4">
      <c r="A10246" s="1">
        <v>33148</v>
      </c>
      <c r="B10246">
        <v>315.20999999999998</v>
      </c>
      <c r="C10246">
        <f t="shared" si="340"/>
        <v>8.5730615355300002E-4</v>
      </c>
      <c r="D10246">
        <f t="shared" si="339"/>
        <v>5.7627741467207998E-2</v>
      </c>
    </row>
    <row r="10247" spans="1:4">
      <c r="A10247" s="1">
        <v>33149</v>
      </c>
      <c r="B10247">
        <v>311.39999999999998</v>
      </c>
      <c r="C10247">
        <f t="shared" si="340"/>
        <v>-1.2087179975254601E-2</v>
      </c>
      <c r="D10247">
        <f t="shared" si="339"/>
        <v>-1.3093055936902522</v>
      </c>
    </row>
    <row r="10248" spans="1:4">
      <c r="A10248" s="1">
        <v>33150</v>
      </c>
      <c r="B10248">
        <v>312.69</v>
      </c>
      <c r="C10248">
        <f t="shared" si="340"/>
        <v>4.1425818882466943E-3</v>
      </c>
      <c r="D10248">
        <f t="shared" si="339"/>
        <v>0.4045517423313813</v>
      </c>
    </row>
    <row r="10249" spans="1:4">
      <c r="A10249" s="1">
        <v>33151</v>
      </c>
      <c r="B10249">
        <v>311.5</v>
      </c>
      <c r="C10249">
        <f t="shared" si="340"/>
        <v>-3.8056861428251549E-3</v>
      </c>
      <c r="D10249">
        <f t="shared" si="339"/>
        <v>-0.43478266000223104</v>
      </c>
    </row>
    <row r="10250" spans="1:4">
      <c r="A10250" s="1">
        <v>33154</v>
      </c>
      <c r="B10250">
        <v>313.48</v>
      </c>
      <c r="C10250">
        <f t="shared" si="340"/>
        <v>6.3563402889246171E-3</v>
      </c>
      <c r="D10250">
        <f t="shared" si="339"/>
        <v>0.63832387694992776</v>
      </c>
    </row>
    <row r="10251" spans="1:4">
      <c r="A10251" s="1">
        <v>33155</v>
      </c>
      <c r="B10251">
        <v>305.10000000000002</v>
      </c>
      <c r="C10251">
        <f t="shared" si="340"/>
        <v>-2.6732167921398479E-2</v>
      </c>
      <c r="D10251">
        <f t="shared" si="339"/>
        <v>-2.8558113427297709</v>
      </c>
    </row>
    <row r="10252" spans="1:4">
      <c r="A10252" s="1">
        <v>33156</v>
      </c>
      <c r="B10252">
        <v>300.39</v>
      </c>
      <c r="C10252">
        <f t="shared" si="340"/>
        <v>-1.5437561455260689E-2</v>
      </c>
      <c r="D10252">
        <f t="shared" si="339"/>
        <v>-1.6631047391288964</v>
      </c>
    </row>
    <row r="10253" spans="1:4">
      <c r="A10253" s="1">
        <v>33157</v>
      </c>
      <c r="B10253">
        <v>295.45999999999998</v>
      </c>
      <c r="C10253">
        <f t="shared" si="340"/>
        <v>-1.6411997736276197E-2</v>
      </c>
      <c r="D10253">
        <f t="shared" si="339"/>
        <v>-1.7660048791771488</v>
      </c>
    </row>
    <row r="10254" spans="1:4">
      <c r="A10254" s="1">
        <v>33158</v>
      </c>
      <c r="B10254">
        <v>300.02999999999997</v>
      </c>
      <c r="C10254">
        <f t="shared" si="340"/>
        <v>1.5467406755567568E-2</v>
      </c>
      <c r="D10254">
        <f t="shared" si="339"/>
        <v>1.6004493988254558</v>
      </c>
    </row>
    <row r="10255" spans="1:4">
      <c r="A10255" s="1">
        <v>33161</v>
      </c>
      <c r="B10255">
        <v>303.23</v>
      </c>
      <c r="C10255">
        <f t="shared" si="340"/>
        <v>1.0665600106656153E-2</v>
      </c>
      <c r="D10255">
        <f t="shared" si="339"/>
        <v>1.0933802489137956</v>
      </c>
    </row>
    <row r="10256" spans="1:4">
      <c r="A10256" s="1">
        <v>33162</v>
      </c>
      <c r="B10256">
        <v>298.92</v>
      </c>
      <c r="C10256">
        <f t="shared" si="340"/>
        <v>-1.4213633215710854E-2</v>
      </c>
      <c r="D10256">
        <f t="shared" si="339"/>
        <v>-1.5338583330658562</v>
      </c>
    </row>
    <row r="10257" spans="1:4">
      <c r="A10257" s="1">
        <v>33163</v>
      </c>
      <c r="B10257">
        <v>298.76</v>
      </c>
      <c r="C10257">
        <f t="shared" si="340"/>
        <v>-5.3526027030652019E-4</v>
      </c>
      <c r="D10257">
        <f t="shared" si="339"/>
        <v>-8.9426799536030666E-2</v>
      </c>
    </row>
    <row r="10258" spans="1:4">
      <c r="A10258" s="1">
        <v>33164</v>
      </c>
      <c r="B10258">
        <v>305.74</v>
      </c>
      <c r="C10258">
        <f t="shared" si="340"/>
        <v>2.3363234703440951E-2</v>
      </c>
      <c r="D10258">
        <f t="shared" si="339"/>
        <v>2.4342461461985603</v>
      </c>
    </row>
    <row r="10259" spans="1:4">
      <c r="A10259" s="1">
        <v>33165</v>
      </c>
      <c r="B10259">
        <v>312.48</v>
      </c>
      <c r="C10259">
        <f t="shared" si="340"/>
        <v>2.2044874730162912E-2</v>
      </c>
      <c r="D10259">
        <f t="shared" si="339"/>
        <v>2.295027781152728</v>
      </c>
    </row>
    <row r="10260" spans="1:4">
      <c r="A10260" s="1">
        <v>33168</v>
      </c>
      <c r="B10260">
        <v>314.76</v>
      </c>
      <c r="C10260">
        <f t="shared" si="340"/>
        <v>7.2964669738862413E-3</v>
      </c>
      <c r="D10260">
        <f t="shared" si="339"/>
        <v>0.73760093531728821</v>
      </c>
    </row>
    <row r="10261" spans="1:4">
      <c r="A10261" s="1">
        <v>33169</v>
      </c>
      <c r="B10261">
        <v>312.36</v>
      </c>
      <c r="C10261">
        <f t="shared" si="340"/>
        <v>-7.624857033930542E-3</v>
      </c>
      <c r="D10261">
        <f t="shared" si="339"/>
        <v>-0.8380858079036978</v>
      </c>
    </row>
    <row r="10262" spans="1:4">
      <c r="A10262" s="1">
        <v>33170</v>
      </c>
      <c r="B10262">
        <v>312.60000000000002</v>
      </c>
      <c r="C10262">
        <f t="shared" si="340"/>
        <v>7.6834421820978706E-4</v>
      </c>
      <c r="D10262">
        <f t="shared" si="339"/>
        <v>4.823339133459581E-2</v>
      </c>
    </row>
    <row r="10263" spans="1:4">
      <c r="A10263" s="1">
        <v>33171</v>
      </c>
      <c r="B10263">
        <v>310.17</v>
      </c>
      <c r="C10263">
        <f t="shared" si="340"/>
        <v>-7.7735124760076992E-3</v>
      </c>
      <c r="D10263">
        <f t="shared" si="339"/>
        <v>-0.85378377205660572</v>
      </c>
    </row>
    <row r="10264" spans="1:4">
      <c r="A10264" s="1">
        <v>33172</v>
      </c>
      <c r="B10264">
        <v>304.70999999999998</v>
      </c>
      <c r="C10264">
        <f t="shared" si="340"/>
        <v>-1.7603249830738098E-2</v>
      </c>
      <c r="D10264">
        <f t="shared" si="339"/>
        <v>-1.8918006954260642</v>
      </c>
    </row>
    <row r="10265" spans="1:4">
      <c r="A10265" s="1">
        <v>33175</v>
      </c>
      <c r="B10265">
        <v>301.88</v>
      </c>
      <c r="C10265">
        <f t="shared" si="340"/>
        <v>-9.2875192806274303E-3</v>
      </c>
      <c r="D10265">
        <f t="shared" si="339"/>
        <v>-1.0136623759885315</v>
      </c>
    </row>
    <row r="10266" spans="1:4">
      <c r="A10266" s="1">
        <v>33176</v>
      </c>
      <c r="B10266">
        <v>304.06</v>
      </c>
      <c r="C10266">
        <f t="shared" si="340"/>
        <v>7.2214124817808626E-3</v>
      </c>
      <c r="D10266">
        <f t="shared" si="339"/>
        <v>0.7296752064632217</v>
      </c>
    </row>
    <row r="10267" spans="1:4">
      <c r="A10267" s="1">
        <v>33177</v>
      </c>
      <c r="B10267">
        <v>304</v>
      </c>
      <c r="C10267">
        <f t="shared" si="340"/>
        <v>-1.9732947444584055E-4</v>
      </c>
      <c r="D10267">
        <f t="shared" si="339"/>
        <v>-5.3741422361401558E-2</v>
      </c>
    </row>
    <row r="10268" spans="1:4">
      <c r="A10268" s="1">
        <v>33178</v>
      </c>
      <c r="B10268">
        <v>307.02</v>
      </c>
      <c r="C10268">
        <f t="shared" si="340"/>
        <v>9.9342105263157295E-3</v>
      </c>
      <c r="D10268">
        <f t="shared" si="339"/>
        <v>1.0161457578412447</v>
      </c>
    </row>
    <row r="10269" spans="1:4">
      <c r="A10269" s="1">
        <v>33179</v>
      </c>
      <c r="B10269">
        <v>311.85000000000002</v>
      </c>
      <c r="C10269">
        <f t="shared" si="340"/>
        <v>1.5731874145006975E-2</v>
      </c>
      <c r="D10269">
        <f t="shared" si="339"/>
        <v>1.6283770652534237</v>
      </c>
    </row>
    <row r="10270" spans="1:4">
      <c r="A10270" s="1">
        <v>33182</v>
      </c>
      <c r="B10270">
        <v>314.58999999999997</v>
      </c>
      <c r="C10270">
        <f t="shared" si="340"/>
        <v>8.7862754529419666E-3</v>
      </c>
      <c r="D10270">
        <f t="shared" si="339"/>
        <v>0.89492420429506558</v>
      </c>
    </row>
    <row r="10271" spans="1:4">
      <c r="A10271" s="1">
        <v>33183</v>
      </c>
      <c r="B10271">
        <v>311.62</v>
      </c>
      <c r="C10271">
        <f t="shared" si="340"/>
        <v>-9.4408595314535455E-3</v>
      </c>
      <c r="D10271">
        <f t="shared" si="339"/>
        <v>-1.0298550543528855</v>
      </c>
    </row>
    <row r="10272" spans="1:4">
      <c r="A10272" s="1">
        <v>33184</v>
      </c>
      <c r="B10272">
        <v>306.01</v>
      </c>
      <c r="C10272">
        <f t="shared" si="340"/>
        <v>-1.8002695590783692E-2</v>
      </c>
      <c r="D10272">
        <f t="shared" si="339"/>
        <v>-1.9339820319086678</v>
      </c>
    </row>
    <row r="10273" spans="1:4">
      <c r="A10273" s="1">
        <v>33185</v>
      </c>
      <c r="B10273">
        <v>307.61</v>
      </c>
      <c r="C10273">
        <f t="shared" si="340"/>
        <v>5.2285873010686672E-3</v>
      </c>
      <c r="D10273">
        <f t="shared" si="339"/>
        <v>0.51923354477420569</v>
      </c>
    </row>
    <row r="10274" spans="1:4">
      <c r="A10274" s="1">
        <v>33186</v>
      </c>
      <c r="B10274">
        <v>313.74</v>
      </c>
      <c r="C10274">
        <f t="shared" si="340"/>
        <v>1.9927830694710821E-2</v>
      </c>
      <c r="D10274">
        <f t="shared" si="339"/>
        <v>2.0714686506272191</v>
      </c>
    </row>
    <row r="10275" spans="1:4">
      <c r="A10275" s="1">
        <v>33189</v>
      </c>
      <c r="B10275">
        <v>319.48</v>
      </c>
      <c r="C10275">
        <f t="shared" si="340"/>
        <v>1.8295403837572541E-2</v>
      </c>
      <c r="D10275">
        <f t="shared" si="339"/>
        <v>1.8990849294022663</v>
      </c>
    </row>
    <row r="10276" spans="1:4">
      <c r="A10276" s="1">
        <v>33190</v>
      </c>
      <c r="B10276">
        <v>317.67</v>
      </c>
      <c r="C10276">
        <f t="shared" si="340"/>
        <v>-5.6654563665957253E-3</v>
      </c>
      <c r="D10276">
        <f t="shared" si="339"/>
        <v>-0.63117376346578891</v>
      </c>
    </row>
    <row r="10277" spans="1:4">
      <c r="A10277" s="1">
        <v>33191</v>
      </c>
      <c r="B10277">
        <v>320.39999999999998</v>
      </c>
      <c r="C10277">
        <f t="shared" si="340"/>
        <v>8.5938237793935883E-3</v>
      </c>
      <c r="D10277">
        <f t="shared" si="339"/>
        <v>0.87460137298585916</v>
      </c>
    </row>
    <row r="10278" spans="1:4">
      <c r="A10278" s="1">
        <v>33192</v>
      </c>
      <c r="B10278">
        <v>317.02</v>
      </c>
      <c r="C10278">
        <f t="shared" si="340"/>
        <v>-1.054931335830211E-2</v>
      </c>
      <c r="D10278">
        <f t="shared" si="339"/>
        <v>-1.1469074016863312</v>
      </c>
    </row>
    <row r="10279" spans="1:4">
      <c r="A10279" s="1">
        <v>33193</v>
      </c>
      <c r="B10279">
        <v>317.12</v>
      </c>
      <c r="C10279">
        <f t="shared" si="340"/>
        <v>3.1543751182897846E-4</v>
      </c>
      <c r="D10279">
        <f t="shared" si="339"/>
        <v>4.0659709125198782E-4</v>
      </c>
    </row>
    <row r="10280" spans="1:4">
      <c r="A10280" s="1">
        <v>33196</v>
      </c>
      <c r="B10280">
        <v>319.33999999999997</v>
      </c>
      <c r="C10280">
        <f t="shared" si="340"/>
        <v>7.0005045408677172E-3</v>
      </c>
      <c r="D10280">
        <f t="shared" si="339"/>
        <v>0.7063474029930511</v>
      </c>
    </row>
    <row r="10281" spans="1:4">
      <c r="A10281" s="1">
        <v>33197</v>
      </c>
      <c r="B10281">
        <v>315.31</v>
      </c>
      <c r="C10281">
        <f t="shared" si="340"/>
        <v>-1.2619778292728669E-2</v>
      </c>
      <c r="D10281">
        <f t="shared" si="339"/>
        <v>-1.3655477949765495</v>
      </c>
    </row>
    <row r="10282" spans="1:4">
      <c r="A10282" s="1">
        <v>33198</v>
      </c>
      <c r="B10282">
        <v>316.02999999999997</v>
      </c>
      <c r="C10282">
        <f t="shared" si="340"/>
        <v>2.283467064158988E-3</v>
      </c>
      <c r="D10282">
        <f t="shared" si="339"/>
        <v>0.2082298488515528</v>
      </c>
    </row>
    <row r="10283" spans="1:4">
      <c r="A10283" s="1">
        <v>33200</v>
      </c>
      <c r="B10283">
        <v>315.10000000000002</v>
      </c>
      <c r="C10283">
        <f t="shared" si="340"/>
        <v>-2.9427585988670382E-3</v>
      </c>
      <c r="D10283">
        <f t="shared" si="339"/>
        <v>-0.34365780468357798</v>
      </c>
    </row>
    <row r="10284" spans="1:4">
      <c r="A10284" s="1">
        <v>33203</v>
      </c>
      <c r="B10284">
        <v>316.51</v>
      </c>
      <c r="C10284">
        <f t="shared" si="340"/>
        <v>4.4747699143128155E-3</v>
      </c>
      <c r="D10284">
        <f t="shared" si="339"/>
        <v>0.4396306849677673</v>
      </c>
    </row>
    <row r="10285" spans="1:4">
      <c r="A10285" s="1">
        <v>33204</v>
      </c>
      <c r="B10285">
        <v>318.10000000000002</v>
      </c>
      <c r="C10285">
        <f t="shared" si="340"/>
        <v>5.0235379608860129E-3</v>
      </c>
      <c r="D10285">
        <f t="shared" si="339"/>
        <v>0.49758040415057458</v>
      </c>
    </row>
    <row r="10286" spans="1:4">
      <c r="A10286" s="1">
        <v>33205</v>
      </c>
      <c r="B10286">
        <v>317.95</v>
      </c>
      <c r="C10286">
        <f t="shared" si="340"/>
        <v>-4.7154982709850392E-4</v>
      </c>
      <c r="D10286">
        <f t="shared" si="339"/>
        <v>-8.2698998389496015E-2</v>
      </c>
    </row>
    <row r="10287" spans="1:4">
      <c r="A10287" s="1">
        <v>33206</v>
      </c>
      <c r="B10287">
        <v>316.42</v>
      </c>
      <c r="C10287">
        <f t="shared" si="340"/>
        <v>-4.8120773706556777E-3</v>
      </c>
      <c r="D10287">
        <f t="shared" si="339"/>
        <v>-0.5410572315721347</v>
      </c>
    </row>
    <row r="10288" spans="1:4">
      <c r="A10288" s="1">
        <v>33207</v>
      </c>
      <c r="B10288">
        <v>322.22000000000003</v>
      </c>
      <c r="C10288">
        <f t="shared" si="340"/>
        <v>1.8330067631628883E-2</v>
      </c>
      <c r="D10288">
        <f t="shared" si="339"/>
        <v>1.9027454142718199</v>
      </c>
    </row>
    <row r="10289" spans="1:4">
      <c r="A10289" s="1">
        <v>33210</v>
      </c>
      <c r="B10289">
        <v>324.10000000000002</v>
      </c>
      <c r="C10289">
        <f t="shared" si="340"/>
        <v>5.8345229967103071E-3</v>
      </c>
      <c r="D10289">
        <f t="shared" si="339"/>
        <v>0.58322014826641244</v>
      </c>
    </row>
    <row r="10290" spans="1:4">
      <c r="A10290" s="1">
        <v>33211</v>
      </c>
      <c r="B10290">
        <v>326.35000000000002</v>
      </c>
      <c r="C10290">
        <f t="shared" si="340"/>
        <v>6.9423017587164453E-3</v>
      </c>
      <c r="D10290">
        <f t="shared" si="339"/>
        <v>0.7002012089819637</v>
      </c>
    </row>
    <row r="10291" spans="1:4">
      <c r="A10291" s="1">
        <v>33212</v>
      </c>
      <c r="B10291">
        <v>329.92</v>
      </c>
      <c r="C10291">
        <f t="shared" si="340"/>
        <v>1.0939175731576507E-2</v>
      </c>
      <c r="D10291">
        <f t="shared" si="339"/>
        <v>1.1222697419125116</v>
      </c>
    </row>
    <row r="10292" spans="1:4">
      <c r="A10292" s="1">
        <v>33213</v>
      </c>
      <c r="B10292">
        <v>329.07</v>
      </c>
      <c r="C10292">
        <f t="shared" si="340"/>
        <v>-2.5763821532493415E-3</v>
      </c>
      <c r="D10292">
        <f t="shared" si="339"/>
        <v>-0.30496857656375403</v>
      </c>
    </row>
    <row r="10293" spans="1:4">
      <c r="A10293" s="1">
        <v>33214</v>
      </c>
      <c r="B10293">
        <v>327.75</v>
      </c>
      <c r="C10293">
        <f t="shared" si="340"/>
        <v>-4.0113045856504485E-3</v>
      </c>
      <c r="D10293">
        <f t="shared" si="339"/>
        <v>-0.45649589767147747</v>
      </c>
    </row>
    <row r="10294" spans="1:4">
      <c r="A10294" s="1">
        <v>33217</v>
      </c>
      <c r="B10294">
        <v>328.89</v>
      </c>
      <c r="C10294">
        <f t="shared" si="340"/>
        <v>3.4782608695651759E-3</v>
      </c>
      <c r="D10294">
        <f t="shared" si="339"/>
        <v>0.33439966857229891</v>
      </c>
    </row>
    <row r="10295" spans="1:4">
      <c r="A10295" s="1">
        <v>33218</v>
      </c>
      <c r="B10295">
        <v>326.44</v>
      </c>
      <c r="C10295">
        <f t="shared" si="340"/>
        <v>-7.4492991577730814E-3</v>
      </c>
      <c r="D10295">
        <f t="shared" si="339"/>
        <v>-0.81954695585649162</v>
      </c>
    </row>
    <row r="10296" spans="1:4">
      <c r="A10296" s="1">
        <v>33219</v>
      </c>
      <c r="B10296">
        <v>330.19</v>
      </c>
      <c r="C10296">
        <f t="shared" si="340"/>
        <v>1.1487562798676633E-2</v>
      </c>
      <c r="D10296">
        <f t="shared" si="339"/>
        <v>1.180179229792464</v>
      </c>
    </row>
    <row r="10297" spans="1:4">
      <c r="A10297" s="1">
        <v>33220</v>
      </c>
      <c r="B10297">
        <v>329.34</v>
      </c>
      <c r="C10297">
        <f t="shared" si="340"/>
        <v>-2.5742754171841145E-3</v>
      </c>
      <c r="D10297">
        <f t="shared" si="339"/>
        <v>-0.30474610595138046</v>
      </c>
    </row>
    <row r="10298" spans="1:4">
      <c r="A10298" s="1">
        <v>33221</v>
      </c>
      <c r="B10298">
        <v>326.82</v>
      </c>
      <c r="C10298">
        <f t="shared" si="340"/>
        <v>-7.65166697030419E-3</v>
      </c>
      <c r="D10298">
        <f t="shared" si="339"/>
        <v>-0.84091692807161489</v>
      </c>
    </row>
    <row r="10299" spans="1:4">
      <c r="A10299" s="1">
        <v>33224</v>
      </c>
      <c r="B10299">
        <v>326.02</v>
      </c>
      <c r="C10299">
        <f t="shared" si="340"/>
        <v>-2.4478306101218144E-3</v>
      </c>
      <c r="D10299">
        <f t="shared" si="339"/>
        <v>-0.29139357730627979</v>
      </c>
    </row>
    <row r="10300" spans="1:4">
      <c r="A10300" s="1">
        <v>33225</v>
      </c>
      <c r="B10300">
        <v>330.05</v>
      </c>
      <c r="C10300">
        <f t="shared" si="340"/>
        <v>1.2361204834059352E-2</v>
      </c>
      <c r="D10300">
        <f t="shared" si="339"/>
        <v>1.2724355317635225</v>
      </c>
    </row>
    <row r="10301" spans="1:4">
      <c r="A10301" s="1">
        <v>33226</v>
      </c>
      <c r="B10301">
        <v>330.2</v>
      </c>
      <c r="C10301">
        <f t="shared" si="340"/>
        <v>4.5447659445531667E-4</v>
      </c>
      <c r="D10301">
        <f t="shared" si="339"/>
        <v>1.5089076954912791E-2</v>
      </c>
    </row>
    <row r="10302" spans="1:4">
      <c r="A10302" s="1">
        <v>33227</v>
      </c>
      <c r="B10302">
        <v>330.12</v>
      </c>
      <c r="C10302">
        <f t="shared" si="340"/>
        <v>-2.4227740763169015E-4</v>
      </c>
      <c r="D10302">
        <f t="shared" si="339"/>
        <v>-5.8487908827282442E-2</v>
      </c>
    </row>
    <row r="10303" spans="1:4">
      <c r="A10303" s="1">
        <v>33228</v>
      </c>
      <c r="B10303">
        <v>331.75</v>
      </c>
      <c r="C10303">
        <f t="shared" si="340"/>
        <v>4.9375984490488169E-3</v>
      </c>
      <c r="D10303">
        <f t="shared" si="339"/>
        <v>0.48850522091282611</v>
      </c>
    </row>
    <row r="10304" spans="1:4">
      <c r="A10304" s="1">
        <v>33231</v>
      </c>
      <c r="B10304">
        <v>329.9</v>
      </c>
      <c r="C10304">
        <f t="shared" si="340"/>
        <v>-5.5764883195177778E-3</v>
      </c>
      <c r="D10304">
        <f t="shared" si="339"/>
        <v>-0.62177876793606623</v>
      </c>
    </row>
    <row r="10305" spans="1:4">
      <c r="A10305" s="1">
        <v>33233</v>
      </c>
      <c r="B10305">
        <v>330.85</v>
      </c>
      <c r="C10305">
        <f t="shared" si="340"/>
        <v>2.8796605031829207E-3</v>
      </c>
      <c r="D10305">
        <f t="shared" si="339"/>
        <v>0.27118767335648364</v>
      </c>
    </row>
    <row r="10306" spans="1:4">
      <c r="A10306" s="1">
        <v>33234</v>
      </c>
      <c r="B10306">
        <v>328.29</v>
      </c>
      <c r="C10306">
        <f t="shared" si="340"/>
        <v>-7.7376454586670761E-3</v>
      </c>
      <c r="D10306">
        <f t="shared" si="339"/>
        <v>-0.84999622721722745</v>
      </c>
    </row>
    <row r="10307" spans="1:4">
      <c r="A10307" s="1">
        <v>33235</v>
      </c>
      <c r="B10307">
        <v>328.72</v>
      </c>
      <c r="C10307">
        <f t="shared" si="340"/>
        <v>1.3098175393706992E-3</v>
      </c>
      <c r="D10307">
        <f t="shared" ref="D10307:D10370" si="341">(C10307-avg)/sd</f>
        <v>0.10541278999346346</v>
      </c>
    </row>
    <row r="10308" spans="1:4">
      <c r="A10308" s="1">
        <v>33238</v>
      </c>
      <c r="B10308">
        <v>330.22</v>
      </c>
      <c r="C10308">
        <f t="shared" ref="C10308:C10371" si="342">(B10308-B10307)/B10307</f>
        <v>4.5631540520807978E-3</v>
      </c>
      <c r="D10308">
        <f t="shared" si="341"/>
        <v>0.44896401987283807</v>
      </c>
    </row>
    <row r="10309" spans="1:4">
      <c r="A10309" s="1">
        <v>33240</v>
      </c>
      <c r="B10309">
        <v>326.45</v>
      </c>
      <c r="C10309">
        <f t="shared" si="342"/>
        <v>-1.1416631336684751E-2</v>
      </c>
      <c r="D10309">
        <f t="shared" si="341"/>
        <v>-1.238495885387833</v>
      </c>
    </row>
    <row r="10310" spans="1:4">
      <c r="A10310" s="1">
        <v>33241</v>
      </c>
      <c r="B10310">
        <v>321.91000000000003</v>
      </c>
      <c r="C10310">
        <f t="shared" si="342"/>
        <v>-1.3907183335885935E-2</v>
      </c>
      <c r="D10310">
        <f t="shared" si="341"/>
        <v>-1.5014973299237202</v>
      </c>
    </row>
    <row r="10311" spans="1:4">
      <c r="A10311" s="1">
        <v>33242</v>
      </c>
      <c r="B10311">
        <v>321</v>
      </c>
      <c r="C10311">
        <f t="shared" si="342"/>
        <v>-2.8268770774440835E-3</v>
      </c>
      <c r="D10311">
        <f t="shared" si="341"/>
        <v>-0.33142075541135696</v>
      </c>
    </row>
    <row r="10312" spans="1:4">
      <c r="A10312" s="1">
        <v>33245</v>
      </c>
      <c r="B10312">
        <v>315.44</v>
      </c>
      <c r="C10312">
        <f t="shared" si="342"/>
        <v>-1.732087227414331E-2</v>
      </c>
      <c r="D10312">
        <f t="shared" si="341"/>
        <v>-1.8619817214344496</v>
      </c>
    </row>
    <row r="10313" spans="1:4">
      <c r="A10313" s="1">
        <v>33246</v>
      </c>
      <c r="B10313">
        <v>314.89999999999998</v>
      </c>
      <c r="C10313">
        <f t="shared" si="342"/>
        <v>-1.7118944965762758E-3</v>
      </c>
      <c r="D10313">
        <f t="shared" si="341"/>
        <v>-0.21367897387271043</v>
      </c>
    </row>
    <row r="10314" spans="1:4">
      <c r="A10314" s="1">
        <v>33247</v>
      </c>
      <c r="B10314">
        <v>311.49</v>
      </c>
      <c r="C10314">
        <f t="shared" si="342"/>
        <v>-1.0828834550650901E-2</v>
      </c>
      <c r="D10314">
        <f t="shared" si="341"/>
        <v>-1.1764247445844938</v>
      </c>
    </row>
    <row r="10315" spans="1:4">
      <c r="A10315" s="1">
        <v>33248</v>
      </c>
      <c r="B10315">
        <v>314.52999999999997</v>
      </c>
      <c r="C10315">
        <f t="shared" si="342"/>
        <v>9.7595428424667365E-3</v>
      </c>
      <c r="D10315">
        <f t="shared" si="341"/>
        <v>0.99770090979922144</v>
      </c>
    </row>
    <row r="10316" spans="1:4">
      <c r="A10316" s="1">
        <v>33249</v>
      </c>
      <c r="B10316">
        <v>315.23</v>
      </c>
      <c r="C10316">
        <f t="shared" si="342"/>
        <v>2.2255428734939292E-3</v>
      </c>
      <c r="D10316">
        <f t="shared" si="341"/>
        <v>0.20211307400671163</v>
      </c>
    </row>
    <row r="10317" spans="1:4">
      <c r="A10317" s="1">
        <v>33252</v>
      </c>
      <c r="B10317">
        <v>312.49</v>
      </c>
      <c r="C10317">
        <f t="shared" si="342"/>
        <v>-8.6920661104590586E-3</v>
      </c>
      <c r="D10317">
        <f t="shared" si="341"/>
        <v>-0.95078272362311833</v>
      </c>
    </row>
    <row r="10318" spans="1:4">
      <c r="A10318" s="1">
        <v>33253</v>
      </c>
      <c r="B10318">
        <v>313.73</v>
      </c>
      <c r="C10318">
        <f t="shared" si="342"/>
        <v>3.9681269800633913E-3</v>
      </c>
      <c r="D10318">
        <f t="shared" si="341"/>
        <v>0.38612936332732906</v>
      </c>
    </row>
    <row r="10319" spans="1:4">
      <c r="A10319" s="1">
        <v>33254</v>
      </c>
      <c r="B10319">
        <v>316.17</v>
      </c>
      <c r="C10319">
        <f t="shared" si="342"/>
        <v>7.7773882000446168E-3</v>
      </c>
      <c r="D10319">
        <f t="shared" si="341"/>
        <v>0.7883860533265451</v>
      </c>
    </row>
    <row r="10320" spans="1:4">
      <c r="A10320" s="1">
        <v>33255</v>
      </c>
      <c r="B10320">
        <v>327.97</v>
      </c>
      <c r="C10320">
        <f t="shared" si="342"/>
        <v>3.7321694025366135E-2</v>
      </c>
      <c r="D10320">
        <f t="shared" si="341"/>
        <v>3.9082547058830031</v>
      </c>
    </row>
    <row r="10321" spans="1:4">
      <c r="A10321" s="1">
        <v>33256</v>
      </c>
      <c r="B10321">
        <v>332.23</v>
      </c>
      <c r="C10321">
        <f t="shared" si="342"/>
        <v>1.2988992895691651E-2</v>
      </c>
      <c r="D10321">
        <f t="shared" si="341"/>
        <v>1.3387297376763627</v>
      </c>
    </row>
    <row r="10322" spans="1:4">
      <c r="A10322" s="1">
        <v>33259</v>
      </c>
      <c r="B10322">
        <v>331.06</v>
      </c>
      <c r="C10322">
        <f t="shared" si="342"/>
        <v>-3.5216566836228391E-3</v>
      </c>
      <c r="D10322">
        <f t="shared" si="341"/>
        <v>-0.40478924565677066</v>
      </c>
    </row>
    <row r="10323" spans="1:4">
      <c r="A10323" s="1">
        <v>33260</v>
      </c>
      <c r="B10323">
        <v>328.31</v>
      </c>
      <c r="C10323">
        <f t="shared" si="342"/>
        <v>-8.306651362290824E-3</v>
      </c>
      <c r="D10323">
        <f t="shared" si="341"/>
        <v>-0.91008305722539107</v>
      </c>
    </row>
    <row r="10324" spans="1:4">
      <c r="A10324" s="1">
        <v>33261</v>
      </c>
      <c r="B10324">
        <v>330.21</v>
      </c>
      <c r="C10324">
        <f t="shared" si="342"/>
        <v>5.7872133044987277E-3</v>
      </c>
      <c r="D10324">
        <f t="shared" si="341"/>
        <v>0.57822426085021539</v>
      </c>
    </row>
    <row r="10325" spans="1:4">
      <c r="A10325" s="1">
        <v>33262</v>
      </c>
      <c r="B10325">
        <v>334.78</v>
      </c>
      <c r="C10325">
        <f t="shared" si="342"/>
        <v>1.3839677780806133E-2</v>
      </c>
      <c r="D10325">
        <f t="shared" si="341"/>
        <v>1.4285617723826098</v>
      </c>
    </row>
    <row r="10326" spans="1:4">
      <c r="A10326" s="1">
        <v>33263</v>
      </c>
      <c r="B10326">
        <v>336.07</v>
      </c>
      <c r="C10326">
        <f t="shared" si="342"/>
        <v>3.8532767787801559E-3</v>
      </c>
      <c r="D10326">
        <f t="shared" si="341"/>
        <v>0.37400122111129963</v>
      </c>
    </row>
    <row r="10327" spans="1:4">
      <c r="A10327" s="1">
        <v>33266</v>
      </c>
      <c r="B10327">
        <v>336.03</v>
      </c>
      <c r="C10327">
        <f t="shared" si="342"/>
        <v>-1.1902282262629948E-4</v>
      </c>
      <c r="D10327">
        <f t="shared" si="341"/>
        <v>-4.5472266546982269E-2</v>
      </c>
    </row>
    <row r="10328" spans="1:4">
      <c r="A10328" s="1">
        <v>33267</v>
      </c>
      <c r="B10328">
        <v>335.84</v>
      </c>
      <c r="C10328">
        <f t="shared" si="342"/>
        <v>-5.6542570603814466E-4</v>
      </c>
      <c r="D10328">
        <f t="shared" si="341"/>
        <v>-9.2612259295560384E-2</v>
      </c>
    </row>
    <row r="10329" spans="1:4">
      <c r="A10329" s="1">
        <v>33268</v>
      </c>
      <c r="B10329">
        <v>340.91</v>
      </c>
      <c r="C10329">
        <f t="shared" si="342"/>
        <v>1.5096474511672375E-2</v>
      </c>
      <c r="D10329">
        <f t="shared" si="341"/>
        <v>1.5612790799561194</v>
      </c>
    </row>
    <row r="10330" spans="1:4">
      <c r="A10330" s="1">
        <v>33269</v>
      </c>
      <c r="B10330">
        <v>343.93</v>
      </c>
      <c r="C10330">
        <f t="shared" si="342"/>
        <v>8.8586430436184971E-3</v>
      </c>
      <c r="D10330">
        <f t="shared" si="341"/>
        <v>0.90256619727156795</v>
      </c>
    </row>
    <row r="10331" spans="1:4">
      <c r="A10331" s="1">
        <v>33270</v>
      </c>
      <c r="B10331">
        <v>343.05</v>
      </c>
      <c r="C10331">
        <f t="shared" si="342"/>
        <v>-2.558660192481015E-3</v>
      </c>
      <c r="D10331">
        <f t="shared" si="341"/>
        <v>-0.30309714353060591</v>
      </c>
    </row>
    <row r="10332" spans="1:4">
      <c r="A10332" s="1">
        <v>33273</v>
      </c>
      <c r="B10332">
        <v>348.34</v>
      </c>
      <c r="C10332">
        <f t="shared" si="342"/>
        <v>1.5420492639556809E-2</v>
      </c>
      <c r="D10332">
        <f t="shared" si="341"/>
        <v>1.5954952841216026</v>
      </c>
    </row>
    <row r="10333" spans="1:4">
      <c r="A10333" s="1">
        <v>33274</v>
      </c>
      <c r="B10333">
        <v>351.26</v>
      </c>
      <c r="C10333">
        <f t="shared" si="342"/>
        <v>8.382614686800299E-3</v>
      </c>
      <c r="D10333">
        <f t="shared" si="341"/>
        <v>0.85229776460146667</v>
      </c>
    </row>
    <row r="10334" spans="1:4">
      <c r="A10334" s="1">
        <v>33275</v>
      </c>
      <c r="B10334">
        <v>358.07</v>
      </c>
      <c r="C10334">
        <f t="shared" si="342"/>
        <v>1.9387348402892451E-2</v>
      </c>
      <c r="D10334">
        <f t="shared" si="341"/>
        <v>2.0143939043300567</v>
      </c>
    </row>
    <row r="10335" spans="1:4">
      <c r="A10335" s="1">
        <v>33276</v>
      </c>
      <c r="B10335">
        <v>356.52</v>
      </c>
      <c r="C10335">
        <f t="shared" si="342"/>
        <v>-4.3287625324657511E-3</v>
      </c>
      <c r="D10335">
        <f t="shared" si="341"/>
        <v>-0.49001934894597426</v>
      </c>
    </row>
    <row r="10336" spans="1:4">
      <c r="A10336" s="1">
        <v>33277</v>
      </c>
      <c r="B10336">
        <v>359.35</v>
      </c>
      <c r="C10336">
        <f t="shared" si="342"/>
        <v>7.9378435992371842E-3</v>
      </c>
      <c r="D10336">
        <f t="shared" si="341"/>
        <v>0.80533008893984004</v>
      </c>
    </row>
    <row r="10337" spans="1:4">
      <c r="A10337" s="1">
        <v>33280</v>
      </c>
      <c r="B10337">
        <v>368.58</v>
      </c>
      <c r="C10337">
        <f t="shared" si="342"/>
        <v>2.5685265061917241E-2</v>
      </c>
      <c r="D10337">
        <f t="shared" si="341"/>
        <v>2.6794517627571879</v>
      </c>
    </row>
    <row r="10338" spans="1:4">
      <c r="A10338" s="1">
        <v>33281</v>
      </c>
      <c r="B10338">
        <v>365.5</v>
      </c>
      <c r="C10338">
        <f t="shared" si="342"/>
        <v>-8.3563948125236973E-3</v>
      </c>
      <c r="D10338">
        <f t="shared" si="341"/>
        <v>-0.91533594866136214</v>
      </c>
    </row>
    <row r="10339" spans="1:4">
      <c r="A10339" s="1">
        <v>33282</v>
      </c>
      <c r="B10339">
        <v>369.02</v>
      </c>
      <c r="C10339">
        <f t="shared" si="342"/>
        <v>9.6306429548563121E-3</v>
      </c>
      <c r="D10339">
        <f t="shared" si="341"/>
        <v>0.98408912548276128</v>
      </c>
    </row>
    <row r="10340" spans="1:4">
      <c r="A10340" s="1">
        <v>33283</v>
      </c>
      <c r="B10340">
        <v>364.22</v>
      </c>
      <c r="C10340">
        <f t="shared" si="342"/>
        <v>-1.3007425071811704E-2</v>
      </c>
      <c r="D10340">
        <f t="shared" si="341"/>
        <v>-1.4064831630801755</v>
      </c>
    </row>
    <row r="10341" spans="1:4">
      <c r="A10341" s="1">
        <v>33284</v>
      </c>
      <c r="B10341">
        <v>369.06</v>
      </c>
      <c r="C10341">
        <f t="shared" si="342"/>
        <v>1.3288671681950399E-2</v>
      </c>
      <c r="D10341">
        <f t="shared" si="341"/>
        <v>1.3703757156395178</v>
      </c>
    </row>
    <row r="10342" spans="1:4">
      <c r="A10342" s="1">
        <v>33288</v>
      </c>
      <c r="B10342">
        <v>369.39</v>
      </c>
      <c r="C10342">
        <f t="shared" si="342"/>
        <v>8.9416355064212891E-4</v>
      </c>
      <c r="D10342">
        <f t="shared" si="341"/>
        <v>6.1519870071382016E-2</v>
      </c>
    </row>
    <row r="10343" spans="1:4">
      <c r="A10343" s="1">
        <v>33289</v>
      </c>
      <c r="B10343">
        <v>365.14</v>
      </c>
      <c r="C10343">
        <f t="shared" si="342"/>
        <v>-1.1505454939224127E-2</v>
      </c>
      <c r="D10343">
        <f t="shared" si="341"/>
        <v>-1.2478756276233816</v>
      </c>
    </row>
    <row r="10344" spans="1:4">
      <c r="A10344" s="1">
        <v>33290</v>
      </c>
      <c r="B10344">
        <v>364.97</v>
      </c>
      <c r="C10344">
        <f t="shared" si="342"/>
        <v>-4.6557484800339343E-4</v>
      </c>
      <c r="D10344">
        <f t="shared" si="341"/>
        <v>-8.2068042628046414E-2</v>
      </c>
    </row>
    <row r="10345" spans="1:4">
      <c r="A10345" s="1">
        <v>33291</v>
      </c>
      <c r="B10345">
        <v>365.65</v>
      </c>
      <c r="C10345">
        <f t="shared" si="342"/>
        <v>1.8631668356301886E-3</v>
      </c>
      <c r="D10345">
        <f t="shared" si="341"/>
        <v>0.16384628758590081</v>
      </c>
    </row>
    <row r="10346" spans="1:4">
      <c r="A10346" s="1">
        <v>33294</v>
      </c>
      <c r="B10346">
        <v>367.26</v>
      </c>
      <c r="C10346">
        <f t="shared" si="342"/>
        <v>4.4031177355394876E-3</v>
      </c>
      <c r="D10346">
        <f t="shared" si="341"/>
        <v>0.43206423924506282</v>
      </c>
    </row>
    <row r="10347" spans="1:4">
      <c r="A10347" s="1">
        <v>33295</v>
      </c>
      <c r="B10347">
        <v>362.81</v>
      </c>
      <c r="C10347">
        <f t="shared" si="342"/>
        <v>-1.2116756521265558E-2</v>
      </c>
      <c r="D10347">
        <f t="shared" si="341"/>
        <v>-1.3124288668954529</v>
      </c>
    </row>
    <row r="10348" spans="1:4">
      <c r="A10348" s="1">
        <v>33296</v>
      </c>
      <c r="B10348">
        <v>367.74</v>
      </c>
      <c r="C10348">
        <f t="shared" si="342"/>
        <v>1.3588379592624258E-2</v>
      </c>
      <c r="D10348">
        <f t="shared" si="341"/>
        <v>1.4020247691310084</v>
      </c>
    </row>
    <row r="10349" spans="1:4">
      <c r="A10349" s="1">
        <v>33297</v>
      </c>
      <c r="B10349">
        <v>367.07</v>
      </c>
      <c r="C10349">
        <f t="shared" si="342"/>
        <v>-1.8219394137162558E-3</v>
      </c>
      <c r="D10349">
        <f t="shared" si="341"/>
        <v>-0.2252996797166075</v>
      </c>
    </row>
    <row r="10350" spans="1:4">
      <c r="A10350" s="1">
        <v>33298</v>
      </c>
      <c r="B10350">
        <v>370.47</v>
      </c>
      <c r="C10350">
        <f t="shared" si="342"/>
        <v>9.262538480398928E-3</v>
      </c>
      <c r="D10350">
        <f t="shared" si="341"/>
        <v>0.94521741810485194</v>
      </c>
    </row>
    <row r="10351" spans="1:4">
      <c r="A10351" s="1">
        <v>33301</v>
      </c>
      <c r="B10351">
        <v>369.33</v>
      </c>
      <c r="C10351">
        <f t="shared" si="342"/>
        <v>-3.0771722406673771E-3</v>
      </c>
      <c r="D10351">
        <f t="shared" si="341"/>
        <v>-0.35785183956827699</v>
      </c>
    </row>
    <row r="10352" spans="1:4">
      <c r="A10352" s="1">
        <v>33302</v>
      </c>
      <c r="B10352">
        <v>376.72</v>
      </c>
      <c r="C10352">
        <f t="shared" si="342"/>
        <v>2.0009205859258774E-2</v>
      </c>
      <c r="D10352">
        <f t="shared" si="341"/>
        <v>2.0800618403427209</v>
      </c>
    </row>
    <row r="10353" spans="1:4">
      <c r="A10353" s="1">
        <v>33303</v>
      </c>
      <c r="B10353">
        <v>376.17</v>
      </c>
      <c r="C10353">
        <f t="shared" si="342"/>
        <v>-1.4599702696963563E-3</v>
      </c>
      <c r="D10353">
        <f t="shared" si="341"/>
        <v>-0.18707586114739633</v>
      </c>
    </row>
    <row r="10354" spans="1:4">
      <c r="A10354" s="1">
        <v>33304</v>
      </c>
      <c r="B10354">
        <v>375.91</v>
      </c>
      <c r="C10354">
        <f t="shared" si="342"/>
        <v>-6.9117686152534992E-4</v>
      </c>
      <c r="D10354">
        <f t="shared" si="341"/>
        <v>-0.10589153857011464</v>
      </c>
    </row>
    <row r="10355" spans="1:4">
      <c r="A10355" s="1">
        <v>33305</v>
      </c>
      <c r="B10355">
        <v>374.95</v>
      </c>
      <c r="C10355">
        <f t="shared" si="342"/>
        <v>-2.5538027719401888E-3</v>
      </c>
      <c r="D10355">
        <f t="shared" si="341"/>
        <v>-0.30258420157261212</v>
      </c>
    </row>
    <row r="10356" spans="1:4">
      <c r="A10356" s="1">
        <v>33308</v>
      </c>
      <c r="B10356">
        <v>372.96</v>
      </c>
      <c r="C10356">
        <f t="shared" si="342"/>
        <v>-5.307374316575568E-3</v>
      </c>
      <c r="D10356">
        <f t="shared" si="341"/>
        <v>-0.59336042070166306</v>
      </c>
    </row>
    <row r="10357" spans="1:4">
      <c r="A10357" s="1">
        <v>33309</v>
      </c>
      <c r="B10357">
        <v>370.03</v>
      </c>
      <c r="C10357">
        <f t="shared" si="342"/>
        <v>-7.8560703560703743E-3</v>
      </c>
      <c r="D10357">
        <f t="shared" si="341"/>
        <v>-0.86250185612843722</v>
      </c>
    </row>
    <row r="10358" spans="1:4">
      <c r="A10358" s="1">
        <v>33310</v>
      </c>
      <c r="B10358">
        <v>374.57</v>
      </c>
      <c r="C10358">
        <f t="shared" si="342"/>
        <v>1.2269275464151611E-2</v>
      </c>
      <c r="D10358">
        <f t="shared" si="341"/>
        <v>1.2627278215495761</v>
      </c>
    </row>
    <row r="10359" spans="1:4">
      <c r="A10359" s="1">
        <v>33311</v>
      </c>
      <c r="B10359">
        <v>373.5</v>
      </c>
      <c r="C10359">
        <f t="shared" si="342"/>
        <v>-2.8566089115518948E-3</v>
      </c>
      <c r="D10359">
        <f t="shared" si="341"/>
        <v>-0.33456042698680039</v>
      </c>
    </row>
    <row r="10360" spans="1:4">
      <c r="A10360" s="1">
        <v>33312</v>
      </c>
      <c r="B10360">
        <v>373.59</v>
      </c>
      <c r="C10360">
        <f t="shared" si="342"/>
        <v>2.4096385542161979E-4</v>
      </c>
      <c r="D10360">
        <f t="shared" si="341"/>
        <v>-7.4577957105392912E-3</v>
      </c>
    </row>
    <row r="10361" spans="1:4">
      <c r="A10361" s="1">
        <v>33315</v>
      </c>
      <c r="B10361">
        <v>372.11</v>
      </c>
      <c r="C10361">
        <f t="shared" si="342"/>
        <v>-3.9615621403141449E-3</v>
      </c>
      <c r="D10361">
        <f t="shared" si="341"/>
        <v>-0.45124311235224251</v>
      </c>
    </row>
    <row r="10362" spans="1:4">
      <c r="A10362" s="1">
        <v>33316</v>
      </c>
      <c r="B10362">
        <v>366.59</v>
      </c>
      <c r="C10362">
        <f t="shared" si="342"/>
        <v>-1.4834323184004834E-2</v>
      </c>
      <c r="D10362">
        <f t="shared" si="341"/>
        <v>-1.5994029827349292</v>
      </c>
    </row>
    <row r="10363" spans="1:4">
      <c r="A10363" s="1">
        <v>33317</v>
      </c>
      <c r="B10363">
        <v>367.92</v>
      </c>
      <c r="C10363">
        <f t="shared" si="342"/>
        <v>3.6280313156388366E-3</v>
      </c>
      <c r="D10363">
        <f t="shared" si="341"/>
        <v>0.35021537676822934</v>
      </c>
    </row>
    <row r="10364" spans="1:4">
      <c r="A10364" s="1">
        <v>33318</v>
      </c>
      <c r="B10364">
        <v>366.58</v>
      </c>
      <c r="C10364">
        <f t="shared" si="342"/>
        <v>-3.642096107849619E-3</v>
      </c>
      <c r="D10364">
        <f t="shared" si="341"/>
        <v>-0.41750760791576919</v>
      </c>
    </row>
    <row r="10365" spans="1:4">
      <c r="A10365" s="1">
        <v>33319</v>
      </c>
      <c r="B10365">
        <v>367.48</v>
      </c>
      <c r="C10365">
        <f t="shared" si="342"/>
        <v>2.4551257569972017E-3</v>
      </c>
      <c r="D10365">
        <f t="shared" si="341"/>
        <v>0.22635694846564341</v>
      </c>
    </row>
    <row r="10366" spans="1:4">
      <c r="A10366" s="1">
        <v>33322</v>
      </c>
      <c r="B10366">
        <v>369.83</v>
      </c>
      <c r="C10366">
        <f t="shared" si="342"/>
        <v>6.3949058452159729E-3</v>
      </c>
      <c r="D10366">
        <f t="shared" si="341"/>
        <v>0.64239638658522547</v>
      </c>
    </row>
    <row r="10367" spans="1:4">
      <c r="A10367" s="1">
        <v>33323</v>
      </c>
      <c r="B10367">
        <v>376.3</v>
      </c>
      <c r="C10367">
        <f t="shared" si="342"/>
        <v>1.7494524511262006E-2</v>
      </c>
      <c r="D10367">
        <f t="shared" si="341"/>
        <v>1.8145123447759839</v>
      </c>
    </row>
    <row r="10368" spans="1:4">
      <c r="A10368" s="1">
        <v>33324</v>
      </c>
      <c r="B10368">
        <v>375.35</v>
      </c>
      <c r="C10368">
        <f t="shared" si="342"/>
        <v>-2.5245814509699403E-3</v>
      </c>
      <c r="D10368">
        <f t="shared" si="341"/>
        <v>-0.29949844001096348</v>
      </c>
    </row>
    <row r="10369" spans="1:4">
      <c r="A10369" s="1">
        <v>33325</v>
      </c>
      <c r="B10369">
        <v>375.22</v>
      </c>
      <c r="C10369">
        <f t="shared" si="342"/>
        <v>-3.4634341281469415E-4</v>
      </c>
      <c r="D10369">
        <f t="shared" si="341"/>
        <v>-6.9477243600853777E-2</v>
      </c>
    </row>
    <row r="10370" spans="1:4">
      <c r="A10370" s="1">
        <v>33329</v>
      </c>
      <c r="B10370">
        <v>371.3</v>
      </c>
      <c r="C10370">
        <f t="shared" si="342"/>
        <v>-1.0447204306806715E-2</v>
      </c>
      <c r="D10370">
        <f t="shared" si="341"/>
        <v>-1.1361247205569707</v>
      </c>
    </row>
    <row r="10371" spans="1:4">
      <c r="A10371" s="1">
        <v>33330</v>
      </c>
      <c r="B10371">
        <v>379.5</v>
      </c>
      <c r="C10371">
        <f t="shared" si="342"/>
        <v>2.2084567734985155E-2</v>
      </c>
      <c r="D10371">
        <f t="shared" ref="D10371:D10434" si="343">(C10371-avg)/sd</f>
        <v>2.2992193489696491</v>
      </c>
    </row>
    <row r="10372" spans="1:4">
      <c r="A10372" s="1">
        <v>33331</v>
      </c>
      <c r="B10372">
        <v>378.94</v>
      </c>
      <c r="C10372">
        <f t="shared" ref="C10372:C10435" si="344">(B10372-B10371)/B10371</f>
        <v>-1.4756258234519164E-3</v>
      </c>
      <c r="D10372">
        <f t="shared" si="343"/>
        <v>-0.18872908230240218</v>
      </c>
    </row>
    <row r="10373" spans="1:4">
      <c r="A10373" s="1">
        <v>33332</v>
      </c>
      <c r="B10373">
        <v>379.77</v>
      </c>
      <c r="C10373">
        <f t="shared" si="344"/>
        <v>2.1903203673404341E-3</v>
      </c>
      <c r="D10373">
        <f t="shared" si="343"/>
        <v>0.19839358932961412</v>
      </c>
    </row>
    <row r="10374" spans="1:4">
      <c r="A10374" s="1">
        <v>33333</v>
      </c>
      <c r="B10374">
        <v>375.36</v>
      </c>
      <c r="C10374">
        <f t="shared" si="344"/>
        <v>-1.1612291650209255E-2</v>
      </c>
      <c r="D10374">
        <f t="shared" si="343"/>
        <v>-1.2591575479878485</v>
      </c>
    </row>
    <row r="10375" spans="1:4">
      <c r="A10375" s="1">
        <v>33336</v>
      </c>
      <c r="B10375">
        <v>378.66</v>
      </c>
      <c r="C10375">
        <f t="shared" si="344"/>
        <v>8.7915601023018201E-3</v>
      </c>
      <c r="D10375">
        <f t="shared" si="343"/>
        <v>0.89548226147112653</v>
      </c>
    </row>
    <row r="10376" spans="1:4">
      <c r="A10376" s="1">
        <v>33337</v>
      </c>
      <c r="B10376">
        <v>373.56</v>
      </c>
      <c r="C10376">
        <f t="shared" si="344"/>
        <v>-1.3468546981461001E-2</v>
      </c>
      <c r="D10376">
        <f t="shared" si="343"/>
        <v>-1.4551774799961885</v>
      </c>
    </row>
    <row r="10377" spans="1:4">
      <c r="A10377" s="1">
        <v>33338</v>
      </c>
      <c r="B10377">
        <v>373.15</v>
      </c>
      <c r="C10377">
        <f t="shared" si="344"/>
        <v>-1.0975479173359701E-3</v>
      </c>
      <c r="D10377">
        <f t="shared" si="343"/>
        <v>-0.14880418393148276</v>
      </c>
    </row>
    <row r="10378" spans="1:4">
      <c r="A10378" s="1">
        <v>33339</v>
      </c>
      <c r="B10378">
        <v>377.63</v>
      </c>
      <c r="C10378">
        <f t="shared" si="344"/>
        <v>1.200589575237845E-2</v>
      </c>
      <c r="D10378">
        <f t="shared" si="343"/>
        <v>1.2349150135134443</v>
      </c>
    </row>
    <row r="10379" spans="1:4">
      <c r="A10379" s="1">
        <v>33340</v>
      </c>
      <c r="B10379">
        <v>380.4</v>
      </c>
      <c r="C10379">
        <f t="shared" si="344"/>
        <v>7.3352223075496695E-3</v>
      </c>
      <c r="D10379">
        <f t="shared" si="343"/>
        <v>0.74169348537856827</v>
      </c>
    </row>
    <row r="10380" spans="1:4">
      <c r="A10380" s="1">
        <v>33343</v>
      </c>
      <c r="B10380">
        <v>381.19</v>
      </c>
      <c r="C10380">
        <f t="shared" si="344"/>
        <v>2.0767613038906955E-3</v>
      </c>
      <c r="D10380">
        <f t="shared" si="343"/>
        <v>0.18640179082992289</v>
      </c>
    </row>
    <row r="10381" spans="1:4">
      <c r="A10381" s="1">
        <v>33344</v>
      </c>
      <c r="B10381">
        <v>387.62</v>
      </c>
      <c r="C10381">
        <f t="shared" si="344"/>
        <v>1.6868228442509004E-2</v>
      </c>
      <c r="D10381">
        <f t="shared" si="343"/>
        <v>1.7483756928040444</v>
      </c>
    </row>
    <row r="10382" spans="1:4">
      <c r="A10382" s="1">
        <v>33345</v>
      </c>
      <c r="B10382">
        <v>390.45</v>
      </c>
      <c r="C10382">
        <f t="shared" si="344"/>
        <v>7.3009648624941543E-3</v>
      </c>
      <c r="D10382">
        <f t="shared" si="343"/>
        <v>0.73807591082537716</v>
      </c>
    </row>
    <row r="10383" spans="1:4">
      <c r="A10383" s="1">
        <v>33346</v>
      </c>
      <c r="B10383">
        <v>388.46</v>
      </c>
      <c r="C10383">
        <f t="shared" si="344"/>
        <v>-5.0966833141247517E-3</v>
      </c>
      <c r="D10383">
        <f t="shared" si="343"/>
        <v>-0.57111152246020824</v>
      </c>
    </row>
    <row r="10384" spans="1:4">
      <c r="A10384" s="1">
        <v>33347</v>
      </c>
      <c r="B10384">
        <v>384.2</v>
      </c>
      <c r="C10384">
        <f t="shared" si="344"/>
        <v>-1.0966380064871521E-2</v>
      </c>
      <c r="D10384">
        <f t="shared" si="343"/>
        <v>-1.1909495041321994</v>
      </c>
    </row>
    <row r="10385" spans="1:4">
      <c r="A10385" s="1">
        <v>33350</v>
      </c>
      <c r="B10385">
        <v>380.95</v>
      </c>
      <c r="C10385">
        <f t="shared" si="344"/>
        <v>-8.4591358667360748E-3</v>
      </c>
      <c r="D10385">
        <f t="shared" si="343"/>
        <v>-0.92618536906280802</v>
      </c>
    </row>
    <row r="10386" spans="1:4">
      <c r="A10386" s="1">
        <v>33351</v>
      </c>
      <c r="B10386">
        <v>381.76</v>
      </c>
      <c r="C10386">
        <f t="shared" si="344"/>
        <v>2.1262632891455632E-3</v>
      </c>
      <c r="D10386">
        <f t="shared" si="343"/>
        <v>0.19162918364629458</v>
      </c>
    </row>
    <row r="10387" spans="1:4">
      <c r="A10387" s="1">
        <v>33352</v>
      </c>
      <c r="B10387">
        <v>382.76</v>
      </c>
      <c r="C10387">
        <f t="shared" si="344"/>
        <v>2.619446772841576E-3</v>
      </c>
      <c r="D10387">
        <f t="shared" si="343"/>
        <v>0.24370919188338216</v>
      </c>
    </row>
    <row r="10388" spans="1:4">
      <c r="A10388" s="1">
        <v>33353</v>
      </c>
      <c r="B10388">
        <v>379.25</v>
      </c>
      <c r="C10388">
        <f t="shared" si="344"/>
        <v>-9.1702372243703395E-3</v>
      </c>
      <c r="D10388">
        <f t="shared" si="343"/>
        <v>-1.0012774307138905</v>
      </c>
    </row>
    <row r="10389" spans="1:4">
      <c r="A10389" s="1">
        <v>33354</v>
      </c>
      <c r="B10389">
        <v>379.02</v>
      </c>
      <c r="C10389">
        <f t="shared" si="344"/>
        <v>-6.0646011865528857E-4</v>
      </c>
      <c r="D10389">
        <f t="shared" si="343"/>
        <v>-9.6945479319656219E-2</v>
      </c>
    </row>
    <row r="10390" spans="1:4">
      <c r="A10390" s="1">
        <v>33357</v>
      </c>
      <c r="B10390">
        <v>373.66</v>
      </c>
      <c r="C10390">
        <f t="shared" si="344"/>
        <v>-1.4141733945438122E-2</v>
      </c>
      <c r="D10390">
        <f t="shared" si="343"/>
        <v>-1.5262657945648053</v>
      </c>
    </row>
    <row r="10391" spans="1:4">
      <c r="A10391" s="1">
        <v>33358</v>
      </c>
      <c r="B10391">
        <v>375.34</v>
      </c>
      <c r="C10391">
        <f t="shared" si="344"/>
        <v>4.4960659423003528E-3</v>
      </c>
      <c r="D10391">
        <f t="shared" si="343"/>
        <v>0.44187953828437959</v>
      </c>
    </row>
    <row r="10392" spans="1:4">
      <c r="A10392" s="1">
        <v>33359</v>
      </c>
      <c r="B10392">
        <v>380.29</v>
      </c>
      <c r="C10392">
        <f t="shared" si="344"/>
        <v>1.3188042841157472E-2</v>
      </c>
      <c r="D10392">
        <f t="shared" si="343"/>
        <v>1.3597493442571895</v>
      </c>
    </row>
    <row r="10393" spans="1:4">
      <c r="A10393" s="1">
        <v>33360</v>
      </c>
      <c r="B10393">
        <v>380.52</v>
      </c>
      <c r="C10393">
        <f t="shared" si="344"/>
        <v>6.0480159877977682E-4</v>
      </c>
      <c r="D10393">
        <f t="shared" si="343"/>
        <v>3.0963346313624091E-2</v>
      </c>
    </row>
    <row r="10394" spans="1:4">
      <c r="A10394" s="1">
        <v>33361</v>
      </c>
      <c r="B10394">
        <v>380.8</v>
      </c>
      <c r="C10394">
        <f t="shared" si="344"/>
        <v>7.3583517292134337E-4</v>
      </c>
      <c r="D10394">
        <f t="shared" si="343"/>
        <v>4.4800447202497561E-2</v>
      </c>
    </row>
    <row r="10395" spans="1:4">
      <c r="A10395" s="1">
        <v>33364</v>
      </c>
      <c r="B10395">
        <v>380.08</v>
      </c>
      <c r="C10395">
        <f t="shared" si="344"/>
        <v>-1.89075630252108E-3</v>
      </c>
      <c r="D10395">
        <f t="shared" si="343"/>
        <v>-0.23256671978239987</v>
      </c>
    </row>
    <row r="10396" spans="1:4">
      <c r="A10396" s="1">
        <v>33365</v>
      </c>
      <c r="B10396">
        <v>377.32</v>
      </c>
      <c r="C10396">
        <f t="shared" si="344"/>
        <v>-7.2616291307093005E-3</v>
      </c>
      <c r="D10396">
        <f t="shared" si="343"/>
        <v>-0.79972906479069805</v>
      </c>
    </row>
    <row r="10397" spans="1:4">
      <c r="A10397" s="1">
        <v>33366</v>
      </c>
      <c r="B10397">
        <v>378.51</v>
      </c>
      <c r="C10397">
        <f t="shared" si="344"/>
        <v>3.153821689812355E-3</v>
      </c>
      <c r="D10397">
        <f t="shared" si="343"/>
        <v>0.30013900147263656</v>
      </c>
    </row>
    <row r="10398" spans="1:4">
      <c r="A10398" s="1">
        <v>33367</v>
      </c>
      <c r="B10398">
        <v>383.25</v>
      </c>
      <c r="C10398">
        <f t="shared" si="344"/>
        <v>1.2522786716335128E-2</v>
      </c>
      <c r="D10398">
        <f t="shared" si="343"/>
        <v>1.2894985236074938</v>
      </c>
    </row>
    <row r="10399" spans="1:4">
      <c r="A10399" s="1">
        <v>33368</v>
      </c>
      <c r="B10399">
        <v>375.74</v>
      </c>
      <c r="C10399">
        <f t="shared" si="344"/>
        <v>-1.9595564253098476E-2</v>
      </c>
      <c r="D10399">
        <f t="shared" si="343"/>
        <v>-2.1021884212067432</v>
      </c>
    </row>
    <row r="10400" spans="1:4">
      <c r="A10400" s="1">
        <v>33371</v>
      </c>
      <c r="B10400">
        <v>376.76</v>
      </c>
      <c r="C10400">
        <f t="shared" si="344"/>
        <v>2.7146431042741836E-3</v>
      </c>
      <c r="D10400">
        <f t="shared" si="343"/>
        <v>0.25376189212386024</v>
      </c>
    </row>
    <row r="10401" spans="1:4">
      <c r="A10401" s="1">
        <v>33372</v>
      </c>
      <c r="B10401">
        <v>371.62</v>
      </c>
      <c r="C10401">
        <f t="shared" si="344"/>
        <v>-1.3642637222635064E-2</v>
      </c>
      <c r="D10401">
        <f t="shared" si="343"/>
        <v>-1.4735613502880214</v>
      </c>
    </row>
    <row r="10402" spans="1:4">
      <c r="A10402" s="1">
        <v>33373</v>
      </c>
      <c r="B10402">
        <v>368.57</v>
      </c>
      <c r="C10402">
        <f t="shared" si="344"/>
        <v>-8.2073085409827551E-3</v>
      </c>
      <c r="D10402">
        <f t="shared" si="343"/>
        <v>-0.89959248906352463</v>
      </c>
    </row>
    <row r="10403" spans="1:4">
      <c r="A10403" s="1">
        <v>33374</v>
      </c>
      <c r="B10403">
        <v>372.19</v>
      </c>
      <c r="C10403">
        <f t="shared" si="344"/>
        <v>9.821743495129839E-3</v>
      </c>
      <c r="D10403">
        <f t="shared" si="343"/>
        <v>1.004269277577416</v>
      </c>
    </row>
    <row r="10404" spans="1:4">
      <c r="A10404" s="1">
        <v>33375</v>
      </c>
      <c r="B10404">
        <v>372.39</v>
      </c>
      <c r="C10404">
        <f t="shared" si="344"/>
        <v>5.3735995056285396E-4</v>
      </c>
      <c r="D10404">
        <f t="shared" si="343"/>
        <v>2.3841531186447114E-2</v>
      </c>
    </row>
    <row r="10405" spans="1:4">
      <c r="A10405" s="1">
        <v>33378</v>
      </c>
      <c r="B10405">
        <v>372.28</v>
      </c>
      <c r="C10405">
        <f t="shared" si="344"/>
        <v>-2.9538924246089756E-4</v>
      </c>
      <c r="D10405">
        <f t="shared" si="343"/>
        <v>-6.40965005316569E-2</v>
      </c>
    </row>
    <row r="10406" spans="1:4">
      <c r="A10406" s="1">
        <v>33379</v>
      </c>
      <c r="B10406">
        <v>375.35</v>
      </c>
      <c r="C10406">
        <f t="shared" si="344"/>
        <v>8.2464811432256639E-3</v>
      </c>
      <c r="D10406">
        <f t="shared" si="343"/>
        <v>0.83792210867402506</v>
      </c>
    </row>
    <row r="10407" spans="1:4">
      <c r="A10407" s="1">
        <v>33380</v>
      </c>
      <c r="B10407">
        <v>376.19</v>
      </c>
      <c r="C10407">
        <f t="shared" si="344"/>
        <v>2.2379112828026506E-3</v>
      </c>
      <c r="D10407">
        <f t="shared" si="343"/>
        <v>0.20341917382548602</v>
      </c>
    </row>
    <row r="10408" spans="1:4">
      <c r="A10408" s="1">
        <v>33381</v>
      </c>
      <c r="B10408">
        <v>374.96</v>
      </c>
      <c r="C10408">
        <f t="shared" si="344"/>
        <v>-3.2696243919296585E-3</v>
      </c>
      <c r="D10408">
        <f t="shared" si="343"/>
        <v>-0.37817472132390922</v>
      </c>
    </row>
    <row r="10409" spans="1:4">
      <c r="A10409" s="1">
        <v>33382</v>
      </c>
      <c r="B10409">
        <v>377.49</v>
      </c>
      <c r="C10409">
        <f t="shared" si="344"/>
        <v>6.7473863878814528E-3</v>
      </c>
      <c r="D10409">
        <f t="shared" si="343"/>
        <v>0.67961821207674222</v>
      </c>
    </row>
    <row r="10410" spans="1:4">
      <c r="A10410" s="1">
        <v>33386</v>
      </c>
      <c r="B10410">
        <v>381.94</v>
      </c>
      <c r="C10410">
        <f t="shared" si="344"/>
        <v>1.178839174547667E-2</v>
      </c>
      <c r="D10410">
        <f t="shared" si="343"/>
        <v>1.2119466643178205</v>
      </c>
    </row>
    <row r="10411" spans="1:4">
      <c r="A10411" s="1">
        <v>33387</v>
      </c>
      <c r="B10411">
        <v>382.79</v>
      </c>
      <c r="C10411">
        <f t="shared" si="344"/>
        <v>2.2254804419542932E-3</v>
      </c>
      <c r="D10411">
        <f t="shared" si="343"/>
        <v>0.20210648125734759</v>
      </c>
    </row>
    <row r="10412" spans="1:4">
      <c r="A10412" s="1">
        <v>33388</v>
      </c>
      <c r="B10412">
        <v>386.96</v>
      </c>
      <c r="C10412">
        <f t="shared" si="344"/>
        <v>1.0893701507353795E-2</v>
      </c>
      <c r="D10412">
        <f t="shared" si="343"/>
        <v>1.1174676792920333</v>
      </c>
    </row>
    <row r="10413" spans="1:4">
      <c r="A10413" s="1">
        <v>33389</v>
      </c>
      <c r="B10413">
        <v>389.83</v>
      </c>
      <c r="C10413">
        <f t="shared" si="344"/>
        <v>7.4167872648335867E-3</v>
      </c>
      <c r="D10413">
        <f t="shared" si="343"/>
        <v>0.75030671714247377</v>
      </c>
    </row>
    <row r="10414" spans="1:4">
      <c r="A10414" s="1">
        <v>33392</v>
      </c>
      <c r="B10414">
        <v>388.06</v>
      </c>
      <c r="C10414">
        <f t="shared" si="344"/>
        <v>-4.5404407049226122E-3</v>
      </c>
      <c r="D10414">
        <f t="shared" si="343"/>
        <v>-0.51237249200451196</v>
      </c>
    </row>
    <row r="10415" spans="1:4">
      <c r="A10415" s="1">
        <v>33393</v>
      </c>
      <c r="B10415">
        <v>387.74</v>
      </c>
      <c r="C10415">
        <f t="shared" si="344"/>
        <v>-8.2461475029632831E-4</v>
      </c>
      <c r="D10415">
        <f t="shared" si="343"/>
        <v>-0.11998253426658775</v>
      </c>
    </row>
    <row r="10416" spans="1:4">
      <c r="A10416" s="1">
        <v>33394</v>
      </c>
      <c r="B10416">
        <v>385.09</v>
      </c>
      <c r="C10416">
        <f t="shared" si="344"/>
        <v>-6.8344767111983137E-3</v>
      </c>
      <c r="D10416">
        <f t="shared" si="343"/>
        <v>-0.75462191448649996</v>
      </c>
    </row>
    <row r="10417" spans="1:4">
      <c r="A10417" s="1">
        <v>33395</v>
      </c>
      <c r="B10417">
        <v>383.63</v>
      </c>
      <c r="C10417">
        <f t="shared" si="344"/>
        <v>-3.7913215092575231E-3</v>
      </c>
      <c r="D10417">
        <f t="shared" si="343"/>
        <v>-0.43326575958026536</v>
      </c>
    </row>
    <row r="10418" spans="1:4">
      <c r="A10418" s="1">
        <v>33396</v>
      </c>
      <c r="B10418">
        <v>379.43</v>
      </c>
      <c r="C10418">
        <f t="shared" si="344"/>
        <v>-1.0948048901285062E-2</v>
      </c>
      <c r="D10418">
        <f t="shared" si="343"/>
        <v>-1.1890137394885345</v>
      </c>
    </row>
    <row r="10419" spans="1:4">
      <c r="A10419" s="1">
        <v>33399</v>
      </c>
      <c r="B10419">
        <v>378.57</v>
      </c>
      <c r="C10419">
        <f t="shared" si="344"/>
        <v>-2.2665577313338786E-3</v>
      </c>
      <c r="D10419">
        <f t="shared" si="343"/>
        <v>-0.27225122292391912</v>
      </c>
    </row>
    <row r="10420" spans="1:4">
      <c r="A10420" s="1">
        <v>33400</v>
      </c>
      <c r="B10420">
        <v>381.05</v>
      </c>
      <c r="C10420">
        <f t="shared" si="344"/>
        <v>6.5509681168608664E-3</v>
      </c>
      <c r="D10420">
        <f t="shared" si="343"/>
        <v>0.65887650942278253</v>
      </c>
    </row>
    <row r="10421" spans="1:4">
      <c r="A10421" s="1">
        <v>33401</v>
      </c>
      <c r="B10421">
        <v>376.65</v>
      </c>
      <c r="C10421">
        <f t="shared" si="344"/>
        <v>-1.1547041070725716E-2</v>
      </c>
      <c r="D10421">
        <f t="shared" si="343"/>
        <v>-1.2522671089741364</v>
      </c>
    </row>
    <row r="10422" spans="1:4">
      <c r="A10422" s="1">
        <v>33402</v>
      </c>
      <c r="B10422">
        <v>377.63</v>
      </c>
      <c r="C10422">
        <f t="shared" si="344"/>
        <v>2.6018850391610732E-3</v>
      </c>
      <c r="D10422">
        <f t="shared" si="343"/>
        <v>0.24185467877624439</v>
      </c>
    </row>
    <row r="10423" spans="1:4">
      <c r="A10423" s="1">
        <v>33403</v>
      </c>
      <c r="B10423">
        <v>382.29</v>
      </c>
      <c r="C10423">
        <f t="shared" si="344"/>
        <v>1.2340121282737137E-2</v>
      </c>
      <c r="D10423">
        <f t="shared" si="343"/>
        <v>1.2702091159105438</v>
      </c>
    </row>
    <row r="10424" spans="1:4">
      <c r="A10424" s="1">
        <v>33406</v>
      </c>
      <c r="B10424">
        <v>380.13</v>
      </c>
      <c r="C10424">
        <f t="shared" si="344"/>
        <v>-5.650160872636022E-3</v>
      </c>
      <c r="D10424">
        <f t="shared" si="343"/>
        <v>-0.62955856450283521</v>
      </c>
    </row>
    <row r="10425" spans="1:4">
      <c r="A10425" s="1">
        <v>33407</v>
      </c>
      <c r="B10425">
        <v>378.59</v>
      </c>
      <c r="C10425">
        <f t="shared" si="344"/>
        <v>-4.0512456264962526E-3</v>
      </c>
      <c r="D10425">
        <f t="shared" si="343"/>
        <v>-0.46071365800817493</v>
      </c>
    </row>
    <row r="10426" spans="1:4">
      <c r="A10426" s="1">
        <v>33408</v>
      </c>
      <c r="B10426">
        <v>375.09</v>
      </c>
      <c r="C10426">
        <f t="shared" si="344"/>
        <v>-9.2448294989302422E-3</v>
      </c>
      <c r="D10426">
        <f t="shared" si="343"/>
        <v>-1.0091543495522703</v>
      </c>
    </row>
    <row r="10427" spans="1:4">
      <c r="A10427" s="1">
        <v>33409</v>
      </c>
      <c r="B10427">
        <v>375.42</v>
      </c>
      <c r="C10427">
        <f t="shared" si="344"/>
        <v>8.7978885067594695E-4</v>
      </c>
      <c r="D10427">
        <f t="shared" si="343"/>
        <v>6.0001906641151126E-2</v>
      </c>
    </row>
    <row r="10428" spans="1:4">
      <c r="A10428" s="1">
        <v>33410</v>
      </c>
      <c r="B10428">
        <v>377.75</v>
      </c>
      <c r="C10428">
        <f t="shared" si="344"/>
        <v>6.206382185285771E-3</v>
      </c>
      <c r="D10428">
        <f t="shared" si="343"/>
        <v>0.62248835217890175</v>
      </c>
    </row>
    <row r="10429" spans="1:4">
      <c r="A10429" s="1">
        <v>33413</v>
      </c>
      <c r="B10429">
        <v>370.94</v>
      </c>
      <c r="C10429">
        <f t="shared" si="344"/>
        <v>-1.8027796161482468E-2</v>
      </c>
      <c r="D10429">
        <f t="shared" si="343"/>
        <v>-1.9366326436423602</v>
      </c>
    </row>
    <row r="10430" spans="1:4">
      <c r="A10430" s="1">
        <v>33414</v>
      </c>
      <c r="B10430">
        <v>370.65</v>
      </c>
      <c r="C10430">
        <f t="shared" si="344"/>
        <v>-7.8179759529848616E-4</v>
      </c>
      <c r="D10430">
        <f t="shared" si="343"/>
        <v>-0.11546105725307376</v>
      </c>
    </row>
    <row r="10431" spans="1:4">
      <c r="A10431" s="1">
        <v>33415</v>
      </c>
      <c r="B10431">
        <v>371.59</v>
      </c>
      <c r="C10431">
        <f t="shared" si="344"/>
        <v>2.5360852556319917E-3</v>
      </c>
      <c r="D10431">
        <f t="shared" si="343"/>
        <v>0.23490624400200655</v>
      </c>
    </row>
    <row r="10432" spans="1:4">
      <c r="A10432" s="1">
        <v>33416</v>
      </c>
      <c r="B10432">
        <v>374.4</v>
      </c>
      <c r="C10432">
        <f t="shared" si="344"/>
        <v>7.5620980112489642E-3</v>
      </c>
      <c r="D10432">
        <f t="shared" si="343"/>
        <v>0.76565148257041504</v>
      </c>
    </row>
    <row r="10433" spans="1:4">
      <c r="A10433" s="1">
        <v>33417</v>
      </c>
      <c r="B10433">
        <v>371.16</v>
      </c>
      <c r="C10433">
        <f t="shared" si="344"/>
        <v>-8.6538461538460277E-3</v>
      </c>
      <c r="D10433">
        <f t="shared" si="343"/>
        <v>-0.94674670919637671</v>
      </c>
    </row>
    <row r="10434" spans="1:4">
      <c r="A10434" s="1">
        <v>33420</v>
      </c>
      <c r="B10434">
        <v>377.92</v>
      </c>
      <c r="C10434">
        <f t="shared" si="344"/>
        <v>1.821316952257784E-2</v>
      </c>
      <c r="D10434">
        <f t="shared" si="343"/>
        <v>1.8904010136916278</v>
      </c>
    </row>
    <row r="10435" spans="1:4">
      <c r="A10435" s="1">
        <v>33421</v>
      </c>
      <c r="B10435">
        <v>377.47</v>
      </c>
      <c r="C10435">
        <f t="shared" si="344"/>
        <v>-1.1907281964436617E-3</v>
      </c>
      <c r="D10435">
        <f t="shared" ref="D10435:D10498" si="345">(C10435-avg)/sd</f>
        <v>-0.15864398973173921</v>
      </c>
    </row>
    <row r="10436" spans="1:4">
      <c r="A10436" s="1">
        <v>33422</v>
      </c>
      <c r="B10436">
        <v>373.33</v>
      </c>
      <c r="C10436">
        <f t="shared" ref="C10436:C10499" si="346">(B10436-B10435)/B10435</f>
        <v>-1.0967759027207574E-2</v>
      </c>
      <c r="D10436">
        <f t="shared" si="345"/>
        <v>-1.1910951220861543</v>
      </c>
    </row>
    <row r="10437" spans="1:4">
      <c r="A10437" s="1">
        <v>33424</v>
      </c>
      <c r="B10437">
        <v>374.08</v>
      </c>
      <c r="C10437">
        <f t="shared" si="346"/>
        <v>2.0089465084509686E-3</v>
      </c>
      <c r="D10437">
        <f t="shared" si="345"/>
        <v>0.17924057148285671</v>
      </c>
    </row>
    <row r="10438" spans="1:4">
      <c r="A10438" s="1">
        <v>33427</v>
      </c>
      <c r="B10438">
        <v>377.94</v>
      </c>
      <c r="C10438">
        <f t="shared" si="346"/>
        <v>1.031864841745085E-2</v>
      </c>
      <c r="D10438">
        <f t="shared" si="345"/>
        <v>1.0567422684683248</v>
      </c>
    </row>
    <row r="10439" spans="1:4">
      <c r="A10439" s="1">
        <v>33428</v>
      </c>
      <c r="B10439">
        <v>376.11</v>
      </c>
      <c r="C10439">
        <f t="shared" si="346"/>
        <v>-4.8420384187965919E-3</v>
      </c>
      <c r="D10439">
        <f t="shared" si="345"/>
        <v>-0.54422110807156021</v>
      </c>
    </row>
    <row r="10440" spans="1:4">
      <c r="A10440" s="1">
        <v>33429</v>
      </c>
      <c r="B10440">
        <v>375.74</v>
      </c>
      <c r="C10440">
        <f t="shared" si="346"/>
        <v>-9.8375475259898583E-4</v>
      </c>
      <c r="D10440">
        <f t="shared" si="345"/>
        <v>-0.1367876644154333</v>
      </c>
    </row>
    <row r="10441" spans="1:4">
      <c r="A10441" s="1">
        <v>33430</v>
      </c>
      <c r="B10441">
        <v>376.97</v>
      </c>
      <c r="C10441">
        <f t="shared" si="346"/>
        <v>3.2735402139777987E-3</v>
      </c>
      <c r="D10441">
        <f t="shared" si="345"/>
        <v>0.31278123693020382</v>
      </c>
    </row>
    <row r="10442" spans="1:4">
      <c r="A10442" s="1">
        <v>33431</v>
      </c>
      <c r="B10442">
        <v>380.25</v>
      </c>
      <c r="C10442">
        <f t="shared" si="346"/>
        <v>8.7009576358860717E-3</v>
      </c>
      <c r="D10442">
        <f t="shared" si="345"/>
        <v>0.88591467181489825</v>
      </c>
    </row>
    <row r="10443" spans="1:4">
      <c r="A10443" s="1">
        <v>33434</v>
      </c>
      <c r="B10443">
        <v>382.39</v>
      </c>
      <c r="C10443">
        <f t="shared" si="346"/>
        <v>5.6278763971071306E-3</v>
      </c>
      <c r="D10443">
        <f t="shared" si="345"/>
        <v>0.56139833759090907</v>
      </c>
    </row>
    <row r="10444" spans="1:4">
      <c r="A10444" s="1">
        <v>33435</v>
      </c>
      <c r="B10444">
        <v>381.54</v>
      </c>
      <c r="C10444">
        <f t="shared" si="346"/>
        <v>-2.2228614765029573E-3</v>
      </c>
      <c r="D10444">
        <f t="shared" si="345"/>
        <v>-0.26763691326685252</v>
      </c>
    </row>
    <row r="10445" spans="1:4">
      <c r="A10445" s="1">
        <v>33436</v>
      </c>
      <c r="B10445">
        <v>381.18</v>
      </c>
      <c r="C10445">
        <f t="shared" si="346"/>
        <v>-9.4354458248155793E-4</v>
      </c>
      <c r="D10445">
        <f t="shared" si="345"/>
        <v>-0.13254148411913383</v>
      </c>
    </row>
    <row r="10446" spans="1:4">
      <c r="A10446" s="1">
        <v>33437</v>
      </c>
      <c r="B10446">
        <v>385.37</v>
      </c>
      <c r="C10446">
        <f t="shared" si="346"/>
        <v>1.0992182171152731E-2</v>
      </c>
      <c r="D10446">
        <f t="shared" si="345"/>
        <v>1.1278672039139968</v>
      </c>
    </row>
    <row r="10447" spans="1:4">
      <c r="A10447" s="1">
        <v>33438</v>
      </c>
      <c r="B10447">
        <v>384.22</v>
      </c>
      <c r="C10447">
        <f t="shared" si="346"/>
        <v>-2.9841451072994195E-3</v>
      </c>
      <c r="D10447">
        <f t="shared" si="345"/>
        <v>-0.34802820590607969</v>
      </c>
    </row>
    <row r="10448" spans="1:4">
      <c r="A10448" s="1">
        <v>33441</v>
      </c>
      <c r="B10448">
        <v>382.88</v>
      </c>
      <c r="C10448">
        <f t="shared" si="346"/>
        <v>-3.4875852376243604E-3</v>
      </c>
      <c r="D10448">
        <f t="shared" si="345"/>
        <v>-0.4011913125407785</v>
      </c>
    </row>
    <row r="10449" spans="1:4">
      <c r="A10449" s="1">
        <v>33442</v>
      </c>
      <c r="B10449">
        <v>379.42</v>
      </c>
      <c r="C10449">
        <f t="shared" si="346"/>
        <v>-9.0367739239447849E-3</v>
      </c>
      <c r="D10449">
        <f t="shared" si="345"/>
        <v>-0.98718375155533211</v>
      </c>
    </row>
    <row r="10450" spans="1:4">
      <c r="A10450" s="1">
        <v>33443</v>
      </c>
      <c r="B10450">
        <v>378.64</v>
      </c>
      <c r="C10450">
        <f t="shared" si="346"/>
        <v>-2.0557693321386051E-3</v>
      </c>
      <c r="D10450">
        <f t="shared" si="345"/>
        <v>-0.24999203961935643</v>
      </c>
    </row>
    <row r="10451" spans="1:4">
      <c r="A10451" s="1">
        <v>33444</v>
      </c>
      <c r="B10451">
        <v>380.96</v>
      </c>
      <c r="C10451">
        <f t="shared" si="346"/>
        <v>6.127192055778558E-3</v>
      </c>
      <c r="D10451">
        <f t="shared" si="345"/>
        <v>0.6141259014209729</v>
      </c>
    </row>
    <row r="10452" spans="1:4">
      <c r="A10452" s="1">
        <v>33445</v>
      </c>
      <c r="B10452">
        <v>380.93</v>
      </c>
      <c r="C10452">
        <f t="shared" si="346"/>
        <v>-7.874842503142775E-5</v>
      </c>
      <c r="D10452">
        <f t="shared" si="345"/>
        <v>-4.121930385089672E-2</v>
      </c>
    </row>
    <row r="10453" spans="1:4">
      <c r="A10453" s="1">
        <v>33448</v>
      </c>
      <c r="B10453">
        <v>383.15</v>
      </c>
      <c r="C10453">
        <f t="shared" si="346"/>
        <v>5.8278423857400846E-3</v>
      </c>
      <c r="D10453">
        <f t="shared" si="345"/>
        <v>0.58251467801880696</v>
      </c>
    </row>
    <row r="10454" spans="1:4">
      <c r="A10454" s="1">
        <v>33449</v>
      </c>
      <c r="B10454">
        <v>386.69</v>
      </c>
      <c r="C10454">
        <f t="shared" si="346"/>
        <v>9.2392013571708752E-3</v>
      </c>
      <c r="D10454">
        <f t="shared" si="345"/>
        <v>0.94275302582464315</v>
      </c>
    </row>
    <row r="10455" spans="1:4">
      <c r="A10455" s="1">
        <v>33450</v>
      </c>
      <c r="B10455">
        <v>387.81</v>
      </c>
      <c r="C10455">
        <f t="shared" si="346"/>
        <v>2.8963769427707065E-3</v>
      </c>
      <c r="D10455">
        <f t="shared" si="345"/>
        <v>0.27295292369475987</v>
      </c>
    </row>
    <row r="10456" spans="1:4">
      <c r="A10456" s="1">
        <v>33451</v>
      </c>
      <c r="B10456">
        <v>387.12</v>
      </c>
      <c r="C10456">
        <f t="shared" si="346"/>
        <v>-1.7792217838632262E-3</v>
      </c>
      <c r="D10456">
        <f t="shared" si="345"/>
        <v>-0.22078871252455545</v>
      </c>
    </row>
    <row r="10457" spans="1:4">
      <c r="A10457" s="1">
        <v>33452</v>
      </c>
      <c r="B10457">
        <v>387.18</v>
      </c>
      <c r="C10457">
        <f t="shared" si="346"/>
        <v>1.549907005579724E-4</v>
      </c>
      <c r="D10457">
        <f t="shared" si="345"/>
        <v>-1.6536531640445211E-2</v>
      </c>
    </row>
    <row r="10458" spans="1:4">
      <c r="A10458" s="1">
        <v>33455</v>
      </c>
      <c r="B10458">
        <v>385.06</v>
      </c>
      <c r="C10458">
        <f t="shared" si="346"/>
        <v>-5.4754894364378442E-3</v>
      </c>
      <c r="D10458">
        <f t="shared" si="345"/>
        <v>-0.61111332021401366</v>
      </c>
    </row>
    <row r="10459" spans="1:4">
      <c r="A10459" s="1">
        <v>33456</v>
      </c>
      <c r="B10459">
        <v>390.62</v>
      </c>
      <c r="C10459">
        <f t="shared" si="346"/>
        <v>1.4439308159767315E-2</v>
      </c>
      <c r="D10459">
        <f t="shared" si="345"/>
        <v>1.4918825365766417</v>
      </c>
    </row>
    <row r="10460" spans="1:4">
      <c r="A10460" s="1">
        <v>33457</v>
      </c>
      <c r="B10460">
        <v>390.56</v>
      </c>
      <c r="C10460">
        <f t="shared" si="346"/>
        <v>-1.5360196610517197E-4</v>
      </c>
      <c r="D10460">
        <f t="shared" si="345"/>
        <v>-4.9123812344329242E-2</v>
      </c>
    </row>
    <row r="10461" spans="1:4">
      <c r="A10461" s="1">
        <v>33458</v>
      </c>
      <c r="B10461">
        <v>389.32</v>
      </c>
      <c r="C10461">
        <f t="shared" si="346"/>
        <v>-3.1749283080704863E-3</v>
      </c>
      <c r="D10461">
        <f t="shared" si="345"/>
        <v>-0.36817484705714348</v>
      </c>
    </row>
    <row r="10462" spans="1:4">
      <c r="A10462" s="1">
        <v>33459</v>
      </c>
      <c r="B10462">
        <v>387.12</v>
      </c>
      <c r="C10462">
        <f t="shared" si="346"/>
        <v>-5.6508784547415715E-3</v>
      </c>
      <c r="D10462">
        <f t="shared" si="345"/>
        <v>-0.62963434092926329</v>
      </c>
    </row>
    <row r="10463" spans="1:4">
      <c r="A10463" s="1">
        <v>33462</v>
      </c>
      <c r="B10463">
        <v>388.02</v>
      </c>
      <c r="C10463">
        <f t="shared" si="346"/>
        <v>2.3248605083694392E-3</v>
      </c>
      <c r="D10463">
        <f t="shared" si="345"/>
        <v>0.21260098248986112</v>
      </c>
    </row>
    <row r="10464" spans="1:4">
      <c r="A10464" s="1">
        <v>33463</v>
      </c>
      <c r="B10464">
        <v>389.62</v>
      </c>
      <c r="C10464">
        <f t="shared" si="346"/>
        <v>4.1234987887222895E-3</v>
      </c>
      <c r="D10464">
        <f t="shared" si="345"/>
        <v>0.40253657350826483</v>
      </c>
    </row>
    <row r="10465" spans="1:4">
      <c r="A10465" s="1">
        <v>33464</v>
      </c>
      <c r="B10465">
        <v>389.9</v>
      </c>
      <c r="C10465">
        <f t="shared" si="346"/>
        <v>7.1864893999274348E-4</v>
      </c>
      <c r="D10465">
        <f t="shared" si="345"/>
        <v>4.2985586847121823E-2</v>
      </c>
    </row>
    <row r="10466" spans="1:4">
      <c r="A10466" s="1">
        <v>33465</v>
      </c>
      <c r="B10466">
        <v>389.33</v>
      </c>
      <c r="C10466">
        <f t="shared" si="346"/>
        <v>-1.4619133111053943E-3</v>
      </c>
      <c r="D10466">
        <f t="shared" si="345"/>
        <v>-0.18728104565971887</v>
      </c>
    </row>
    <row r="10467" spans="1:4">
      <c r="A10467" s="1">
        <v>33466</v>
      </c>
      <c r="B10467">
        <v>385.58</v>
      </c>
      <c r="C10467">
        <f t="shared" si="346"/>
        <v>-9.6319317802378446E-3</v>
      </c>
      <c r="D10467">
        <f t="shared" si="345"/>
        <v>-1.0500322188758944</v>
      </c>
    </row>
    <row r="10468" spans="1:4">
      <c r="A10468" s="1">
        <v>33469</v>
      </c>
      <c r="B10468">
        <v>376.47</v>
      </c>
      <c r="C10468">
        <f t="shared" si="346"/>
        <v>-2.3626744125732551E-2</v>
      </c>
      <c r="D10468">
        <f t="shared" si="345"/>
        <v>-2.5278796454922854</v>
      </c>
    </row>
    <row r="10469" spans="1:4">
      <c r="A10469" s="1">
        <v>33470</v>
      </c>
      <c r="B10469">
        <v>379.43</v>
      </c>
      <c r="C10469">
        <f t="shared" si="346"/>
        <v>7.8625122851753906E-3</v>
      </c>
      <c r="D10469">
        <f t="shared" si="345"/>
        <v>0.7973751277812724</v>
      </c>
    </row>
    <row r="10470" spans="1:4">
      <c r="A10470" s="1">
        <v>33471</v>
      </c>
      <c r="B10470">
        <v>390.59</v>
      </c>
      <c r="C10470">
        <f t="shared" si="346"/>
        <v>2.9412539862425133E-2</v>
      </c>
      <c r="D10470">
        <f t="shared" si="345"/>
        <v>3.073050714728558</v>
      </c>
    </row>
    <row r="10471" spans="1:4">
      <c r="A10471" s="1">
        <v>33472</v>
      </c>
      <c r="B10471">
        <v>391.33</v>
      </c>
      <c r="C10471">
        <f t="shared" si="346"/>
        <v>1.8945697534499325E-3</v>
      </c>
      <c r="D10471">
        <f t="shared" si="345"/>
        <v>0.16716242503329534</v>
      </c>
    </row>
    <row r="10472" spans="1:4">
      <c r="A10472" s="1">
        <v>33473</v>
      </c>
      <c r="B10472">
        <v>394.17</v>
      </c>
      <c r="C10472">
        <f t="shared" si="346"/>
        <v>7.2573020213120175E-3</v>
      </c>
      <c r="D10472">
        <f t="shared" si="345"/>
        <v>0.73346512963826438</v>
      </c>
    </row>
    <row r="10473" spans="1:4">
      <c r="A10473" s="1">
        <v>33476</v>
      </c>
      <c r="B10473">
        <v>393.85</v>
      </c>
      <c r="C10473">
        <f t="shared" si="346"/>
        <v>-8.1183245807644718E-4</v>
      </c>
      <c r="D10473">
        <f t="shared" si="345"/>
        <v>-0.11863272855308053</v>
      </c>
    </row>
    <row r="10474" spans="1:4">
      <c r="A10474" s="1">
        <v>33477</v>
      </c>
      <c r="B10474">
        <v>393.06</v>
      </c>
      <c r="C10474">
        <f t="shared" si="346"/>
        <v>-2.0058397867208848E-3</v>
      </c>
      <c r="D10474">
        <f t="shared" si="345"/>
        <v>-0.24471949659512229</v>
      </c>
    </row>
    <row r="10475" spans="1:4">
      <c r="A10475" s="1">
        <v>33478</v>
      </c>
      <c r="B10475">
        <v>396.64</v>
      </c>
      <c r="C10475">
        <f t="shared" si="346"/>
        <v>9.1080242202207905E-3</v>
      </c>
      <c r="D10475">
        <f t="shared" si="345"/>
        <v>0.92890076475198957</v>
      </c>
    </row>
    <row r="10476" spans="1:4">
      <c r="A10476" s="1">
        <v>33479</v>
      </c>
      <c r="B10476">
        <v>396.47</v>
      </c>
      <c r="C10476">
        <f t="shared" si="346"/>
        <v>-4.2860024203297467E-4</v>
      </c>
      <c r="D10476">
        <f t="shared" si="345"/>
        <v>-7.8163536805849421E-2</v>
      </c>
    </row>
    <row r="10477" spans="1:4">
      <c r="A10477" s="1">
        <v>33480</v>
      </c>
      <c r="B10477">
        <v>395.43</v>
      </c>
      <c r="C10477">
        <f t="shared" si="346"/>
        <v>-2.6231492925064201E-3</v>
      </c>
      <c r="D10477">
        <f t="shared" si="345"/>
        <v>-0.30990717057237849</v>
      </c>
    </row>
    <row r="10478" spans="1:4">
      <c r="A10478" s="1">
        <v>33484</v>
      </c>
      <c r="B10478">
        <v>392.15</v>
      </c>
      <c r="C10478">
        <f t="shared" si="346"/>
        <v>-8.2947677212149538E-3</v>
      </c>
      <c r="D10478">
        <f t="shared" si="345"/>
        <v>-0.90882814876722495</v>
      </c>
    </row>
    <row r="10479" spans="1:4">
      <c r="A10479" s="1">
        <v>33485</v>
      </c>
      <c r="B10479">
        <v>389.97</v>
      </c>
      <c r="C10479">
        <f t="shared" si="346"/>
        <v>-5.5590972842023464E-3</v>
      </c>
      <c r="D10479">
        <f t="shared" si="345"/>
        <v>-0.61994228051825673</v>
      </c>
    </row>
    <row r="10480" spans="1:4">
      <c r="A10480" s="1">
        <v>33486</v>
      </c>
      <c r="B10480">
        <v>389.14</v>
      </c>
      <c r="C10480">
        <f t="shared" si="346"/>
        <v>-2.1283688488859167E-3</v>
      </c>
      <c r="D10480">
        <f t="shared" si="345"/>
        <v>-0.25765852391009775</v>
      </c>
    </row>
    <row r="10481" spans="1:4">
      <c r="A10481" s="1">
        <v>33487</v>
      </c>
      <c r="B10481">
        <v>389.1</v>
      </c>
      <c r="C10481">
        <f t="shared" si="346"/>
        <v>-1.0279076938881539E-4</v>
      </c>
      <c r="D10481">
        <f t="shared" si="345"/>
        <v>-4.3758167242646924E-2</v>
      </c>
    </row>
    <row r="10482" spans="1:4">
      <c r="A10482" s="1">
        <v>33490</v>
      </c>
      <c r="B10482">
        <v>388.57</v>
      </c>
      <c r="C10482">
        <f t="shared" si="346"/>
        <v>-1.3621177075302739E-3</v>
      </c>
      <c r="D10482">
        <f t="shared" si="345"/>
        <v>-0.17674266384435999</v>
      </c>
    </row>
    <row r="10483" spans="1:4">
      <c r="A10483" s="1">
        <v>33491</v>
      </c>
      <c r="B10483">
        <v>384.56</v>
      </c>
      <c r="C10483">
        <f t="shared" si="346"/>
        <v>-1.0319890881951749E-2</v>
      </c>
      <c r="D10483">
        <f t="shared" si="345"/>
        <v>-1.1226804661682219</v>
      </c>
    </row>
    <row r="10484" spans="1:4">
      <c r="A10484" s="1">
        <v>33492</v>
      </c>
      <c r="B10484">
        <v>385.09</v>
      </c>
      <c r="C10484">
        <f t="shared" si="346"/>
        <v>1.3781984605782524E-3</v>
      </c>
      <c r="D10484">
        <f t="shared" si="345"/>
        <v>0.1126337920291766</v>
      </c>
    </row>
    <row r="10485" spans="1:4">
      <c r="A10485" s="1">
        <v>33493</v>
      </c>
      <c r="B10485">
        <v>387.34</v>
      </c>
      <c r="C10485">
        <f t="shared" si="346"/>
        <v>5.842789997143525E-3</v>
      </c>
      <c r="D10485">
        <f t="shared" si="345"/>
        <v>0.5840931407020703</v>
      </c>
    </row>
    <row r="10486" spans="1:4">
      <c r="A10486" s="1">
        <v>33494</v>
      </c>
      <c r="B10486">
        <v>383.59</v>
      </c>
      <c r="C10486">
        <f t="shared" si="346"/>
        <v>-9.681416843083596E-3</v>
      </c>
      <c r="D10486">
        <f t="shared" si="345"/>
        <v>-1.0552578246916156</v>
      </c>
    </row>
    <row r="10487" spans="1:4">
      <c r="A10487" s="1">
        <v>33497</v>
      </c>
      <c r="B10487">
        <v>385.78</v>
      </c>
      <c r="C10487">
        <f t="shared" si="346"/>
        <v>5.7092207826064233E-3</v>
      </c>
      <c r="D10487">
        <f t="shared" si="345"/>
        <v>0.5699882770493343</v>
      </c>
    </row>
    <row r="10488" spans="1:4">
      <c r="A10488" s="1">
        <v>33498</v>
      </c>
      <c r="B10488">
        <v>385.5</v>
      </c>
      <c r="C10488">
        <f t="shared" si="346"/>
        <v>-7.2580227072417626E-4</v>
      </c>
      <c r="D10488">
        <f t="shared" si="345"/>
        <v>-0.10954797001176227</v>
      </c>
    </row>
    <row r="10489" spans="1:4">
      <c r="A10489" s="1">
        <v>33499</v>
      </c>
      <c r="B10489">
        <v>386.94</v>
      </c>
      <c r="C10489">
        <f t="shared" si="346"/>
        <v>3.7354085603112782E-3</v>
      </c>
      <c r="D10489">
        <f t="shared" si="345"/>
        <v>0.36155437730634027</v>
      </c>
    </row>
    <row r="10490" spans="1:4">
      <c r="A10490" s="1">
        <v>33500</v>
      </c>
      <c r="B10490">
        <v>387.56</v>
      </c>
      <c r="C10490">
        <f t="shared" si="346"/>
        <v>1.6023156044864954E-3</v>
      </c>
      <c r="D10490">
        <f t="shared" si="345"/>
        <v>0.1363004862447684</v>
      </c>
    </row>
    <row r="10491" spans="1:4">
      <c r="A10491" s="1">
        <v>33501</v>
      </c>
      <c r="B10491">
        <v>387.92</v>
      </c>
      <c r="C10491">
        <f t="shared" si="346"/>
        <v>9.2888843017858817E-4</v>
      </c>
      <c r="D10491">
        <f t="shared" si="345"/>
        <v>6.5186805546872062E-2</v>
      </c>
    </row>
    <row r="10492" spans="1:4">
      <c r="A10492" s="1">
        <v>33504</v>
      </c>
      <c r="B10492">
        <v>385.92</v>
      </c>
      <c r="C10492">
        <f t="shared" si="346"/>
        <v>-5.1557022066405439E-3</v>
      </c>
      <c r="D10492">
        <f t="shared" si="345"/>
        <v>-0.57734389744837966</v>
      </c>
    </row>
    <row r="10493" spans="1:4">
      <c r="A10493" s="1">
        <v>33505</v>
      </c>
      <c r="B10493">
        <v>387.71</v>
      </c>
      <c r="C10493">
        <f t="shared" si="346"/>
        <v>4.6382669983415304E-3</v>
      </c>
      <c r="D10493">
        <f t="shared" si="345"/>
        <v>0.45689592146584046</v>
      </c>
    </row>
    <row r="10494" spans="1:4">
      <c r="A10494" s="1">
        <v>33506</v>
      </c>
      <c r="B10494">
        <v>386.88</v>
      </c>
      <c r="C10494">
        <f t="shared" si="346"/>
        <v>-2.1407753217610693E-3</v>
      </c>
      <c r="D10494">
        <f t="shared" si="345"/>
        <v>-0.25896864322854884</v>
      </c>
    </row>
    <row r="10495" spans="1:4">
      <c r="A10495" s="1">
        <v>33507</v>
      </c>
      <c r="B10495">
        <v>386.49</v>
      </c>
      <c r="C10495">
        <f t="shared" si="346"/>
        <v>-1.0080645161289971E-3</v>
      </c>
      <c r="D10495">
        <f t="shared" si="345"/>
        <v>-0.13935476718091236</v>
      </c>
    </row>
    <row r="10496" spans="1:4">
      <c r="A10496" s="1">
        <v>33508</v>
      </c>
      <c r="B10496">
        <v>385.9</v>
      </c>
      <c r="C10496">
        <f t="shared" si="346"/>
        <v>-1.5265595487594292E-3</v>
      </c>
      <c r="D10496">
        <f t="shared" si="345"/>
        <v>-0.1941076663816611</v>
      </c>
    </row>
    <row r="10497" spans="1:4">
      <c r="A10497" s="1">
        <v>33511</v>
      </c>
      <c r="B10497">
        <v>387.86</v>
      </c>
      <c r="C10497">
        <f t="shared" si="346"/>
        <v>5.0790360196943159E-3</v>
      </c>
      <c r="D10497">
        <f t="shared" si="345"/>
        <v>0.50344098029602458</v>
      </c>
    </row>
    <row r="10498" spans="1:4">
      <c r="A10498" s="1">
        <v>33512</v>
      </c>
      <c r="B10498">
        <v>389.2</v>
      </c>
      <c r="C10498">
        <f t="shared" si="346"/>
        <v>3.4548548445314676E-3</v>
      </c>
      <c r="D10498">
        <f t="shared" si="345"/>
        <v>0.33192800028483382</v>
      </c>
    </row>
    <row r="10499" spans="1:4">
      <c r="A10499" s="1">
        <v>33513</v>
      </c>
      <c r="B10499">
        <v>388.26</v>
      </c>
      <c r="C10499">
        <f t="shared" si="346"/>
        <v>-2.4152106885919778E-3</v>
      </c>
      <c r="D10499">
        <f t="shared" ref="D10499:D10562" si="347">(C10499-avg)/sd</f>
        <v>-0.28794892468077909</v>
      </c>
    </row>
    <row r="10500" spans="1:4">
      <c r="A10500" s="1">
        <v>33514</v>
      </c>
      <c r="B10500">
        <v>384.47</v>
      </c>
      <c r="C10500">
        <f t="shared" ref="C10500:C10563" si="348">(B10500-B10499)/B10499</f>
        <v>-9.761500025755843E-3</v>
      </c>
      <c r="D10500">
        <f t="shared" si="347"/>
        <v>-1.0637145815602085</v>
      </c>
    </row>
    <row r="10501" spans="1:4">
      <c r="A10501" s="1">
        <v>33515</v>
      </c>
      <c r="B10501">
        <v>381.25</v>
      </c>
      <c r="C10501">
        <f t="shared" si="348"/>
        <v>-8.3751658126772627E-3</v>
      </c>
      <c r="D10501">
        <f t="shared" si="347"/>
        <v>-0.91731815989700571</v>
      </c>
    </row>
    <row r="10502" spans="1:4">
      <c r="A10502" s="1">
        <v>33518</v>
      </c>
      <c r="B10502">
        <v>379.5</v>
      </c>
      <c r="C10502">
        <f t="shared" si="348"/>
        <v>-4.5901639344262295E-3</v>
      </c>
      <c r="D10502">
        <f t="shared" si="347"/>
        <v>-0.51762324813834704</v>
      </c>
    </row>
    <row r="10503" spans="1:4">
      <c r="A10503" s="1">
        <v>33519</v>
      </c>
      <c r="B10503">
        <v>380.67</v>
      </c>
      <c r="C10503">
        <f t="shared" si="348"/>
        <v>3.0830039525692118E-3</v>
      </c>
      <c r="D10503">
        <f t="shared" si="347"/>
        <v>0.29266067249187916</v>
      </c>
    </row>
    <row r="10504" spans="1:4">
      <c r="A10504" s="1">
        <v>33520</v>
      </c>
      <c r="B10504">
        <v>376.8</v>
      </c>
      <c r="C10504">
        <f t="shared" si="348"/>
        <v>-1.0166285759319106E-2</v>
      </c>
      <c r="D10504">
        <f t="shared" si="347"/>
        <v>-1.1064598174311329</v>
      </c>
    </row>
    <row r="10505" spans="1:4">
      <c r="A10505" s="1">
        <v>33521</v>
      </c>
      <c r="B10505">
        <v>380.55</v>
      </c>
      <c r="C10505">
        <f t="shared" si="348"/>
        <v>9.9522292993630568E-3</v>
      </c>
      <c r="D10505">
        <f t="shared" si="347"/>
        <v>1.0180485341501639</v>
      </c>
    </row>
    <row r="10506" spans="1:4">
      <c r="A10506" s="1">
        <v>33522</v>
      </c>
      <c r="B10506">
        <v>381.45</v>
      </c>
      <c r="C10506">
        <f t="shared" si="348"/>
        <v>2.3649980291682491E-3</v>
      </c>
      <c r="D10506">
        <f t="shared" si="347"/>
        <v>0.21683949104280922</v>
      </c>
    </row>
    <row r="10507" spans="1:4">
      <c r="A10507" s="1">
        <v>33525</v>
      </c>
      <c r="B10507">
        <v>386.47</v>
      </c>
      <c r="C10507">
        <f t="shared" si="348"/>
        <v>1.3160309345916998E-2</v>
      </c>
      <c r="D10507">
        <f t="shared" si="347"/>
        <v>1.3568206965868685</v>
      </c>
    </row>
    <row r="10508" spans="1:4">
      <c r="A10508" s="1">
        <v>33526</v>
      </c>
      <c r="B10508">
        <v>391.01</v>
      </c>
      <c r="C10508">
        <f t="shared" si="348"/>
        <v>1.1747354257768943E-2</v>
      </c>
      <c r="D10508">
        <f t="shared" si="347"/>
        <v>1.2076131195652042</v>
      </c>
    </row>
    <row r="10509" spans="1:4">
      <c r="A10509" s="1">
        <v>33527</v>
      </c>
      <c r="B10509">
        <v>392.8</v>
      </c>
      <c r="C10509">
        <f t="shared" si="348"/>
        <v>4.5778880335541816E-3</v>
      </c>
      <c r="D10509">
        <f t="shared" si="347"/>
        <v>0.45051992330810375</v>
      </c>
    </row>
    <row r="10510" spans="1:4">
      <c r="A10510" s="1">
        <v>33528</v>
      </c>
      <c r="B10510">
        <v>391.92</v>
      </c>
      <c r="C10510">
        <f t="shared" si="348"/>
        <v>-2.2403258655804364E-3</v>
      </c>
      <c r="D10510">
        <f t="shared" si="347"/>
        <v>-0.26948114681700003</v>
      </c>
    </row>
    <row r="10511" spans="1:4">
      <c r="A10511" s="1">
        <v>33529</v>
      </c>
      <c r="B10511">
        <v>392.5</v>
      </c>
      <c r="C10511">
        <f t="shared" si="348"/>
        <v>1.4798938558889163E-3</v>
      </c>
      <c r="D10511">
        <f t="shared" si="347"/>
        <v>0.12337279120603828</v>
      </c>
    </row>
    <row r="10512" spans="1:4">
      <c r="A10512" s="1">
        <v>33532</v>
      </c>
      <c r="B10512">
        <v>390.02</v>
      </c>
      <c r="C10512">
        <f t="shared" si="348"/>
        <v>-6.3184713375796639E-3</v>
      </c>
      <c r="D10512">
        <f t="shared" si="347"/>
        <v>-0.70013192243111921</v>
      </c>
    </row>
    <row r="10513" spans="1:4">
      <c r="A10513" s="1">
        <v>33533</v>
      </c>
      <c r="B10513">
        <v>387.83</v>
      </c>
      <c r="C10513">
        <f t="shared" si="348"/>
        <v>-5.6150966617096506E-3</v>
      </c>
      <c r="D10513">
        <f t="shared" si="347"/>
        <v>-0.62585579574791483</v>
      </c>
    </row>
    <row r="10514" spans="1:4">
      <c r="A10514" s="1">
        <v>33534</v>
      </c>
      <c r="B10514">
        <v>387.94</v>
      </c>
      <c r="C10514">
        <f t="shared" si="348"/>
        <v>2.8362942526368161E-4</v>
      </c>
      <c r="D10514">
        <f t="shared" si="347"/>
        <v>-2.9523260379494031E-3</v>
      </c>
    </row>
    <row r="10515" spans="1:4">
      <c r="A10515" s="1">
        <v>33535</v>
      </c>
      <c r="B10515">
        <v>385.07</v>
      </c>
      <c r="C10515">
        <f t="shared" si="348"/>
        <v>-7.3980512450379041E-3</v>
      </c>
      <c r="D10515">
        <f t="shared" si="347"/>
        <v>-0.81413519369166876</v>
      </c>
    </row>
    <row r="10516" spans="1:4">
      <c r="A10516" s="1">
        <v>33536</v>
      </c>
      <c r="B10516">
        <v>384.2</v>
      </c>
      <c r="C10516">
        <f t="shared" si="348"/>
        <v>-2.259329472563442E-3</v>
      </c>
      <c r="D10516">
        <f t="shared" si="347"/>
        <v>-0.27148792125476556</v>
      </c>
    </row>
    <row r="10517" spans="1:4">
      <c r="A10517" s="1">
        <v>33539</v>
      </c>
      <c r="B10517">
        <v>389.52</v>
      </c>
      <c r="C10517">
        <f t="shared" si="348"/>
        <v>1.3846954711087957E-2</v>
      </c>
      <c r="D10517">
        <f t="shared" si="347"/>
        <v>1.4293302137468218</v>
      </c>
    </row>
    <row r="10518" spans="1:4">
      <c r="A10518" s="1">
        <v>33540</v>
      </c>
      <c r="B10518">
        <v>391.48</v>
      </c>
      <c r="C10518">
        <f t="shared" si="348"/>
        <v>5.0318340521668626E-3</v>
      </c>
      <c r="D10518">
        <f t="shared" si="347"/>
        <v>0.49845646856985387</v>
      </c>
    </row>
    <row r="10519" spans="1:4">
      <c r="A10519" s="1">
        <v>33541</v>
      </c>
      <c r="B10519">
        <v>392.96</v>
      </c>
      <c r="C10519">
        <f t="shared" si="348"/>
        <v>3.7805251864717515E-3</v>
      </c>
      <c r="D10519">
        <f t="shared" si="347"/>
        <v>0.36631867769299992</v>
      </c>
    </row>
    <row r="10520" spans="1:4">
      <c r="A10520" s="1">
        <v>33542</v>
      </c>
      <c r="B10520">
        <v>392.45</v>
      </c>
      <c r="C10520">
        <f t="shared" si="348"/>
        <v>-1.2978420195439509E-3</v>
      </c>
      <c r="D10520">
        <f t="shared" si="347"/>
        <v>-0.1699551730413722</v>
      </c>
    </row>
    <row r="10521" spans="1:4">
      <c r="A10521" s="1">
        <v>33543</v>
      </c>
      <c r="B10521">
        <v>391.32</v>
      </c>
      <c r="C10521">
        <f t="shared" si="348"/>
        <v>-2.8793476876035049E-3</v>
      </c>
      <c r="D10521">
        <f t="shared" si="347"/>
        <v>-0.33696163400856488</v>
      </c>
    </row>
    <row r="10522" spans="1:4">
      <c r="A10522" s="1">
        <v>33546</v>
      </c>
      <c r="B10522">
        <v>390.28</v>
      </c>
      <c r="C10522">
        <f t="shared" si="348"/>
        <v>-2.6576714709189934E-3</v>
      </c>
      <c r="D10522">
        <f t="shared" si="347"/>
        <v>-0.31355270087808762</v>
      </c>
    </row>
    <row r="10523" spans="1:4">
      <c r="A10523" s="1">
        <v>33547</v>
      </c>
      <c r="B10523">
        <v>388.71</v>
      </c>
      <c r="C10523">
        <f t="shared" si="348"/>
        <v>-4.0227528953571626E-3</v>
      </c>
      <c r="D10523">
        <f t="shared" si="347"/>
        <v>-0.45770483528503692</v>
      </c>
    </row>
    <row r="10524" spans="1:4">
      <c r="A10524" s="1">
        <v>33548</v>
      </c>
      <c r="B10524">
        <v>389.97</v>
      </c>
      <c r="C10524">
        <f t="shared" si="348"/>
        <v>3.2414910858996368E-3</v>
      </c>
      <c r="D10524">
        <f t="shared" si="347"/>
        <v>0.30939685989917787</v>
      </c>
    </row>
    <row r="10525" spans="1:4">
      <c r="A10525" s="1">
        <v>33549</v>
      </c>
      <c r="B10525">
        <v>393.72</v>
      </c>
      <c r="C10525">
        <f t="shared" si="348"/>
        <v>9.616124317255172E-3</v>
      </c>
      <c r="D10525">
        <f t="shared" si="347"/>
        <v>0.98255596228720565</v>
      </c>
    </row>
    <row r="10526" spans="1:4">
      <c r="A10526" s="1">
        <v>33550</v>
      </c>
      <c r="B10526">
        <v>392.89</v>
      </c>
      <c r="C10526">
        <f t="shared" si="348"/>
        <v>-2.1080971248604108E-3</v>
      </c>
      <c r="D10526">
        <f t="shared" si="347"/>
        <v>-0.25551783674369816</v>
      </c>
    </row>
    <row r="10527" spans="1:4">
      <c r="A10527" s="1">
        <v>33553</v>
      </c>
      <c r="B10527">
        <v>393.12</v>
      </c>
      <c r="C10527">
        <f t="shared" si="348"/>
        <v>5.8540558426027178E-4</v>
      </c>
      <c r="D10527">
        <f t="shared" si="347"/>
        <v>2.8915133773390032E-2</v>
      </c>
    </row>
    <row r="10528" spans="1:4">
      <c r="A10528" s="1">
        <v>33554</v>
      </c>
      <c r="B10528">
        <v>396.74</v>
      </c>
      <c r="C10528">
        <f t="shared" si="348"/>
        <v>9.2083842083842196E-3</v>
      </c>
      <c r="D10528">
        <f t="shared" si="347"/>
        <v>0.93949874538803013</v>
      </c>
    </row>
    <row r="10529" spans="1:4">
      <c r="A10529" s="1">
        <v>33555</v>
      </c>
      <c r="B10529">
        <v>397.41</v>
      </c>
      <c r="C10529">
        <f t="shared" si="348"/>
        <v>1.6887634218884305E-3</v>
      </c>
      <c r="D10529">
        <f t="shared" si="347"/>
        <v>0.14542934637737187</v>
      </c>
    </row>
    <row r="10530" spans="1:4">
      <c r="A10530" s="1">
        <v>33556</v>
      </c>
      <c r="B10530">
        <v>397.15</v>
      </c>
      <c r="C10530">
        <f t="shared" si="348"/>
        <v>-6.5423617926083327E-4</v>
      </c>
      <c r="D10530">
        <f t="shared" si="347"/>
        <v>-0.10199061507972969</v>
      </c>
    </row>
    <row r="10531" spans="1:4">
      <c r="A10531" s="1">
        <v>33557</v>
      </c>
      <c r="B10531">
        <v>382.62</v>
      </c>
      <c r="C10531">
        <f t="shared" si="348"/>
        <v>-3.658567291955174E-2</v>
      </c>
      <c r="D10531">
        <f t="shared" si="347"/>
        <v>-3.8963381211656687</v>
      </c>
    </row>
    <row r="10532" spans="1:4">
      <c r="A10532" s="1">
        <v>33560</v>
      </c>
      <c r="B10532">
        <v>385.24</v>
      </c>
      <c r="C10532">
        <f t="shared" si="348"/>
        <v>6.847524959489845E-3</v>
      </c>
      <c r="D10532">
        <f t="shared" si="347"/>
        <v>0.690192811199834</v>
      </c>
    </row>
    <row r="10533" spans="1:4">
      <c r="A10533" s="1">
        <v>33561</v>
      </c>
      <c r="B10533">
        <v>379.42</v>
      </c>
      <c r="C10533">
        <f t="shared" si="348"/>
        <v>-1.510746547606685E-2</v>
      </c>
      <c r="D10533">
        <f t="shared" si="347"/>
        <v>-1.6282467159311018</v>
      </c>
    </row>
    <row r="10534" spans="1:4">
      <c r="A10534" s="1">
        <v>33562</v>
      </c>
      <c r="B10534">
        <v>378.53</v>
      </c>
      <c r="C10534">
        <f t="shared" si="348"/>
        <v>-2.3456855200043305E-3</v>
      </c>
      <c r="D10534">
        <f t="shared" si="347"/>
        <v>-0.28060709051067662</v>
      </c>
    </row>
    <row r="10535" spans="1:4">
      <c r="A10535" s="1">
        <v>33563</v>
      </c>
      <c r="B10535">
        <v>380.06</v>
      </c>
      <c r="C10535">
        <f t="shared" si="348"/>
        <v>4.0419517607588025E-3</v>
      </c>
      <c r="D10535">
        <f t="shared" si="347"/>
        <v>0.39392523507450222</v>
      </c>
    </row>
    <row r="10536" spans="1:4">
      <c r="A10536" s="1">
        <v>33564</v>
      </c>
      <c r="B10536">
        <v>376.14</v>
      </c>
      <c r="C10536">
        <f t="shared" si="348"/>
        <v>-1.0314160921959732E-2</v>
      </c>
      <c r="D10536">
        <f t="shared" si="347"/>
        <v>-1.1220753843407729</v>
      </c>
    </row>
    <row r="10537" spans="1:4">
      <c r="A10537" s="1">
        <v>33567</v>
      </c>
      <c r="B10537">
        <v>375.34</v>
      </c>
      <c r="C10537">
        <f t="shared" si="348"/>
        <v>-2.126867655660157E-3</v>
      </c>
      <c r="D10537">
        <f t="shared" si="347"/>
        <v>-0.2574999984157379</v>
      </c>
    </row>
    <row r="10538" spans="1:4">
      <c r="A10538" s="1">
        <v>33568</v>
      </c>
      <c r="B10538">
        <v>377.96</v>
      </c>
      <c r="C10538">
        <f t="shared" si="348"/>
        <v>6.9803378270368328E-3</v>
      </c>
      <c r="D10538">
        <f t="shared" si="347"/>
        <v>0.70421780486750873</v>
      </c>
    </row>
    <row r="10539" spans="1:4">
      <c r="A10539" s="1">
        <v>33569</v>
      </c>
      <c r="B10539">
        <v>376.55</v>
      </c>
      <c r="C10539">
        <f t="shared" si="348"/>
        <v>-3.7305534977245427E-3</v>
      </c>
      <c r="D10539">
        <f t="shared" si="347"/>
        <v>-0.42684867821843336</v>
      </c>
    </row>
    <row r="10540" spans="1:4">
      <c r="A10540" s="1">
        <v>33571</v>
      </c>
      <c r="B10540">
        <v>375.22</v>
      </c>
      <c r="C10540">
        <f t="shared" si="348"/>
        <v>-3.5320674545212694E-3</v>
      </c>
      <c r="D10540">
        <f t="shared" si="347"/>
        <v>-0.40588861952485189</v>
      </c>
    </row>
    <row r="10541" spans="1:4">
      <c r="A10541" s="1">
        <v>33574</v>
      </c>
      <c r="B10541">
        <v>381.4</v>
      </c>
      <c r="C10541">
        <f t="shared" si="348"/>
        <v>1.6470337402057326E-2</v>
      </c>
      <c r="D10541">
        <f t="shared" si="347"/>
        <v>1.7063585341820833</v>
      </c>
    </row>
    <row r="10542" spans="1:4">
      <c r="A10542" s="1">
        <v>33575</v>
      </c>
      <c r="B10542">
        <v>380.96</v>
      </c>
      <c r="C10542">
        <f t="shared" si="348"/>
        <v>-1.1536444677503874E-3</v>
      </c>
      <c r="D10542">
        <f t="shared" si="347"/>
        <v>-0.15472796058710128</v>
      </c>
    </row>
    <row r="10543" spans="1:4">
      <c r="A10543" s="1">
        <v>33576</v>
      </c>
      <c r="B10543">
        <v>380.07</v>
      </c>
      <c r="C10543">
        <f t="shared" si="348"/>
        <v>-2.3362032759344457E-3</v>
      </c>
      <c r="D10543">
        <f t="shared" si="347"/>
        <v>-0.27960576876006815</v>
      </c>
    </row>
    <row r="10544" spans="1:4">
      <c r="A10544" s="1">
        <v>33577</v>
      </c>
      <c r="B10544">
        <v>377.39</v>
      </c>
      <c r="C10544">
        <f t="shared" si="348"/>
        <v>-7.0513326492488409E-3</v>
      </c>
      <c r="D10544">
        <f t="shared" si="347"/>
        <v>-0.77752182783172075</v>
      </c>
    </row>
    <row r="10545" spans="1:4">
      <c r="A10545" s="1">
        <v>33578</v>
      </c>
      <c r="B10545">
        <v>379.1</v>
      </c>
      <c r="C10545">
        <f t="shared" si="348"/>
        <v>4.5311216513422093E-3</v>
      </c>
      <c r="D10545">
        <f t="shared" si="347"/>
        <v>0.44558140924318518</v>
      </c>
    </row>
    <row r="10546" spans="1:4">
      <c r="A10546" s="1">
        <v>33581</v>
      </c>
      <c r="B10546">
        <v>378.26</v>
      </c>
      <c r="C10546">
        <f t="shared" si="348"/>
        <v>-2.2157742020575883E-3</v>
      </c>
      <c r="D10546">
        <f t="shared" si="347"/>
        <v>-0.26688849949450322</v>
      </c>
    </row>
    <row r="10547" spans="1:4">
      <c r="A10547" s="1">
        <v>33582</v>
      </c>
      <c r="B10547">
        <v>377.9</v>
      </c>
      <c r="C10547">
        <f t="shared" si="348"/>
        <v>-9.5172632580768158E-4</v>
      </c>
      <c r="D10547">
        <f t="shared" si="347"/>
        <v>-0.13340547343326281</v>
      </c>
    </row>
    <row r="10548" spans="1:4">
      <c r="A10548" s="1">
        <v>33583</v>
      </c>
      <c r="B10548">
        <v>377.7</v>
      </c>
      <c r="C10548">
        <f t="shared" si="348"/>
        <v>-5.2924053982532056E-4</v>
      </c>
      <c r="D10548">
        <f t="shared" si="347"/>
        <v>-8.8791118043421782E-2</v>
      </c>
    </row>
    <row r="10549" spans="1:4">
      <c r="A10549" s="1">
        <v>33584</v>
      </c>
      <c r="B10549">
        <v>381.55</v>
      </c>
      <c r="C10549">
        <f t="shared" si="348"/>
        <v>1.0193275086047188E-2</v>
      </c>
      <c r="D10549">
        <f t="shared" si="347"/>
        <v>1.0435028872885641</v>
      </c>
    </row>
    <row r="10550" spans="1:4">
      <c r="A10550" s="1">
        <v>33585</v>
      </c>
      <c r="B10550">
        <v>384.47</v>
      </c>
      <c r="C10550">
        <f t="shared" si="348"/>
        <v>7.6529943650898071E-3</v>
      </c>
      <c r="D10550">
        <f t="shared" si="347"/>
        <v>0.7752501066388362</v>
      </c>
    </row>
    <row r="10551" spans="1:4">
      <c r="A10551" s="1">
        <v>33588</v>
      </c>
      <c r="B10551">
        <v>384.46</v>
      </c>
      <c r="C10551">
        <f t="shared" si="348"/>
        <v>-2.6009831716512988E-5</v>
      </c>
      <c r="D10551">
        <f t="shared" si="347"/>
        <v>-3.5650126323560599E-2</v>
      </c>
    </row>
    <row r="10552" spans="1:4">
      <c r="A10552" s="1">
        <v>33589</v>
      </c>
      <c r="B10552">
        <v>382.74</v>
      </c>
      <c r="C10552">
        <f t="shared" si="348"/>
        <v>-4.4738074181968754E-3</v>
      </c>
      <c r="D10552">
        <f t="shared" si="347"/>
        <v>-0.50533603957602879</v>
      </c>
    </row>
    <row r="10553" spans="1:4">
      <c r="A10553" s="1">
        <v>33590</v>
      </c>
      <c r="B10553">
        <v>383.48</v>
      </c>
      <c r="C10553">
        <f t="shared" si="348"/>
        <v>1.9334273919632363E-3</v>
      </c>
      <c r="D10553">
        <f t="shared" si="347"/>
        <v>0.17126577845194715</v>
      </c>
    </row>
    <row r="10554" spans="1:4">
      <c r="A10554" s="1">
        <v>33591</v>
      </c>
      <c r="B10554">
        <v>382.52</v>
      </c>
      <c r="C10554">
        <f t="shared" si="348"/>
        <v>-2.5033900073016487E-3</v>
      </c>
      <c r="D10554">
        <f t="shared" si="347"/>
        <v>-0.29726063076291359</v>
      </c>
    </row>
    <row r="10555" spans="1:4">
      <c r="A10555" s="1">
        <v>33592</v>
      </c>
      <c r="B10555">
        <v>387.04</v>
      </c>
      <c r="C10555">
        <f t="shared" si="348"/>
        <v>1.1816375614347063E-2</v>
      </c>
      <c r="D10555">
        <f t="shared" si="347"/>
        <v>1.2149017513583549</v>
      </c>
    </row>
    <row r="10556" spans="1:4">
      <c r="A10556" s="1">
        <v>33595</v>
      </c>
      <c r="B10556">
        <v>396.82</v>
      </c>
      <c r="C10556">
        <f t="shared" si="348"/>
        <v>2.5268706076891207E-2</v>
      </c>
      <c r="D10556">
        <f t="shared" si="347"/>
        <v>2.6354632755337173</v>
      </c>
    </row>
    <row r="10557" spans="1:4">
      <c r="A10557" s="1">
        <v>33596</v>
      </c>
      <c r="B10557">
        <v>399.33</v>
      </c>
      <c r="C10557">
        <f t="shared" si="348"/>
        <v>6.3252860238899025E-3</v>
      </c>
      <c r="D10557">
        <f t="shared" si="347"/>
        <v>0.63504455711811947</v>
      </c>
    </row>
    <row r="10558" spans="1:4">
      <c r="A10558" s="1">
        <v>33598</v>
      </c>
      <c r="B10558">
        <v>404.84</v>
      </c>
      <c r="C10558">
        <f t="shared" si="348"/>
        <v>1.3798111837327501E-2</v>
      </c>
      <c r="D10558">
        <f t="shared" si="347"/>
        <v>1.4241724228802171</v>
      </c>
    </row>
    <row r="10559" spans="1:4">
      <c r="A10559" s="1">
        <v>33599</v>
      </c>
      <c r="B10559">
        <v>406.46</v>
      </c>
      <c r="C10559">
        <f t="shared" si="348"/>
        <v>4.0015808714554011E-3</v>
      </c>
      <c r="D10559">
        <f t="shared" si="347"/>
        <v>0.3896620828867951</v>
      </c>
    </row>
    <row r="10560" spans="1:4">
      <c r="A10560" s="1">
        <v>33602</v>
      </c>
      <c r="B10560">
        <v>415.14</v>
      </c>
      <c r="C10560">
        <f t="shared" si="348"/>
        <v>2.1355114894454578E-2</v>
      </c>
      <c r="D10560">
        <f t="shared" si="347"/>
        <v>2.2221893769626879</v>
      </c>
    </row>
    <row r="10561" spans="1:4">
      <c r="A10561" s="1">
        <v>33603</v>
      </c>
      <c r="B10561">
        <v>417.09</v>
      </c>
      <c r="C10561">
        <f t="shared" si="348"/>
        <v>4.6972105795634938E-3</v>
      </c>
      <c r="D10561">
        <f t="shared" si="347"/>
        <v>0.46312034360698301</v>
      </c>
    </row>
    <row r="10562" spans="1:4">
      <c r="A10562" s="1">
        <v>33605</v>
      </c>
      <c r="B10562">
        <v>417.26</v>
      </c>
      <c r="C10562">
        <f t="shared" si="348"/>
        <v>4.0758589273302148E-4</v>
      </c>
      <c r="D10562">
        <f t="shared" si="347"/>
        <v>1.0137434791962368E-2</v>
      </c>
    </row>
    <row r="10563" spans="1:4">
      <c r="A10563" s="1">
        <v>33606</v>
      </c>
      <c r="B10563">
        <v>419.34</v>
      </c>
      <c r="C10563">
        <f t="shared" si="348"/>
        <v>4.9849015002635865E-3</v>
      </c>
      <c r="D10563">
        <f t="shared" ref="D10563:D10626" si="349">(C10563-avg)/sd</f>
        <v>0.49350040704201747</v>
      </c>
    </row>
    <row r="10564" spans="1:4">
      <c r="A10564" s="1">
        <v>33609</v>
      </c>
      <c r="B10564">
        <v>417.96</v>
      </c>
      <c r="C10564">
        <f t="shared" ref="C10564:C10627" si="350">(B10564-B10563)/B10563</f>
        <v>-3.290885677493193E-3</v>
      </c>
      <c r="D10564">
        <f t="shared" si="349"/>
        <v>-0.38041990585235635</v>
      </c>
    </row>
    <row r="10565" spans="1:4">
      <c r="A10565" s="1">
        <v>33610</v>
      </c>
      <c r="B10565">
        <v>417.4</v>
      </c>
      <c r="C10565">
        <f t="shared" si="350"/>
        <v>-1.3398411331227923E-3</v>
      </c>
      <c r="D10565">
        <f t="shared" si="349"/>
        <v>-0.17439026515910552</v>
      </c>
    </row>
    <row r="10566" spans="1:4">
      <c r="A10566" s="1">
        <v>33611</v>
      </c>
      <c r="B10566">
        <v>418.1</v>
      </c>
      <c r="C10566">
        <f t="shared" si="350"/>
        <v>1.6770483948252168E-3</v>
      </c>
      <c r="D10566">
        <f t="shared" si="349"/>
        <v>0.14419224350162768</v>
      </c>
    </row>
    <row r="10567" spans="1:4">
      <c r="A10567" s="1">
        <v>33612</v>
      </c>
      <c r="B10567">
        <v>417.61</v>
      </c>
      <c r="C10567">
        <f t="shared" si="350"/>
        <v>-1.1719684286056185E-3</v>
      </c>
      <c r="D10567">
        <f t="shared" si="349"/>
        <v>-0.15666296462479676</v>
      </c>
    </row>
    <row r="10568" spans="1:4">
      <c r="A10568" s="1">
        <v>33613</v>
      </c>
      <c r="B10568">
        <v>415.1</v>
      </c>
      <c r="C10568">
        <f t="shared" si="350"/>
        <v>-6.0103924714446271E-3</v>
      </c>
      <c r="D10568">
        <f t="shared" si="349"/>
        <v>-0.667598898888354</v>
      </c>
    </row>
    <row r="10569" spans="1:4">
      <c r="A10569" s="1">
        <v>33616</v>
      </c>
      <c r="B10569">
        <v>414.34</v>
      </c>
      <c r="C10569">
        <f t="shared" si="350"/>
        <v>-1.8308841243075108E-3</v>
      </c>
      <c r="D10569">
        <f t="shared" si="349"/>
        <v>-0.22624423811458919</v>
      </c>
    </row>
    <row r="10570" spans="1:4">
      <c r="A10570" s="1">
        <v>33617</v>
      </c>
      <c r="B10570">
        <v>420.44</v>
      </c>
      <c r="C10570">
        <f t="shared" si="350"/>
        <v>1.4722208814017529E-2</v>
      </c>
      <c r="D10570">
        <f t="shared" si="349"/>
        <v>1.5217567495028597</v>
      </c>
    </row>
    <row r="10571" spans="1:4">
      <c r="A10571" s="1">
        <v>33618</v>
      </c>
      <c r="B10571">
        <v>420.77</v>
      </c>
      <c r="C10571">
        <f t="shared" si="350"/>
        <v>7.8489201788598635E-4</v>
      </c>
      <c r="D10571">
        <f t="shared" si="349"/>
        <v>4.9980833355532044E-2</v>
      </c>
    </row>
    <row r="10572" spans="1:4">
      <c r="A10572" s="1">
        <v>33619</v>
      </c>
      <c r="B10572">
        <v>418.21</v>
      </c>
      <c r="C10572">
        <f t="shared" si="350"/>
        <v>-6.0840839413456339E-3</v>
      </c>
      <c r="D10572">
        <f t="shared" si="349"/>
        <v>-0.67538069306095261</v>
      </c>
    </row>
    <row r="10573" spans="1:4">
      <c r="A10573" s="1">
        <v>33620</v>
      </c>
      <c r="B10573">
        <v>418.86</v>
      </c>
      <c r="C10573">
        <f t="shared" si="350"/>
        <v>1.5542430836183595E-3</v>
      </c>
      <c r="D10573">
        <f t="shared" si="349"/>
        <v>0.13122404438173704</v>
      </c>
    </row>
    <row r="10574" spans="1:4">
      <c r="A10574" s="1">
        <v>33623</v>
      </c>
      <c r="B10574">
        <v>416.36</v>
      </c>
      <c r="C10574">
        <f t="shared" si="350"/>
        <v>-5.968581387575801E-3</v>
      </c>
      <c r="D10574">
        <f t="shared" si="349"/>
        <v>-0.6631836626440839</v>
      </c>
    </row>
    <row r="10575" spans="1:4">
      <c r="A10575" s="1">
        <v>33624</v>
      </c>
      <c r="B10575">
        <v>412.64</v>
      </c>
      <c r="C10575">
        <f t="shared" si="350"/>
        <v>-8.9345758478240628E-3</v>
      </c>
      <c r="D10575">
        <f t="shared" si="349"/>
        <v>-0.97639166945579781</v>
      </c>
    </row>
    <row r="10576" spans="1:4">
      <c r="A10576" s="1">
        <v>33625</v>
      </c>
      <c r="B10576">
        <v>418.13</v>
      </c>
      <c r="C10576">
        <f t="shared" si="350"/>
        <v>1.330457541682825E-2</v>
      </c>
      <c r="D10576">
        <f t="shared" si="349"/>
        <v>1.3720551446366767</v>
      </c>
    </row>
    <row r="10577" spans="1:4">
      <c r="A10577" s="1">
        <v>33626</v>
      </c>
      <c r="B10577">
        <v>414.96</v>
      </c>
      <c r="C10577">
        <f t="shared" si="350"/>
        <v>-7.5813742137613082E-3</v>
      </c>
      <c r="D10577">
        <f t="shared" si="349"/>
        <v>-0.83349403687435553</v>
      </c>
    </row>
    <row r="10578" spans="1:4">
      <c r="A10578" s="1">
        <v>33627</v>
      </c>
      <c r="B10578">
        <v>415.48</v>
      </c>
      <c r="C10578">
        <f t="shared" si="350"/>
        <v>1.2531328320802937E-3</v>
      </c>
      <c r="D10578">
        <f t="shared" si="349"/>
        <v>9.9426904171664832E-2</v>
      </c>
    </row>
    <row r="10579" spans="1:4">
      <c r="A10579" s="1">
        <v>33630</v>
      </c>
      <c r="B10579">
        <v>414.99</v>
      </c>
      <c r="C10579">
        <f t="shared" si="350"/>
        <v>-1.1793588139020147E-3</v>
      </c>
      <c r="D10579">
        <f t="shared" si="349"/>
        <v>-0.15744338679998218</v>
      </c>
    </row>
    <row r="10580" spans="1:4">
      <c r="A10580" s="1">
        <v>33631</v>
      </c>
      <c r="B10580">
        <v>414.96</v>
      </c>
      <c r="C10580">
        <f t="shared" si="350"/>
        <v>-7.2290898575940517E-5</v>
      </c>
      <c r="D10580">
        <f t="shared" si="349"/>
        <v>-4.0537391252217156E-2</v>
      </c>
    </row>
    <row r="10581" spans="1:4">
      <c r="A10581" s="1">
        <v>33632</v>
      </c>
      <c r="B10581">
        <v>410.34</v>
      </c>
      <c r="C10581">
        <f t="shared" si="350"/>
        <v>-1.1133603238866408E-2</v>
      </c>
      <c r="D10581">
        <f t="shared" si="349"/>
        <v>-1.2086082144641408</v>
      </c>
    </row>
    <row r="10582" spans="1:4">
      <c r="A10582" s="1">
        <v>33633</v>
      </c>
      <c r="B10582">
        <v>411.62</v>
      </c>
      <c r="C10582">
        <f t="shared" si="350"/>
        <v>3.119364429497562E-3</v>
      </c>
      <c r="D10582">
        <f t="shared" si="349"/>
        <v>0.29650032649598629</v>
      </c>
    </row>
    <row r="10583" spans="1:4">
      <c r="A10583" s="1">
        <v>33634</v>
      </c>
      <c r="B10583">
        <v>408.78</v>
      </c>
      <c r="C10583">
        <f t="shared" si="350"/>
        <v>-6.8995675623148333E-3</v>
      </c>
      <c r="D10583">
        <f t="shared" si="349"/>
        <v>-0.76149548623894903</v>
      </c>
    </row>
    <row r="10584" spans="1:4">
      <c r="A10584" s="1">
        <v>33637</v>
      </c>
      <c r="B10584">
        <v>409.53</v>
      </c>
      <c r="C10584">
        <f t="shared" si="350"/>
        <v>1.8347277264054015E-3</v>
      </c>
      <c r="D10584">
        <f t="shared" si="349"/>
        <v>0.16084312731868619</v>
      </c>
    </row>
    <row r="10585" spans="1:4">
      <c r="A10585" s="1">
        <v>33638</v>
      </c>
      <c r="B10585">
        <v>413.85</v>
      </c>
      <c r="C10585">
        <f t="shared" si="350"/>
        <v>1.0548677752545725E-2</v>
      </c>
      <c r="D10585">
        <f t="shared" si="349"/>
        <v>1.0810332880635736</v>
      </c>
    </row>
    <row r="10586" spans="1:4">
      <c r="A10586" s="1">
        <v>33639</v>
      </c>
      <c r="B10586">
        <v>413.84</v>
      </c>
      <c r="C10586">
        <f t="shared" si="350"/>
        <v>-2.4163344206953602E-5</v>
      </c>
      <c r="D10586">
        <f t="shared" si="349"/>
        <v>-3.5455137870202727E-2</v>
      </c>
    </row>
    <row r="10587" spans="1:4">
      <c r="A10587" s="1">
        <v>33640</v>
      </c>
      <c r="B10587">
        <v>413.82</v>
      </c>
      <c r="C10587">
        <f t="shared" si="350"/>
        <v>-4.8327856176256065E-5</v>
      </c>
      <c r="D10587">
        <f t="shared" si="349"/>
        <v>-3.8006902120244358E-2</v>
      </c>
    </row>
    <row r="10588" spans="1:4">
      <c r="A10588" s="1">
        <v>33641</v>
      </c>
      <c r="B10588">
        <v>411.09</v>
      </c>
      <c r="C10588">
        <f t="shared" si="350"/>
        <v>-6.5970711903726702E-3</v>
      </c>
      <c r="D10588">
        <f t="shared" si="349"/>
        <v>-0.72955197218536938</v>
      </c>
    </row>
    <row r="10589" spans="1:4">
      <c r="A10589" s="1">
        <v>33644</v>
      </c>
      <c r="B10589">
        <v>413.77</v>
      </c>
      <c r="C10589">
        <f t="shared" si="350"/>
        <v>6.519253691405792E-3</v>
      </c>
      <c r="D10589">
        <f t="shared" si="349"/>
        <v>0.65552747687498369</v>
      </c>
    </row>
    <row r="10590" spans="1:4">
      <c r="A10590" s="1">
        <v>33645</v>
      </c>
      <c r="B10590">
        <v>413.76</v>
      </c>
      <c r="C10590">
        <f t="shared" si="350"/>
        <v>-2.4168016047540676E-5</v>
      </c>
      <c r="D10590">
        <f t="shared" si="349"/>
        <v>-3.5455631214980687E-2</v>
      </c>
    </row>
    <row r="10591" spans="1:4">
      <c r="A10591" s="1">
        <v>33646</v>
      </c>
      <c r="B10591">
        <v>417.13</v>
      </c>
      <c r="C10591">
        <f t="shared" si="350"/>
        <v>8.1448182521268488E-3</v>
      </c>
      <c r="D10591">
        <f t="shared" si="349"/>
        <v>0.82718654193088592</v>
      </c>
    </row>
    <row r="10592" spans="1:4">
      <c r="A10592" s="1">
        <v>33647</v>
      </c>
      <c r="B10592">
        <v>413.69</v>
      </c>
      <c r="C10592">
        <f t="shared" si="350"/>
        <v>-8.2468295255675641E-3</v>
      </c>
      <c r="D10592">
        <f t="shared" si="349"/>
        <v>-0.90376589160184506</v>
      </c>
    </row>
    <row r="10593" spans="1:4">
      <c r="A10593" s="1">
        <v>33648</v>
      </c>
      <c r="B10593">
        <v>412.48</v>
      </c>
      <c r="C10593">
        <f t="shared" si="350"/>
        <v>-2.924895453117019E-3</v>
      </c>
      <c r="D10593">
        <f t="shared" si="349"/>
        <v>-0.3417714625643542</v>
      </c>
    </row>
    <row r="10594" spans="1:4">
      <c r="A10594" s="1">
        <v>33652</v>
      </c>
      <c r="B10594">
        <v>407.38</v>
      </c>
      <c r="C10594">
        <f t="shared" si="350"/>
        <v>-1.2364235841737835E-2</v>
      </c>
      <c r="D10594">
        <f t="shared" si="349"/>
        <v>-1.338562599015017</v>
      </c>
    </row>
    <row r="10595" spans="1:4">
      <c r="A10595" s="1">
        <v>33653</v>
      </c>
      <c r="B10595">
        <v>408.26</v>
      </c>
      <c r="C10595">
        <f t="shared" si="350"/>
        <v>2.1601453188668943E-3</v>
      </c>
      <c r="D10595">
        <f t="shared" si="349"/>
        <v>0.19520711446780567</v>
      </c>
    </row>
    <row r="10596" spans="1:4">
      <c r="A10596" s="1">
        <v>33654</v>
      </c>
      <c r="B10596">
        <v>413.9</v>
      </c>
      <c r="C10596">
        <f t="shared" si="350"/>
        <v>1.3814725909959306E-2</v>
      </c>
      <c r="D10596">
        <f t="shared" si="349"/>
        <v>1.425926863302738</v>
      </c>
    </row>
    <row r="10597" spans="1:4">
      <c r="A10597" s="1">
        <v>33655</v>
      </c>
      <c r="B10597">
        <v>411.43</v>
      </c>
      <c r="C10597">
        <f t="shared" si="350"/>
        <v>-5.96762503020046E-3</v>
      </c>
      <c r="D10597">
        <f t="shared" si="349"/>
        <v>-0.66308267163032963</v>
      </c>
    </row>
    <row r="10598" spans="1:4">
      <c r="A10598" s="1">
        <v>33658</v>
      </c>
      <c r="B10598">
        <v>412.27</v>
      </c>
      <c r="C10598">
        <f t="shared" si="350"/>
        <v>2.0416595775708504E-3</v>
      </c>
      <c r="D10598">
        <f t="shared" si="349"/>
        <v>0.18269506046220377</v>
      </c>
    </row>
    <row r="10599" spans="1:4">
      <c r="A10599" s="1">
        <v>33659</v>
      </c>
      <c r="B10599">
        <v>410.45</v>
      </c>
      <c r="C10599">
        <f t="shared" si="350"/>
        <v>-4.4145826764013709E-3</v>
      </c>
      <c r="D10599">
        <f t="shared" si="349"/>
        <v>-0.49908192697389142</v>
      </c>
    </row>
    <row r="10600" spans="1:4">
      <c r="A10600" s="1">
        <v>33660</v>
      </c>
      <c r="B10600">
        <v>415.35</v>
      </c>
      <c r="C10600">
        <f t="shared" si="350"/>
        <v>1.1938116701181714E-2</v>
      </c>
      <c r="D10600">
        <f t="shared" si="349"/>
        <v>1.2277575687462878</v>
      </c>
    </row>
    <row r="10601" spans="1:4">
      <c r="A10601" s="1">
        <v>33661</v>
      </c>
      <c r="B10601">
        <v>413.86</v>
      </c>
      <c r="C10601">
        <f t="shared" si="350"/>
        <v>-3.5873359817022005E-3</v>
      </c>
      <c r="D10601">
        <f t="shared" si="349"/>
        <v>-0.41172495720847302</v>
      </c>
    </row>
    <row r="10602" spans="1:4">
      <c r="A10602" s="1">
        <v>33662</v>
      </c>
      <c r="B10602">
        <v>412.7</v>
      </c>
      <c r="C10602">
        <f t="shared" si="350"/>
        <v>-2.8028802010342264E-3</v>
      </c>
      <c r="D10602">
        <f t="shared" si="349"/>
        <v>-0.32888669341941068</v>
      </c>
    </row>
    <row r="10603" spans="1:4">
      <c r="A10603" s="1">
        <v>33665</v>
      </c>
      <c r="B10603">
        <v>412.45</v>
      </c>
      <c r="C10603">
        <f t="shared" si="350"/>
        <v>-6.0576690089653498E-4</v>
      </c>
      <c r="D10603">
        <f t="shared" si="349"/>
        <v>-9.6872275759968027E-2</v>
      </c>
    </row>
    <row r="10604" spans="1:4">
      <c r="A10604" s="1">
        <v>33666</v>
      </c>
      <c r="B10604">
        <v>412.85</v>
      </c>
      <c r="C10604">
        <f t="shared" si="350"/>
        <v>9.6981452297256428E-4</v>
      </c>
      <c r="D10604">
        <f t="shared" si="349"/>
        <v>6.950858703446107E-2</v>
      </c>
    </row>
    <row r="10605" spans="1:4">
      <c r="A10605" s="1">
        <v>33667</v>
      </c>
      <c r="B10605">
        <v>409.33</v>
      </c>
      <c r="C10605">
        <f t="shared" si="350"/>
        <v>-8.5260990674580085E-3</v>
      </c>
      <c r="D10605">
        <f t="shared" si="349"/>
        <v>-0.93325666029714638</v>
      </c>
    </row>
    <row r="10606" spans="1:4">
      <c r="A10606" s="1">
        <v>33668</v>
      </c>
      <c r="B10606">
        <v>406.51</v>
      </c>
      <c r="C10606">
        <f t="shared" si="350"/>
        <v>-6.8893069161800827E-3</v>
      </c>
      <c r="D10606">
        <f t="shared" si="349"/>
        <v>-0.76041196549488244</v>
      </c>
    </row>
    <row r="10607" spans="1:4">
      <c r="A10607" s="1">
        <v>33669</v>
      </c>
      <c r="B10607">
        <v>404.44</v>
      </c>
      <c r="C10607">
        <f t="shared" si="350"/>
        <v>-5.0921256549654207E-3</v>
      </c>
      <c r="D10607">
        <f t="shared" si="349"/>
        <v>-0.57063023520220657</v>
      </c>
    </row>
    <row r="10608" spans="1:4">
      <c r="A10608" s="1">
        <v>33672</v>
      </c>
      <c r="B10608">
        <v>405.21</v>
      </c>
      <c r="C10608">
        <f t="shared" si="350"/>
        <v>1.9038670754623226E-3</v>
      </c>
      <c r="D10608">
        <f t="shared" si="349"/>
        <v>0.16814421907749044</v>
      </c>
    </row>
    <row r="10609" spans="1:4">
      <c r="A10609" s="1">
        <v>33673</v>
      </c>
      <c r="B10609">
        <v>406.89</v>
      </c>
      <c r="C10609">
        <f t="shared" si="350"/>
        <v>4.145998371214943E-3</v>
      </c>
      <c r="D10609">
        <f t="shared" si="349"/>
        <v>0.40491252177150938</v>
      </c>
    </row>
    <row r="10610" spans="1:4">
      <c r="A10610" s="1">
        <v>33674</v>
      </c>
      <c r="B10610">
        <v>404.03</v>
      </c>
      <c r="C10610">
        <f t="shared" si="350"/>
        <v>-7.028926736955968E-3</v>
      </c>
      <c r="D10610">
        <f t="shared" si="349"/>
        <v>-0.77515577110973299</v>
      </c>
    </row>
    <row r="10611" spans="1:4">
      <c r="A10611" s="1">
        <v>33675</v>
      </c>
      <c r="B10611">
        <v>403.89</v>
      </c>
      <c r="C10611">
        <f t="shared" si="350"/>
        <v>-3.4650892260472334E-4</v>
      </c>
      <c r="D10611">
        <f t="shared" si="349"/>
        <v>-6.9494721378421359E-2</v>
      </c>
    </row>
    <row r="10612" spans="1:4">
      <c r="A10612" s="1">
        <v>33676</v>
      </c>
      <c r="B10612">
        <v>405.84</v>
      </c>
      <c r="C10612">
        <f t="shared" si="350"/>
        <v>4.8280472405852802E-3</v>
      </c>
      <c r="D10612">
        <f t="shared" si="349"/>
        <v>0.47693665053734174</v>
      </c>
    </row>
    <row r="10613" spans="1:4">
      <c r="A10613" s="1">
        <v>33679</v>
      </c>
      <c r="B10613">
        <v>406.39</v>
      </c>
      <c r="C10613">
        <f t="shared" si="350"/>
        <v>1.3552138773901326E-3</v>
      </c>
      <c r="D10613">
        <f t="shared" si="349"/>
        <v>0.11020662785735059</v>
      </c>
    </row>
    <row r="10614" spans="1:4">
      <c r="A10614" s="1">
        <v>33680</v>
      </c>
      <c r="B10614">
        <v>409.58</v>
      </c>
      <c r="C10614">
        <f t="shared" si="350"/>
        <v>7.8496025984891304E-3</v>
      </c>
      <c r="D10614">
        <f t="shared" si="349"/>
        <v>0.79601186925541911</v>
      </c>
    </row>
    <row r="10615" spans="1:4">
      <c r="A10615" s="1">
        <v>33681</v>
      </c>
      <c r="B10615">
        <v>409.15</v>
      </c>
      <c r="C10615">
        <f t="shared" si="350"/>
        <v>-1.0498559499975751E-3</v>
      </c>
      <c r="D10615">
        <f t="shared" si="349"/>
        <v>-0.14376792839183561</v>
      </c>
    </row>
    <row r="10616" spans="1:4">
      <c r="A10616" s="1">
        <v>33682</v>
      </c>
      <c r="B10616">
        <v>409.8</v>
      </c>
      <c r="C10616">
        <f t="shared" si="350"/>
        <v>1.5886594158622367E-3</v>
      </c>
      <c r="D10616">
        <f t="shared" si="349"/>
        <v>0.13485839736801072</v>
      </c>
    </row>
    <row r="10617" spans="1:4">
      <c r="A10617" s="1">
        <v>33683</v>
      </c>
      <c r="B10617">
        <v>411.3</v>
      </c>
      <c r="C10617">
        <f t="shared" si="350"/>
        <v>3.6603221083455345E-3</v>
      </c>
      <c r="D10617">
        <f t="shared" si="349"/>
        <v>0.35362527350188289</v>
      </c>
    </row>
    <row r="10618" spans="1:4">
      <c r="A10618" s="1">
        <v>33686</v>
      </c>
      <c r="B10618">
        <v>409.91</v>
      </c>
      <c r="C10618">
        <f t="shared" si="350"/>
        <v>-3.3795283248236963E-3</v>
      </c>
      <c r="D10618">
        <f t="shared" si="349"/>
        <v>-0.38978053927935769</v>
      </c>
    </row>
    <row r="10619" spans="1:4">
      <c r="A10619" s="1">
        <v>33687</v>
      </c>
      <c r="B10619">
        <v>408.88</v>
      </c>
      <c r="C10619">
        <f t="shared" si="350"/>
        <v>-2.5127467004953026E-3</v>
      </c>
      <c r="D10619">
        <f t="shared" si="349"/>
        <v>-0.29824869438366891</v>
      </c>
    </row>
    <row r="10620" spans="1:4">
      <c r="A10620" s="1">
        <v>33688</v>
      </c>
      <c r="B10620">
        <v>407.52</v>
      </c>
      <c r="C10620">
        <f t="shared" si="350"/>
        <v>-3.3261592643318667E-3</v>
      </c>
      <c r="D10620">
        <f t="shared" si="349"/>
        <v>-0.38414478463244556</v>
      </c>
    </row>
    <row r="10621" spans="1:4">
      <c r="A10621" s="1">
        <v>33689</v>
      </c>
      <c r="B10621">
        <v>407.86</v>
      </c>
      <c r="C10621">
        <f t="shared" si="350"/>
        <v>8.3431488025135418E-4</v>
      </c>
      <c r="D10621">
        <f t="shared" si="349"/>
        <v>5.5199870821667711E-2</v>
      </c>
    </row>
    <row r="10622" spans="1:4">
      <c r="A10622" s="1">
        <v>33690</v>
      </c>
      <c r="B10622">
        <v>403.5</v>
      </c>
      <c r="C10622">
        <f t="shared" si="350"/>
        <v>-1.0689942627372171E-2</v>
      </c>
      <c r="D10622">
        <f t="shared" si="349"/>
        <v>-1.1617578046979185</v>
      </c>
    </row>
    <row r="10623" spans="1:4">
      <c r="A10623" s="1">
        <v>33693</v>
      </c>
      <c r="B10623">
        <v>403</v>
      </c>
      <c r="C10623">
        <f t="shared" si="350"/>
        <v>-1.2391573729863693E-3</v>
      </c>
      <c r="D10623">
        <f t="shared" si="349"/>
        <v>-0.16375809431277216</v>
      </c>
    </row>
    <row r="10624" spans="1:4">
      <c r="A10624" s="1">
        <v>33694</v>
      </c>
      <c r="B10624">
        <v>403.69</v>
      </c>
      <c r="C10624">
        <f t="shared" si="350"/>
        <v>1.7121588089329968E-3</v>
      </c>
      <c r="D10624">
        <f t="shared" si="349"/>
        <v>0.14789989129679962</v>
      </c>
    </row>
    <row r="10625" spans="1:4">
      <c r="A10625" s="1">
        <v>33695</v>
      </c>
      <c r="B10625">
        <v>404.23</v>
      </c>
      <c r="C10625">
        <f t="shared" si="350"/>
        <v>1.3376600857093821E-3</v>
      </c>
      <c r="D10625">
        <f t="shared" si="349"/>
        <v>0.10835295342268704</v>
      </c>
    </row>
    <row r="10626" spans="1:4">
      <c r="A10626" s="1">
        <v>33696</v>
      </c>
      <c r="B10626">
        <v>400.5</v>
      </c>
      <c r="C10626">
        <f t="shared" si="350"/>
        <v>-9.2274200331494884E-3</v>
      </c>
      <c r="D10626">
        <f t="shared" si="349"/>
        <v>-1.0073159158835876</v>
      </c>
    </row>
    <row r="10627" spans="1:4">
      <c r="A10627" s="1">
        <v>33697</v>
      </c>
      <c r="B10627">
        <v>401.55</v>
      </c>
      <c r="C10627">
        <f t="shared" si="350"/>
        <v>2.6217228464419759E-3</v>
      </c>
      <c r="D10627">
        <f t="shared" ref="D10627:D10690" si="351">(C10627-avg)/sd</f>
        <v>0.24394954448190939</v>
      </c>
    </row>
    <row r="10628" spans="1:4">
      <c r="A10628" s="1">
        <v>33700</v>
      </c>
      <c r="B10628">
        <v>405.59</v>
      </c>
      <c r="C10628">
        <f t="shared" ref="C10628:C10691" si="352">(B10628-B10627)/B10627</f>
        <v>1.0061013572406833E-2</v>
      </c>
      <c r="D10628">
        <f t="shared" si="351"/>
        <v>1.0295361164060155</v>
      </c>
    </row>
    <row r="10629" spans="1:4">
      <c r="A10629" s="1">
        <v>33701</v>
      </c>
      <c r="B10629">
        <v>398.06</v>
      </c>
      <c r="C10629">
        <f t="shared" si="352"/>
        <v>-1.8565546487832475E-2</v>
      </c>
      <c r="D10629">
        <f t="shared" si="351"/>
        <v>-1.9934188953147036</v>
      </c>
    </row>
    <row r="10630" spans="1:4">
      <c r="A10630" s="1">
        <v>33702</v>
      </c>
      <c r="B10630">
        <v>394.5</v>
      </c>
      <c r="C10630">
        <f t="shared" si="352"/>
        <v>-8.9433753705471589E-3</v>
      </c>
      <c r="D10630">
        <f t="shared" si="351"/>
        <v>-0.97732089606425365</v>
      </c>
    </row>
    <row r="10631" spans="1:4">
      <c r="A10631" s="1">
        <v>33703</v>
      </c>
      <c r="B10631">
        <v>400.64</v>
      </c>
      <c r="C10631">
        <f t="shared" si="352"/>
        <v>1.5564005069708457E-2</v>
      </c>
      <c r="D10631">
        <f t="shared" si="351"/>
        <v>1.6106501479633712</v>
      </c>
    </row>
    <row r="10632" spans="1:4">
      <c r="A10632" s="1">
        <v>33704</v>
      </c>
      <c r="B10632">
        <v>404.29</v>
      </c>
      <c r="C10632">
        <f t="shared" si="352"/>
        <v>9.1104233226837923E-3</v>
      </c>
      <c r="D10632">
        <f t="shared" si="351"/>
        <v>0.92915410915658803</v>
      </c>
    </row>
    <row r="10633" spans="1:4">
      <c r="A10633" s="1">
        <v>33707</v>
      </c>
      <c r="B10633">
        <v>406.08</v>
      </c>
      <c r="C10633">
        <f t="shared" si="352"/>
        <v>4.4275149026687865E-3</v>
      </c>
      <c r="D10633">
        <f t="shared" si="351"/>
        <v>0.4346405718009167</v>
      </c>
    </row>
    <row r="10634" spans="1:4">
      <c r="A10634" s="1">
        <v>33708</v>
      </c>
      <c r="B10634">
        <v>412.39</v>
      </c>
      <c r="C10634">
        <f t="shared" si="352"/>
        <v>1.5538810086682434E-2</v>
      </c>
      <c r="D10634">
        <f t="shared" si="351"/>
        <v>1.6079895663200141</v>
      </c>
    </row>
    <row r="10635" spans="1:4">
      <c r="A10635" s="1">
        <v>33709</v>
      </c>
      <c r="B10635">
        <v>416.28</v>
      </c>
      <c r="C10635">
        <f t="shared" si="352"/>
        <v>9.4328184485559467E-3</v>
      </c>
      <c r="D10635">
        <f t="shared" si="351"/>
        <v>0.96319892486125958</v>
      </c>
    </row>
    <row r="10636" spans="1:4">
      <c r="A10636" s="1">
        <v>33710</v>
      </c>
      <c r="B10636">
        <v>416.04</v>
      </c>
      <c r="C10636">
        <f t="shared" si="352"/>
        <v>-5.7653502450262387E-4</v>
      </c>
      <c r="D10636">
        <f t="shared" si="351"/>
        <v>-9.3785399549168563E-2</v>
      </c>
    </row>
    <row r="10637" spans="1:4">
      <c r="A10637" s="1">
        <v>33714</v>
      </c>
      <c r="B10637">
        <v>410.18</v>
      </c>
      <c r="C10637">
        <f t="shared" si="352"/>
        <v>-1.4085184116911868E-2</v>
      </c>
      <c r="D10637">
        <f t="shared" si="351"/>
        <v>-1.5202941518946536</v>
      </c>
    </row>
    <row r="10638" spans="1:4">
      <c r="A10638" s="1">
        <v>33715</v>
      </c>
      <c r="B10638">
        <v>410.26</v>
      </c>
      <c r="C10638">
        <f t="shared" si="352"/>
        <v>1.9503632551558849E-4</v>
      </c>
      <c r="D10638">
        <f t="shared" si="351"/>
        <v>-1.2307727257090256E-2</v>
      </c>
    </row>
    <row r="10639" spans="1:4">
      <c r="A10639" s="1">
        <v>33716</v>
      </c>
      <c r="B10639">
        <v>409.81</v>
      </c>
      <c r="C10639">
        <f t="shared" si="352"/>
        <v>-1.096865402427701E-3</v>
      </c>
      <c r="D10639">
        <f t="shared" si="351"/>
        <v>-0.14873211058916763</v>
      </c>
    </row>
    <row r="10640" spans="1:4">
      <c r="A10640" s="1">
        <v>33717</v>
      </c>
      <c r="B10640">
        <v>411.6</v>
      </c>
      <c r="C10640">
        <f t="shared" si="352"/>
        <v>4.3678777970279411E-3</v>
      </c>
      <c r="D10640">
        <f t="shared" si="351"/>
        <v>0.4283429137168806</v>
      </c>
    </row>
    <row r="10641" spans="1:4">
      <c r="A10641" s="1">
        <v>33718</v>
      </c>
      <c r="B10641">
        <v>409.02</v>
      </c>
      <c r="C10641">
        <f t="shared" si="352"/>
        <v>-6.2682215743441226E-3</v>
      </c>
      <c r="D10641">
        <f t="shared" si="351"/>
        <v>-0.69482556451417044</v>
      </c>
    </row>
    <row r="10642" spans="1:4">
      <c r="A10642" s="1">
        <v>33721</v>
      </c>
      <c r="B10642">
        <v>408.45</v>
      </c>
      <c r="C10642">
        <f t="shared" si="352"/>
        <v>-1.3935748863136111E-3</v>
      </c>
      <c r="D10642">
        <f t="shared" si="351"/>
        <v>-0.18006453123106581</v>
      </c>
    </row>
    <row r="10643" spans="1:4">
      <c r="A10643" s="1">
        <v>33722</v>
      </c>
      <c r="B10643">
        <v>409.11</v>
      </c>
      <c r="C10643">
        <f t="shared" si="352"/>
        <v>1.6158648549394663E-3</v>
      </c>
      <c r="D10643">
        <f t="shared" si="351"/>
        <v>0.13773128248698813</v>
      </c>
    </row>
    <row r="10644" spans="1:4">
      <c r="A10644" s="1">
        <v>33723</v>
      </c>
      <c r="B10644">
        <v>412.02</v>
      </c>
      <c r="C10644">
        <f t="shared" si="352"/>
        <v>7.1130013932682364E-3</v>
      </c>
      <c r="D10644">
        <f t="shared" si="351"/>
        <v>0.7182270323670078</v>
      </c>
    </row>
    <row r="10645" spans="1:4">
      <c r="A10645" s="1">
        <v>33724</v>
      </c>
      <c r="B10645">
        <v>414.95</v>
      </c>
      <c r="C10645">
        <f t="shared" si="352"/>
        <v>7.1113052764429077E-3</v>
      </c>
      <c r="D10645">
        <f t="shared" si="351"/>
        <v>0.71804792300679121</v>
      </c>
    </row>
    <row r="10646" spans="1:4">
      <c r="A10646" s="1">
        <v>33725</v>
      </c>
      <c r="B10646">
        <v>412.53</v>
      </c>
      <c r="C10646">
        <f t="shared" si="352"/>
        <v>-5.8320279551753607E-3</v>
      </c>
      <c r="D10646">
        <f t="shared" si="351"/>
        <v>-0.64876366659936435</v>
      </c>
    </row>
    <row r="10647" spans="1:4">
      <c r="A10647" s="1">
        <v>33728</v>
      </c>
      <c r="B10647">
        <v>416.91</v>
      </c>
      <c r="C10647">
        <f t="shared" si="352"/>
        <v>1.0617409642935187E-2</v>
      </c>
      <c r="D10647">
        <f t="shared" si="351"/>
        <v>1.0882913523255962</v>
      </c>
    </row>
    <row r="10648" spans="1:4">
      <c r="A10648" s="1">
        <v>33729</v>
      </c>
      <c r="B10648">
        <v>416.84</v>
      </c>
      <c r="C10648">
        <f t="shared" si="352"/>
        <v>-1.6790194526408581E-4</v>
      </c>
      <c r="D10648">
        <f t="shared" si="351"/>
        <v>-5.0633885282711448E-2</v>
      </c>
    </row>
    <row r="10649" spans="1:4">
      <c r="A10649" s="1">
        <v>33730</v>
      </c>
      <c r="B10649">
        <v>416.79</v>
      </c>
      <c r="C10649">
        <f t="shared" si="352"/>
        <v>-1.1995010075797555E-4</v>
      </c>
      <c r="D10649">
        <f t="shared" si="351"/>
        <v>-4.5570186802490108E-2</v>
      </c>
    </row>
    <row r="10650" spans="1:4">
      <c r="A10650" s="1">
        <v>33731</v>
      </c>
      <c r="B10650">
        <v>415.85</v>
      </c>
      <c r="C10650">
        <f t="shared" si="352"/>
        <v>-2.2553324216031999E-3</v>
      </c>
      <c r="D10650">
        <f t="shared" si="351"/>
        <v>-0.27106583403202761</v>
      </c>
    </row>
    <row r="10651" spans="1:4">
      <c r="A10651" s="1">
        <v>33732</v>
      </c>
      <c r="B10651">
        <v>416.05</v>
      </c>
      <c r="C10651">
        <f t="shared" si="352"/>
        <v>4.8094264758924763E-4</v>
      </c>
      <c r="D10651">
        <f t="shared" si="351"/>
        <v>1.7883883169607335E-2</v>
      </c>
    </row>
    <row r="10652" spans="1:4">
      <c r="A10652" s="1">
        <v>33735</v>
      </c>
      <c r="B10652">
        <v>418.49</v>
      </c>
      <c r="C10652">
        <f t="shared" si="352"/>
        <v>5.8646797259944662E-3</v>
      </c>
      <c r="D10652">
        <f t="shared" si="351"/>
        <v>0.58640468862804929</v>
      </c>
    </row>
    <row r="10653" spans="1:4">
      <c r="A10653" s="1">
        <v>33736</v>
      </c>
      <c r="B10653">
        <v>416.29</v>
      </c>
      <c r="C10653">
        <f t="shared" si="352"/>
        <v>-5.2569953881812913E-3</v>
      </c>
      <c r="D10653">
        <f t="shared" si="351"/>
        <v>-0.58804042298785719</v>
      </c>
    </row>
    <row r="10654" spans="1:4">
      <c r="A10654" s="1">
        <v>33737</v>
      </c>
      <c r="B10654">
        <v>416.45</v>
      </c>
      <c r="C10654">
        <f t="shared" si="352"/>
        <v>3.8434745009480929E-4</v>
      </c>
      <c r="D10654">
        <f t="shared" si="351"/>
        <v>7.6834631484976115E-3</v>
      </c>
    </row>
    <row r="10655" spans="1:4">
      <c r="A10655" s="1">
        <v>33738</v>
      </c>
      <c r="B10655">
        <v>413.14</v>
      </c>
      <c r="C10655">
        <f t="shared" si="352"/>
        <v>-7.9481330291751775E-3</v>
      </c>
      <c r="D10655">
        <f t="shared" si="351"/>
        <v>-0.87222364311468137</v>
      </c>
    </row>
    <row r="10656" spans="1:4">
      <c r="A10656" s="1">
        <v>33739</v>
      </c>
      <c r="B10656">
        <v>410.09</v>
      </c>
      <c r="C10656">
        <f t="shared" si="352"/>
        <v>-7.382485356053666E-3</v>
      </c>
      <c r="D10656">
        <f t="shared" si="351"/>
        <v>-0.81249144110603599</v>
      </c>
    </row>
    <row r="10657" spans="1:4">
      <c r="A10657" s="1">
        <v>33742</v>
      </c>
      <c r="B10657">
        <v>412.81</v>
      </c>
      <c r="C10657">
        <f t="shared" si="352"/>
        <v>6.6326903850374977E-3</v>
      </c>
      <c r="D10657">
        <f t="shared" si="351"/>
        <v>0.66750635316348617</v>
      </c>
    </row>
    <row r="10658" spans="1:4">
      <c r="A10658" s="1">
        <v>33743</v>
      </c>
      <c r="B10658">
        <v>416.37</v>
      </c>
      <c r="C10658">
        <f t="shared" si="352"/>
        <v>8.6238220973329192E-3</v>
      </c>
      <c r="D10658">
        <f t="shared" si="351"/>
        <v>0.8777691851633288</v>
      </c>
    </row>
    <row r="10659" spans="1:4">
      <c r="A10659" s="1">
        <v>33744</v>
      </c>
      <c r="B10659">
        <v>415.39</v>
      </c>
      <c r="C10659">
        <f t="shared" si="352"/>
        <v>-2.3536758171818772E-3</v>
      </c>
      <c r="D10659">
        <f t="shared" si="351"/>
        <v>-0.28145086317659157</v>
      </c>
    </row>
    <row r="10660" spans="1:4">
      <c r="A10660" s="1">
        <v>33745</v>
      </c>
      <c r="B10660">
        <v>412.6</v>
      </c>
      <c r="C10660">
        <f t="shared" si="352"/>
        <v>-6.7165795998939881E-3</v>
      </c>
      <c r="D10660">
        <f t="shared" si="351"/>
        <v>-0.74217201960793844</v>
      </c>
    </row>
    <row r="10661" spans="1:4">
      <c r="A10661" s="1">
        <v>33746</v>
      </c>
      <c r="B10661">
        <v>414.02</v>
      </c>
      <c r="C10661">
        <f t="shared" si="352"/>
        <v>3.441589917595635E-3</v>
      </c>
      <c r="D10661">
        <f t="shared" si="351"/>
        <v>0.33052722850937766</v>
      </c>
    </row>
    <row r="10662" spans="1:4">
      <c r="A10662" s="1">
        <v>33750</v>
      </c>
      <c r="B10662">
        <v>411.41</v>
      </c>
      <c r="C10662">
        <f t="shared" si="352"/>
        <v>-6.3040432829330872E-3</v>
      </c>
      <c r="D10662">
        <f t="shared" si="351"/>
        <v>-0.69860832476477475</v>
      </c>
    </row>
    <row r="10663" spans="1:4">
      <c r="A10663" s="1">
        <v>33751</v>
      </c>
      <c r="B10663">
        <v>412.17</v>
      </c>
      <c r="C10663">
        <f t="shared" si="352"/>
        <v>1.8473056075447628E-3</v>
      </c>
      <c r="D10663">
        <f t="shared" si="351"/>
        <v>0.16217134729157323</v>
      </c>
    </row>
    <row r="10664" spans="1:4">
      <c r="A10664" s="1">
        <v>33752</v>
      </c>
      <c r="B10664">
        <v>416.74</v>
      </c>
      <c r="C10664">
        <f t="shared" si="352"/>
        <v>1.1087658005192015E-2</v>
      </c>
      <c r="D10664">
        <f t="shared" si="351"/>
        <v>1.1379494195347324</v>
      </c>
    </row>
    <row r="10665" spans="1:4">
      <c r="A10665" s="1">
        <v>33753</v>
      </c>
      <c r="B10665">
        <v>415.35</v>
      </c>
      <c r="C10665">
        <f t="shared" si="352"/>
        <v>-3.3354129673177193E-3</v>
      </c>
      <c r="D10665">
        <f t="shared" si="351"/>
        <v>-0.3851219725222651</v>
      </c>
    </row>
    <row r="10666" spans="1:4">
      <c r="A10666" s="1">
        <v>33756</v>
      </c>
      <c r="B10666">
        <v>417.3</v>
      </c>
      <c r="C10666">
        <f t="shared" si="352"/>
        <v>4.6948356807511461E-3</v>
      </c>
      <c r="D10666">
        <f t="shared" si="351"/>
        <v>0.46286955509966643</v>
      </c>
    </row>
    <row r="10667" spans="1:4">
      <c r="A10667" s="1">
        <v>33757</v>
      </c>
      <c r="B10667">
        <v>413.5</v>
      </c>
      <c r="C10667">
        <f t="shared" si="352"/>
        <v>-9.1061586388689469E-3</v>
      </c>
      <c r="D10667">
        <f t="shared" si="351"/>
        <v>-0.99451075386631305</v>
      </c>
    </row>
    <row r="10668" spans="1:4">
      <c r="A10668" s="1">
        <v>33758</v>
      </c>
      <c r="B10668">
        <v>414.59</v>
      </c>
      <c r="C10668">
        <f t="shared" si="352"/>
        <v>2.6360338573155379E-3</v>
      </c>
      <c r="D10668">
        <f t="shared" si="351"/>
        <v>0.24546078236560859</v>
      </c>
    </row>
    <row r="10669" spans="1:4">
      <c r="A10669" s="1">
        <v>33759</v>
      </c>
      <c r="B10669">
        <v>413.26</v>
      </c>
      <c r="C10669">
        <f t="shared" si="352"/>
        <v>-3.2079886152584099E-3</v>
      </c>
      <c r="D10669">
        <f t="shared" si="351"/>
        <v>-0.37166600425844382</v>
      </c>
    </row>
    <row r="10670" spans="1:4">
      <c r="A10670" s="1">
        <v>33760</v>
      </c>
      <c r="B10670">
        <v>413.48</v>
      </c>
      <c r="C10670">
        <f t="shared" si="352"/>
        <v>5.3235251415580337E-4</v>
      </c>
      <c r="D10670">
        <f t="shared" si="351"/>
        <v>2.3312747603972905E-2</v>
      </c>
    </row>
    <row r="10671" spans="1:4">
      <c r="A10671" s="1">
        <v>33763</v>
      </c>
      <c r="B10671">
        <v>413.36</v>
      </c>
      <c r="C10671">
        <f t="shared" si="352"/>
        <v>-2.9021959949696366E-4</v>
      </c>
      <c r="D10671">
        <f t="shared" si="351"/>
        <v>-6.3550587991912516E-2</v>
      </c>
    </row>
    <row r="10672" spans="1:4">
      <c r="A10672" s="1">
        <v>33764</v>
      </c>
      <c r="B10672">
        <v>410.06</v>
      </c>
      <c r="C10672">
        <f t="shared" si="352"/>
        <v>-7.9833559125218004E-3</v>
      </c>
      <c r="D10672">
        <f t="shared" si="351"/>
        <v>-0.87594316762324498</v>
      </c>
    </row>
    <row r="10673" spans="1:4">
      <c r="A10673" s="1">
        <v>33765</v>
      </c>
      <c r="B10673">
        <v>407.25</v>
      </c>
      <c r="C10673">
        <f t="shared" si="352"/>
        <v>-6.8526557089206514E-3</v>
      </c>
      <c r="D10673">
        <f t="shared" si="351"/>
        <v>-0.75654161046663715</v>
      </c>
    </row>
    <row r="10674" spans="1:4">
      <c r="A10674" s="1">
        <v>33766</v>
      </c>
      <c r="B10674">
        <v>409.05</v>
      </c>
      <c r="C10674">
        <f t="shared" si="352"/>
        <v>4.419889502762459E-3</v>
      </c>
      <c r="D10674">
        <f t="shared" si="351"/>
        <v>0.4338353321628079</v>
      </c>
    </row>
    <row r="10675" spans="1:4">
      <c r="A10675" s="1">
        <v>33767</v>
      </c>
      <c r="B10675">
        <v>409.76</v>
      </c>
      <c r="C10675">
        <f t="shared" si="352"/>
        <v>1.7357291284683524E-3</v>
      </c>
      <c r="D10675">
        <f t="shared" si="351"/>
        <v>0.15038890902779228</v>
      </c>
    </row>
    <row r="10676" spans="1:4">
      <c r="A10676" s="1">
        <v>33770</v>
      </c>
      <c r="B10676">
        <v>410.29</v>
      </c>
      <c r="C10676">
        <f t="shared" si="352"/>
        <v>1.2934400624756677E-3</v>
      </c>
      <c r="D10676">
        <f t="shared" si="351"/>
        <v>0.10368333400032302</v>
      </c>
    </row>
    <row r="10677" spans="1:4">
      <c r="A10677" s="1">
        <v>33771</v>
      </c>
      <c r="B10677">
        <v>408.32</v>
      </c>
      <c r="C10677">
        <f t="shared" si="352"/>
        <v>-4.8014818786712501E-3</v>
      </c>
      <c r="D10677">
        <f t="shared" si="351"/>
        <v>-0.53993835122016187</v>
      </c>
    </row>
    <row r="10678" spans="1:4">
      <c r="A10678" s="1">
        <v>33772</v>
      </c>
      <c r="B10678">
        <v>402.26</v>
      </c>
      <c r="C10678">
        <f t="shared" si="352"/>
        <v>-1.4841300940438878E-2</v>
      </c>
      <c r="D10678">
        <f t="shared" si="351"/>
        <v>-1.6001398314425097</v>
      </c>
    </row>
    <row r="10679" spans="1:4">
      <c r="A10679" s="1">
        <v>33773</v>
      </c>
      <c r="B10679">
        <v>400.96</v>
      </c>
      <c r="C10679">
        <f t="shared" si="352"/>
        <v>-3.2317406652414143E-3</v>
      </c>
      <c r="D10679">
        <f t="shared" si="351"/>
        <v>-0.37417421266293499</v>
      </c>
    </row>
    <row r="10680" spans="1:4">
      <c r="A10680" s="1">
        <v>33774</v>
      </c>
      <c r="B10680">
        <v>403.67</v>
      </c>
      <c r="C10680">
        <f t="shared" si="352"/>
        <v>6.7587789305667313E-3</v>
      </c>
      <c r="D10680">
        <f t="shared" si="351"/>
        <v>0.68082126071179416</v>
      </c>
    </row>
    <row r="10681" spans="1:4">
      <c r="A10681" s="1">
        <v>33777</v>
      </c>
      <c r="B10681">
        <v>403.4</v>
      </c>
      <c r="C10681">
        <f t="shared" si="352"/>
        <v>-6.6886318032065458E-4</v>
      </c>
      <c r="D10681">
        <f t="shared" si="351"/>
        <v>-0.1035352214196876</v>
      </c>
    </row>
    <row r="10682" spans="1:4">
      <c r="A10682" s="1">
        <v>33778</v>
      </c>
      <c r="B10682">
        <v>404.04</v>
      </c>
      <c r="C10682">
        <f t="shared" si="352"/>
        <v>1.5865146256818126E-3</v>
      </c>
      <c r="D10682">
        <f t="shared" si="351"/>
        <v>0.13463190825400756</v>
      </c>
    </row>
    <row r="10683" spans="1:4">
      <c r="A10683" s="1">
        <v>33779</v>
      </c>
      <c r="B10683">
        <v>403.84</v>
      </c>
      <c r="C10683">
        <f t="shared" si="352"/>
        <v>-4.9500049500060756E-4</v>
      </c>
      <c r="D10683">
        <f t="shared" si="351"/>
        <v>-8.5175380948688817E-2</v>
      </c>
    </row>
    <row r="10684" spans="1:4">
      <c r="A10684" s="1">
        <v>33780</v>
      </c>
      <c r="B10684">
        <v>403.12</v>
      </c>
      <c r="C10684">
        <f t="shared" si="352"/>
        <v>-1.7828843106179936E-3</v>
      </c>
      <c r="D10684">
        <f t="shared" si="351"/>
        <v>-0.2211754741049056</v>
      </c>
    </row>
    <row r="10685" spans="1:4">
      <c r="A10685" s="1">
        <v>33781</v>
      </c>
      <c r="B10685">
        <v>403.45</v>
      </c>
      <c r="C10685">
        <f t="shared" si="352"/>
        <v>8.1861480452466776E-4</v>
      </c>
      <c r="D10685">
        <f t="shared" si="351"/>
        <v>5.3541948161644662E-2</v>
      </c>
    </row>
    <row r="10686" spans="1:4">
      <c r="A10686" s="1">
        <v>33784</v>
      </c>
      <c r="B10686">
        <v>408.94</v>
      </c>
      <c r="C10686">
        <f t="shared" si="352"/>
        <v>1.3607634155409614E-2</v>
      </c>
      <c r="D10686">
        <f t="shared" si="351"/>
        <v>1.4040580444161983</v>
      </c>
    </row>
    <row r="10687" spans="1:4">
      <c r="A10687" s="1">
        <v>33785</v>
      </c>
      <c r="B10687">
        <v>408.14</v>
      </c>
      <c r="C10687">
        <f t="shared" si="352"/>
        <v>-1.9562772044799028E-3</v>
      </c>
      <c r="D10687">
        <f t="shared" si="351"/>
        <v>-0.23948570475761485</v>
      </c>
    </row>
    <row r="10688" spans="1:4">
      <c r="A10688" s="1">
        <v>33786</v>
      </c>
      <c r="B10688">
        <v>412.88</v>
      </c>
      <c r="C10688">
        <f t="shared" si="352"/>
        <v>1.1613661978732811E-2</v>
      </c>
      <c r="D10688">
        <f t="shared" si="351"/>
        <v>1.1934952603432025</v>
      </c>
    </row>
    <row r="10689" spans="1:4">
      <c r="A10689" s="1">
        <v>33787</v>
      </c>
      <c r="B10689">
        <v>411.77</v>
      </c>
      <c r="C10689">
        <f t="shared" si="352"/>
        <v>-2.6884324743267139E-3</v>
      </c>
      <c r="D10689">
        <f t="shared" si="351"/>
        <v>-0.31680105238176981</v>
      </c>
    </row>
    <row r="10690" spans="1:4">
      <c r="A10690" s="1">
        <v>33791</v>
      </c>
      <c r="B10690">
        <v>413.84</v>
      </c>
      <c r="C10690">
        <f t="shared" si="352"/>
        <v>5.02707822327997E-3</v>
      </c>
      <c r="D10690">
        <f t="shared" si="351"/>
        <v>0.49795425465598281</v>
      </c>
    </row>
    <row r="10691" spans="1:4">
      <c r="A10691" s="1">
        <v>33792</v>
      </c>
      <c r="B10691">
        <v>409.16</v>
      </c>
      <c r="C10691">
        <f t="shared" si="352"/>
        <v>-1.1308718345254085E-2</v>
      </c>
      <c r="D10691">
        <f t="shared" ref="D10691:D10754" si="353">(C10691-avg)/sd</f>
        <v>-1.2271003101741627</v>
      </c>
    </row>
    <row r="10692" spans="1:4">
      <c r="A10692" s="1">
        <v>33793</v>
      </c>
      <c r="B10692">
        <v>410.28</v>
      </c>
      <c r="C10692">
        <f t="shared" ref="C10692:C10755" si="354">(B10692-B10691)/B10691</f>
        <v>2.737315475608436E-3</v>
      </c>
      <c r="D10692">
        <f t="shared" si="353"/>
        <v>0.25615608683004382</v>
      </c>
    </row>
    <row r="10693" spans="1:4">
      <c r="A10693" s="1">
        <v>33794</v>
      </c>
      <c r="B10693">
        <v>414.23</v>
      </c>
      <c r="C10693">
        <f t="shared" si="354"/>
        <v>9.6275714146437687E-3</v>
      </c>
      <c r="D10693">
        <f t="shared" si="353"/>
        <v>0.98376477188038403</v>
      </c>
    </row>
    <row r="10694" spans="1:4">
      <c r="A10694" s="1">
        <v>33795</v>
      </c>
      <c r="B10694">
        <v>414.62</v>
      </c>
      <c r="C10694">
        <f t="shared" si="354"/>
        <v>9.415059266590695E-4</v>
      </c>
      <c r="D10694">
        <f t="shared" si="353"/>
        <v>6.6519208886315448E-2</v>
      </c>
    </row>
    <row r="10695" spans="1:4">
      <c r="A10695" s="1">
        <v>33798</v>
      </c>
      <c r="B10695">
        <v>414.87</v>
      </c>
      <c r="C10695">
        <f t="shared" si="354"/>
        <v>6.0296174810670013E-4</v>
      </c>
      <c r="D10695">
        <f t="shared" si="353"/>
        <v>3.0769058707942824E-2</v>
      </c>
    </row>
    <row r="10696" spans="1:4">
      <c r="A10696" s="1">
        <v>33799</v>
      </c>
      <c r="B10696">
        <v>417.68</v>
      </c>
      <c r="C10696">
        <f t="shared" si="354"/>
        <v>6.7732060645503463E-3</v>
      </c>
      <c r="D10696">
        <f t="shared" si="353"/>
        <v>0.68234476115644283</v>
      </c>
    </row>
    <row r="10697" spans="1:4">
      <c r="A10697" s="1">
        <v>33800</v>
      </c>
      <c r="B10697">
        <v>417.1</v>
      </c>
      <c r="C10697">
        <f t="shared" si="354"/>
        <v>-1.3886228691821108E-3</v>
      </c>
      <c r="D10697">
        <f t="shared" si="353"/>
        <v>-0.17954159990525179</v>
      </c>
    </row>
    <row r="10698" spans="1:4">
      <c r="A10698" s="1">
        <v>33801</v>
      </c>
      <c r="B10698">
        <v>417.54</v>
      </c>
      <c r="C10698">
        <f t="shared" si="354"/>
        <v>1.0549029009829722E-3</v>
      </c>
      <c r="D10698">
        <f t="shared" si="353"/>
        <v>7.8493890829415172E-2</v>
      </c>
    </row>
    <row r="10699" spans="1:4">
      <c r="A10699" s="1">
        <v>33802</v>
      </c>
      <c r="B10699">
        <v>415.62</v>
      </c>
      <c r="C10699">
        <f t="shared" si="354"/>
        <v>-4.5983618335968188E-3</v>
      </c>
      <c r="D10699">
        <f t="shared" si="353"/>
        <v>-0.51848894350415997</v>
      </c>
    </row>
    <row r="10700" spans="1:4">
      <c r="A10700" s="1">
        <v>33805</v>
      </c>
      <c r="B10700">
        <v>413.75</v>
      </c>
      <c r="C10700">
        <f t="shared" si="354"/>
        <v>-4.4993022472450909E-3</v>
      </c>
      <c r="D10700">
        <f t="shared" si="353"/>
        <v>-0.50802828485740692</v>
      </c>
    </row>
    <row r="10701" spans="1:4">
      <c r="A10701" s="1">
        <v>33806</v>
      </c>
      <c r="B10701">
        <v>413.76</v>
      </c>
      <c r="C10701">
        <f t="shared" si="354"/>
        <v>2.416918429000823E-5</v>
      </c>
      <c r="D10701">
        <f t="shared" si="353"/>
        <v>-3.0351239289948241E-2</v>
      </c>
    </row>
    <row r="10702" spans="1:4">
      <c r="A10702" s="1">
        <v>33807</v>
      </c>
      <c r="B10702">
        <v>410.93</v>
      </c>
      <c r="C10702">
        <f t="shared" si="354"/>
        <v>-6.8397138437741303E-3</v>
      </c>
      <c r="D10702">
        <f t="shared" si="353"/>
        <v>-0.75517495390631828</v>
      </c>
    </row>
    <row r="10703" spans="1:4">
      <c r="A10703" s="1">
        <v>33808</v>
      </c>
      <c r="B10703">
        <v>412.08</v>
      </c>
      <c r="C10703">
        <f t="shared" si="354"/>
        <v>2.7985301632880957E-3</v>
      </c>
      <c r="D10703">
        <f t="shared" si="353"/>
        <v>0.26262033704113258</v>
      </c>
    </row>
    <row r="10704" spans="1:4">
      <c r="A10704" s="1">
        <v>33809</v>
      </c>
      <c r="B10704">
        <v>411.6</v>
      </c>
      <c r="C10704">
        <f t="shared" si="354"/>
        <v>-1.1648223645893063E-3</v>
      </c>
      <c r="D10704">
        <f t="shared" si="353"/>
        <v>-0.15590834269373935</v>
      </c>
    </row>
    <row r="10705" spans="1:4">
      <c r="A10705" s="1">
        <v>33812</v>
      </c>
      <c r="B10705">
        <v>411.54</v>
      </c>
      <c r="C10705">
        <f t="shared" si="354"/>
        <v>-1.4577259475219212E-4</v>
      </c>
      <c r="D10705">
        <f t="shared" si="353"/>
        <v>-4.829703339078719E-2</v>
      </c>
    </row>
    <row r="10706" spans="1:4">
      <c r="A10706" s="1">
        <v>33813</v>
      </c>
      <c r="B10706">
        <v>417.52</v>
      </c>
      <c r="C10706">
        <f t="shared" si="354"/>
        <v>1.4530786800796912E-2</v>
      </c>
      <c r="D10706">
        <f t="shared" si="353"/>
        <v>1.5015426499742661</v>
      </c>
    </row>
    <row r="10707" spans="1:4">
      <c r="A10707" s="1">
        <v>33814</v>
      </c>
      <c r="B10707">
        <v>422.23</v>
      </c>
      <c r="C10707">
        <f t="shared" si="354"/>
        <v>1.1280896723510339E-2</v>
      </c>
      <c r="D10707">
        <f t="shared" si="353"/>
        <v>1.1583553625041154</v>
      </c>
    </row>
    <row r="10708" spans="1:4">
      <c r="A10708" s="1">
        <v>33815</v>
      </c>
      <c r="B10708">
        <v>423.92</v>
      </c>
      <c r="C10708">
        <f t="shared" si="354"/>
        <v>4.0025578476185911E-3</v>
      </c>
      <c r="D10708">
        <f t="shared" si="353"/>
        <v>0.38976525123753758</v>
      </c>
    </row>
    <row r="10709" spans="1:4">
      <c r="A10709" s="1">
        <v>33816</v>
      </c>
      <c r="B10709">
        <v>424.21</v>
      </c>
      <c r="C10709">
        <f t="shared" si="354"/>
        <v>6.8409133798821387E-4</v>
      </c>
      <c r="D10709">
        <f t="shared" si="353"/>
        <v>3.9336315822143163E-2</v>
      </c>
    </row>
    <row r="10710" spans="1:4">
      <c r="A10710" s="1">
        <v>33819</v>
      </c>
      <c r="B10710">
        <v>425.09</v>
      </c>
      <c r="C10710">
        <f t="shared" si="354"/>
        <v>2.0744442610970875E-3</v>
      </c>
      <c r="D10710">
        <f t="shared" si="353"/>
        <v>0.18615711189851902</v>
      </c>
    </row>
    <row r="10711" spans="1:4">
      <c r="A10711" s="1">
        <v>33820</v>
      </c>
      <c r="B10711">
        <v>424.36</v>
      </c>
      <c r="C10711">
        <f t="shared" si="354"/>
        <v>-1.717283398809573E-3</v>
      </c>
      <c r="D10711">
        <f t="shared" si="353"/>
        <v>-0.21424804011676973</v>
      </c>
    </row>
    <row r="10712" spans="1:4">
      <c r="A10712" s="1">
        <v>33821</v>
      </c>
      <c r="B10712">
        <v>422.19</v>
      </c>
      <c r="C10712">
        <f t="shared" si="354"/>
        <v>-5.1135828070506548E-3</v>
      </c>
      <c r="D10712">
        <f t="shared" si="353"/>
        <v>-0.57289610316876693</v>
      </c>
    </row>
    <row r="10713" spans="1:4">
      <c r="A10713" s="1">
        <v>33822</v>
      </c>
      <c r="B10713">
        <v>420.59</v>
      </c>
      <c r="C10713">
        <f t="shared" si="354"/>
        <v>-3.7897629029584375E-3</v>
      </c>
      <c r="D10713">
        <f t="shared" si="353"/>
        <v>-0.43310117128487796</v>
      </c>
    </row>
    <row r="10714" spans="1:4">
      <c r="A10714" s="1">
        <v>33823</v>
      </c>
      <c r="B10714">
        <v>418.88</v>
      </c>
      <c r="C10714">
        <f t="shared" si="354"/>
        <v>-4.0657172067809022E-3</v>
      </c>
      <c r="D10714">
        <f t="shared" si="353"/>
        <v>-0.46224185196710477</v>
      </c>
    </row>
    <row r="10715" spans="1:4">
      <c r="A10715" s="1">
        <v>33826</v>
      </c>
      <c r="B10715">
        <v>419.42</v>
      </c>
      <c r="C10715">
        <f t="shared" si="354"/>
        <v>1.289152024446191E-3</v>
      </c>
      <c r="D10715">
        <f t="shared" si="353"/>
        <v>0.10323051864198522</v>
      </c>
    </row>
    <row r="10716" spans="1:4">
      <c r="A10716" s="1">
        <v>33827</v>
      </c>
      <c r="B10716">
        <v>418.9</v>
      </c>
      <c r="C10716">
        <f t="shared" si="354"/>
        <v>-1.2398073530113934E-3</v>
      </c>
      <c r="D10716">
        <f t="shared" si="353"/>
        <v>-0.16382673198247577</v>
      </c>
    </row>
    <row r="10717" spans="1:4">
      <c r="A10717" s="1">
        <v>33828</v>
      </c>
      <c r="B10717">
        <v>417.78</v>
      </c>
      <c r="C10717">
        <f t="shared" si="354"/>
        <v>-2.6736691334447471E-3</v>
      </c>
      <c r="D10717">
        <f t="shared" si="353"/>
        <v>-0.31524204860293753</v>
      </c>
    </row>
    <row r="10718" spans="1:4">
      <c r="A10718" s="1">
        <v>33829</v>
      </c>
      <c r="B10718">
        <v>417.73</v>
      </c>
      <c r="C10718">
        <f t="shared" si="354"/>
        <v>-1.1968021446683548E-4</v>
      </c>
      <c r="D10718">
        <f t="shared" si="353"/>
        <v>-4.5541686901884523E-2</v>
      </c>
    </row>
    <row r="10719" spans="1:4">
      <c r="A10719" s="1">
        <v>33830</v>
      </c>
      <c r="B10719">
        <v>419.91</v>
      </c>
      <c r="C10719">
        <f t="shared" si="354"/>
        <v>5.2186819237306555E-3</v>
      </c>
      <c r="D10719">
        <f t="shared" si="353"/>
        <v>0.51818754029431291</v>
      </c>
    </row>
    <row r="10720" spans="1:4">
      <c r="A10720" s="1">
        <v>33833</v>
      </c>
      <c r="B10720">
        <v>420.74</v>
      </c>
      <c r="C10720">
        <f t="shared" si="354"/>
        <v>1.9766140363410827E-3</v>
      </c>
      <c r="D10720">
        <f t="shared" si="353"/>
        <v>0.17582627341839405</v>
      </c>
    </row>
    <row r="10721" spans="1:4">
      <c r="A10721" s="1">
        <v>33834</v>
      </c>
      <c r="B10721">
        <v>421.34</v>
      </c>
      <c r="C10721">
        <f t="shared" si="354"/>
        <v>1.4260588486950752E-3</v>
      </c>
      <c r="D10721">
        <f t="shared" si="353"/>
        <v>0.11768783274577672</v>
      </c>
    </row>
    <row r="10722" spans="1:4">
      <c r="A10722" s="1">
        <v>33835</v>
      </c>
      <c r="B10722">
        <v>418.19</v>
      </c>
      <c r="C10722">
        <f t="shared" si="354"/>
        <v>-7.4761475293111919E-3</v>
      </c>
      <c r="D10722">
        <f t="shared" si="353"/>
        <v>-0.82238213476471111</v>
      </c>
    </row>
    <row r="10723" spans="1:4">
      <c r="A10723" s="1">
        <v>33836</v>
      </c>
      <c r="B10723">
        <v>418.26</v>
      </c>
      <c r="C10723">
        <f t="shared" si="354"/>
        <v>1.6738802936462657E-4</v>
      </c>
      <c r="D10723">
        <f t="shared" si="353"/>
        <v>-1.5227377932519343E-2</v>
      </c>
    </row>
    <row r="10724" spans="1:4">
      <c r="A10724" s="1">
        <v>33837</v>
      </c>
      <c r="B10724">
        <v>414.85</v>
      </c>
      <c r="C10724">
        <f t="shared" si="354"/>
        <v>-8.1528236025437961E-3</v>
      </c>
      <c r="D10724">
        <f t="shared" si="353"/>
        <v>-0.89383889808470096</v>
      </c>
    </row>
    <row r="10725" spans="1:4">
      <c r="A10725" s="1">
        <v>33840</v>
      </c>
      <c r="B10725">
        <v>410.72</v>
      </c>
      <c r="C10725">
        <f t="shared" si="354"/>
        <v>-9.9554055682776789E-3</v>
      </c>
      <c r="D10725">
        <f t="shared" si="353"/>
        <v>-1.084190940938818</v>
      </c>
    </row>
    <row r="10726" spans="1:4">
      <c r="A10726" s="1">
        <v>33841</v>
      </c>
      <c r="B10726">
        <v>411.61</v>
      </c>
      <c r="C10726">
        <f t="shared" si="354"/>
        <v>2.1669263731982527E-3</v>
      </c>
      <c r="D10726">
        <f t="shared" si="353"/>
        <v>0.19592319150020476</v>
      </c>
    </row>
    <row r="10727" spans="1:4">
      <c r="A10727" s="1">
        <v>33842</v>
      </c>
      <c r="B10727">
        <v>413.51</v>
      </c>
      <c r="C10727">
        <f t="shared" si="354"/>
        <v>4.6160200189499217E-3</v>
      </c>
      <c r="D10727">
        <f t="shared" si="353"/>
        <v>0.4545466480042023</v>
      </c>
    </row>
    <row r="10728" spans="1:4">
      <c r="A10728" s="1">
        <v>33843</v>
      </c>
      <c r="B10728">
        <v>413.53</v>
      </c>
      <c r="C10728">
        <f t="shared" si="354"/>
        <v>4.8366424028395469E-5</v>
      </c>
      <c r="D10728">
        <f t="shared" si="353"/>
        <v>-2.779601899861597E-2</v>
      </c>
    </row>
    <row r="10729" spans="1:4">
      <c r="A10729" s="1">
        <v>33844</v>
      </c>
      <c r="B10729">
        <v>414.84</v>
      </c>
      <c r="C10729">
        <f t="shared" si="354"/>
        <v>3.1678475564046195E-3</v>
      </c>
      <c r="D10729">
        <f t="shared" si="353"/>
        <v>0.301620128217156</v>
      </c>
    </row>
    <row r="10730" spans="1:4">
      <c r="A10730" s="1">
        <v>33847</v>
      </c>
      <c r="B10730">
        <v>414.03</v>
      </c>
      <c r="C10730">
        <f t="shared" si="354"/>
        <v>-1.9525600231414578E-3</v>
      </c>
      <c r="D10730">
        <f t="shared" si="353"/>
        <v>-0.23909317167180638</v>
      </c>
    </row>
    <row r="10731" spans="1:4">
      <c r="A10731" s="1">
        <v>33848</v>
      </c>
      <c r="B10731">
        <v>416.07</v>
      </c>
      <c r="C10731">
        <f t="shared" si="354"/>
        <v>4.9271791899138245E-3</v>
      </c>
      <c r="D10731">
        <f t="shared" si="353"/>
        <v>0.48740495068984918</v>
      </c>
    </row>
    <row r="10732" spans="1:4">
      <c r="A10732" s="1">
        <v>33849</v>
      </c>
      <c r="B10732">
        <v>417.98</v>
      </c>
      <c r="C10732">
        <f t="shared" si="354"/>
        <v>4.5905737015406664E-3</v>
      </c>
      <c r="D10732">
        <f t="shared" si="353"/>
        <v>0.45185952553540848</v>
      </c>
    </row>
    <row r="10733" spans="1:4">
      <c r="A10733" s="1">
        <v>33850</v>
      </c>
      <c r="B10733">
        <v>417.98</v>
      </c>
      <c r="C10733">
        <f t="shared" si="354"/>
        <v>0</v>
      </c>
      <c r="D10733">
        <f t="shared" si="353"/>
        <v>-3.29034969354682E-2</v>
      </c>
    </row>
    <row r="10734" spans="1:4">
      <c r="A10734" s="1">
        <v>33851</v>
      </c>
      <c r="B10734">
        <v>417.08</v>
      </c>
      <c r="C10734">
        <f t="shared" si="354"/>
        <v>-2.1532130723958898E-3</v>
      </c>
      <c r="D10734">
        <f t="shared" si="353"/>
        <v>-0.26028206546778904</v>
      </c>
    </row>
    <row r="10735" spans="1:4">
      <c r="A10735" s="1">
        <v>33855</v>
      </c>
      <c r="B10735">
        <v>414.44</v>
      </c>
      <c r="C10735">
        <f t="shared" si="354"/>
        <v>-6.3297209168504519E-3</v>
      </c>
      <c r="D10735">
        <f t="shared" si="353"/>
        <v>-0.70131987417819663</v>
      </c>
    </row>
    <row r="10736" spans="1:4">
      <c r="A10736" s="1">
        <v>33856</v>
      </c>
      <c r="B10736">
        <v>416.36</v>
      </c>
      <c r="C10736">
        <f t="shared" si="354"/>
        <v>4.6327574558440686E-3</v>
      </c>
      <c r="D10736">
        <f t="shared" si="353"/>
        <v>0.45631411565089297</v>
      </c>
    </row>
    <row r="10737" spans="1:4">
      <c r="A10737" s="1">
        <v>33857</v>
      </c>
      <c r="B10737">
        <v>419.95</v>
      </c>
      <c r="C10737">
        <f t="shared" si="354"/>
        <v>8.6223460466903039E-3</v>
      </c>
      <c r="D10737">
        <f t="shared" si="353"/>
        <v>0.87761331471720261</v>
      </c>
    </row>
    <row r="10738" spans="1:4">
      <c r="A10738" s="1">
        <v>33858</v>
      </c>
      <c r="B10738">
        <v>419.58</v>
      </c>
      <c r="C10738">
        <f t="shared" si="354"/>
        <v>-8.8105726872247784E-4</v>
      </c>
      <c r="D10738">
        <f t="shared" si="353"/>
        <v>-0.12594284502664493</v>
      </c>
    </row>
    <row r="10739" spans="1:4">
      <c r="A10739" s="1">
        <v>33861</v>
      </c>
      <c r="B10739">
        <v>425.27</v>
      </c>
      <c r="C10739">
        <f t="shared" si="354"/>
        <v>1.356118022784689E-2</v>
      </c>
      <c r="D10739">
        <f t="shared" si="353"/>
        <v>1.3991525254560317</v>
      </c>
    </row>
    <row r="10740" spans="1:4">
      <c r="A10740" s="1">
        <v>33862</v>
      </c>
      <c r="B10740">
        <v>419.77</v>
      </c>
      <c r="C10740">
        <f t="shared" si="354"/>
        <v>-1.2932960237025891E-2</v>
      </c>
      <c r="D10740">
        <f t="shared" si="353"/>
        <v>-1.3986197018386208</v>
      </c>
    </row>
    <row r="10741" spans="1:4">
      <c r="A10741" s="1">
        <v>33863</v>
      </c>
      <c r="B10741">
        <v>419.92</v>
      </c>
      <c r="C10741">
        <f t="shared" si="354"/>
        <v>3.5733854253527909E-4</v>
      </c>
      <c r="D10741">
        <f t="shared" si="353"/>
        <v>4.8313316909849718E-3</v>
      </c>
    </row>
    <row r="10742" spans="1:4">
      <c r="A10742" s="1">
        <v>33864</v>
      </c>
      <c r="B10742">
        <v>419.93</v>
      </c>
      <c r="C10742">
        <f t="shared" si="354"/>
        <v>2.3814059820896611E-5</v>
      </c>
      <c r="D10742">
        <f t="shared" si="353"/>
        <v>-3.0388740313173755E-2</v>
      </c>
    </row>
    <row r="10743" spans="1:4">
      <c r="A10743" s="1">
        <v>33865</v>
      </c>
      <c r="B10743">
        <v>422.93</v>
      </c>
      <c r="C10743">
        <f t="shared" si="354"/>
        <v>7.1440478174933913E-3</v>
      </c>
      <c r="D10743">
        <f t="shared" si="353"/>
        <v>0.72150552421199177</v>
      </c>
    </row>
    <row r="10744" spans="1:4">
      <c r="A10744" s="1">
        <v>33868</v>
      </c>
      <c r="B10744">
        <v>422.14</v>
      </c>
      <c r="C10744">
        <f t="shared" si="354"/>
        <v>-1.8679214054335717E-3</v>
      </c>
      <c r="D10744">
        <f t="shared" si="353"/>
        <v>-0.23015536241191767</v>
      </c>
    </row>
    <row r="10745" spans="1:4">
      <c r="A10745" s="1">
        <v>33869</v>
      </c>
      <c r="B10745">
        <v>417.14</v>
      </c>
      <c r="C10745">
        <f t="shared" si="354"/>
        <v>-1.184441180650969E-2</v>
      </c>
      <c r="D10745">
        <f t="shared" si="353"/>
        <v>-1.2836693575916998</v>
      </c>
    </row>
    <row r="10746" spans="1:4">
      <c r="A10746" s="1">
        <v>33870</v>
      </c>
      <c r="B10746">
        <v>417.44</v>
      </c>
      <c r="C10746">
        <f t="shared" si="354"/>
        <v>7.1918300810282253E-4</v>
      </c>
      <c r="D10746">
        <f t="shared" si="353"/>
        <v>4.30419842580076E-2</v>
      </c>
    </row>
    <row r="10747" spans="1:4">
      <c r="A10747" s="1">
        <v>33871</v>
      </c>
      <c r="B10747">
        <v>418.47</v>
      </c>
      <c r="C10747">
        <f t="shared" si="354"/>
        <v>2.4674204676121826E-3</v>
      </c>
      <c r="D10747">
        <f t="shared" si="353"/>
        <v>0.22765526572741018</v>
      </c>
    </row>
    <row r="10748" spans="1:4">
      <c r="A10748" s="1">
        <v>33872</v>
      </c>
      <c r="B10748">
        <v>414.35</v>
      </c>
      <c r="C10748">
        <f t="shared" si="354"/>
        <v>-9.8453891557339929E-3</v>
      </c>
      <c r="D10748">
        <f t="shared" si="353"/>
        <v>-1.0725732451706003</v>
      </c>
    </row>
    <row r="10749" spans="1:4">
      <c r="A10749" s="1">
        <v>33875</v>
      </c>
      <c r="B10749">
        <v>416.62</v>
      </c>
      <c r="C10749">
        <f t="shared" si="354"/>
        <v>5.478460238928398E-3</v>
      </c>
      <c r="D10749">
        <f t="shared" si="353"/>
        <v>0.54562004207625481</v>
      </c>
    </row>
    <row r="10750" spans="1:4">
      <c r="A10750" s="1">
        <v>33876</v>
      </c>
      <c r="B10750">
        <v>416.8</v>
      </c>
      <c r="C10750">
        <f t="shared" si="354"/>
        <v>4.3204838941963134E-4</v>
      </c>
      <c r="D10750">
        <f t="shared" si="353"/>
        <v>1.272066612686173E-2</v>
      </c>
    </row>
    <row r="10751" spans="1:4">
      <c r="A10751" s="1">
        <v>33877</v>
      </c>
      <c r="B10751">
        <v>417.8</v>
      </c>
      <c r="C10751">
        <f t="shared" si="354"/>
        <v>2.3992322456813818E-3</v>
      </c>
      <c r="D10751">
        <f t="shared" si="353"/>
        <v>0.22045461266982044</v>
      </c>
    </row>
    <row r="10752" spans="1:4">
      <c r="A10752" s="1">
        <v>33878</v>
      </c>
      <c r="B10752">
        <v>416.29</v>
      </c>
      <c r="C10752">
        <f t="shared" si="354"/>
        <v>-3.6141694590713039E-3</v>
      </c>
      <c r="D10752">
        <f t="shared" si="353"/>
        <v>-0.41455856329750829</v>
      </c>
    </row>
    <row r="10753" spans="1:4">
      <c r="A10753" s="1">
        <v>33879</v>
      </c>
      <c r="B10753">
        <v>410.47</v>
      </c>
      <c r="C10753">
        <f t="shared" si="354"/>
        <v>-1.3980638497201454E-2</v>
      </c>
      <c r="D10753">
        <f t="shared" si="353"/>
        <v>-1.5092541699900166</v>
      </c>
    </row>
    <row r="10754" spans="1:4">
      <c r="A10754" s="1">
        <v>33882</v>
      </c>
      <c r="B10754">
        <v>407.57</v>
      </c>
      <c r="C10754">
        <f t="shared" si="354"/>
        <v>-7.0650717470217891E-3</v>
      </c>
      <c r="D10754">
        <f t="shared" si="353"/>
        <v>-0.77897267188639785</v>
      </c>
    </row>
    <row r="10755" spans="1:4">
      <c r="A10755" s="1">
        <v>33883</v>
      </c>
      <c r="B10755">
        <v>407.18</v>
      </c>
      <c r="C10755">
        <f t="shared" si="354"/>
        <v>-9.568908408371233E-4</v>
      </c>
      <c r="D10755">
        <f t="shared" ref="D10755:D10818" si="355">(C10755-avg)/sd</f>
        <v>-0.13395084446486791</v>
      </c>
    </row>
    <row r="10756" spans="1:4">
      <c r="A10756" s="1">
        <v>33884</v>
      </c>
      <c r="B10756">
        <v>404.25</v>
      </c>
      <c r="C10756">
        <f t="shared" ref="C10756:C10819" si="356">(B10756-B10755)/B10755</f>
        <v>-7.195834765951193E-3</v>
      </c>
      <c r="D10756">
        <f t="shared" si="355"/>
        <v>-0.79278120223683313</v>
      </c>
    </row>
    <row r="10757" spans="1:4">
      <c r="A10757" s="1">
        <v>33885</v>
      </c>
      <c r="B10757">
        <v>407.75</v>
      </c>
      <c r="C10757">
        <f t="shared" si="356"/>
        <v>8.658008658008658E-3</v>
      </c>
      <c r="D10757">
        <f t="shared" si="355"/>
        <v>0.88137927435011032</v>
      </c>
    </row>
    <row r="10758" spans="1:4">
      <c r="A10758" s="1">
        <v>33886</v>
      </c>
      <c r="B10758">
        <v>402.66</v>
      </c>
      <c r="C10758">
        <f t="shared" si="356"/>
        <v>-1.2483139178418087E-2</v>
      </c>
      <c r="D10758">
        <f t="shared" si="355"/>
        <v>-1.3511187509512437</v>
      </c>
    </row>
    <row r="10759" spans="1:4">
      <c r="A10759" s="1">
        <v>33889</v>
      </c>
      <c r="B10759">
        <v>407.44</v>
      </c>
      <c r="C10759">
        <f t="shared" si="356"/>
        <v>1.1871057467838803E-2</v>
      </c>
      <c r="D10759">
        <f t="shared" si="355"/>
        <v>1.2206761364998173</v>
      </c>
    </row>
    <row r="10760" spans="1:4">
      <c r="A10760" s="1">
        <v>33890</v>
      </c>
      <c r="B10760">
        <v>409.3</v>
      </c>
      <c r="C10760">
        <f t="shared" si="356"/>
        <v>4.5650893383075144E-3</v>
      </c>
      <c r="D10760">
        <f t="shared" si="355"/>
        <v>0.4491683854405436</v>
      </c>
    </row>
    <row r="10761" spans="1:4">
      <c r="A10761" s="1">
        <v>33891</v>
      </c>
      <c r="B10761">
        <v>409.37</v>
      </c>
      <c r="C10761">
        <f t="shared" si="356"/>
        <v>1.710236989982731E-4</v>
      </c>
      <c r="D10761">
        <f t="shared" si="355"/>
        <v>-1.4843452455030423E-2</v>
      </c>
    </row>
    <row r="10762" spans="1:4">
      <c r="A10762" s="1">
        <v>33892</v>
      </c>
      <c r="B10762">
        <v>409.6</v>
      </c>
      <c r="C10762">
        <f t="shared" si="356"/>
        <v>5.6183892322353413E-4</v>
      </c>
      <c r="D10762">
        <f t="shared" si="355"/>
        <v>2.6426502378607844E-2</v>
      </c>
    </row>
    <row r="10763" spans="1:4">
      <c r="A10763" s="1">
        <v>33893</v>
      </c>
      <c r="B10763">
        <v>411.73</v>
      </c>
      <c r="C10763">
        <f t="shared" si="356"/>
        <v>5.2001953124999889E-3</v>
      </c>
      <c r="D10763">
        <f t="shared" si="355"/>
        <v>0.51623536043225904</v>
      </c>
    </row>
    <row r="10764" spans="1:4">
      <c r="A10764" s="1">
        <v>33896</v>
      </c>
      <c r="B10764">
        <v>414.98</v>
      </c>
      <c r="C10764">
        <f t="shared" si="356"/>
        <v>7.8935224540354117E-3</v>
      </c>
      <c r="D10764">
        <f t="shared" si="355"/>
        <v>0.80064979107202217</v>
      </c>
    </row>
    <row r="10765" spans="1:4">
      <c r="A10765" s="1">
        <v>33897</v>
      </c>
      <c r="B10765">
        <v>415.48</v>
      </c>
      <c r="C10765">
        <f t="shared" si="356"/>
        <v>1.2048773434864331E-3</v>
      </c>
      <c r="D10765">
        <f t="shared" si="355"/>
        <v>9.4331140978990716E-2</v>
      </c>
    </row>
    <row r="10766" spans="1:4">
      <c r="A10766" s="1">
        <v>33898</v>
      </c>
      <c r="B10766">
        <v>415.67</v>
      </c>
      <c r="C10766">
        <f t="shared" si="356"/>
        <v>4.5730239722729786E-4</v>
      </c>
      <c r="D10766">
        <f t="shared" si="355"/>
        <v>1.5387480767096971E-2</v>
      </c>
    </row>
    <row r="10767" spans="1:4">
      <c r="A10767" s="1">
        <v>33899</v>
      </c>
      <c r="B10767">
        <v>414.9</v>
      </c>
      <c r="C10767">
        <f t="shared" si="356"/>
        <v>-1.8524310149879439E-3</v>
      </c>
      <c r="D10767">
        <f t="shared" si="355"/>
        <v>-0.22851958244629889</v>
      </c>
    </row>
    <row r="10768" spans="1:4">
      <c r="A10768" s="1">
        <v>33900</v>
      </c>
      <c r="B10768">
        <v>414.1</v>
      </c>
      <c r="C10768">
        <f t="shared" si="356"/>
        <v>-1.9281754639671115E-3</v>
      </c>
      <c r="D10768">
        <f t="shared" si="355"/>
        <v>-0.23651817051170981</v>
      </c>
    </row>
    <row r="10769" spans="1:4">
      <c r="A10769" s="1">
        <v>33903</v>
      </c>
      <c r="B10769">
        <v>418.16</v>
      </c>
      <c r="C10769">
        <f t="shared" si="356"/>
        <v>9.8043950736537121E-3</v>
      </c>
      <c r="D10769">
        <f t="shared" si="355"/>
        <v>1.0024372901665519</v>
      </c>
    </row>
    <row r="10770" spans="1:4">
      <c r="A10770" s="1">
        <v>33904</v>
      </c>
      <c r="B10770">
        <v>418.49</v>
      </c>
      <c r="C10770">
        <f t="shared" si="356"/>
        <v>7.8917160895347247E-4</v>
      </c>
      <c r="D10770">
        <f t="shared" si="355"/>
        <v>5.0432756717554893E-2</v>
      </c>
    </row>
    <row r="10771" spans="1:4">
      <c r="A10771" s="1">
        <v>33905</v>
      </c>
      <c r="B10771">
        <v>420.13</v>
      </c>
      <c r="C10771">
        <f t="shared" si="356"/>
        <v>3.9188511075533136E-3</v>
      </c>
      <c r="D10771">
        <f t="shared" si="355"/>
        <v>0.38092584793994771</v>
      </c>
    </row>
    <row r="10772" spans="1:4">
      <c r="A10772" s="1">
        <v>33906</v>
      </c>
      <c r="B10772">
        <v>420.86</v>
      </c>
      <c r="C10772">
        <f t="shared" si="356"/>
        <v>1.7375574227025401E-3</v>
      </c>
      <c r="D10772">
        <f t="shared" si="355"/>
        <v>0.15058197627745509</v>
      </c>
    </row>
    <row r="10773" spans="1:4">
      <c r="A10773" s="1">
        <v>33907</v>
      </c>
      <c r="B10773">
        <v>418.68</v>
      </c>
      <c r="C10773">
        <f t="shared" si="356"/>
        <v>-5.1798697904291372E-3</v>
      </c>
      <c r="D10773">
        <f t="shared" si="355"/>
        <v>-0.57989598608149417</v>
      </c>
    </row>
    <row r="10774" spans="1:4">
      <c r="A10774" s="1">
        <v>33910</v>
      </c>
      <c r="B10774">
        <v>422.75</v>
      </c>
      <c r="C10774">
        <f t="shared" si="356"/>
        <v>9.7210279927390682E-3</v>
      </c>
      <c r="D10774">
        <f t="shared" si="355"/>
        <v>0.99363375475981319</v>
      </c>
    </row>
    <row r="10775" spans="1:4">
      <c r="A10775" s="1">
        <v>33911</v>
      </c>
      <c r="B10775">
        <v>419.92</v>
      </c>
      <c r="C10775">
        <f t="shared" si="356"/>
        <v>-6.6942637492607548E-3</v>
      </c>
      <c r="D10775">
        <f t="shared" si="355"/>
        <v>-0.73981547336659514</v>
      </c>
    </row>
    <row r="10776" spans="1:4">
      <c r="A10776" s="1">
        <v>33912</v>
      </c>
      <c r="B10776">
        <v>417.11</v>
      </c>
      <c r="C10776">
        <f t="shared" si="356"/>
        <v>-6.6917508096780388E-3</v>
      </c>
      <c r="D10776">
        <f t="shared" si="355"/>
        <v>-0.73955010780085007</v>
      </c>
    </row>
    <row r="10777" spans="1:4">
      <c r="A10777" s="1">
        <v>33913</v>
      </c>
      <c r="B10777">
        <v>418.34</v>
      </c>
      <c r="C10777">
        <f t="shared" si="356"/>
        <v>2.9488624103952464E-3</v>
      </c>
      <c r="D10777">
        <f t="shared" si="355"/>
        <v>0.27849537123523405</v>
      </c>
    </row>
    <row r="10778" spans="1:4">
      <c r="A10778" s="1">
        <v>33914</v>
      </c>
      <c r="B10778">
        <v>417.58</v>
      </c>
      <c r="C10778">
        <f t="shared" si="356"/>
        <v>-1.8167041162690419E-3</v>
      </c>
      <c r="D10778">
        <f t="shared" si="355"/>
        <v>-0.22474683408574578</v>
      </c>
    </row>
    <row r="10779" spans="1:4">
      <c r="A10779" s="1">
        <v>33917</v>
      </c>
      <c r="B10779">
        <v>418.59</v>
      </c>
      <c r="C10779">
        <f t="shared" si="356"/>
        <v>2.4186982135159514E-3</v>
      </c>
      <c r="D10779">
        <f t="shared" si="355"/>
        <v>0.22251021225634701</v>
      </c>
    </row>
    <row r="10780" spans="1:4">
      <c r="A10780" s="1">
        <v>33918</v>
      </c>
      <c r="B10780">
        <v>418.62</v>
      </c>
      <c r="C10780">
        <f t="shared" si="356"/>
        <v>7.1669175087865357E-5</v>
      </c>
      <c r="D10780">
        <f t="shared" si="355"/>
        <v>-2.5335256407725895E-2</v>
      </c>
    </row>
    <row r="10781" spans="1:4">
      <c r="A10781" s="1">
        <v>33919</v>
      </c>
      <c r="B10781">
        <v>422.2</v>
      </c>
      <c r="C10781">
        <f t="shared" si="356"/>
        <v>8.551908652238269E-3</v>
      </c>
      <c r="D10781">
        <f t="shared" si="355"/>
        <v>0.87017514980590149</v>
      </c>
    </row>
    <row r="10782" spans="1:4">
      <c r="A10782" s="1">
        <v>33920</v>
      </c>
      <c r="B10782">
        <v>422.87</v>
      </c>
      <c r="C10782">
        <f t="shared" si="356"/>
        <v>1.5869256276646517E-3</v>
      </c>
      <c r="D10782">
        <f t="shared" si="355"/>
        <v>0.13467530992368901</v>
      </c>
    </row>
    <row r="10783" spans="1:4">
      <c r="A10783" s="1">
        <v>33921</v>
      </c>
      <c r="B10783">
        <v>422.43</v>
      </c>
      <c r="C10783">
        <f t="shared" si="356"/>
        <v>-1.040508903445498E-3</v>
      </c>
      <c r="D10783">
        <f t="shared" si="355"/>
        <v>-0.14278088345315176</v>
      </c>
    </row>
    <row r="10784" spans="1:4">
      <c r="A10784" s="1">
        <v>33924</v>
      </c>
      <c r="B10784">
        <v>420.68</v>
      </c>
      <c r="C10784">
        <f t="shared" si="356"/>
        <v>-4.142698198518098E-3</v>
      </c>
      <c r="D10784">
        <f t="shared" si="355"/>
        <v>-0.47037101852744218</v>
      </c>
    </row>
    <row r="10785" spans="1:4">
      <c r="A10785" s="1">
        <v>33925</v>
      </c>
      <c r="B10785">
        <v>419.27</v>
      </c>
      <c r="C10785">
        <f t="shared" si="356"/>
        <v>-3.3517162688980343E-3</v>
      </c>
      <c r="D10785">
        <f t="shared" si="355"/>
        <v>-0.38684359562738491</v>
      </c>
    </row>
    <row r="10786" spans="1:4">
      <c r="A10786" s="1">
        <v>33926</v>
      </c>
      <c r="B10786">
        <v>422.85</v>
      </c>
      <c r="C10786">
        <f t="shared" si="356"/>
        <v>8.5386505116035998E-3</v>
      </c>
      <c r="D10786">
        <f t="shared" si="355"/>
        <v>0.86877509466154135</v>
      </c>
    </row>
    <row r="10787" spans="1:4">
      <c r="A10787" s="1">
        <v>33927</v>
      </c>
      <c r="B10787">
        <v>423.61</v>
      </c>
      <c r="C10787">
        <f t="shared" si="356"/>
        <v>1.7973276575617616E-3</v>
      </c>
      <c r="D10787">
        <f t="shared" si="355"/>
        <v>0.15689369276169893</v>
      </c>
    </row>
    <row r="10788" spans="1:4">
      <c r="A10788" s="1">
        <v>33928</v>
      </c>
      <c r="B10788">
        <v>426.65</v>
      </c>
      <c r="C10788">
        <f t="shared" si="356"/>
        <v>7.1764122659992999E-3</v>
      </c>
      <c r="D10788">
        <f t="shared" si="355"/>
        <v>0.72492319897300517</v>
      </c>
    </row>
    <row r="10789" spans="1:4">
      <c r="A10789" s="1">
        <v>33931</v>
      </c>
      <c r="B10789">
        <v>425.12</v>
      </c>
      <c r="C10789">
        <f t="shared" si="356"/>
        <v>-3.5860775811554502E-3</v>
      </c>
      <c r="D10789">
        <f t="shared" si="355"/>
        <v>-0.41159207053848734</v>
      </c>
    </row>
    <row r="10790" spans="1:4">
      <c r="A10790" s="1">
        <v>33932</v>
      </c>
      <c r="B10790">
        <v>427.59</v>
      </c>
      <c r="C10790">
        <f t="shared" si="356"/>
        <v>5.810124200225749E-3</v>
      </c>
      <c r="D10790">
        <f t="shared" si="355"/>
        <v>0.58064364365119703</v>
      </c>
    </row>
    <row r="10791" spans="1:4">
      <c r="A10791" s="1">
        <v>33933</v>
      </c>
      <c r="B10791">
        <v>429.19</v>
      </c>
      <c r="C10791">
        <f t="shared" si="356"/>
        <v>3.7419022895765169E-3</v>
      </c>
      <c r="D10791">
        <f t="shared" si="355"/>
        <v>0.36224011290942365</v>
      </c>
    </row>
    <row r="10792" spans="1:4">
      <c r="A10792" s="1">
        <v>33935</v>
      </c>
      <c r="B10792">
        <v>430.16</v>
      </c>
      <c r="C10792">
        <f t="shared" si="356"/>
        <v>2.2600712970945905E-3</v>
      </c>
      <c r="D10792">
        <f t="shared" si="355"/>
        <v>0.20575926380216003</v>
      </c>
    </row>
    <row r="10793" spans="1:4">
      <c r="A10793" s="1">
        <v>33938</v>
      </c>
      <c r="B10793">
        <v>431.35</v>
      </c>
      <c r="C10793">
        <f t="shared" si="356"/>
        <v>2.7664124976752784E-3</v>
      </c>
      <c r="D10793">
        <f t="shared" si="355"/>
        <v>0.25922872246974404</v>
      </c>
    </row>
    <row r="10794" spans="1:4">
      <c r="A10794" s="1">
        <v>33939</v>
      </c>
      <c r="B10794">
        <v>430.78</v>
      </c>
      <c r="C10794">
        <f t="shared" si="356"/>
        <v>-1.321432711255477E-3</v>
      </c>
      <c r="D10794">
        <f t="shared" si="355"/>
        <v>-0.17244634206724363</v>
      </c>
    </row>
    <row r="10795" spans="1:4">
      <c r="A10795" s="1">
        <v>33940</v>
      </c>
      <c r="B10795">
        <v>429.89</v>
      </c>
      <c r="C10795">
        <f t="shared" si="356"/>
        <v>-2.066019778076945E-3</v>
      </c>
      <c r="D10795">
        <f t="shared" si="355"/>
        <v>-0.25107448322614928</v>
      </c>
    </row>
    <row r="10796" spans="1:4">
      <c r="A10796" s="1">
        <v>33941</v>
      </c>
      <c r="B10796">
        <v>429.91</v>
      </c>
      <c r="C10796">
        <f t="shared" si="356"/>
        <v>4.6523529275020711E-5</v>
      </c>
      <c r="D10796">
        <f t="shared" si="355"/>
        <v>-2.7990628058141981E-2</v>
      </c>
    </row>
    <row r="10797" spans="1:4">
      <c r="A10797" s="1">
        <v>33942</v>
      </c>
      <c r="B10797">
        <v>432.06</v>
      </c>
      <c r="C10797">
        <f t="shared" si="356"/>
        <v>5.0010467307110259E-3</v>
      </c>
      <c r="D10797">
        <f t="shared" si="355"/>
        <v>0.4952053378892366</v>
      </c>
    </row>
    <row r="10798" spans="1:4">
      <c r="A10798" s="1">
        <v>33945</v>
      </c>
      <c r="B10798">
        <v>435.31</v>
      </c>
      <c r="C10798">
        <f t="shared" si="356"/>
        <v>7.5221034115632085E-3</v>
      </c>
      <c r="D10798">
        <f t="shared" si="355"/>
        <v>0.7614280664384242</v>
      </c>
    </row>
    <row r="10799" spans="1:4">
      <c r="A10799" s="1">
        <v>33946</v>
      </c>
      <c r="B10799">
        <v>436.99</v>
      </c>
      <c r="C10799">
        <f t="shared" si="356"/>
        <v>3.8593186464818334E-3</v>
      </c>
      <c r="D10799">
        <f t="shared" si="355"/>
        <v>0.37463924028686613</v>
      </c>
    </row>
    <row r="10800" spans="1:4">
      <c r="A10800" s="1">
        <v>33947</v>
      </c>
      <c r="B10800">
        <v>435.65</v>
      </c>
      <c r="C10800">
        <f t="shared" si="356"/>
        <v>-3.0664317261265288E-3</v>
      </c>
      <c r="D10800">
        <f t="shared" si="355"/>
        <v>-0.35671764488364166</v>
      </c>
    </row>
    <row r="10801" spans="1:4">
      <c r="A10801" s="1">
        <v>33948</v>
      </c>
      <c r="B10801">
        <v>434.64</v>
      </c>
      <c r="C10801">
        <f t="shared" si="356"/>
        <v>-2.3183748421898107E-3</v>
      </c>
      <c r="D10801">
        <f t="shared" si="355"/>
        <v>-0.27772309221681379</v>
      </c>
    </row>
    <row r="10802" spans="1:4">
      <c r="A10802" s="1">
        <v>33949</v>
      </c>
      <c r="B10802">
        <v>433.73</v>
      </c>
      <c r="C10802">
        <f t="shared" si="356"/>
        <v>-2.0936867292471197E-3</v>
      </c>
      <c r="D10802">
        <f t="shared" si="355"/>
        <v>-0.25399610386526605</v>
      </c>
    </row>
    <row r="10803" spans="1:4">
      <c r="A10803" s="1">
        <v>33952</v>
      </c>
      <c r="B10803">
        <v>432.84</v>
      </c>
      <c r="C10803">
        <f t="shared" si="356"/>
        <v>-2.0519678140779821E-3</v>
      </c>
      <c r="D10803">
        <f t="shared" si="355"/>
        <v>-0.24959060060435342</v>
      </c>
    </row>
    <row r="10804" spans="1:4">
      <c r="A10804" s="1">
        <v>33953</v>
      </c>
      <c r="B10804">
        <v>432.57</v>
      </c>
      <c r="C10804">
        <f t="shared" si="356"/>
        <v>-6.237870806764204E-4</v>
      </c>
      <c r="D10804">
        <f t="shared" si="355"/>
        <v>-9.877520061936719E-2</v>
      </c>
    </row>
    <row r="10805" spans="1:4">
      <c r="A10805" s="1">
        <v>33954</v>
      </c>
      <c r="B10805">
        <v>431.52</v>
      </c>
      <c r="C10805">
        <f t="shared" si="356"/>
        <v>-2.427352798391038E-3</v>
      </c>
      <c r="D10805">
        <f t="shared" si="355"/>
        <v>-0.28923112734825623</v>
      </c>
    </row>
    <row r="10806" spans="1:4">
      <c r="A10806" s="1">
        <v>33955</v>
      </c>
      <c r="B10806">
        <v>435.43</v>
      </c>
      <c r="C10806">
        <f t="shared" si="356"/>
        <v>9.060993696700095E-3</v>
      </c>
      <c r="D10806">
        <f t="shared" si="355"/>
        <v>0.9239343574546558</v>
      </c>
    </row>
    <row r="10807" spans="1:4">
      <c r="A10807" s="1">
        <v>33956</v>
      </c>
      <c r="B10807">
        <v>441.28</v>
      </c>
      <c r="C10807">
        <f t="shared" si="356"/>
        <v>1.3434995292010119E-2</v>
      </c>
      <c r="D10807">
        <f t="shared" si="355"/>
        <v>1.3858274391240124</v>
      </c>
    </row>
    <row r="10808" spans="1:4">
      <c r="A10808" s="1">
        <v>33959</v>
      </c>
      <c r="B10808">
        <v>440.7</v>
      </c>
      <c r="C10808">
        <f t="shared" si="356"/>
        <v>-1.3143582306018495E-3</v>
      </c>
      <c r="D10808">
        <f t="shared" si="355"/>
        <v>-0.17169927931495338</v>
      </c>
    </row>
    <row r="10809" spans="1:4">
      <c r="A10809" s="1">
        <v>33960</v>
      </c>
      <c r="B10809">
        <v>440.31</v>
      </c>
      <c r="C10809">
        <f t="shared" si="356"/>
        <v>-8.8495575221235847E-4</v>
      </c>
      <c r="D10809">
        <f t="shared" si="355"/>
        <v>-0.12635452355801743</v>
      </c>
    </row>
    <row r="10810" spans="1:4">
      <c r="A10810" s="1">
        <v>33961</v>
      </c>
      <c r="B10810">
        <v>439.03</v>
      </c>
      <c r="C10810">
        <f t="shared" si="356"/>
        <v>-2.9070427653244977E-3</v>
      </c>
      <c r="D10810">
        <f t="shared" si="355"/>
        <v>-0.3398862248018874</v>
      </c>
    </row>
    <row r="10811" spans="1:4">
      <c r="A10811" s="1">
        <v>33962</v>
      </c>
      <c r="B10811">
        <v>439.77</v>
      </c>
      <c r="C10811">
        <f t="shared" si="356"/>
        <v>1.6855340181764552E-3</v>
      </c>
      <c r="D10811">
        <f t="shared" si="355"/>
        <v>0.14508832244311493</v>
      </c>
    </row>
    <row r="10812" spans="1:4">
      <c r="A10812" s="1">
        <v>33966</v>
      </c>
      <c r="B10812">
        <v>439.15</v>
      </c>
      <c r="C10812">
        <f t="shared" si="356"/>
        <v>-1.4098278645655788E-3</v>
      </c>
      <c r="D10812">
        <f t="shared" si="355"/>
        <v>-0.18178084020981786</v>
      </c>
    </row>
    <row r="10813" spans="1:4">
      <c r="A10813" s="1">
        <v>33967</v>
      </c>
      <c r="B10813">
        <v>437.98</v>
      </c>
      <c r="C10813">
        <f t="shared" si="356"/>
        <v>-2.6642377319821453E-3</v>
      </c>
      <c r="D10813">
        <f t="shared" si="355"/>
        <v>-0.3142460958143759</v>
      </c>
    </row>
    <row r="10814" spans="1:4">
      <c r="A10814" s="1">
        <v>33968</v>
      </c>
      <c r="B10814">
        <v>438.82</v>
      </c>
      <c r="C10814">
        <f t="shared" si="356"/>
        <v>1.9178957943284509E-3</v>
      </c>
      <c r="D10814">
        <f t="shared" si="355"/>
        <v>0.16962564702116034</v>
      </c>
    </row>
    <row r="10815" spans="1:4">
      <c r="A10815" s="1">
        <v>33969</v>
      </c>
      <c r="B10815">
        <v>435.71</v>
      </c>
      <c r="C10815">
        <f t="shared" si="356"/>
        <v>-7.0871883688072871E-3</v>
      </c>
      <c r="D10815">
        <f t="shared" si="355"/>
        <v>-0.78130817962914134</v>
      </c>
    </row>
    <row r="10816" spans="1:4">
      <c r="A10816" s="1">
        <v>33973</v>
      </c>
      <c r="B10816">
        <v>435.38</v>
      </c>
      <c r="C10816">
        <f t="shared" si="356"/>
        <v>-7.5738449886388678E-4</v>
      </c>
      <c r="D10816">
        <f t="shared" si="355"/>
        <v>-0.11288304256799475</v>
      </c>
    </row>
    <row r="10817" spans="1:4">
      <c r="A10817" s="1">
        <v>33974</v>
      </c>
      <c r="B10817">
        <v>434.34</v>
      </c>
      <c r="C10817">
        <f t="shared" si="356"/>
        <v>-2.3887179016032442E-3</v>
      </c>
      <c r="D10817">
        <f t="shared" si="355"/>
        <v>-0.2851512953801047</v>
      </c>
    </row>
    <row r="10818" spans="1:4">
      <c r="A10818" s="1">
        <v>33975</v>
      </c>
      <c r="B10818">
        <v>434.52</v>
      </c>
      <c r="C10818">
        <f t="shared" si="356"/>
        <v>4.1442188147535765E-4</v>
      </c>
      <c r="D10818">
        <f t="shared" si="355"/>
        <v>1.0859312879487592E-2</v>
      </c>
    </row>
    <row r="10819" spans="1:4">
      <c r="A10819" s="1">
        <v>33976</v>
      </c>
      <c r="B10819">
        <v>430.73</v>
      </c>
      <c r="C10819">
        <f t="shared" si="356"/>
        <v>-8.7222682500229312E-3</v>
      </c>
      <c r="D10819">
        <f t="shared" ref="D10819:D10882" si="357">(C10819-avg)/sd</f>
        <v>-0.95397205929485718</v>
      </c>
    </row>
    <row r="10820" spans="1:4">
      <c r="A10820" s="1">
        <v>33977</v>
      </c>
      <c r="B10820">
        <v>429.05</v>
      </c>
      <c r="C10820">
        <f t="shared" ref="C10820:C10883" si="358">(B10820-B10819)/B10819</f>
        <v>-3.9003552109210101E-3</v>
      </c>
      <c r="D10820">
        <f t="shared" si="357"/>
        <v>-0.44477968141357366</v>
      </c>
    </row>
    <row r="10821" spans="1:4">
      <c r="A10821" s="1">
        <v>33980</v>
      </c>
      <c r="B10821">
        <v>430.95</v>
      </c>
      <c r="C10821">
        <f t="shared" si="358"/>
        <v>4.428388299731913E-3</v>
      </c>
      <c r="D10821">
        <f t="shared" si="357"/>
        <v>0.43473280223390082</v>
      </c>
    </row>
    <row r="10822" spans="1:4">
      <c r="A10822" s="1">
        <v>33981</v>
      </c>
      <c r="B10822">
        <v>431.04</v>
      </c>
      <c r="C10822">
        <f t="shared" si="358"/>
        <v>2.0884093282290715E-4</v>
      </c>
      <c r="D10822">
        <f t="shared" si="357"/>
        <v>-1.0849965417851421E-2</v>
      </c>
    </row>
    <row r="10823" spans="1:4">
      <c r="A10823" s="1">
        <v>33982</v>
      </c>
      <c r="B10823">
        <v>433.03</v>
      </c>
      <c r="C10823">
        <f t="shared" si="358"/>
        <v>4.6167409057162956E-3</v>
      </c>
      <c r="D10823">
        <f t="shared" si="357"/>
        <v>0.45462277340169005</v>
      </c>
    </row>
    <row r="10824" spans="1:4">
      <c r="A10824" s="1">
        <v>33983</v>
      </c>
      <c r="B10824">
        <v>435.94</v>
      </c>
      <c r="C10824">
        <f t="shared" si="358"/>
        <v>6.7200886774588945E-3</v>
      </c>
      <c r="D10824">
        <f t="shared" si="357"/>
        <v>0.67673558313506266</v>
      </c>
    </row>
    <row r="10825" spans="1:4">
      <c r="A10825" s="1">
        <v>33984</v>
      </c>
      <c r="B10825">
        <v>437.15</v>
      </c>
      <c r="C10825">
        <f t="shared" si="358"/>
        <v>2.7756113226590348E-3</v>
      </c>
      <c r="D10825">
        <f t="shared" si="357"/>
        <v>0.26020011526119619</v>
      </c>
    </row>
    <row r="10826" spans="1:4">
      <c r="A10826" s="1">
        <v>33987</v>
      </c>
      <c r="B10826">
        <v>436.84</v>
      </c>
      <c r="C10826">
        <f t="shared" si="358"/>
        <v>-7.0913873956308428E-4</v>
      </c>
      <c r="D10826">
        <f t="shared" si="357"/>
        <v>-0.1077883067853604</v>
      </c>
    </row>
    <row r="10827" spans="1:4">
      <c r="A10827" s="1">
        <v>33988</v>
      </c>
      <c r="B10827">
        <v>435.13</v>
      </c>
      <c r="C10827">
        <f t="shared" si="358"/>
        <v>-3.9144766962731885E-3</v>
      </c>
      <c r="D10827">
        <f t="shared" si="357"/>
        <v>-0.44627090546663756</v>
      </c>
    </row>
    <row r="10828" spans="1:4">
      <c r="A10828" s="1">
        <v>33989</v>
      </c>
      <c r="B10828">
        <v>433.37</v>
      </c>
      <c r="C10828">
        <f t="shared" si="358"/>
        <v>-4.0447682301840617E-3</v>
      </c>
      <c r="D10828">
        <f t="shared" si="357"/>
        <v>-0.46002964715938155</v>
      </c>
    </row>
    <row r="10829" spans="1:4">
      <c r="A10829" s="1">
        <v>33990</v>
      </c>
      <c r="B10829">
        <v>435.49</v>
      </c>
      <c r="C10829">
        <f t="shared" si="358"/>
        <v>4.8918937628354628E-3</v>
      </c>
      <c r="D10829">
        <f t="shared" si="357"/>
        <v>0.48367882158447362</v>
      </c>
    </row>
    <row r="10830" spans="1:4">
      <c r="A10830" s="1">
        <v>33991</v>
      </c>
      <c r="B10830">
        <v>436.11</v>
      </c>
      <c r="C10830">
        <f t="shared" si="358"/>
        <v>1.4236836666743312E-3</v>
      </c>
      <c r="D10830">
        <f t="shared" si="357"/>
        <v>0.11743701433174976</v>
      </c>
    </row>
    <row r="10831" spans="1:4">
      <c r="A10831" s="1">
        <v>33994</v>
      </c>
      <c r="B10831">
        <v>440.01</v>
      </c>
      <c r="C10831">
        <f t="shared" si="358"/>
        <v>8.9426979431794212E-3</v>
      </c>
      <c r="D10831">
        <f t="shared" si="357"/>
        <v>0.911442366093553</v>
      </c>
    </row>
    <row r="10832" spans="1:4">
      <c r="A10832" s="1">
        <v>33995</v>
      </c>
      <c r="B10832">
        <v>439.95</v>
      </c>
      <c r="C10832">
        <f t="shared" si="358"/>
        <v>-1.3636053726052199E-4</v>
      </c>
      <c r="D10832">
        <f t="shared" si="357"/>
        <v>-4.7303123318980622E-2</v>
      </c>
    </row>
    <row r="10833" spans="1:4">
      <c r="A10833" s="1">
        <v>33996</v>
      </c>
      <c r="B10833">
        <v>438.11</v>
      </c>
      <c r="C10833">
        <f t="shared" si="358"/>
        <v>-4.182293442436584E-3</v>
      </c>
      <c r="D10833">
        <f t="shared" si="357"/>
        <v>-0.47455226282615698</v>
      </c>
    </row>
    <row r="10834" spans="1:4">
      <c r="A10834" s="1">
        <v>33997</v>
      </c>
      <c r="B10834">
        <v>438.66</v>
      </c>
      <c r="C10834">
        <f t="shared" si="358"/>
        <v>1.2553924813403286E-3</v>
      </c>
      <c r="D10834">
        <f t="shared" si="357"/>
        <v>9.9665522365432427E-2</v>
      </c>
    </row>
    <row r="10835" spans="1:4">
      <c r="A10835" s="1">
        <v>33998</v>
      </c>
      <c r="B10835">
        <v>438.78</v>
      </c>
      <c r="C10835">
        <f t="shared" si="358"/>
        <v>2.7356038845563236E-4</v>
      </c>
      <c r="D10835">
        <f t="shared" si="357"/>
        <v>-4.0156129022474963E-3</v>
      </c>
    </row>
    <row r="10836" spans="1:4">
      <c r="A10836" s="1">
        <v>34001</v>
      </c>
      <c r="B10836">
        <v>442.52</v>
      </c>
      <c r="C10836">
        <f t="shared" si="358"/>
        <v>8.5236337116550639E-3</v>
      </c>
      <c r="D10836">
        <f t="shared" si="357"/>
        <v>0.86718932569143425</v>
      </c>
    </row>
    <row r="10837" spans="1:4">
      <c r="A10837" s="1">
        <v>34002</v>
      </c>
      <c r="B10837">
        <v>442.55</v>
      </c>
      <c r="C10837">
        <f t="shared" si="358"/>
        <v>6.7793546054482413E-5</v>
      </c>
      <c r="D10837">
        <f t="shared" si="357"/>
        <v>-2.5744521516260815E-2</v>
      </c>
    </row>
    <row r="10838" spans="1:4">
      <c r="A10838" s="1">
        <v>34003</v>
      </c>
      <c r="B10838">
        <v>447.2</v>
      </c>
      <c r="C10838">
        <f t="shared" si="358"/>
        <v>1.0507287312168065E-2</v>
      </c>
      <c r="D10838">
        <f t="shared" si="357"/>
        <v>1.076662471628987</v>
      </c>
    </row>
    <row r="10839" spans="1:4">
      <c r="A10839" s="1">
        <v>34004</v>
      </c>
      <c r="B10839">
        <v>449.56</v>
      </c>
      <c r="C10839">
        <f t="shared" si="358"/>
        <v>5.2772808586762383E-3</v>
      </c>
      <c r="D10839">
        <f t="shared" si="357"/>
        <v>0.52437556790582074</v>
      </c>
    </row>
    <row r="10840" spans="1:4">
      <c r="A10840" s="1">
        <v>34005</v>
      </c>
      <c r="B10840">
        <v>448.93</v>
      </c>
      <c r="C10840">
        <f t="shared" si="358"/>
        <v>-1.4013702286680208E-3</v>
      </c>
      <c r="D10840">
        <f t="shared" si="357"/>
        <v>-0.18088771673392587</v>
      </c>
    </row>
    <row r="10841" spans="1:4">
      <c r="A10841" s="1">
        <v>34008</v>
      </c>
      <c r="B10841">
        <v>447.85</v>
      </c>
      <c r="C10841">
        <f t="shared" si="358"/>
        <v>-2.4057202681932242E-3</v>
      </c>
      <c r="D10841">
        <f t="shared" si="357"/>
        <v>-0.2869467395126214</v>
      </c>
    </row>
    <row r="10842" spans="1:4">
      <c r="A10842" s="1">
        <v>34009</v>
      </c>
      <c r="B10842">
        <v>445.33</v>
      </c>
      <c r="C10842">
        <f t="shared" si="358"/>
        <v>-5.6268840013398201E-3</v>
      </c>
      <c r="D10842">
        <f t="shared" si="357"/>
        <v>-0.62710053480614925</v>
      </c>
    </row>
    <row r="10843" spans="1:4">
      <c r="A10843" s="1">
        <v>34010</v>
      </c>
      <c r="B10843">
        <v>446.23</v>
      </c>
      <c r="C10843">
        <f t="shared" si="358"/>
        <v>2.0209732108774038E-3</v>
      </c>
      <c r="D10843">
        <f t="shared" si="357"/>
        <v>0.18051058717101351</v>
      </c>
    </row>
    <row r="10844" spans="1:4">
      <c r="A10844" s="1">
        <v>34011</v>
      </c>
      <c r="B10844">
        <v>447.66</v>
      </c>
      <c r="C10844">
        <f t="shared" si="358"/>
        <v>3.2046254173856681E-3</v>
      </c>
      <c r="D10844">
        <f t="shared" si="357"/>
        <v>0.30550385783535239</v>
      </c>
    </row>
    <row r="10845" spans="1:4">
      <c r="A10845" s="1">
        <v>34012</v>
      </c>
      <c r="B10845">
        <v>444.58</v>
      </c>
      <c r="C10845">
        <f t="shared" si="358"/>
        <v>-6.8802215967476224E-3</v>
      </c>
      <c r="D10845">
        <f t="shared" si="357"/>
        <v>-0.75945255885106477</v>
      </c>
    </row>
    <row r="10846" spans="1:4">
      <c r="A10846" s="1">
        <v>34016</v>
      </c>
      <c r="B10846">
        <v>433.91</v>
      </c>
      <c r="C10846">
        <f t="shared" si="358"/>
        <v>-2.4000179945116648E-2</v>
      </c>
      <c r="D10846">
        <f t="shared" si="357"/>
        <v>-2.5673143410822434</v>
      </c>
    </row>
    <row r="10847" spans="1:4">
      <c r="A10847" s="1">
        <v>34017</v>
      </c>
      <c r="B10847">
        <v>433.3</v>
      </c>
      <c r="C10847">
        <f t="shared" si="358"/>
        <v>-1.4058214837178531E-3</v>
      </c>
      <c r="D10847">
        <f t="shared" si="357"/>
        <v>-0.18135776775413304</v>
      </c>
    </row>
    <row r="10848" spans="1:4">
      <c r="A10848" s="1">
        <v>34018</v>
      </c>
      <c r="B10848">
        <v>431.9</v>
      </c>
      <c r="C10848">
        <f t="shared" si="358"/>
        <v>-3.231017770597817E-3</v>
      </c>
      <c r="D10848">
        <f t="shared" si="357"/>
        <v>-0.37409787523429494</v>
      </c>
    </row>
    <row r="10849" spans="1:4">
      <c r="A10849" s="1">
        <v>34019</v>
      </c>
      <c r="B10849">
        <v>434.22</v>
      </c>
      <c r="C10849">
        <f t="shared" si="358"/>
        <v>5.3716137994907391E-3</v>
      </c>
      <c r="D10849">
        <f t="shared" si="357"/>
        <v>0.53433709439050747</v>
      </c>
    </row>
    <row r="10850" spans="1:4">
      <c r="A10850" s="1">
        <v>34022</v>
      </c>
      <c r="B10850">
        <v>435.24</v>
      </c>
      <c r="C10850">
        <f t="shared" si="358"/>
        <v>2.3490396573165257E-3</v>
      </c>
      <c r="D10850">
        <f t="shared" si="357"/>
        <v>0.21515429239978137</v>
      </c>
    </row>
    <row r="10851" spans="1:4">
      <c r="A10851" s="1">
        <v>34023</v>
      </c>
      <c r="B10851">
        <v>434.8</v>
      </c>
      <c r="C10851">
        <f t="shared" si="358"/>
        <v>-1.0109364948074572E-3</v>
      </c>
      <c r="D10851">
        <f t="shared" si="357"/>
        <v>-0.13965804715312477</v>
      </c>
    </row>
    <row r="10852" spans="1:4">
      <c r="A10852" s="1">
        <v>34024</v>
      </c>
      <c r="B10852">
        <v>440.87</v>
      </c>
      <c r="C10852">
        <f t="shared" si="358"/>
        <v>1.396044158233669E-2</v>
      </c>
      <c r="D10852">
        <f t="shared" si="357"/>
        <v>1.441314388774626</v>
      </c>
    </row>
    <row r="10853" spans="1:4">
      <c r="A10853" s="1">
        <v>34025</v>
      </c>
      <c r="B10853">
        <v>442.34</v>
      </c>
      <c r="C10853">
        <f t="shared" si="358"/>
        <v>3.3343162383468379E-3</v>
      </c>
      <c r="D10853">
        <f t="shared" si="357"/>
        <v>0.31919916444479995</v>
      </c>
    </row>
    <row r="10854" spans="1:4">
      <c r="A10854" s="1">
        <v>34026</v>
      </c>
      <c r="B10854">
        <v>443.38</v>
      </c>
      <c r="C10854">
        <f t="shared" si="358"/>
        <v>2.3511326129222331E-3</v>
      </c>
      <c r="D10854">
        <f t="shared" si="357"/>
        <v>0.21537530780031391</v>
      </c>
    </row>
    <row r="10855" spans="1:4">
      <c r="A10855" s="1">
        <v>34029</v>
      </c>
      <c r="B10855">
        <v>442.01</v>
      </c>
      <c r="C10855">
        <f t="shared" si="358"/>
        <v>-3.0899003112454431E-3</v>
      </c>
      <c r="D10855">
        <f t="shared" si="357"/>
        <v>-0.35919591949483937</v>
      </c>
    </row>
    <row r="10856" spans="1:4">
      <c r="A10856" s="1">
        <v>34030</v>
      </c>
      <c r="B10856">
        <v>447.9</v>
      </c>
      <c r="C10856">
        <f t="shared" si="358"/>
        <v>1.332549037352093E-2</v>
      </c>
      <c r="D10856">
        <f t="shared" si="357"/>
        <v>1.3742637569540843</v>
      </c>
    </row>
    <row r="10857" spans="1:4">
      <c r="A10857" s="1">
        <v>34031</v>
      </c>
      <c r="B10857">
        <v>449.26</v>
      </c>
      <c r="C10857">
        <f t="shared" si="358"/>
        <v>3.0363920517973066E-3</v>
      </c>
      <c r="D10857">
        <f t="shared" si="357"/>
        <v>0.28773847161452087</v>
      </c>
    </row>
    <row r="10858" spans="1:4">
      <c r="A10858" s="1">
        <v>34032</v>
      </c>
      <c r="B10858">
        <v>447.34</v>
      </c>
      <c r="C10858">
        <f t="shared" si="358"/>
        <v>-4.2736945198771671E-3</v>
      </c>
      <c r="D10858">
        <f t="shared" si="357"/>
        <v>-0.48420418553514677</v>
      </c>
    </row>
    <row r="10859" spans="1:4">
      <c r="A10859" s="1">
        <v>34033</v>
      </c>
      <c r="B10859">
        <v>446.11</v>
      </c>
      <c r="C10859">
        <f t="shared" si="358"/>
        <v>-2.7495864443151997E-3</v>
      </c>
      <c r="D10859">
        <f t="shared" si="357"/>
        <v>-0.32325889082530951</v>
      </c>
    </row>
    <row r="10860" spans="1:4">
      <c r="A10860" s="1">
        <v>34036</v>
      </c>
      <c r="B10860">
        <v>454.71</v>
      </c>
      <c r="C10860">
        <f t="shared" si="358"/>
        <v>1.9277756607114761E-2</v>
      </c>
      <c r="D10860">
        <f t="shared" si="357"/>
        <v>2.002821047947994</v>
      </c>
    </row>
    <row r="10861" spans="1:4">
      <c r="A10861" s="1">
        <v>34037</v>
      </c>
      <c r="B10861">
        <v>454.4</v>
      </c>
      <c r="C10861">
        <f t="shared" si="358"/>
        <v>-6.8175320533967203E-4</v>
      </c>
      <c r="D10861">
        <f t="shared" si="357"/>
        <v>-0.10489640368016345</v>
      </c>
    </row>
    <row r="10862" spans="1:4">
      <c r="A10862" s="1">
        <v>34038</v>
      </c>
      <c r="B10862">
        <v>456.33</v>
      </c>
      <c r="C10862">
        <f t="shared" si="358"/>
        <v>4.2473591549295926E-3</v>
      </c>
      <c r="D10862">
        <f t="shared" si="357"/>
        <v>0.41561618607757189</v>
      </c>
    </row>
    <row r="10863" spans="1:4">
      <c r="A10863" s="1">
        <v>34039</v>
      </c>
      <c r="B10863">
        <v>453.72</v>
      </c>
      <c r="C10863">
        <f t="shared" si="358"/>
        <v>-5.7195450660705123E-3</v>
      </c>
      <c r="D10863">
        <f t="shared" si="357"/>
        <v>-0.63688551174468411</v>
      </c>
    </row>
    <row r="10864" spans="1:4">
      <c r="A10864" s="1">
        <v>34040</v>
      </c>
      <c r="B10864">
        <v>449.83</v>
      </c>
      <c r="C10864">
        <f t="shared" si="358"/>
        <v>-8.5735696023980495E-3</v>
      </c>
      <c r="D10864">
        <f t="shared" si="357"/>
        <v>-0.93826953265079582</v>
      </c>
    </row>
    <row r="10865" spans="1:4">
      <c r="A10865" s="1">
        <v>34043</v>
      </c>
      <c r="B10865">
        <v>451.43</v>
      </c>
      <c r="C10865">
        <f t="shared" si="358"/>
        <v>3.5568992730587619E-3</v>
      </c>
      <c r="D10865">
        <f t="shared" si="357"/>
        <v>0.34270385725072949</v>
      </c>
    </row>
    <row r="10866" spans="1:4">
      <c r="A10866" s="1">
        <v>34044</v>
      </c>
      <c r="B10866">
        <v>451.37</v>
      </c>
      <c r="C10866">
        <f t="shared" si="358"/>
        <v>-1.3291097180072718E-4</v>
      </c>
      <c r="D10866">
        <f t="shared" si="357"/>
        <v>-4.6938850378990551E-2</v>
      </c>
    </row>
    <row r="10867" spans="1:4">
      <c r="A10867" s="1">
        <v>34045</v>
      </c>
      <c r="B10867">
        <v>448.31</v>
      </c>
      <c r="C10867">
        <f t="shared" si="358"/>
        <v>-6.7793606132441281E-3</v>
      </c>
      <c r="D10867">
        <f t="shared" si="357"/>
        <v>-0.74880167327740987</v>
      </c>
    </row>
    <row r="10868" spans="1:4">
      <c r="A10868" s="1">
        <v>34046</v>
      </c>
      <c r="B10868">
        <v>451.89</v>
      </c>
      <c r="C10868">
        <f t="shared" si="358"/>
        <v>7.9855457161338902E-3</v>
      </c>
      <c r="D10868">
        <f t="shared" si="357"/>
        <v>0.81036741626939479</v>
      </c>
    </row>
    <row r="10869" spans="1:4">
      <c r="A10869" s="1">
        <v>34047</v>
      </c>
      <c r="B10869">
        <v>450.18</v>
      </c>
      <c r="C10869">
        <f t="shared" si="358"/>
        <v>-3.784106751643054E-3</v>
      </c>
      <c r="D10869">
        <f t="shared" si="357"/>
        <v>-0.43250388362859271</v>
      </c>
    </row>
    <row r="10870" spans="1:4">
      <c r="A10870" s="1">
        <v>34050</v>
      </c>
      <c r="B10870">
        <v>448.88</v>
      </c>
      <c r="C10870">
        <f t="shared" si="358"/>
        <v>-2.8877337953707657E-3</v>
      </c>
      <c r="D10870">
        <f t="shared" si="357"/>
        <v>-0.33784720413821107</v>
      </c>
    </row>
    <row r="10871" spans="1:4">
      <c r="A10871" s="1">
        <v>34051</v>
      </c>
      <c r="B10871">
        <v>448.76</v>
      </c>
      <c r="C10871">
        <f t="shared" si="358"/>
        <v>-2.6733202637677008E-4</v>
      </c>
      <c r="D10871">
        <f t="shared" si="357"/>
        <v>-6.1133668050284182E-2</v>
      </c>
    </row>
    <row r="10872" spans="1:4">
      <c r="A10872" s="1">
        <v>34052</v>
      </c>
      <c r="B10872">
        <v>448.07</v>
      </c>
      <c r="C10872">
        <f t="shared" si="358"/>
        <v>-1.5375701934218686E-3</v>
      </c>
      <c r="D10872">
        <f t="shared" si="357"/>
        <v>-0.19527038671531474</v>
      </c>
    </row>
    <row r="10873" spans="1:4">
      <c r="A10873" s="1">
        <v>34053</v>
      </c>
      <c r="B10873">
        <v>450.88</v>
      </c>
      <c r="C10873">
        <f t="shared" si="358"/>
        <v>6.2713415314571436E-3</v>
      </c>
      <c r="D10873">
        <f t="shared" si="357"/>
        <v>0.62934803705384401</v>
      </c>
    </row>
    <row r="10874" spans="1:4">
      <c r="A10874" s="1">
        <v>34054</v>
      </c>
      <c r="B10874">
        <v>447.78</v>
      </c>
      <c r="C10874">
        <f t="shared" si="358"/>
        <v>-6.8754435770050186E-3</v>
      </c>
      <c r="D10874">
        <f t="shared" si="357"/>
        <v>-0.75894800159037368</v>
      </c>
    </row>
    <row r="10875" spans="1:4">
      <c r="A10875" s="1">
        <v>34057</v>
      </c>
      <c r="B10875">
        <v>450.77</v>
      </c>
      <c r="C10875">
        <f t="shared" si="358"/>
        <v>6.6773862164455963E-3</v>
      </c>
      <c r="D10875">
        <f t="shared" si="357"/>
        <v>0.67222621776733005</v>
      </c>
    </row>
    <row r="10876" spans="1:4">
      <c r="A10876" s="1">
        <v>34058</v>
      </c>
      <c r="B10876">
        <v>451.97</v>
      </c>
      <c r="C10876">
        <f t="shared" si="358"/>
        <v>2.6621114981033468E-3</v>
      </c>
      <c r="D10876">
        <f t="shared" si="357"/>
        <v>0.24821457236858041</v>
      </c>
    </row>
    <row r="10877" spans="1:4">
      <c r="A10877" s="1">
        <v>34059</v>
      </c>
      <c r="B10877">
        <v>451.67</v>
      </c>
      <c r="C10877">
        <f t="shared" si="358"/>
        <v>-6.6376086908425638E-4</v>
      </c>
      <c r="D10877">
        <f t="shared" si="357"/>
        <v>-0.10299641908748379</v>
      </c>
    </row>
    <row r="10878" spans="1:4">
      <c r="A10878" s="1">
        <v>34060</v>
      </c>
      <c r="B10878">
        <v>450.3</v>
      </c>
      <c r="C10878">
        <f t="shared" si="358"/>
        <v>-3.0331879469524311E-3</v>
      </c>
      <c r="D10878">
        <f t="shared" si="357"/>
        <v>-0.35320711310296654</v>
      </c>
    </row>
    <row r="10879" spans="1:4">
      <c r="A10879" s="1">
        <v>34061</v>
      </c>
      <c r="B10879">
        <v>441.39</v>
      </c>
      <c r="C10879">
        <f t="shared" si="358"/>
        <v>-1.9786808794137297E-2</v>
      </c>
      <c r="D10879">
        <f t="shared" si="357"/>
        <v>-2.1223837797332648</v>
      </c>
    </row>
    <row r="10880" spans="1:4">
      <c r="A10880" s="1">
        <v>34064</v>
      </c>
      <c r="B10880">
        <v>442.29</v>
      </c>
      <c r="C10880">
        <f t="shared" si="358"/>
        <v>2.0390131176511342E-3</v>
      </c>
      <c r="D10880">
        <f t="shared" si="357"/>
        <v>0.18241559519425718</v>
      </c>
    </row>
    <row r="10881" spans="1:4">
      <c r="A10881" s="1">
        <v>34065</v>
      </c>
      <c r="B10881">
        <v>441.16</v>
      </c>
      <c r="C10881">
        <f t="shared" si="358"/>
        <v>-2.5548848040878053E-3</v>
      </c>
      <c r="D10881">
        <f t="shared" si="357"/>
        <v>-0.30269846379959986</v>
      </c>
    </row>
    <row r="10882" spans="1:4">
      <c r="A10882" s="1">
        <v>34066</v>
      </c>
      <c r="B10882">
        <v>442.73</v>
      </c>
      <c r="C10882">
        <f t="shared" si="358"/>
        <v>3.5587995285157156E-3</v>
      </c>
      <c r="D10882">
        <f t="shared" si="357"/>
        <v>0.34290452358105561</v>
      </c>
    </row>
    <row r="10883" spans="1:4">
      <c r="A10883" s="1">
        <v>34067</v>
      </c>
      <c r="B10883">
        <v>441.84</v>
      </c>
      <c r="C10883">
        <f t="shared" si="358"/>
        <v>-2.0102545569535453E-3</v>
      </c>
      <c r="D10883">
        <f t="shared" ref="D10883:D10946" si="359">(C10883-avg)/sd</f>
        <v>-0.24518569483103791</v>
      </c>
    </row>
    <row r="10884" spans="1:4">
      <c r="A10884" s="1">
        <v>34071</v>
      </c>
      <c r="B10884">
        <v>448.37</v>
      </c>
      <c r="C10884">
        <f t="shared" ref="C10884:C10947" si="360">(B10884-B10883)/B10883</f>
        <v>1.4779105558573306E-2</v>
      </c>
      <c r="D10884">
        <f t="shared" si="359"/>
        <v>1.5277650263878064</v>
      </c>
    </row>
    <row r="10885" spans="1:4">
      <c r="A10885" s="1">
        <v>34072</v>
      </c>
      <c r="B10885">
        <v>449.22</v>
      </c>
      <c r="C10885">
        <f t="shared" si="360"/>
        <v>1.8957557374490327E-3</v>
      </c>
      <c r="D10885">
        <f t="shared" si="359"/>
        <v>0.16728766454046479</v>
      </c>
    </row>
    <row r="10886" spans="1:4">
      <c r="A10886" s="1">
        <v>34073</v>
      </c>
      <c r="B10886">
        <v>448.66</v>
      </c>
      <c r="C10886">
        <f t="shared" si="360"/>
        <v>-1.2466052268376346E-3</v>
      </c>
      <c r="D10886">
        <f t="shared" si="359"/>
        <v>-0.16454458514781725</v>
      </c>
    </row>
    <row r="10887" spans="1:4">
      <c r="A10887" s="1">
        <v>34074</v>
      </c>
      <c r="B10887">
        <v>448.4</v>
      </c>
      <c r="C10887">
        <f t="shared" si="360"/>
        <v>-5.7950341015478924E-4</v>
      </c>
      <c r="D10887">
        <f t="shared" si="359"/>
        <v>-9.4098860065033929E-2</v>
      </c>
    </row>
    <row r="10888" spans="1:4">
      <c r="A10888" s="1">
        <v>34075</v>
      </c>
      <c r="B10888">
        <v>448.94</v>
      </c>
      <c r="C10888">
        <f t="shared" si="360"/>
        <v>1.2042818911686451E-3</v>
      </c>
      <c r="D10888">
        <f t="shared" si="359"/>
        <v>9.426826141663637E-2</v>
      </c>
    </row>
    <row r="10889" spans="1:4">
      <c r="A10889" s="1">
        <v>34078</v>
      </c>
      <c r="B10889">
        <v>447.46</v>
      </c>
      <c r="C10889">
        <f t="shared" si="360"/>
        <v>-3.2966543413374132E-3</v>
      </c>
      <c r="D10889">
        <f t="shared" si="359"/>
        <v>-0.38102907479344189</v>
      </c>
    </row>
    <row r="10890" spans="1:4">
      <c r="A10890" s="1">
        <v>34079</v>
      </c>
      <c r="B10890">
        <v>445.1</v>
      </c>
      <c r="C10890">
        <f t="shared" si="360"/>
        <v>-5.2742144549232485E-3</v>
      </c>
      <c r="D10890">
        <f t="shared" si="359"/>
        <v>-0.58985875058276271</v>
      </c>
    </row>
    <row r="10891" spans="1:4">
      <c r="A10891" s="1">
        <v>34080</v>
      </c>
      <c r="B10891">
        <v>443.63</v>
      </c>
      <c r="C10891">
        <f t="shared" si="360"/>
        <v>-3.3026286227814585E-3</v>
      </c>
      <c r="D10891">
        <f t="shared" si="359"/>
        <v>-0.38165995688317611</v>
      </c>
    </row>
    <row r="10892" spans="1:4">
      <c r="A10892" s="1">
        <v>34081</v>
      </c>
      <c r="B10892">
        <v>439.46</v>
      </c>
      <c r="C10892">
        <f t="shared" si="360"/>
        <v>-9.3997249960553076E-3</v>
      </c>
      <c r="D10892">
        <f t="shared" si="359"/>
        <v>-1.0255112613971396</v>
      </c>
    </row>
    <row r="10893" spans="1:4">
      <c r="A10893" s="1">
        <v>34082</v>
      </c>
      <c r="B10893">
        <v>437.03</v>
      </c>
      <c r="C10893">
        <f t="shared" si="360"/>
        <v>-5.5295134938333568E-3</v>
      </c>
      <c r="D10893">
        <f t="shared" si="359"/>
        <v>-0.61681824231131044</v>
      </c>
    </row>
    <row r="10894" spans="1:4">
      <c r="A10894" s="1">
        <v>34085</v>
      </c>
      <c r="B10894">
        <v>433.54</v>
      </c>
      <c r="C10894">
        <f t="shared" si="360"/>
        <v>-7.9857218039950401E-3</v>
      </c>
      <c r="D10894">
        <f t="shared" si="359"/>
        <v>-0.87619300495861352</v>
      </c>
    </row>
    <row r="10895" spans="1:4">
      <c r="A10895" s="1">
        <v>34086</v>
      </c>
      <c r="B10895">
        <v>438.01</v>
      </c>
      <c r="C10895">
        <f t="shared" si="360"/>
        <v>1.0310467315587882E-2</v>
      </c>
      <c r="D10895">
        <f t="shared" si="359"/>
        <v>1.0558783468924871</v>
      </c>
    </row>
    <row r="10896" spans="1:4">
      <c r="A10896" s="1">
        <v>34087</v>
      </c>
      <c r="B10896">
        <v>438.02</v>
      </c>
      <c r="C10896">
        <f t="shared" si="360"/>
        <v>2.2830528983335779E-5</v>
      </c>
      <c r="D10896">
        <f t="shared" si="359"/>
        <v>-3.0492600835301805E-2</v>
      </c>
    </row>
    <row r="10897" spans="1:4">
      <c r="A10897" s="1">
        <v>34088</v>
      </c>
      <c r="B10897">
        <v>438.89</v>
      </c>
      <c r="C10897">
        <f t="shared" si="360"/>
        <v>1.9862106753116399E-3</v>
      </c>
      <c r="D10897">
        <f t="shared" si="359"/>
        <v>0.1768396752316288</v>
      </c>
    </row>
    <row r="10898" spans="1:4">
      <c r="A10898" s="1">
        <v>34089</v>
      </c>
      <c r="B10898">
        <v>440.19</v>
      </c>
      <c r="C10898">
        <f t="shared" si="360"/>
        <v>2.9620178176764369E-3</v>
      </c>
      <c r="D10898">
        <f t="shared" si="359"/>
        <v>0.27988457777238757</v>
      </c>
    </row>
    <row r="10899" spans="1:4">
      <c r="A10899" s="1">
        <v>34092</v>
      </c>
      <c r="B10899">
        <v>442.46</v>
      </c>
      <c r="C10899">
        <f t="shared" si="360"/>
        <v>5.1568640814193458E-3</v>
      </c>
      <c r="D10899">
        <f t="shared" si="359"/>
        <v>0.51165959715914422</v>
      </c>
    </row>
    <row r="10900" spans="1:4">
      <c r="A10900" s="1">
        <v>34093</v>
      </c>
      <c r="B10900">
        <v>444.05</v>
      </c>
      <c r="C10900">
        <f t="shared" si="360"/>
        <v>3.5935451792253126E-3</v>
      </c>
      <c r="D10900">
        <f t="shared" si="359"/>
        <v>0.34657365248536853</v>
      </c>
    </row>
    <row r="10901" spans="1:4">
      <c r="A10901" s="1">
        <v>34094</v>
      </c>
      <c r="B10901">
        <v>444.52</v>
      </c>
      <c r="C10901">
        <f t="shared" si="360"/>
        <v>1.0584393649363145E-3</v>
      </c>
      <c r="D10901">
        <f t="shared" si="359"/>
        <v>7.8867340220785606E-2</v>
      </c>
    </row>
    <row r="10902" spans="1:4">
      <c r="A10902" s="1">
        <v>34095</v>
      </c>
      <c r="B10902">
        <v>443.26</v>
      </c>
      <c r="C10902">
        <f t="shared" si="360"/>
        <v>-2.8345181319175536E-3</v>
      </c>
      <c r="D10902">
        <f t="shared" si="359"/>
        <v>-0.3322276481664348</v>
      </c>
    </row>
    <row r="10903" spans="1:4">
      <c r="A10903" s="1">
        <v>34096</v>
      </c>
      <c r="B10903">
        <v>442.31</v>
      </c>
      <c r="C10903">
        <f t="shared" si="360"/>
        <v>-2.1432116590713998E-3</v>
      </c>
      <c r="D10903">
        <f t="shared" si="359"/>
        <v>-0.25922591962036845</v>
      </c>
    </row>
    <row r="10904" spans="1:4">
      <c r="A10904" s="1">
        <v>34099</v>
      </c>
      <c r="B10904">
        <v>442.8</v>
      </c>
      <c r="C10904">
        <f t="shared" si="360"/>
        <v>1.1078203070245057E-3</v>
      </c>
      <c r="D10904">
        <f t="shared" si="359"/>
        <v>8.4081950919900825E-2</v>
      </c>
    </row>
    <row r="10905" spans="1:4">
      <c r="A10905" s="1">
        <v>34100</v>
      </c>
      <c r="B10905">
        <v>444.36</v>
      </c>
      <c r="C10905">
        <f t="shared" si="360"/>
        <v>3.5230352303523087E-3</v>
      </c>
      <c r="D10905">
        <f t="shared" si="359"/>
        <v>0.33912782585187545</v>
      </c>
    </row>
    <row r="10906" spans="1:4">
      <c r="A10906" s="1">
        <v>34101</v>
      </c>
      <c r="B10906">
        <v>444.8</v>
      </c>
      <c r="C10906">
        <f t="shared" si="360"/>
        <v>9.9018813574578649E-4</v>
      </c>
      <c r="D10906">
        <f t="shared" si="359"/>
        <v>7.1660033617985883E-2</v>
      </c>
    </row>
    <row r="10907" spans="1:4">
      <c r="A10907" s="1">
        <v>34102</v>
      </c>
      <c r="B10907">
        <v>439.23</v>
      </c>
      <c r="C10907">
        <f t="shared" si="360"/>
        <v>-1.2522482014388473E-2</v>
      </c>
      <c r="D10907">
        <f t="shared" si="359"/>
        <v>-1.3552733410564368</v>
      </c>
    </row>
    <row r="10908" spans="1:4">
      <c r="A10908" s="1">
        <v>34103</v>
      </c>
      <c r="B10908">
        <v>439.56</v>
      </c>
      <c r="C10908">
        <f t="shared" si="360"/>
        <v>7.5131480090154148E-4</v>
      </c>
      <c r="D10908">
        <f t="shared" si="359"/>
        <v>4.6435090655425275E-2</v>
      </c>
    </row>
    <row r="10909" spans="1:4">
      <c r="A10909" s="1">
        <v>34106</v>
      </c>
      <c r="B10909">
        <v>440.37</v>
      </c>
      <c r="C10909">
        <f t="shared" si="360"/>
        <v>1.842751842751848E-3</v>
      </c>
      <c r="D10909">
        <f t="shared" si="359"/>
        <v>0.16169047127734129</v>
      </c>
    </row>
    <row r="10910" spans="1:4">
      <c r="A10910" s="1">
        <v>34107</v>
      </c>
      <c r="B10910">
        <v>440.32</v>
      </c>
      <c r="C10910">
        <f t="shared" si="360"/>
        <v>-1.1354088607310073E-4</v>
      </c>
      <c r="D10910">
        <f t="shared" si="359"/>
        <v>-4.4893375910365248E-2</v>
      </c>
    </row>
    <row r="10911" spans="1:4">
      <c r="A10911" s="1">
        <v>34108</v>
      </c>
      <c r="B10911">
        <v>447.57</v>
      </c>
      <c r="C10911">
        <f t="shared" si="360"/>
        <v>1.6465297965116279E-2</v>
      </c>
      <c r="D10911">
        <f t="shared" si="359"/>
        <v>1.7058263713540966</v>
      </c>
    </row>
    <row r="10912" spans="1:4">
      <c r="A10912" s="1">
        <v>34109</v>
      </c>
      <c r="B10912">
        <v>450.59</v>
      </c>
      <c r="C10912">
        <f t="shared" si="360"/>
        <v>6.7475478696069485E-3</v>
      </c>
      <c r="D10912">
        <f t="shared" si="359"/>
        <v>0.67963526449206424</v>
      </c>
    </row>
    <row r="10913" spans="1:4">
      <c r="A10913" s="1">
        <v>34110</v>
      </c>
      <c r="B10913">
        <v>445.84</v>
      </c>
      <c r="C10913">
        <f t="shared" si="360"/>
        <v>-1.0541734170753901E-2</v>
      </c>
      <c r="D10913">
        <f t="shared" si="359"/>
        <v>-1.1461070420575314</v>
      </c>
    </row>
    <row r="10914" spans="1:4">
      <c r="A10914" s="1">
        <v>34113</v>
      </c>
      <c r="B10914">
        <v>448</v>
      </c>
      <c r="C10914">
        <f t="shared" si="360"/>
        <v>4.8447873676655869E-3</v>
      </c>
      <c r="D10914">
        <f t="shared" si="359"/>
        <v>0.47870440226677646</v>
      </c>
    </row>
    <row r="10915" spans="1:4">
      <c r="A10915" s="1">
        <v>34114</v>
      </c>
      <c r="B10915">
        <v>448.85</v>
      </c>
      <c r="C10915">
        <f t="shared" si="360"/>
        <v>1.8973214285714793E-3</v>
      </c>
      <c r="D10915">
        <f t="shared" si="359"/>
        <v>0.16745300099079088</v>
      </c>
    </row>
    <row r="10916" spans="1:4">
      <c r="A10916" s="1">
        <v>34115</v>
      </c>
      <c r="B10916">
        <v>453.44</v>
      </c>
      <c r="C10916">
        <f t="shared" si="360"/>
        <v>1.0226133452155452E-2</v>
      </c>
      <c r="D10916">
        <f t="shared" si="359"/>
        <v>1.0469727195804954</v>
      </c>
    </row>
    <row r="10917" spans="1:4">
      <c r="A10917" s="1">
        <v>34116</v>
      </c>
      <c r="B10917">
        <v>452.41</v>
      </c>
      <c r="C10917">
        <f t="shared" si="360"/>
        <v>-2.2715243472123605E-3</v>
      </c>
      <c r="D10917">
        <f t="shared" si="359"/>
        <v>-0.27277569587245204</v>
      </c>
    </row>
    <row r="10918" spans="1:4">
      <c r="A10918" s="1">
        <v>34117</v>
      </c>
      <c r="B10918">
        <v>450.19</v>
      </c>
      <c r="C10918">
        <f t="shared" si="360"/>
        <v>-4.9070533365752908E-3</v>
      </c>
      <c r="D10918">
        <f t="shared" si="359"/>
        <v>-0.55108666128934647</v>
      </c>
    </row>
    <row r="10919" spans="1:4">
      <c r="A10919" s="1">
        <v>34121</v>
      </c>
      <c r="B10919">
        <v>453.83</v>
      </c>
      <c r="C10919">
        <f t="shared" si="360"/>
        <v>8.0854750216574917E-3</v>
      </c>
      <c r="D10919">
        <f t="shared" si="359"/>
        <v>0.82091991696506583</v>
      </c>
    </row>
    <row r="10920" spans="1:4">
      <c r="A10920" s="1">
        <v>34122</v>
      </c>
      <c r="B10920">
        <v>453.85</v>
      </c>
      <c r="C10920">
        <f t="shared" si="360"/>
        <v>4.4069365180879745E-5</v>
      </c>
      <c r="D10920">
        <f t="shared" si="359"/>
        <v>-2.8249786952272361E-2</v>
      </c>
    </row>
    <row r="10921" spans="1:4">
      <c r="A10921" s="1">
        <v>34123</v>
      </c>
      <c r="B10921">
        <v>452.49</v>
      </c>
      <c r="C10921">
        <f t="shared" si="360"/>
        <v>-2.996584774705329E-3</v>
      </c>
      <c r="D10921">
        <f t="shared" si="359"/>
        <v>-0.34934183055569534</v>
      </c>
    </row>
    <row r="10922" spans="1:4">
      <c r="A10922" s="1">
        <v>34124</v>
      </c>
      <c r="B10922">
        <v>450.06</v>
      </c>
      <c r="C10922">
        <f t="shared" si="360"/>
        <v>-5.3702844261751788E-3</v>
      </c>
      <c r="D10922">
        <f t="shared" si="359"/>
        <v>-0.60000370689119664</v>
      </c>
    </row>
    <row r="10923" spans="1:4">
      <c r="A10923" s="1">
        <v>34127</v>
      </c>
      <c r="B10923">
        <v>447.69</v>
      </c>
      <c r="C10923">
        <f t="shared" si="360"/>
        <v>-5.2659645380616019E-3</v>
      </c>
      <c r="D10923">
        <f t="shared" si="359"/>
        <v>-0.58898756216645587</v>
      </c>
    </row>
    <row r="10924" spans="1:4">
      <c r="A10924" s="1">
        <v>34128</v>
      </c>
      <c r="B10924">
        <v>444.71</v>
      </c>
      <c r="C10924">
        <f t="shared" si="360"/>
        <v>-6.6563916996136129E-3</v>
      </c>
      <c r="D10924">
        <f t="shared" si="359"/>
        <v>-0.7358161977971921</v>
      </c>
    </row>
    <row r="10925" spans="1:4">
      <c r="A10925" s="1">
        <v>34129</v>
      </c>
      <c r="B10925">
        <v>445.78</v>
      </c>
      <c r="C10925">
        <f t="shared" si="360"/>
        <v>2.4060623777292915E-3</v>
      </c>
      <c r="D10925">
        <f t="shared" si="359"/>
        <v>0.22117587229240501</v>
      </c>
    </row>
    <row r="10926" spans="1:4">
      <c r="A10926" s="1">
        <v>34130</v>
      </c>
      <c r="B10926">
        <v>445.38</v>
      </c>
      <c r="C10926">
        <f t="shared" si="360"/>
        <v>-8.9730360267391382E-4</v>
      </c>
      <c r="D10926">
        <f t="shared" si="359"/>
        <v>-0.12765845236951937</v>
      </c>
    </row>
    <row r="10927" spans="1:4">
      <c r="A10927" s="1">
        <v>34131</v>
      </c>
      <c r="B10927">
        <v>447.26</v>
      </c>
      <c r="C10927">
        <f t="shared" si="360"/>
        <v>4.2211145538641063E-3</v>
      </c>
      <c r="D10927">
        <f t="shared" si="359"/>
        <v>0.41284476512602991</v>
      </c>
    </row>
    <row r="10928" spans="1:4">
      <c r="A10928" s="1">
        <v>34134</v>
      </c>
      <c r="B10928">
        <v>447.71</v>
      </c>
      <c r="C10928">
        <f t="shared" si="360"/>
        <v>1.0061261905826334E-3</v>
      </c>
      <c r="D10928">
        <f t="shared" si="359"/>
        <v>7.3343086791148843E-2</v>
      </c>
    </row>
    <row r="10929" spans="1:4">
      <c r="A10929" s="1">
        <v>34135</v>
      </c>
      <c r="B10929">
        <v>446.27</v>
      </c>
      <c r="C10929">
        <f t="shared" si="360"/>
        <v>-3.2163677380447116E-3</v>
      </c>
      <c r="D10929">
        <f t="shared" si="359"/>
        <v>-0.37255083677647505</v>
      </c>
    </row>
    <row r="10930" spans="1:4">
      <c r="A10930" s="1">
        <v>34136</v>
      </c>
      <c r="B10930">
        <v>447.43</v>
      </c>
      <c r="C10930">
        <f t="shared" si="360"/>
        <v>2.5993232796289803E-3</v>
      </c>
      <c r="D10930">
        <f t="shared" si="359"/>
        <v>0.24158415784043977</v>
      </c>
    </row>
    <row r="10931" spans="1:4">
      <c r="A10931" s="1">
        <v>34137</v>
      </c>
      <c r="B10931">
        <v>448.54</v>
      </c>
      <c r="C10931">
        <f t="shared" si="360"/>
        <v>2.480834990948335E-3</v>
      </c>
      <c r="D10931">
        <f t="shared" si="359"/>
        <v>0.22907183483188986</v>
      </c>
    </row>
    <row r="10932" spans="1:4">
      <c r="A10932" s="1">
        <v>34138</v>
      </c>
      <c r="B10932">
        <v>443.68</v>
      </c>
      <c r="C10932">
        <f t="shared" si="360"/>
        <v>-1.0835154055379706E-2</v>
      </c>
      <c r="D10932">
        <f t="shared" si="359"/>
        <v>-1.1770920821357516</v>
      </c>
    </row>
    <row r="10933" spans="1:4">
      <c r="A10933" s="1">
        <v>34141</v>
      </c>
      <c r="B10933">
        <v>446.22</v>
      </c>
      <c r="C10933">
        <f t="shared" si="360"/>
        <v>5.7248467363866309E-3</v>
      </c>
      <c r="D10933">
        <f t="shared" si="359"/>
        <v>0.57163837245700444</v>
      </c>
    </row>
    <row r="10934" spans="1:4">
      <c r="A10934" s="1">
        <v>34142</v>
      </c>
      <c r="B10934">
        <v>445.93</v>
      </c>
      <c r="C10934">
        <f t="shared" si="360"/>
        <v>-6.4990363497830763E-4</v>
      </c>
      <c r="D10934">
        <f t="shared" si="359"/>
        <v>-0.10153309987619834</v>
      </c>
    </row>
    <row r="10935" spans="1:4">
      <c r="A10935" s="1">
        <v>34143</v>
      </c>
      <c r="B10935">
        <v>443.19</v>
      </c>
      <c r="C10935">
        <f t="shared" si="360"/>
        <v>-6.1444621353127374E-3</v>
      </c>
      <c r="D10935">
        <f t="shared" si="359"/>
        <v>-0.68175660982033348</v>
      </c>
    </row>
    <row r="10936" spans="1:4">
      <c r="A10936" s="1">
        <v>34144</v>
      </c>
      <c r="B10936">
        <v>446.62</v>
      </c>
      <c r="C10936">
        <f t="shared" si="360"/>
        <v>7.7393442992847467E-3</v>
      </c>
      <c r="D10936">
        <f t="shared" si="359"/>
        <v>0.78436863033805304</v>
      </c>
    </row>
    <row r="10937" spans="1:4">
      <c r="A10937" s="1">
        <v>34145</v>
      </c>
      <c r="B10937">
        <v>447.6</v>
      </c>
      <c r="C10937">
        <f t="shared" si="360"/>
        <v>2.1942591016972332E-3</v>
      </c>
      <c r="D10937">
        <f t="shared" si="359"/>
        <v>0.19880951833885124</v>
      </c>
    </row>
    <row r="10938" spans="1:4">
      <c r="A10938" s="1">
        <v>34148</v>
      </c>
      <c r="B10938">
        <v>451.85</v>
      </c>
      <c r="C10938">
        <f t="shared" si="360"/>
        <v>9.4950848972296682E-3</v>
      </c>
      <c r="D10938">
        <f t="shared" si="359"/>
        <v>0.96977424067581031</v>
      </c>
    </row>
    <row r="10939" spans="1:4">
      <c r="A10939" s="1">
        <v>34149</v>
      </c>
      <c r="B10939">
        <v>450.69</v>
      </c>
      <c r="C10939">
        <f t="shared" si="360"/>
        <v>-2.5672236361624985E-3</v>
      </c>
      <c r="D10939">
        <f t="shared" si="359"/>
        <v>-0.30400144027251463</v>
      </c>
    </row>
    <row r="10940" spans="1:4">
      <c r="A10940" s="1">
        <v>34150</v>
      </c>
      <c r="B10940">
        <v>450.53</v>
      </c>
      <c r="C10940">
        <f t="shared" si="360"/>
        <v>-3.550112050412146E-4</v>
      </c>
      <c r="D10940">
        <f t="shared" si="359"/>
        <v>-7.0392559513648603E-2</v>
      </c>
    </row>
    <row r="10941" spans="1:4">
      <c r="A10941" s="1">
        <v>34151</v>
      </c>
      <c r="B10941">
        <v>449.02</v>
      </c>
      <c r="C10941">
        <f t="shared" si="360"/>
        <v>-3.3516081060084588E-3</v>
      </c>
      <c r="D10941">
        <f t="shared" si="359"/>
        <v>-0.38683217366301209</v>
      </c>
    </row>
    <row r="10942" spans="1:4">
      <c r="A10942" s="1">
        <v>34152</v>
      </c>
      <c r="B10942">
        <v>445.84</v>
      </c>
      <c r="C10942">
        <f t="shared" si="360"/>
        <v>-7.082089884637671E-3</v>
      </c>
      <c r="D10942">
        <f t="shared" si="359"/>
        <v>-0.78076978143388887</v>
      </c>
    </row>
    <row r="10943" spans="1:4">
      <c r="A10943" s="1">
        <v>34156</v>
      </c>
      <c r="B10943">
        <v>441.43</v>
      </c>
      <c r="C10943">
        <f t="shared" si="360"/>
        <v>-9.8914408756503869E-3</v>
      </c>
      <c r="D10943">
        <f t="shared" si="359"/>
        <v>-1.0774362911400313</v>
      </c>
    </row>
    <row r="10944" spans="1:4">
      <c r="A10944" s="1">
        <v>34157</v>
      </c>
      <c r="B10944">
        <v>442.83</v>
      </c>
      <c r="C10944">
        <f t="shared" si="360"/>
        <v>3.1715107718097483E-3</v>
      </c>
      <c r="D10944">
        <f t="shared" si="359"/>
        <v>0.3020069625187502</v>
      </c>
    </row>
    <row r="10945" spans="1:4">
      <c r="A10945" s="1">
        <v>34158</v>
      </c>
      <c r="B10945">
        <v>448.64</v>
      </c>
      <c r="C10945">
        <f t="shared" si="360"/>
        <v>1.3120158977485722E-2</v>
      </c>
      <c r="D10945">
        <f t="shared" si="359"/>
        <v>1.3525808313282992</v>
      </c>
    </row>
    <row r="10946" spans="1:4">
      <c r="A10946" s="1">
        <v>34159</v>
      </c>
      <c r="B10946">
        <v>448.11</v>
      </c>
      <c r="C10946">
        <f t="shared" si="360"/>
        <v>-1.1813480741796824E-3</v>
      </c>
      <c r="D10946">
        <f t="shared" si="359"/>
        <v>-0.15765345200912145</v>
      </c>
    </row>
    <row r="10947" spans="1:4">
      <c r="A10947" s="1">
        <v>34162</v>
      </c>
      <c r="B10947">
        <v>448.98</v>
      </c>
      <c r="C10947">
        <f t="shared" si="360"/>
        <v>1.9414875811742754E-3</v>
      </c>
      <c r="D10947">
        <f t="shared" ref="D10947:D11010" si="361">(C10947-avg)/sd</f>
        <v>0.17211693169284142</v>
      </c>
    </row>
    <row r="10948" spans="1:4">
      <c r="A10948" s="1">
        <v>34163</v>
      </c>
      <c r="B10948">
        <v>448.09</v>
      </c>
      <c r="C10948">
        <f t="shared" ref="C10948:C11011" si="362">(B10948-B10947)/B10947</f>
        <v>-1.9822709252083461E-3</v>
      </c>
      <c r="D10948">
        <f t="shared" si="361"/>
        <v>-0.24223063283084348</v>
      </c>
    </row>
    <row r="10949" spans="1:4">
      <c r="A10949" s="1">
        <v>34164</v>
      </c>
      <c r="B10949">
        <v>450.08</v>
      </c>
      <c r="C10949">
        <f t="shared" si="362"/>
        <v>4.4410721060501443E-3</v>
      </c>
      <c r="D10949">
        <f t="shared" si="361"/>
        <v>0.43607220786967077</v>
      </c>
    </row>
    <row r="10950" spans="1:4">
      <c r="A10950" s="1">
        <v>34165</v>
      </c>
      <c r="B10950">
        <v>449.22</v>
      </c>
      <c r="C10950">
        <f t="shared" si="362"/>
        <v>-1.9107714184144081E-3</v>
      </c>
      <c r="D10950">
        <f t="shared" si="361"/>
        <v>-0.23468030921726685</v>
      </c>
    </row>
    <row r="10951" spans="1:4">
      <c r="A10951" s="1">
        <v>34166</v>
      </c>
      <c r="B10951">
        <v>445.75</v>
      </c>
      <c r="C10951">
        <f t="shared" si="362"/>
        <v>-7.7245002448689442E-3</v>
      </c>
      <c r="D10951">
        <f t="shared" si="361"/>
        <v>-0.84860809710842</v>
      </c>
    </row>
    <row r="10952" spans="1:4">
      <c r="A10952" s="1">
        <v>34169</v>
      </c>
      <c r="B10952">
        <v>446.03</v>
      </c>
      <c r="C10952">
        <f t="shared" si="362"/>
        <v>6.2815479528877778E-4</v>
      </c>
      <c r="D10952">
        <f t="shared" si="361"/>
        <v>3.3429435926837406E-2</v>
      </c>
    </row>
    <row r="10953" spans="1:4">
      <c r="A10953" s="1">
        <v>34170</v>
      </c>
      <c r="B10953">
        <v>447.31</v>
      </c>
      <c r="C10953">
        <f t="shared" si="362"/>
        <v>2.8697621236240378E-3</v>
      </c>
      <c r="D10953">
        <f t="shared" si="361"/>
        <v>0.27014240783968824</v>
      </c>
    </row>
    <row r="10954" spans="1:4">
      <c r="A10954" s="1">
        <v>34171</v>
      </c>
      <c r="B10954">
        <v>447.18</v>
      </c>
      <c r="C10954">
        <f t="shared" si="362"/>
        <v>-2.9062618765508363E-4</v>
      </c>
      <c r="D10954">
        <f t="shared" si="361"/>
        <v>-6.3593523563203955E-2</v>
      </c>
    </row>
    <row r="10955" spans="1:4">
      <c r="A10955" s="1">
        <v>34172</v>
      </c>
      <c r="B10955">
        <v>444.51</v>
      </c>
      <c r="C10955">
        <f t="shared" si="362"/>
        <v>-5.9707500335435754E-3</v>
      </c>
      <c r="D10955">
        <f t="shared" si="361"/>
        <v>-0.66341267092112233</v>
      </c>
    </row>
    <row r="10956" spans="1:4">
      <c r="A10956" s="1">
        <v>34173</v>
      </c>
      <c r="B10956">
        <v>447.1</v>
      </c>
      <c r="C10956">
        <f t="shared" si="362"/>
        <v>5.8266405705159202E-3</v>
      </c>
      <c r="D10956">
        <f t="shared" si="361"/>
        <v>0.58238776673965198</v>
      </c>
    </row>
    <row r="10957" spans="1:4">
      <c r="A10957" s="1">
        <v>34176</v>
      </c>
      <c r="B10957">
        <v>449.09</v>
      </c>
      <c r="C10957">
        <f t="shared" si="362"/>
        <v>4.450905837620112E-3</v>
      </c>
      <c r="D10957">
        <f t="shared" si="361"/>
        <v>0.43711064658081156</v>
      </c>
    </row>
    <row r="10958" spans="1:4">
      <c r="A10958" s="1">
        <v>34177</v>
      </c>
      <c r="B10958">
        <v>448.24</v>
      </c>
      <c r="C10958">
        <f t="shared" si="362"/>
        <v>-1.8927163820168919E-3</v>
      </c>
      <c r="D10958">
        <f t="shared" si="361"/>
        <v>-0.23277370351089421</v>
      </c>
    </row>
    <row r="10959" spans="1:4">
      <c r="A10959" s="1">
        <v>34178</v>
      </c>
      <c r="B10959">
        <v>447.19</v>
      </c>
      <c r="C10959">
        <f t="shared" si="362"/>
        <v>-2.342495091915071E-3</v>
      </c>
      <c r="D10959">
        <f t="shared" si="361"/>
        <v>-0.28027018238893003</v>
      </c>
    </row>
    <row r="10960" spans="1:4">
      <c r="A10960" s="1">
        <v>34179</v>
      </c>
      <c r="B10960">
        <v>450.24</v>
      </c>
      <c r="C10960">
        <f t="shared" si="362"/>
        <v>6.8203671817348589E-3</v>
      </c>
      <c r="D10960">
        <f t="shared" si="361"/>
        <v>0.68732495910028468</v>
      </c>
    </row>
    <row r="10961" spans="1:4">
      <c r="A10961" s="1">
        <v>34180</v>
      </c>
      <c r="B10961">
        <v>448.13</v>
      </c>
      <c r="C10961">
        <f t="shared" si="362"/>
        <v>-4.6863894811656308E-3</v>
      </c>
      <c r="D10961">
        <f t="shared" si="361"/>
        <v>-0.52778463316537527</v>
      </c>
    </row>
    <row r="10962" spans="1:4">
      <c r="A10962" s="1">
        <v>34183</v>
      </c>
      <c r="B10962">
        <v>450.15</v>
      </c>
      <c r="C10962">
        <f t="shared" si="362"/>
        <v>4.5076205565348932E-3</v>
      </c>
      <c r="D10962">
        <f t="shared" si="361"/>
        <v>0.44309970161994283</v>
      </c>
    </row>
    <row r="10963" spans="1:4">
      <c r="A10963" s="1">
        <v>34184</v>
      </c>
      <c r="B10963">
        <v>449.27</v>
      </c>
      <c r="C10963">
        <f t="shared" si="362"/>
        <v>-1.9549039209152404E-3</v>
      </c>
      <c r="D10963">
        <f t="shared" si="361"/>
        <v>-0.23934068647998827</v>
      </c>
    </row>
    <row r="10964" spans="1:4">
      <c r="A10964" s="1">
        <v>34185</v>
      </c>
      <c r="B10964">
        <v>448.54</v>
      </c>
      <c r="C10964">
        <f t="shared" si="362"/>
        <v>-1.624858103145016E-3</v>
      </c>
      <c r="D10964">
        <f t="shared" si="361"/>
        <v>-0.20448796031147698</v>
      </c>
    </row>
    <row r="10965" spans="1:4">
      <c r="A10965" s="1">
        <v>34186</v>
      </c>
      <c r="B10965">
        <v>448.13</v>
      </c>
      <c r="C10965">
        <f t="shared" si="362"/>
        <v>-9.140767824497815E-4</v>
      </c>
      <c r="D10965">
        <f t="shared" si="361"/>
        <v>-0.12942969445237015</v>
      </c>
    </row>
    <row r="10966" spans="1:4">
      <c r="A10966" s="1">
        <v>34187</v>
      </c>
      <c r="B10966">
        <v>448.68</v>
      </c>
      <c r="C10966">
        <f t="shared" si="362"/>
        <v>1.2273224287595371E-3</v>
      </c>
      <c r="D10966">
        <f t="shared" si="361"/>
        <v>9.6701334354375307E-2</v>
      </c>
    </row>
    <row r="10967" spans="1:4">
      <c r="A10967" s="1">
        <v>34190</v>
      </c>
      <c r="B10967">
        <v>450.72</v>
      </c>
      <c r="C10967">
        <f t="shared" si="362"/>
        <v>4.5466702326825807E-3</v>
      </c>
      <c r="D10967">
        <f t="shared" si="361"/>
        <v>0.44722333414750881</v>
      </c>
    </row>
    <row r="10968" spans="1:4">
      <c r="A10968" s="1">
        <v>34191</v>
      </c>
      <c r="B10968">
        <v>449.45</v>
      </c>
      <c r="C10968">
        <f t="shared" si="362"/>
        <v>-2.8177138800142853E-3</v>
      </c>
      <c r="D10968">
        <f t="shared" si="361"/>
        <v>-0.3304531248774924</v>
      </c>
    </row>
    <row r="10969" spans="1:4">
      <c r="A10969" s="1">
        <v>34192</v>
      </c>
      <c r="B10969">
        <v>450.46</v>
      </c>
      <c r="C10969">
        <f t="shared" si="362"/>
        <v>2.2471910112359349E-3</v>
      </c>
      <c r="D10969">
        <f t="shared" si="361"/>
        <v>0.20439910999370789</v>
      </c>
    </row>
    <row r="10970" spans="1:4">
      <c r="A10970" s="1">
        <v>34193</v>
      </c>
      <c r="B10970">
        <v>448.96</v>
      </c>
      <c r="C10970">
        <f t="shared" si="362"/>
        <v>-3.3299294054966034E-3</v>
      </c>
      <c r="D10970">
        <f t="shared" si="361"/>
        <v>-0.38454291025790849</v>
      </c>
    </row>
    <row r="10971" spans="1:4">
      <c r="A10971" s="1">
        <v>34194</v>
      </c>
      <c r="B10971">
        <v>450.14</v>
      </c>
      <c r="C10971">
        <f t="shared" si="362"/>
        <v>2.628296507483978E-3</v>
      </c>
      <c r="D10971">
        <f t="shared" si="361"/>
        <v>0.24464372085344885</v>
      </c>
    </row>
    <row r="10972" spans="1:4">
      <c r="A10972" s="1">
        <v>34197</v>
      </c>
      <c r="B10972">
        <v>452.38</v>
      </c>
      <c r="C10972">
        <f t="shared" si="362"/>
        <v>4.9762296174523683E-3</v>
      </c>
      <c r="D10972">
        <f t="shared" si="361"/>
        <v>0.49258465916486899</v>
      </c>
    </row>
    <row r="10973" spans="1:4">
      <c r="A10973" s="1">
        <v>34198</v>
      </c>
      <c r="B10973">
        <v>453.13</v>
      </c>
      <c r="C10973">
        <f t="shared" si="362"/>
        <v>1.6578982271541625E-3</v>
      </c>
      <c r="D10973">
        <f t="shared" si="361"/>
        <v>0.14216999230502261</v>
      </c>
    </row>
    <row r="10974" spans="1:4">
      <c r="A10974" s="1">
        <v>34199</v>
      </c>
      <c r="B10974">
        <v>456.04</v>
      </c>
      <c r="C10974">
        <f t="shared" si="362"/>
        <v>6.4219981020899632E-3</v>
      </c>
      <c r="D10974">
        <f t="shared" si="361"/>
        <v>0.64525731970201328</v>
      </c>
    </row>
    <row r="10975" spans="1:4">
      <c r="A10975" s="1">
        <v>34200</v>
      </c>
      <c r="B10975">
        <v>456.43</v>
      </c>
      <c r="C10975">
        <f t="shared" si="362"/>
        <v>8.5518814139107604E-4</v>
      </c>
      <c r="D10975">
        <f t="shared" si="361"/>
        <v>5.7404080102856143E-2</v>
      </c>
    </row>
    <row r="10976" spans="1:4">
      <c r="A10976" s="1">
        <v>34201</v>
      </c>
      <c r="B10976">
        <v>456.16</v>
      </c>
      <c r="C10976">
        <f t="shared" si="362"/>
        <v>-5.9154744429590908E-4</v>
      </c>
      <c r="D10976">
        <f t="shared" si="361"/>
        <v>-9.5370705976370054E-2</v>
      </c>
    </row>
    <row r="10977" spans="1:4">
      <c r="A10977" s="1">
        <v>34204</v>
      </c>
      <c r="B10977">
        <v>455.23</v>
      </c>
      <c r="C10977">
        <f t="shared" si="362"/>
        <v>-2.0387583304103973E-3</v>
      </c>
      <c r="D10977">
        <f t="shared" si="361"/>
        <v>-0.24819568361917813</v>
      </c>
    </row>
    <row r="10978" spans="1:4">
      <c r="A10978" s="1">
        <v>34205</v>
      </c>
      <c r="B10978">
        <v>459.77</v>
      </c>
      <c r="C10978">
        <f t="shared" si="362"/>
        <v>9.9729806910791551E-3</v>
      </c>
      <c r="D10978">
        <f t="shared" si="361"/>
        <v>1.020239874061643</v>
      </c>
    </row>
    <row r="10979" spans="1:4">
      <c r="A10979" s="1">
        <v>34206</v>
      </c>
      <c r="B10979">
        <v>460.13</v>
      </c>
      <c r="C10979">
        <f t="shared" si="362"/>
        <v>7.8300019575007864E-4</v>
      </c>
      <c r="D10979">
        <f t="shared" si="361"/>
        <v>4.9781057581041781E-2</v>
      </c>
    </row>
    <row r="10980" spans="1:4">
      <c r="A10980" s="1">
        <v>34207</v>
      </c>
      <c r="B10980">
        <v>461.04</v>
      </c>
      <c r="C10980">
        <f t="shared" si="362"/>
        <v>1.9777019537957209E-3</v>
      </c>
      <c r="D10980">
        <f t="shared" si="361"/>
        <v>0.17594115713180272</v>
      </c>
    </row>
    <row r="10981" spans="1:4">
      <c r="A10981" s="1">
        <v>34208</v>
      </c>
      <c r="B10981">
        <v>460.54</v>
      </c>
      <c r="C10981">
        <f t="shared" si="362"/>
        <v>-1.0845045982994968E-3</v>
      </c>
      <c r="D10981">
        <f t="shared" si="361"/>
        <v>-0.14742681387487075</v>
      </c>
    </row>
    <row r="10982" spans="1:4">
      <c r="A10982" s="1">
        <v>34211</v>
      </c>
      <c r="B10982">
        <v>461.9</v>
      </c>
      <c r="C10982">
        <f t="shared" si="362"/>
        <v>2.953055109219518E-3</v>
      </c>
      <c r="D10982">
        <f t="shared" si="361"/>
        <v>0.27893811880590952</v>
      </c>
    </row>
    <row r="10983" spans="1:4">
      <c r="A10983" s="1">
        <v>34212</v>
      </c>
      <c r="B10983">
        <v>463.56</v>
      </c>
      <c r="C10983">
        <f t="shared" si="362"/>
        <v>3.5938514830050339E-3</v>
      </c>
      <c r="D10983">
        <f t="shared" si="361"/>
        <v>0.34660599806038939</v>
      </c>
    </row>
    <row r="10984" spans="1:4">
      <c r="A10984" s="1">
        <v>34213</v>
      </c>
      <c r="B10984">
        <v>463.15</v>
      </c>
      <c r="C10984">
        <f t="shared" si="362"/>
        <v>-8.8445940115632288E-4</v>
      </c>
      <c r="D10984">
        <f t="shared" si="361"/>
        <v>-0.12630210905521799</v>
      </c>
    </row>
    <row r="10985" spans="1:4">
      <c r="A10985" s="1">
        <v>34214</v>
      </c>
      <c r="B10985">
        <v>461.3</v>
      </c>
      <c r="C10985">
        <f t="shared" si="362"/>
        <v>-3.9943862679476753E-3</v>
      </c>
      <c r="D10985">
        <f t="shared" si="361"/>
        <v>-0.4547093290728802</v>
      </c>
    </row>
    <row r="10986" spans="1:4">
      <c r="A10986" s="1">
        <v>34215</v>
      </c>
      <c r="B10986">
        <v>461.34</v>
      </c>
      <c r="C10986">
        <f t="shared" si="362"/>
        <v>8.6711467591510125E-5</v>
      </c>
      <c r="D10986">
        <f t="shared" si="361"/>
        <v>-2.3746795432464666E-2</v>
      </c>
    </row>
    <row r="10987" spans="1:4">
      <c r="A10987" s="1">
        <v>34219</v>
      </c>
      <c r="B10987">
        <v>458.52</v>
      </c>
      <c r="C10987">
        <f t="shared" si="362"/>
        <v>-6.1126284302249825E-3</v>
      </c>
      <c r="D10987">
        <f t="shared" si="361"/>
        <v>-0.67839498138386867</v>
      </c>
    </row>
    <row r="10988" spans="1:4">
      <c r="A10988" s="1">
        <v>34220</v>
      </c>
      <c r="B10988">
        <v>456.65</v>
      </c>
      <c r="C10988">
        <f t="shared" si="362"/>
        <v>-4.0783390037512097E-3</v>
      </c>
      <c r="D10988">
        <f t="shared" si="361"/>
        <v>-0.463574709436812</v>
      </c>
    </row>
    <row r="10989" spans="1:4">
      <c r="A10989" s="1">
        <v>34221</v>
      </c>
      <c r="B10989">
        <v>457.5</v>
      </c>
      <c r="C10989">
        <f t="shared" si="362"/>
        <v>1.8613818022556066E-3</v>
      </c>
      <c r="D10989">
        <f t="shared" si="361"/>
        <v>0.16365778866830727</v>
      </c>
    </row>
    <row r="10990" spans="1:4">
      <c r="A10990" s="1">
        <v>34222</v>
      </c>
      <c r="B10990">
        <v>461.72</v>
      </c>
      <c r="C10990">
        <f t="shared" si="362"/>
        <v>9.2240437158470547E-3</v>
      </c>
      <c r="D10990">
        <f t="shared" si="361"/>
        <v>0.94115238405318036</v>
      </c>
    </row>
    <row r="10991" spans="1:4">
      <c r="A10991" s="1">
        <v>34225</v>
      </c>
      <c r="B10991">
        <v>462.06</v>
      </c>
      <c r="C10991">
        <f t="shared" si="362"/>
        <v>7.3637702503676463E-4</v>
      </c>
      <c r="D10991">
        <f t="shared" si="361"/>
        <v>4.4857666601701561E-2</v>
      </c>
    </row>
    <row r="10992" spans="1:4">
      <c r="A10992" s="1">
        <v>34226</v>
      </c>
      <c r="B10992">
        <v>459.9</v>
      </c>
      <c r="C10992">
        <f t="shared" si="362"/>
        <v>-4.6747175691469181E-3</v>
      </c>
      <c r="D10992">
        <f t="shared" si="361"/>
        <v>-0.52655208322367486</v>
      </c>
    </row>
    <row r="10993" spans="1:4">
      <c r="A10993" s="1">
        <v>34227</v>
      </c>
      <c r="B10993">
        <v>461.6</v>
      </c>
      <c r="C10993">
        <f t="shared" si="362"/>
        <v>3.6964557512503709E-3</v>
      </c>
      <c r="D10993">
        <f t="shared" si="361"/>
        <v>0.35744097391021162</v>
      </c>
    </row>
    <row r="10994" spans="1:4">
      <c r="A10994" s="1">
        <v>34228</v>
      </c>
      <c r="B10994">
        <v>459.43</v>
      </c>
      <c r="C10994">
        <f t="shared" si="362"/>
        <v>-4.7010398613518542E-3</v>
      </c>
      <c r="D10994">
        <f t="shared" si="361"/>
        <v>-0.52933170833313425</v>
      </c>
    </row>
    <row r="10995" spans="1:4">
      <c r="A10995" s="1">
        <v>34229</v>
      </c>
      <c r="B10995">
        <v>458.83</v>
      </c>
      <c r="C10995">
        <f t="shared" si="362"/>
        <v>-1.3059660884139537E-3</v>
      </c>
      <c r="D10995">
        <f t="shared" si="361"/>
        <v>-0.17081307195253931</v>
      </c>
    </row>
    <row r="10996" spans="1:4">
      <c r="A10996" s="1">
        <v>34232</v>
      </c>
      <c r="B10996">
        <v>455.05</v>
      </c>
      <c r="C10996">
        <f t="shared" si="362"/>
        <v>-8.2383453566679879E-3</v>
      </c>
      <c r="D10996">
        <f t="shared" si="361"/>
        <v>-0.90286996624995897</v>
      </c>
    </row>
    <row r="10997" spans="1:4">
      <c r="A10997" s="1">
        <v>34233</v>
      </c>
      <c r="B10997">
        <v>452.95</v>
      </c>
      <c r="C10997">
        <f t="shared" si="362"/>
        <v>-4.6148774859906001E-3</v>
      </c>
      <c r="D10997">
        <f t="shared" si="361"/>
        <v>-0.52023299078300023</v>
      </c>
    </row>
    <row r="10998" spans="1:4">
      <c r="A10998" s="1">
        <v>34234</v>
      </c>
      <c r="B10998">
        <v>456.2</v>
      </c>
      <c r="C10998">
        <f t="shared" si="362"/>
        <v>7.1751848989954747E-3</v>
      </c>
      <c r="D10998">
        <f t="shared" si="361"/>
        <v>0.72479358943460359</v>
      </c>
    </row>
    <row r="10999" spans="1:4">
      <c r="A10999" s="1">
        <v>34235</v>
      </c>
      <c r="B10999">
        <v>457.74</v>
      </c>
      <c r="C10999">
        <f t="shared" si="362"/>
        <v>3.3757124068391508E-3</v>
      </c>
      <c r="D10999">
        <f t="shared" si="361"/>
        <v>0.32357058576634684</v>
      </c>
    </row>
    <row r="11000" spans="1:4">
      <c r="A11000" s="1">
        <v>34236</v>
      </c>
      <c r="B11000">
        <v>457.63</v>
      </c>
      <c r="C11000">
        <f t="shared" si="362"/>
        <v>-2.4031109363397047E-4</v>
      </c>
      <c r="D11000">
        <f t="shared" si="361"/>
        <v>-5.8280266737505852E-2</v>
      </c>
    </row>
    <row r="11001" spans="1:4">
      <c r="A11001" s="1">
        <v>34239</v>
      </c>
      <c r="B11001">
        <v>461.8</v>
      </c>
      <c r="C11001">
        <f t="shared" si="362"/>
        <v>9.1121648493324645E-3</v>
      </c>
      <c r="D11001">
        <f t="shared" si="361"/>
        <v>0.92933801377871406</v>
      </c>
    </row>
    <row r="11002" spans="1:4">
      <c r="A11002" s="1">
        <v>34240</v>
      </c>
      <c r="B11002">
        <v>461.53</v>
      </c>
      <c r="C11002">
        <f t="shared" si="362"/>
        <v>-5.8466868774369565E-4</v>
      </c>
      <c r="D11002">
        <f t="shared" si="361"/>
        <v>-9.4644311622659294E-2</v>
      </c>
    </row>
    <row r="11003" spans="1:4">
      <c r="A11003" s="1">
        <v>34241</v>
      </c>
      <c r="B11003">
        <v>460.11</v>
      </c>
      <c r="C11003">
        <f t="shared" si="362"/>
        <v>-3.0767230732562548E-3</v>
      </c>
      <c r="D11003">
        <f t="shared" si="361"/>
        <v>-0.35780440764234189</v>
      </c>
    </row>
    <row r="11004" spans="1:4">
      <c r="A11004" s="1">
        <v>34242</v>
      </c>
      <c r="B11004">
        <v>458.93</v>
      </c>
      <c r="C11004">
        <f t="shared" si="362"/>
        <v>-2.5646041164069607E-3</v>
      </c>
      <c r="D11004">
        <f t="shared" si="361"/>
        <v>-0.30372481987674788</v>
      </c>
    </row>
    <row r="11005" spans="1:4">
      <c r="A11005" s="1">
        <v>34243</v>
      </c>
      <c r="B11005">
        <v>461.28</v>
      </c>
      <c r="C11005">
        <f t="shared" si="362"/>
        <v>5.1206066284617824E-3</v>
      </c>
      <c r="D11005">
        <f t="shared" si="361"/>
        <v>0.5078308224513326</v>
      </c>
    </row>
    <row r="11006" spans="1:4">
      <c r="A11006" s="1">
        <v>34246</v>
      </c>
      <c r="B11006">
        <v>461.34</v>
      </c>
      <c r="C11006">
        <f t="shared" si="362"/>
        <v>1.3007284079084782E-4</v>
      </c>
      <c r="D11006">
        <f t="shared" si="361"/>
        <v>-1.9167849161861497E-2</v>
      </c>
    </row>
    <row r="11007" spans="1:4">
      <c r="A11007" s="1">
        <v>34247</v>
      </c>
      <c r="B11007">
        <v>461.2</v>
      </c>
      <c r="C11007">
        <f t="shared" si="362"/>
        <v>-3.0346382277709794E-4</v>
      </c>
      <c r="D11007">
        <f t="shared" si="361"/>
        <v>-6.4949173468364457E-2</v>
      </c>
    </row>
    <row r="11008" spans="1:4">
      <c r="A11008" s="1">
        <v>34248</v>
      </c>
      <c r="B11008">
        <v>460.74</v>
      </c>
      <c r="C11008">
        <f t="shared" si="362"/>
        <v>-9.9739809193404071E-4</v>
      </c>
      <c r="D11008">
        <f t="shared" si="361"/>
        <v>-0.13822839641161871</v>
      </c>
    </row>
    <row r="11009" spans="1:4">
      <c r="A11009" s="1">
        <v>34249</v>
      </c>
      <c r="B11009">
        <v>459.18</v>
      </c>
      <c r="C11009">
        <f t="shared" si="362"/>
        <v>-3.3858575335330172E-3</v>
      </c>
      <c r="D11009">
        <f t="shared" si="361"/>
        <v>-0.39044890156765938</v>
      </c>
    </row>
    <row r="11010" spans="1:4">
      <c r="A11010" s="1">
        <v>34250</v>
      </c>
      <c r="B11010">
        <v>460.31</v>
      </c>
      <c r="C11010">
        <f t="shared" si="362"/>
        <v>2.4609085761574884E-3</v>
      </c>
      <c r="D11010">
        <f t="shared" si="361"/>
        <v>0.22696761220329395</v>
      </c>
    </row>
    <row r="11011" spans="1:4">
      <c r="A11011" s="1">
        <v>34253</v>
      </c>
      <c r="B11011">
        <v>460.88</v>
      </c>
      <c r="C11011">
        <f t="shared" si="362"/>
        <v>1.2382959310030049E-3</v>
      </c>
      <c r="D11011">
        <f t="shared" ref="D11011:D11074" si="363">(C11011-avg)/sd</f>
        <v>9.7860132461210864E-2</v>
      </c>
    </row>
    <row r="11012" spans="1:4">
      <c r="A11012" s="1">
        <v>34254</v>
      </c>
      <c r="B11012">
        <v>461.12</v>
      </c>
      <c r="C11012">
        <f t="shared" ref="C11012:C11075" si="364">(B11012-B11011)/B11011</f>
        <v>5.2074292657526707E-4</v>
      </c>
      <c r="D11012">
        <f t="shared" si="363"/>
        <v>2.2086779101758831E-2</v>
      </c>
    </row>
    <row r="11013" spans="1:4">
      <c r="A11013" s="1">
        <v>34255</v>
      </c>
      <c r="B11013">
        <v>461.49</v>
      </c>
      <c r="C11013">
        <f t="shared" si="364"/>
        <v>8.0239417071479126E-4</v>
      </c>
      <c r="D11013">
        <f t="shared" si="363"/>
        <v>5.1829054744983033E-2</v>
      </c>
    </row>
    <row r="11014" spans="1:4">
      <c r="A11014" s="1">
        <v>34256</v>
      </c>
      <c r="B11014">
        <v>466.83</v>
      </c>
      <c r="C11014">
        <f t="shared" si="364"/>
        <v>1.157121497757259E-2</v>
      </c>
      <c r="D11014">
        <f t="shared" si="363"/>
        <v>1.1890128714491199</v>
      </c>
    </row>
    <row r="11015" spans="1:4">
      <c r="A11015" s="1">
        <v>34257</v>
      </c>
      <c r="B11015">
        <v>469.5</v>
      </c>
      <c r="C11015">
        <f t="shared" si="364"/>
        <v>5.7194267720583856E-3</v>
      </c>
      <c r="D11015">
        <f t="shared" si="363"/>
        <v>0.57106602606627721</v>
      </c>
    </row>
    <row r="11016" spans="1:4">
      <c r="A11016" s="1">
        <v>34260</v>
      </c>
      <c r="B11016">
        <v>468.45</v>
      </c>
      <c r="C11016">
        <f t="shared" si="364"/>
        <v>-2.2364217252396406E-3</v>
      </c>
      <c r="D11016">
        <f t="shared" si="363"/>
        <v>-0.26906887092409376</v>
      </c>
    </row>
    <row r="11017" spans="1:4">
      <c r="A11017" s="1">
        <v>34261</v>
      </c>
      <c r="B11017">
        <v>466.21</v>
      </c>
      <c r="C11017">
        <f t="shared" si="364"/>
        <v>-4.7817269719287207E-3</v>
      </c>
      <c r="D11017">
        <f t="shared" si="363"/>
        <v>-0.53785223978316987</v>
      </c>
    </row>
    <row r="11018" spans="1:4">
      <c r="A11018" s="1">
        <v>34262</v>
      </c>
      <c r="B11018">
        <v>466.07</v>
      </c>
      <c r="C11018">
        <f t="shared" si="364"/>
        <v>-3.0029385899055439E-4</v>
      </c>
      <c r="D11018">
        <f t="shared" si="363"/>
        <v>-6.461442637002851E-2</v>
      </c>
    </row>
    <row r="11019" spans="1:4">
      <c r="A11019" s="1">
        <v>34263</v>
      </c>
      <c r="B11019">
        <v>465.36</v>
      </c>
      <c r="C11019">
        <f t="shared" si="364"/>
        <v>-1.5233763168622299E-3</v>
      </c>
      <c r="D11019">
        <f t="shared" si="363"/>
        <v>-0.19377151817534996</v>
      </c>
    </row>
    <row r="11020" spans="1:4">
      <c r="A11020" s="1">
        <v>34264</v>
      </c>
      <c r="B11020">
        <v>463.27</v>
      </c>
      <c r="C11020">
        <f t="shared" si="364"/>
        <v>-4.4911466391611482E-3</v>
      </c>
      <c r="D11020">
        <f t="shared" si="363"/>
        <v>-0.5071670554159684</v>
      </c>
    </row>
    <row r="11021" spans="1:4">
      <c r="A11021" s="1">
        <v>34267</v>
      </c>
      <c r="B11021">
        <v>464.2</v>
      </c>
      <c r="C11021">
        <f t="shared" si="364"/>
        <v>2.0074686467934613E-3</v>
      </c>
      <c r="D11021">
        <f t="shared" si="363"/>
        <v>0.17908450979417354</v>
      </c>
    </row>
    <row r="11022" spans="1:4">
      <c r="A11022" s="1">
        <v>34268</v>
      </c>
      <c r="B11022">
        <v>464.3</v>
      </c>
      <c r="C11022">
        <f t="shared" si="364"/>
        <v>2.1542438604054876E-4</v>
      </c>
      <c r="D11022">
        <f t="shared" si="363"/>
        <v>-1.0154754995892946E-2</v>
      </c>
    </row>
    <row r="11023" spans="1:4">
      <c r="A11023" s="1">
        <v>34269</v>
      </c>
      <c r="B11023">
        <v>464.61</v>
      </c>
      <c r="C11023">
        <f t="shared" si="364"/>
        <v>6.6767176394572959E-4</v>
      </c>
      <c r="D11023">
        <f t="shared" si="363"/>
        <v>3.7602414384541219E-2</v>
      </c>
    </row>
    <row r="11024" spans="1:4">
      <c r="A11024" s="1">
        <v>34270</v>
      </c>
      <c r="B11024">
        <v>467.73</v>
      </c>
      <c r="C11024">
        <f t="shared" si="364"/>
        <v>6.7153096145154099E-3</v>
      </c>
      <c r="D11024">
        <f t="shared" si="363"/>
        <v>0.6762309157127131</v>
      </c>
    </row>
    <row r="11025" spans="1:4">
      <c r="A11025" s="1">
        <v>34271</v>
      </c>
      <c r="B11025">
        <v>467.83</v>
      </c>
      <c r="C11025">
        <f t="shared" si="364"/>
        <v>2.1379855899763943E-4</v>
      </c>
      <c r="D11025">
        <f t="shared" si="363"/>
        <v>-1.0326441778978708E-2</v>
      </c>
    </row>
    <row r="11026" spans="1:4">
      <c r="A11026" s="1">
        <v>34274</v>
      </c>
      <c r="B11026">
        <v>469.1</v>
      </c>
      <c r="C11026">
        <f t="shared" si="364"/>
        <v>2.714661308595085E-3</v>
      </c>
      <c r="D11026">
        <f t="shared" si="363"/>
        <v>0.25376381449395946</v>
      </c>
    </row>
    <row r="11027" spans="1:4">
      <c r="A11027" s="1">
        <v>34275</v>
      </c>
      <c r="B11027">
        <v>468.44</v>
      </c>
      <c r="C11027">
        <f t="shared" si="364"/>
        <v>-1.4069494777233533E-3</v>
      </c>
      <c r="D11027">
        <f t="shared" si="363"/>
        <v>-0.18147688353769006</v>
      </c>
    </row>
    <row r="11028" spans="1:4">
      <c r="A11028" s="1">
        <v>34276</v>
      </c>
      <c r="B11028">
        <v>463.02</v>
      </c>
      <c r="C11028">
        <f t="shared" si="364"/>
        <v>-1.157031850397066E-2</v>
      </c>
      <c r="D11028">
        <f t="shared" si="363"/>
        <v>-1.2547251980124186</v>
      </c>
    </row>
    <row r="11029" spans="1:4">
      <c r="A11029" s="1">
        <v>34277</v>
      </c>
      <c r="B11029">
        <v>457.49</v>
      </c>
      <c r="C11029">
        <f t="shared" si="364"/>
        <v>-1.194332858191865E-2</v>
      </c>
      <c r="D11029">
        <f t="shared" si="363"/>
        <v>-1.2941149354514403</v>
      </c>
    </row>
    <row r="11030" spans="1:4">
      <c r="A11030" s="1">
        <v>34278</v>
      </c>
      <c r="B11030">
        <v>459.57</v>
      </c>
      <c r="C11030">
        <f t="shared" si="364"/>
        <v>4.5465474655183372E-3</v>
      </c>
      <c r="D11030">
        <f t="shared" si="363"/>
        <v>0.44721036997669528</v>
      </c>
    </row>
    <row r="11031" spans="1:4">
      <c r="A11031" s="1">
        <v>34281</v>
      </c>
      <c r="B11031">
        <v>460.21</v>
      </c>
      <c r="C11031">
        <f t="shared" si="364"/>
        <v>1.3926061318188445E-3</v>
      </c>
      <c r="D11031">
        <f t="shared" si="363"/>
        <v>0.11415523721477773</v>
      </c>
    </row>
    <row r="11032" spans="1:4">
      <c r="A11032" s="1">
        <v>34282</v>
      </c>
      <c r="B11032">
        <v>460.33</v>
      </c>
      <c r="C11032">
        <f t="shared" si="364"/>
        <v>2.6075052693336643E-4</v>
      </c>
      <c r="D11032">
        <f t="shared" si="363"/>
        <v>-5.3683299247152833E-3</v>
      </c>
    </row>
    <row r="11033" spans="1:4">
      <c r="A11033" s="1">
        <v>34283</v>
      </c>
      <c r="B11033">
        <v>463.72</v>
      </c>
      <c r="C11033">
        <f t="shared" si="364"/>
        <v>7.364282145417512E-3</v>
      </c>
      <c r="D11033">
        <f t="shared" si="363"/>
        <v>0.74476219437949354</v>
      </c>
    </row>
    <row r="11034" spans="1:4">
      <c r="A11034" s="1">
        <v>34284</v>
      </c>
      <c r="B11034">
        <v>462.64</v>
      </c>
      <c r="C11034">
        <f t="shared" si="364"/>
        <v>-2.3289916328819997E-3</v>
      </c>
      <c r="D11034">
        <f t="shared" si="363"/>
        <v>-0.27884422170508644</v>
      </c>
    </row>
    <row r="11035" spans="1:4">
      <c r="A11035" s="1">
        <v>34285</v>
      </c>
      <c r="B11035">
        <v>465.39</v>
      </c>
      <c r="C11035">
        <f t="shared" si="364"/>
        <v>5.9441466366937576E-3</v>
      </c>
      <c r="D11035">
        <f t="shared" si="363"/>
        <v>0.59479636738577901</v>
      </c>
    </row>
    <row r="11036" spans="1:4">
      <c r="A11036" s="1">
        <v>34288</v>
      </c>
      <c r="B11036">
        <v>463.75</v>
      </c>
      <c r="C11036">
        <f t="shared" si="364"/>
        <v>-3.5239261694492499E-3</v>
      </c>
      <c r="D11036">
        <f t="shared" si="363"/>
        <v>-0.40502890258860391</v>
      </c>
    </row>
    <row r="11037" spans="1:4">
      <c r="A11037" s="1">
        <v>34289</v>
      </c>
      <c r="B11037">
        <v>466.74</v>
      </c>
      <c r="C11037">
        <f t="shared" si="364"/>
        <v>6.4474393530997501E-3</v>
      </c>
      <c r="D11037">
        <f t="shared" si="363"/>
        <v>0.64794390716074535</v>
      </c>
    </row>
    <row r="11038" spans="1:4">
      <c r="A11038" s="1">
        <v>34290</v>
      </c>
      <c r="B11038">
        <v>464.81</v>
      </c>
      <c r="C11038">
        <f t="shared" si="364"/>
        <v>-4.1350644898658926E-3</v>
      </c>
      <c r="D11038">
        <f t="shared" si="363"/>
        <v>-0.46956490148859292</v>
      </c>
    </row>
    <row r="11039" spans="1:4">
      <c r="A11039" s="1">
        <v>34291</v>
      </c>
      <c r="B11039">
        <v>463.62</v>
      </c>
      <c r="C11039">
        <f t="shared" si="364"/>
        <v>-2.5601858824035578E-3</v>
      </c>
      <c r="D11039">
        <f t="shared" si="363"/>
        <v>-0.30325825586781924</v>
      </c>
    </row>
    <row r="11040" spans="1:4">
      <c r="A11040" s="1">
        <v>34292</v>
      </c>
      <c r="B11040">
        <v>462.6</v>
      </c>
      <c r="C11040">
        <f t="shared" si="364"/>
        <v>-2.2000776497993653E-3</v>
      </c>
      <c r="D11040">
        <f t="shared" si="363"/>
        <v>-0.26523094891155219</v>
      </c>
    </row>
    <row r="11041" spans="1:4">
      <c r="A11041" s="1">
        <v>34295</v>
      </c>
      <c r="B11041">
        <v>459.13</v>
      </c>
      <c r="C11041">
        <f t="shared" si="364"/>
        <v>-7.5010808473844077E-3</v>
      </c>
      <c r="D11041">
        <f t="shared" si="363"/>
        <v>-0.825015084677996</v>
      </c>
    </row>
    <row r="11042" spans="1:4">
      <c r="A11042" s="1">
        <v>34296</v>
      </c>
      <c r="B11042">
        <v>461.03</v>
      </c>
      <c r="C11042">
        <f t="shared" si="364"/>
        <v>4.1382614945657597E-3</v>
      </c>
      <c r="D11042">
        <f t="shared" si="363"/>
        <v>0.40409551022724777</v>
      </c>
    </row>
    <row r="11043" spans="1:4">
      <c r="A11043" s="1">
        <v>34297</v>
      </c>
      <c r="B11043">
        <v>462.36</v>
      </c>
      <c r="C11043">
        <f t="shared" si="364"/>
        <v>2.8848448040258573E-3</v>
      </c>
      <c r="D11043">
        <f t="shared" si="363"/>
        <v>0.27173513376326824</v>
      </c>
    </row>
    <row r="11044" spans="1:4">
      <c r="A11044" s="1">
        <v>34299</v>
      </c>
      <c r="B11044">
        <v>463.06</v>
      </c>
      <c r="C11044">
        <f t="shared" si="364"/>
        <v>1.5139717968682166E-3</v>
      </c>
      <c r="D11044">
        <f t="shared" si="363"/>
        <v>0.12697141018979743</v>
      </c>
    </row>
    <row r="11045" spans="1:4">
      <c r="A11045" s="1">
        <v>34302</v>
      </c>
      <c r="B11045">
        <v>461.9</v>
      </c>
      <c r="C11045">
        <f t="shared" si="364"/>
        <v>-2.5050749362934069E-3</v>
      </c>
      <c r="D11045">
        <f t="shared" si="363"/>
        <v>-0.29743855869170804</v>
      </c>
    </row>
    <row r="11046" spans="1:4">
      <c r="A11046" s="1">
        <v>34303</v>
      </c>
      <c r="B11046">
        <v>461.79</v>
      </c>
      <c r="C11046">
        <f t="shared" si="364"/>
        <v>-2.3814678501830875E-4</v>
      </c>
      <c r="D11046">
        <f t="shared" si="363"/>
        <v>-5.805171648337621E-2</v>
      </c>
    </row>
    <row r="11047" spans="1:4">
      <c r="A11047" s="1">
        <v>34304</v>
      </c>
      <c r="B11047">
        <v>461.89</v>
      </c>
      <c r="C11047">
        <f t="shared" si="364"/>
        <v>2.1654864765362154E-4</v>
      </c>
      <c r="D11047">
        <f t="shared" si="363"/>
        <v>-1.0036033351707552E-2</v>
      </c>
    </row>
    <row r="11048" spans="1:4">
      <c r="A11048" s="1">
        <v>34305</v>
      </c>
      <c r="B11048">
        <v>463.11</v>
      </c>
      <c r="C11048">
        <f t="shared" si="364"/>
        <v>2.6413215267705025E-3</v>
      </c>
      <c r="D11048">
        <f t="shared" si="363"/>
        <v>0.24601915846268665</v>
      </c>
    </row>
    <row r="11049" spans="1:4">
      <c r="A11049" s="1">
        <v>34306</v>
      </c>
      <c r="B11049">
        <v>464.89</v>
      </c>
      <c r="C11049">
        <f t="shared" si="364"/>
        <v>3.8435792792208606E-3</v>
      </c>
      <c r="D11049">
        <f t="shared" si="363"/>
        <v>0.37297716845417828</v>
      </c>
    </row>
    <row r="11050" spans="1:4">
      <c r="A11050" s="1">
        <v>34309</v>
      </c>
      <c r="B11050">
        <v>466.43</v>
      </c>
      <c r="C11050">
        <f t="shared" si="364"/>
        <v>3.3126115855364076E-3</v>
      </c>
      <c r="D11050">
        <f t="shared" si="363"/>
        <v>0.31690716048578843</v>
      </c>
    </row>
    <row r="11051" spans="1:4">
      <c r="A11051" s="1">
        <v>34310</v>
      </c>
      <c r="B11051">
        <v>466.76</v>
      </c>
      <c r="C11051">
        <f t="shared" si="364"/>
        <v>7.0750166155689827E-4</v>
      </c>
      <c r="D11051">
        <f t="shared" si="363"/>
        <v>4.1808438033440615E-2</v>
      </c>
    </row>
    <row r="11052" spans="1:4">
      <c r="A11052" s="1">
        <v>34311</v>
      </c>
      <c r="B11052">
        <v>466.29</v>
      </c>
      <c r="C11052">
        <f t="shared" si="364"/>
        <v>-1.006941468849024E-3</v>
      </c>
      <c r="D11052">
        <f t="shared" si="363"/>
        <v>-0.13923617376988953</v>
      </c>
    </row>
    <row r="11053" spans="1:4">
      <c r="A11053" s="1">
        <v>34312</v>
      </c>
      <c r="B11053">
        <v>464.18</v>
      </c>
      <c r="C11053">
        <f t="shared" si="364"/>
        <v>-4.5250809582020064E-3</v>
      </c>
      <c r="D11053">
        <f t="shared" si="363"/>
        <v>-0.51075050797184762</v>
      </c>
    </row>
    <row r="11054" spans="1:4">
      <c r="A11054" s="1">
        <v>34313</v>
      </c>
      <c r="B11054">
        <v>463.93</v>
      </c>
      <c r="C11054">
        <f t="shared" si="364"/>
        <v>-5.3858416993407727E-4</v>
      </c>
      <c r="D11054">
        <f t="shared" si="363"/>
        <v>-8.9777802206852317E-2</v>
      </c>
    </row>
    <row r="11055" spans="1:4">
      <c r="A11055" s="1">
        <v>34316</v>
      </c>
      <c r="B11055">
        <v>465.7</v>
      </c>
      <c r="C11055">
        <f t="shared" si="364"/>
        <v>3.8152307460176788E-3</v>
      </c>
      <c r="D11055">
        <f t="shared" si="363"/>
        <v>0.36998357298405693</v>
      </c>
    </row>
    <row r="11056" spans="1:4">
      <c r="A11056" s="1">
        <v>34317</v>
      </c>
      <c r="B11056">
        <v>463.06</v>
      </c>
      <c r="C11056">
        <f t="shared" si="364"/>
        <v>-5.6688855486364317E-3</v>
      </c>
      <c r="D11056">
        <f t="shared" si="363"/>
        <v>-0.6315358839236519</v>
      </c>
    </row>
    <row r="11057" spans="1:4">
      <c r="A11057" s="1">
        <v>34318</v>
      </c>
      <c r="B11057">
        <v>461.84</v>
      </c>
      <c r="C11057">
        <f t="shared" si="364"/>
        <v>-2.6346477778258267E-3</v>
      </c>
      <c r="D11057">
        <f t="shared" si="363"/>
        <v>-0.31112140671358279</v>
      </c>
    </row>
    <row r="11058" spans="1:4">
      <c r="A11058" s="1">
        <v>34319</v>
      </c>
      <c r="B11058">
        <v>463.34</v>
      </c>
      <c r="C11058">
        <f t="shared" si="364"/>
        <v>3.2478780530053701E-3</v>
      </c>
      <c r="D11058">
        <f t="shared" si="363"/>
        <v>0.31007132145450772</v>
      </c>
    </row>
    <row r="11059" spans="1:4">
      <c r="A11059" s="1">
        <v>34320</v>
      </c>
      <c r="B11059">
        <v>466.38</v>
      </c>
      <c r="C11059">
        <f t="shared" si="364"/>
        <v>6.5610566754435631E-3</v>
      </c>
      <c r="D11059">
        <f t="shared" si="363"/>
        <v>0.6599418577798476</v>
      </c>
    </row>
    <row r="11060" spans="1:4">
      <c r="A11060" s="1">
        <v>34323</v>
      </c>
      <c r="B11060">
        <v>465.85</v>
      </c>
      <c r="C11060">
        <f t="shared" si="364"/>
        <v>-1.1364123675971797E-3</v>
      </c>
      <c r="D11060">
        <f t="shared" si="363"/>
        <v>-0.152908256668398</v>
      </c>
    </row>
    <row r="11061" spans="1:4">
      <c r="A11061" s="1">
        <v>34324</v>
      </c>
      <c r="B11061">
        <v>465.3</v>
      </c>
      <c r="C11061">
        <f t="shared" si="364"/>
        <v>-1.1806375442739324E-3</v>
      </c>
      <c r="D11061">
        <f t="shared" si="363"/>
        <v>-0.15757842029259511</v>
      </c>
    </row>
    <row r="11062" spans="1:4">
      <c r="A11062" s="1">
        <v>34325</v>
      </c>
      <c r="B11062">
        <v>467.32</v>
      </c>
      <c r="C11062">
        <f t="shared" si="364"/>
        <v>4.3412851923489825E-3</v>
      </c>
      <c r="D11062">
        <f t="shared" si="363"/>
        <v>0.42553474370204808</v>
      </c>
    </row>
    <row r="11063" spans="1:4">
      <c r="A11063" s="1">
        <v>34326</v>
      </c>
      <c r="B11063">
        <v>467.38</v>
      </c>
      <c r="C11063">
        <f t="shared" si="364"/>
        <v>1.2839168021912666E-4</v>
      </c>
      <c r="D11063">
        <f t="shared" si="363"/>
        <v>-1.9345379146781007E-2</v>
      </c>
    </row>
    <row r="11064" spans="1:4">
      <c r="A11064" s="1">
        <v>34330</v>
      </c>
      <c r="B11064">
        <v>470.54</v>
      </c>
      <c r="C11064">
        <f t="shared" si="364"/>
        <v>6.7610937566862615E-3</v>
      </c>
      <c r="D11064">
        <f t="shared" si="363"/>
        <v>0.68106570556316892</v>
      </c>
    </row>
    <row r="11065" spans="1:4">
      <c r="A11065" s="1">
        <v>34331</v>
      </c>
      <c r="B11065">
        <v>470.94</v>
      </c>
      <c r="C11065">
        <f t="shared" si="364"/>
        <v>8.5008713393117964E-4</v>
      </c>
      <c r="D11065">
        <f t="shared" si="363"/>
        <v>5.6865415449007764E-2</v>
      </c>
    </row>
    <row r="11066" spans="1:4">
      <c r="A11066" s="1">
        <v>34332</v>
      </c>
      <c r="B11066">
        <v>470.58</v>
      </c>
      <c r="C11066">
        <f t="shared" si="364"/>
        <v>-7.644285896292811E-4</v>
      </c>
      <c r="D11066">
        <f t="shared" si="363"/>
        <v>-0.11362689615841759</v>
      </c>
    </row>
    <row r="11067" spans="1:4">
      <c r="A11067" s="1">
        <v>34333</v>
      </c>
      <c r="B11067">
        <v>468.64</v>
      </c>
      <c r="C11067">
        <f t="shared" si="364"/>
        <v>-4.1225721450125329E-3</v>
      </c>
      <c r="D11067">
        <f t="shared" si="363"/>
        <v>-0.46824571411843247</v>
      </c>
    </row>
    <row r="11068" spans="1:4">
      <c r="A11068" s="1">
        <v>34334</v>
      </c>
      <c r="B11068">
        <v>466.45</v>
      </c>
      <c r="C11068">
        <f t="shared" si="364"/>
        <v>-4.6730966200068235E-3</v>
      </c>
      <c r="D11068">
        <f t="shared" si="363"/>
        <v>-0.52638091154546818</v>
      </c>
    </row>
    <row r="11069" spans="1:4">
      <c r="A11069" s="1">
        <v>34337</v>
      </c>
      <c r="B11069">
        <v>465.44</v>
      </c>
      <c r="C11069">
        <f t="shared" si="364"/>
        <v>-2.1652910279772557E-3</v>
      </c>
      <c r="D11069">
        <f t="shared" si="363"/>
        <v>-0.26155749347168472</v>
      </c>
    </row>
    <row r="11070" spans="1:4">
      <c r="A11070" s="1">
        <v>34338</v>
      </c>
      <c r="B11070">
        <v>466.89</v>
      </c>
      <c r="C11070">
        <f t="shared" si="364"/>
        <v>3.1153317291165105E-3</v>
      </c>
      <c r="D11070">
        <f t="shared" si="363"/>
        <v>0.2960744747065287</v>
      </c>
    </row>
    <row r="11071" spans="1:4">
      <c r="A11071" s="1">
        <v>34339</v>
      </c>
      <c r="B11071">
        <v>467.55</v>
      </c>
      <c r="C11071">
        <f t="shared" si="364"/>
        <v>1.4136092013108548E-3</v>
      </c>
      <c r="D11071">
        <f t="shared" si="363"/>
        <v>0.11637315421384382</v>
      </c>
    </row>
    <row r="11072" spans="1:4">
      <c r="A11072" s="1">
        <v>34340</v>
      </c>
      <c r="B11072">
        <v>467.12</v>
      </c>
      <c r="C11072">
        <f t="shared" si="364"/>
        <v>-9.1968773393221435E-4</v>
      </c>
      <c r="D11072">
        <f t="shared" si="363"/>
        <v>-0.13002220902166001</v>
      </c>
    </row>
    <row r="11073" spans="1:4">
      <c r="A11073" s="1">
        <v>34341</v>
      </c>
      <c r="B11073">
        <v>469.9</v>
      </c>
      <c r="C11073">
        <f t="shared" si="364"/>
        <v>5.951361534509275E-3</v>
      </c>
      <c r="D11073">
        <f t="shared" si="363"/>
        <v>0.59555825814263474</v>
      </c>
    </row>
    <row r="11074" spans="1:4">
      <c r="A11074" s="1">
        <v>34344</v>
      </c>
      <c r="B11074">
        <v>475.27</v>
      </c>
      <c r="C11074">
        <f t="shared" si="364"/>
        <v>1.1427963396467344E-2</v>
      </c>
      <c r="D11074">
        <f t="shared" si="363"/>
        <v>1.1738855531779842</v>
      </c>
    </row>
    <row r="11075" spans="1:4">
      <c r="A11075" s="1">
        <v>34345</v>
      </c>
      <c r="B11075">
        <v>474.13</v>
      </c>
      <c r="C11075">
        <f t="shared" si="364"/>
        <v>-2.3986365644791097E-3</v>
      </c>
      <c r="D11075">
        <f t="shared" ref="D11075:D11138" si="365">(C11075-avg)/sd</f>
        <v>-0.28619870280827875</v>
      </c>
    </row>
    <row r="11076" spans="1:4">
      <c r="A11076" s="1">
        <v>34346</v>
      </c>
      <c r="B11076">
        <v>474.17</v>
      </c>
      <c r="C11076">
        <f t="shared" ref="C11076:C11139" si="366">(B11076-B11075)/B11075</f>
        <v>8.4365047560838727E-5</v>
      </c>
      <c r="D11076">
        <f t="shared" si="365"/>
        <v>-2.3994576590116643E-2</v>
      </c>
    </row>
    <row r="11077" spans="1:4">
      <c r="A11077" s="1">
        <v>34347</v>
      </c>
      <c r="B11077">
        <v>472.47</v>
      </c>
      <c r="C11077">
        <f t="shared" si="366"/>
        <v>-3.5852120547482731E-3</v>
      </c>
      <c r="D11077">
        <f t="shared" si="365"/>
        <v>-0.41150067124409617</v>
      </c>
    </row>
    <row r="11078" spans="1:4">
      <c r="A11078" s="1">
        <v>34348</v>
      </c>
      <c r="B11078">
        <v>474.91</v>
      </c>
      <c r="C11078">
        <f t="shared" si="366"/>
        <v>5.1643490591995207E-3</v>
      </c>
      <c r="D11078">
        <f t="shared" si="365"/>
        <v>0.5124500082684631</v>
      </c>
    </row>
    <row r="11079" spans="1:4">
      <c r="A11079" s="1">
        <v>34351</v>
      </c>
      <c r="B11079">
        <v>473.3</v>
      </c>
      <c r="C11079">
        <f t="shared" si="366"/>
        <v>-3.3901160219831413E-3</v>
      </c>
      <c r="D11079">
        <f t="shared" si="365"/>
        <v>-0.39089859650046194</v>
      </c>
    </row>
    <row r="11080" spans="1:4">
      <c r="A11080" s="1">
        <v>34352</v>
      </c>
      <c r="B11080">
        <v>474.25</v>
      </c>
      <c r="C11080">
        <f t="shared" si="366"/>
        <v>2.0071836044791647E-3</v>
      </c>
      <c r="D11080">
        <f t="shared" si="365"/>
        <v>0.17905440942267442</v>
      </c>
    </row>
    <row r="11081" spans="1:4">
      <c r="A11081" s="1">
        <v>34353</v>
      </c>
      <c r="B11081">
        <v>474.3</v>
      </c>
      <c r="C11081">
        <f t="shared" si="366"/>
        <v>1.0542962572485265E-4</v>
      </c>
      <c r="D11081">
        <f t="shared" si="365"/>
        <v>-2.1770164296194782E-2</v>
      </c>
    </row>
    <row r="11082" spans="1:4">
      <c r="A11082" s="1">
        <v>34354</v>
      </c>
      <c r="B11082">
        <v>474.98</v>
      </c>
      <c r="C11082">
        <f t="shared" si="366"/>
        <v>1.4336917562724157E-3</v>
      </c>
      <c r="D11082">
        <f t="shared" si="365"/>
        <v>0.11849386519139254</v>
      </c>
    </row>
    <row r="11083" spans="1:4">
      <c r="A11083" s="1">
        <v>34355</v>
      </c>
      <c r="B11083">
        <v>474.72</v>
      </c>
      <c r="C11083">
        <f t="shared" si="366"/>
        <v>-5.4739146911446986E-4</v>
      </c>
      <c r="D11083">
        <f t="shared" si="365"/>
        <v>-9.0707850006555305E-2</v>
      </c>
    </row>
    <row r="11084" spans="1:4">
      <c r="A11084" s="1">
        <v>34358</v>
      </c>
      <c r="B11084">
        <v>471.97</v>
      </c>
      <c r="C11084">
        <f t="shared" si="366"/>
        <v>-5.7928884395011789E-3</v>
      </c>
      <c r="D11084">
        <f t="shared" si="365"/>
        <v>-0.64463054704833855</v>
      </c>
    </row>
    <row r="11085" spans="1:4">
      <c r="A11085" s="1">
        <v>34359</v>
      </c>
      <c r="B11085">
        <v>470.92</v>
      </c>
      <c r="C11085">
        <f t="shared" si="366"/>
        <v>-2.2247176727334603E-3</v>
      </c>
      <c r="D11085">
        <f t="shared" si="365"/>
        <v>-0.26783292695784189</v>
      </c>
    </row>
    <row r="11086" spans="1:4">
      <c r="A11086" s="1">
        <v>34360</v>
      </c>
      <c r="B11086">
        <v>473.2</v>
      </c>
      <c r="C11086">
        <f t="shared" si="366"/>
        <v>4.8415866813895621E-3</v>
      </c>
      <c r="D11086">
        <f t="shared" si="365"/>
        <v>0.47836641088399434</v>
      </c>
    </row>
    <row r="11087" spans="1:4">
      <c r="A11087" s="1">
        <v>34361</v>
      </c>
      <c r="B11087">
        <v>477.05</v>
      </c>
      <c r="C11087">
        <f t="shared" si="366"/>
        <v>8.1360946745562615E-3</v>
      </c>
      <c r="D11087">
        <f t="shared" si="365"/>
        <v>0.82626533510472</v>
      </c>
    </row>
    <row r="11088" spans="1:4">
      <c r="A11088" s="1">
        <v>34362</v>
      </c>
      <c r="B11088">
        <v>478.7</v>
      </c>
      <c r="C11088">
        <f t="shared" si="366"/>
        <v>3.4587569437165436E-3</v>
      </c>
      <c r="D11088">
        <f t="shared" si="365"/>
        <v>0.33234006063238986</v>
      </c>
    </row>
    <row r="11089" spans="1:4">
      <c r="A11089" s="1">
        <v>34365</v>
      </c>
      <c r="B11089">
        <v>481.61</v>
      </c>
      <c r="C11089">
        <f t="shared" si="366"/>
        <v>6.0789638604554523E-3</v>
      </c>
      <c r="D11089">
        <f t="shared" si="365"/>
        <v>0.609033020388413</v>
      </c>
    </row>
    <row r="11090" spans="1:4">
      <c r="A11090" s="1">
        <v>34366</v>
      </c>
      <c r="B11090">
        <v>479.62</v>
      </c>
      <c r="C11090">
        <f t="shared" si="366"/>
        <v>-4.1319740038620652E-3</v>
      </c>
      <c r="D11090">
        <f t="shared" si="365"/>
        <v>-0.46923854721709601</v>
      </c>
    </row>
    <row r="11091" spans="1:4">
      <c r="A11091" s="1">
        <v>34367</v>
      </c>
      <c r="B11091">
        <v>482</v>
      </c>
      <c r="C11091">
        <f t="shared" si="366"/>
        <v>4.9622617905842031E-3</v>
      </c>
      <c r="D11091">
        <f t="shared" si="365"/>
        <v>0.49110966139548579</v>
      </c>
    </row>
    <row r="11092" spans="1:4">
      <c r="A11092" s="1">
        <v>34368</v>
      </c>
      <c r="B11092">
        <v>480.71</v>
      </c>
      <c r="C11092">
        <f t="shared" si="366"/>
        <v>-2.6763485477178848E-3</v>
      </c>
      <c r="D11092">
        <f t="shared" si="365"/>
        <v>-0.31552499383940369</v>
      </c>
    </row>
    <row r="11093" spans="1:4">
      <c r="A11093" s="1">
        <v>34369</v>
      </c>
      <c r="B11093">
        <v>469.81</v>
      </c>
      <c r="C11093">
        <f t="shared" si="366"/>
        <v>-2.2674793534563413E-2</v>
      </c>
      <c r="D11093">
        <f t="shared" si="365"/>
        <v>-2.4273539866485523</v>
      </c>
    </row>
    <row r="11094" spans="1:4">
      <c r="A11094" s="1">
        <v>34372</v>
      </c>
      <c r="B11094">
        <v>471.76</v>
      </c>
      <c r="C11094">
        <f t="shared" si="366"/>
        <v>4.1506140780315209E-3</v>
      </c>
      <c r="D11094">
        <f t="shared" si="365"/>
        <v>0.40539993884238501</v>
      </c>
    </row>
    <row r="11095" spans="1:4">
      <c r="A11095" s="1">
        <v>34373</v>
      </c>
      <c r="B11095">
        <v>471.05</v>
      </c>
      <c r="C11095">
        <f t="shared" si="366"/>
        <v>-1.5050025436662276E-3</v>
      </c>
      <c r="D11095">
        <f t="shared" si="365"/>
        <v>-0.19183125397140108</v>
      </c>
    </row>
    <row r="11096" spans="1:4">
      <c r="A11096" s="1">
        <v>34374</v>
      </c>
      <c r="B11096">
        <v>472.77</v>
      </c>
      <c r="C11096">
        <f t="shared" si="366"/>
        <v>3.6514170470225461E-3</v>
      </c>
      <c r="D11096">
        <f t="shared" si="365"/>
        <v>0.35268490205315273</v>
      </c>
    </row>
    <row r="11097" spans="1:4">
      <c r="A11097" s="1">
        <v>34375</v>
      </c>
      <c r="B11097">
        <v>468.93</v>
      </c>
      <c r="C11097">
        <f t="shared" si="366"/>
        <v>-8.1223427882479333E-3</v>
      </c>
      <c r="D11097">
        <f t="shared" si="365"/>
        <v>-0.89062013445599009</v>
      </c>
    </row>
    <row r="11098" spans="1:4">
      <c r="A11098" s="1">
        <v>34376</v>
      </c>
      <c r="B11098">
        <v>470.18</v>
      </c>
      <c r="C11098">
        <f t="shared" si="366"/>
        <v>2.6656430597317296E-3</v>
      </c>
      <c r="D11098">
        <f t="shared" si="365"/>
        <v>0.2485875040761015</v>
      </c>
    </row>
    <row r="11099" spans="1:4">
      <c r="A11099" s="1">
        <v>34379</v>
      </c>
      <c r="B11099">
        <v>470.23</v>
      </c>
      <c r="C11099">
        <f t="shared" si="366"/>
        <v>1.0634225190355049E-4</v>
      </c>
      <c r="D11099">
        <f t="shared" si="365"/>
        <v>-2.1673791281941007E-2</v>
      </c>
    </row>
    <row r="11100" spans="1:4">
      <c r="A11100" s="1">
        <v>34380</v>
      </c>
      <c r="B11100">
        <v>472.52</v>
      </c>
      <c r="C11100">
        <f t="shared" si="366"/>
        <v>4.8699572549602606E-3</v>
      </c>
      <c r="D11100">
        <f t="shared" si="365"/>
        <v>0.48136233380943361</v>
      </c>
    </row>
    <row r="11101" spans="1:4">
      <c r="A11101" s="1">
        <v>34381</v>
      </c>
      <c r="B11101">
        <v>472.79</v>
      </c>
      <c r="C11101">
        <f t="shared" si="366"/>
        <v>5.7140438499965853E-4</v>
      </c>
      <c r="D11101">
        <f t="shared" si="365"/>
        <v>2.7436611890708142E-2</v>
      </c>
    </row>
    <row r="11102" spans="1:4">
      <c r="A11102" s="1">
        <v>34382</v>
      </c>
      <c r="B11102">
        <v>470.34</v>
      </c>
      <c r="C11102">
        <f t="shared" si="366"/>
        <v>-5.1820046955308816E-3</v>
      </c>
      <c r="D11102">
        <f t="shared" si="365"/>
        <v>-0.58012143133454896</v>
      </c>
    </row>
    <row r="11103" spans="1:4">
      <c r="A11103" s="1">
        <v>34383</v>
      </c>
      <c r="B11103">
        <v>467.69</v>
      </c>
      <c r="C11103">
        <f t="shared" si="366"/>
        <v>-5.6342220521324515E-3</v>
      </c>
      <c r="D11103">
        <f t="shared" si="365"/>
        <v>-0.62787543047552652</v>
      </c>
    </row>
    <row r="11104" spans="1:4">
      <c r="A11104" s="1">
        <v>34387</v>
      </c>
      <c r="B11104">
        <v>471.46</v>
      </c>
      <c r="C11104">
        <f t="shared" si="366"/>
        <v>8.060895037311E-3</v>
      </c>
      <c r="D11104">
        <f t="shared" si="365"/>
        <v>0.81832427897321891</v>
      </c>
    </row>
    <row r="11105" spans="1:4">
      <c r="A11105" s="1">
        <v>34388</v>
      </c>
      <c r="B11105">
        <v>470.69</v>
      </c>
      <c r="C11105">
        <f t="shared" si="366"/>
        <v>-1.6332244517031813E-3</v>
      </c>
      <c r="D11105">
        <f t="shared" si="365"/>
        <v>-0.20537144387535916</v>
      </c>
    </row>
    <row r="11106" spans="1:4">
      <c r="A11106" s="1">
        <v>34389</v>
      </c>
      <c r="B11106">
        <v>464.26</v>
      </c>
      <c r="C11106">
        <f t="shared" si="366"/>
        <v>-1.3660795852896826E-2</v>
      </c>
      <c r="D11106">
        <f t="shared" si="365"/>
        <v>-1.475478895471245</v>
      </c>
    </row>
    <row r="11107" spans="1:4">
      <c r="A11107" s="1">
        <v>34390</v>
      </c>
      <c r="B11107">
        <v>466.07</v>
      </c>
      <c r="C11107">
        <f t="shared" si="366"/>
        <v>3.8986774652134629E-3</v>
      </c>
      <c r="D11107">
        <f t="shared" si="365"/>
        <v>0.37879551816621371</v>
      </c>
    </row>
    <row r="11108" spans="1:4">
      <c r="A11108" s="1">
        <v>34393</v>
      </c>
      <c r="B11108">
        <v>467.14</v>
      </c>
      <c r="C11108">
        <f t="shared" si="366"/>
        <v>2.2957924775248205E-3</v>
      </c>
      <c r="D11108">
        <f t="shared" si="365"/>
        <v>0.20953140831337314</v>
      </c>
    </row>
    <row r="11109" spans="1:4">
      <c r="A11109" s="1">
        <v>34394</v>
      </c>
      <c r="B11109">
        <v>464.44</v>
      </c>
      <c r="C11109">
        <f t="shared" si="366"/>
        <v>-5.7798518645373739E-3</v>
      </c>
      <c r="D11109">
        <f t="shared" si="365"/>
        <v>-0.6432538891635079</v>
      </c>
    </row>
    <row r="11110" spans="1:4">
      <c r="A11110" s="1">
        <v>34395</v>
      </c>
      <c r="B11110">
        <v>464.81</v>
      </c>
      <c r="C11110">
        <f t="shared" si="366"/>
        <v>7.9665834122815554E-4</v>
      </c>
      <c r="D11110">
        <f t="shared" si="365"/>
        <v>5.1223353100897477E-2</v>
      </c>
    </row>
    <row r="11111" spans="1:4">
      <c r="A11111" s="1">
        <v>34396</v>
      </c>
      <c r="B11111">
        <v>463.01</v>
      </c>
      <c r="C11111">
        <f t="shared" si="366"/>
        <v>-3.8725500742239007E-3</v>
      </c>
      <c r="D11111">
        <f t="shared" si="365"/>
        <v>-0.441843468429784</v>
      </c>
    </row>
    <row r="11112" spans="1:4">
      <c r="A11112" s="1">
        <v>34397</v>
      </c>
      <c r="B11112">
        <v>464.74</v>
      </c>
      <c r="C11112">
        <f t="shared" si="366"/>
        <v>3.7364203796894629E-3</v>
      </c>
      <c r="D11112">
        <f t="shared" si="365"/>
        <v>0.36166122508874243</v>
      </c>
    </row>
    <row r="11113" spans="1:4">
      <c r="A11113" s="1">
        <v>34400</v>
      </c>
      <c r="B11113">
        <v>466.91</v>
      </c>
      <c r="C11113">
        <f t="shared" si="366"/>
        <v>4.6692774454534063E-3</v>
      </c>
      <c r="D11113">
        <f t="shared" si="365"/>
        <v>0.46017061413989141</v>
      </c>
    </row>
    <row r="11114" spans="1:4">
      <c r="A11114" s="1">
        <v>34401</v>
      </c>
      <c r="B11114">
        <v>465.88</v>
      </c>
      <c r="C11114">
        <f t="shared" si="366"/>
        <v>-2.2059925895783544E-3</v>
      </c>
      <c r="D11114">
        <f t="shared" si="365"/>
        <v>-0.26585556454162773</v>
      </c>
    </row>
    <row r="11115" spans="1:4">
      <c r="A11115" s="1">
        <v>34402</v>
      </c>
      <c r="B11115">
        <v>467.06</v>
      </c>
      <c r="C11115">
        <f t="shared" si="366"/>
        <v>2.5328410749549386E-3</v>
      </c>
      <c r="D11115">
        <f t="shared" si="365"/>
        <v>0.23456365962526032</v>
      </c>
    </row>
    <row r="11116" spans="1:4">
      <c r="A11116" s="1">
        <v>34403</v>
      </c>
      <c r="B11116">
        <v>463.9</v>
      </c>
      <c r="C11116">
        <f t="shared" si="366"/>
        <v>-6.7657260309168521E-3</v>
      </c>
      <c r="D11116">
        <f t="shared" si="365"/>
        <v>-0.74736186601826926</v>
      </c>
    </row>
    <row r="11117" spans="1:4">
      <c r="A11117" s="1">
        <v>34404</v>
      </c>
      <c r="B11117">
        <v>466.44</v>
      </c>
      <c r="C11117">
        <f t="shared" si="366"/>
        <v>5.4753179564561768E-3</v>
      </c>
      <c r="D11117">
        <f t="shared" si="365"/>
        <v>0.54528821811530193</v>
      </c>
    </row>
    <row r="11118" spans="1:4">
      <c r="A11118" s="1">
        <v>34407</v>
      </c>
      <c r="B11118">
        <v>467.39</v>
      </c>
      <c r="C11118">
        <f t="shared" si="366"/>
        <v>2.0367035417202398E-3</v>
      </c>
      <c r="D11118">
        <f t="shared" si="365"/>
        <v>0.18217170476101774</v>
      </c>
    </row>
    <row r="11119" spans="1:4">
      <c r="A11119" s="1">
        <v>34408</v>
      </c>
      <c r="B11119">
        <v>467.01</v>
      </c>
      <c r="C11119">
        <f t="shared" si="366"/>
        <v>-8.1302552472238489E-4</v>
      </c>
      <c r="D11119">
        <f t="shared" si="365"/>
        <v>-0.1187587159853485</v>
      </c>
    </row>
    <row r="11120" spans="1:4">
      <c r="A11120" s="1">
        <v>34409</v>
      </c>
      <c r="B11120">
        <v>469.42</v>
      </c>
      <c r="C11120">
        <f t="shared" si="366"/>
        <v>5.1604890687566114E-3</v>
      </c>
      <c r="D11120">
        <f t="shared" si="365"/>
        <v>0.51204239458976641</v>
      </c>
    </row>
    <row r="11121" spans="1:4">
      <c r="A11121" s="1">
        <v>34410</v>
      </c>
      <c r="B11121">
        <v>470.9</v>
      </c>
      <c r="C11121">
        <f t="shared" si="366"/>
        <v>3.1528268927611975E-3</v>
      </c>
      <c r="D11121">
        <f t="shared" si="365"/>
        <v>0.3000339512421823</v>
      </c>
    </row>
    <row r="11122" spans="1:4">
      <c r="A11122" s="1">
        <v>34411</v>
      </c>
      <c r="B11122">
        <v>471.06</v>
      </c>
      <c r="C11122">
        <f t="shared" si="366"/>
        <v>3.3977489912937993E-4</v>
      </c>
      <c r="D11122">
        <f t="shared" si="365"/>
        <v>2.9766169174944915E-3</v>
      </c>
    </row>
    <row r="11123" spans="1:4">
      <c r="A11123" s="1">
        <v>34414</v>
      </c>
      <c r="B11123">
        <v>468.54</v>
      </c>
      <c r="C11123">
        <f t="shared" si="366"/>
        <v>-5.3496369889185708E-3</v>
      </c>
      <c r="D11123">
        <f t="shared" si="365"/>
        <v>-0.59782334453530384</v>
      </c>
    </row>
    <row r="11124" spans="1:4">
      <c r="A11124" s="1">
        <v>34415</v>
      </c>
      <c r="B11124">
        <v>468.8</v>
      </c>
      <c r="C11124">
        <f t="shared" si="366"/>
        <v>5.5491526870702799E-4</v>
      </c>
      <c r="D11124">
        <f t="shared" si="365"/>
        <v>2.5695366815129315E-2</v>
      </c>
    </row>
    <row r="11125" spans="1:4">
      <c r="A11125" s="1">
        <v>34416</v>
      </c>
      <c r="B11125">
        <v>468.54</v>
      </c>
      <c r="C11125">
        <f t="shared" si="366"/>
        <v>-5.5460750853240383E-4</v>
      </c>
      <c r="D11125">
        <f t="shared" si="365"/>
        <v>-9.146986131623816E-2</v>
      </c>
    </row>
    <row r="11126" spans="1:4">
      <c r="A11126" s="1">
        <v>34417</v>
      </c>
      <c r="B11126">
        <v>464.35</v>
      </c>
      <c r="C11126">
        <f t="shared" si="366"/>
        <v>-8.9426729841635671E-3</v>
      </c>
      <c r="D11126">
        <f t="shared" si="365"/>
        <v>-0.97724672430089909</v>
      </c>
    </row>
    <row r="11127" spans="1:4">
      <c r="A11127" s="1">
        <v>34418</v>
      </c>
      <c r="B11127">
        <v>460.58</v>
      </c>
      <c r="C11127">
        <f t="shared" si="366"/>
        <v>-8.118875847959596E-3</v>
      </c>
      <c r="D11127">
        <f t="shared" si="365"/>
        <v>-0.89025402674001186</v>
      </c>
    </row>
    <row r="11128" spans="1:4">
      <c r="A11128" s="1">
        <v>34421</v>
      </c>
      <c r="B11128">
        <v>460</v>
      </c>
      <c r="C11128">
        <f t="shared" si="366"/>
        <v>-1.2592817751530335E-3</v>
      </c>
      <c r="D11128">
        <f t="shared" si="365"/>
        <v>-0.16588322434095523</v>
      </c>
    </row>
    <row r="11129" spans="1:4">
      <c r="A11129" s="1">
        <v>34422</v>
      </c>
      <c r="B11129">
        <v>452.48</v>
      </c>
      <c r="C11129">
        <f t="shared" si="366"/>
        <v>-1.6347826086956483E-2</v>
      </c>
      <c r="D11129">
        <f t="shared" si="365"/>
        <v>-1.7592283748219903</v>
      </c>
    </row>
    <row r="11130" spans="1:4">
      <c r="A11130" s="1">
        <v>34423</v>
      </c>
      <c r="B11130">
        <v>445.55</v>
      </c>
      <c r="C11130">
        <f t="shared" si="366"/>
        <v>-1.5315594059405954E-2</v>
      </c>
      <c r="D11130">
        <f t="shared" si="365"/>
        <v>-1.6502250235853686</v>
      </c>
    </row>
    <row r="11131" spans="1:4">
      <c r="A11131" s="1">
        <v>34424</v>
      </c>
      <c r="B11131">
        <v>445.77</v>
      </c>
      <c r="C11131">
        <f t="shared" si="366"/>
        <v>4.9377174278974405E-4</v>
      </c>
      <c r="D11131">
        <f t="shared" si="365"/>
        <v>1.9238631261958416E-2</v>
      </c>
    </row>
    <row r="11132" spans="1:4">
      <c r="A11132" s="1">
        <v>34428</v>
      </c>
      <c r="B11132">
        <v>438.92</v>
      </c>
      <c r="C11132">
        <f t="shared" si="366"/>
        <v>-1.5366668909975921E-2</v>
      </c>
      <c r="D11132">
        <f t="shared" si="365"/>
        <v>-1.6556185104443719</v>
      </c>
    </row>
    <row r="11133" spans="1:4">
      <c r="A11133" s="1">
        <v>34429</v>
      </c>
      <c r="B11133">
        <v>448.29</v>
      </c>
      <c r="C11133">
        <f t="shared" si="366"/>
        <v>2.1347853823020149E-2</v>
      </c>
      <c r="D11133">
        <f t="shared" si="365"/>
        <v>2.2214226102873704</v>
      </c>
    </row>
    <row r="11134" spans="1:4">
      <c r="A11134" s="1">
        <v>34430</v>
      </c>
      <c r="B11134">
        <v>448.05</v>
      </c>
      <c r="C11134">
        <f t="shared" si="366"/>
        <v>-5.3536773071005174E-4</v>
      </c>
      <c r="D11134">
        <f t="shared" si="365"/>
        <v>-8.9438147318116029E-2</v>
      </c>
    </row>
    <row r="11135" spans="1:4">
      <c r="A11135" s="1">
        <v>34431</v>
      </c>
      <c r="B11135">
        <v>450.88</v>
      </c>
      <c r="C11135">
        <f t="shared" si="366"/>
        <v>6.316259346055092E-3</v>
      </c>
      <c r="D11135">
        <f t="shared" si="365"/>
        <v>0.63409134300708037</v>
      </c>
    </row>
    <row r="11136" spans="1:4">
      <c r="A11136" s="1">
        <v>34432</v>
      </c>
      <c r="B11136">
        <v>447.1</v>
      </c>
      <c r="C11136">
        <f t="shared" si="366"/>
        <v>-8.3836053938963206E-3</v>
      </c>
      <c r="D11136">
        <f t="shared" si="365"/>
        <v>-0.91820937680498516</v>
      </c>
    </row>
    <row r="11137" spans="1:4">
      <c r="A11137" s="1">
        <v>34435</v>
      </c>
      <c r="B11137">
        <v>449.87</v>
      </c>
      <c r="C11137">
        <f t="shared" si="366"/>
        <v>6.1954819950793593E-3</v>
      </c>
      <c r="D11137">
        <f t="shared" si="365"/>
        <v>0.62133729579825925</v>
      </c>
    </row>
    <row r="11138" spans="1:4">
      <c r="A11138" s="1">
        <v>34436</v>
      </c>
      <c r="B11138">
        <v>447.57</v>
      </c>
      <c r="C11138">
        <f t="shared" si="366"/>
        <v>-5.1125880810012035E-3</v>
      </c>
      <c r="D11138">
        <f t="shared" si="365"/>
        <v>-0.57279106043606864</v>
      </c>
    </row>
    <row r="11139" spans="1:4">
      <c r="A11139" s="1">
        <v>34437</v>
      </c>
      <c r="B11139">
        <v>446.26</v>
      </c>
      <c r="C11139">
        <f t="shared" si="366"/>
        <v>-2.9269164599950897E-3</v>
      </c>
      <c r="D11139">
        <f t="shared" ref="D11139:D11202" si="367">(C11139-avg)/sd</f>
        <v>-0.34198488020370488</v>
      </c>
    </row>
    <row r="11140" spans="1:4">
      <c r="A11140" s="1">
        <v>34438</v>
      </c>
      <c r="B11140">
        <v>446.38</v>
      </c>
      <c r="C11140">
        <f t="shared" ref="C11140:C11203" si="368">(B11140-B11139)/B11139</f>
        <v>2.6890153722046461E-4</v>
      </c>
      <c r="D11140">
        <f t="shared" si="367"/>
        <v>-4.5075860090607314E-3</v>
      </c>
    </row>
    <row r="11141" spans="1:4">
      <c r="A11141" s="1">
        <v>34439</v>
      </c>
      <c r="B11141">
        <v>446.18</v>
      </c>
      <c r="C11141">
        <f t="shared" si="368"/>
        <v>-4.4804874770372472E-4</v>
      </c>
      <c r="D11141">
        <f t="shared" si="367"/>
        <v>-8.0217292393812353E-2</v>
      </c>
    </row>
    <row r="11142" spans="1:4">
      <c r="A11142" s="1">
        <v>34442</v>
      </c>
      <c r="B11142">
        <v>442.46</v>
      </c>
      <c r="C11142">
        <f t="shared" si="368"/>
        <v>-8.3374422878659451E-3</v>
      </c>
      <c r="D11142">
        <f t="shared" si="367"/>
        <v>-0.91333456849977968</v>
      </c>
    </row>
    <row r="11143" spans="1:4">
      <c r="A11143" s="1">
        <v>34443</v>
      </c>
      <c r="B11143">
        <v>442.54</v>
      </c>
      <c r="C11143">
        <f t="shared" si="368"/>
        <v>1.8080730461519896E-4</v>
      </c>
      <c r="D11143">
        <f t="shared" si="367"/>
        <v>-1.3810307027492185E-2</v>
      </c>
    </row>
    <row r="11144" spans="1:4">
      <c r="A11144" s="1">
        <v>34444</v>
      </c>
      <c r="B11144">
        <v>441.96</v>
      </c>
      <c r="C11144">
        <f t="shared" si="368"/>
        <v>-1.3106159895151645E-3</v>
      </c>
      <c r="D11144">
        <f t="shared" si="367"/>
        <v>-0.17130409992824899</v>
      </c>
    </row>
    <row r="11145" spans="1:4">
      <c r="A11145" s="1">
        <v>34445</v>
      </c>
      <c r="B11145">
        <v>448.73</v>
      </c>
      <c r="C11145">
        <f t="shared" si="368"/>
        <v>1.5318128337406188E-2</v>
      </c>
      <c r="D11145">
        <f t="shared" si="367"/>
        <v>1.584685648609814</v>
      </c>
    </row>
    <row r="11146" spans="1:4">
      <c r="A11146" s="1">
        <v>34446</v>
      </c>
      <c r="B11146">
        <v>447.63</v>
      </c>
      <c r="C11146">
        <f t="shared" si="368"/>
        <v>-2.451362734829458E-3</v>
      </c>
      <c r="D11146">
        <f t="shared" si="367"/>
        <v>-0.29176656847477944</v>
      </c>
    </row>
    <row r="11147" spans="1:4">
      <c r="A11147" s="1">
        <v>34449</v>
      </c>
      <c r="B11147">
        <v>452.71</v>
      </c>
      <c r="C11147">
        <f t="shared" si="368"/>
        <v>1.1348658490270948E-2</v>
      </c>
      <c r="D11147">
        <f t="shared" si="367"/>
        <v>1.1655109820406921</v>
      </c>
    </row>
    <row r="11148" spans="1:4">
      <c r="A11148" s="1">
        <v>34450</v>
      </c>
      <c r="B11148">
        <v>451.87</v>
      </c>
      <c r="C11148">
        <f t="shared" si="368"/>
        <v>-1.8554924786286476E-3</v>
      </c>
      <c r="D11148">
        <f t="shared" si="367"/>
        <v>-0.22884287196611516</v>
      </c>
    </row>
    <row r="11149" spans="1:4">
      <c r="A11149" s="1">
        <v>34452</v>
      </c>
      <c r="B11149">
        <v>449.1</v>
      </c>
      <c r="C11149">
        <f t="shared" si="368"/>
        <v>-6.1300816606545726E-3</v>
      </c>
      <c r="D11149">
        <f t="shared" si="367"/>
        <v>-0.68023803658459214</v>
      </c>
    </row>
    <row r="11150" spans="1:4">
      <c r="A11150" s="1">
        <v>34453</v>
      </c>
      <c r="B11150">
        <v>450.91</v>
      </c>
      <c r="C11150">
        <f t="shared" si="368"/>
        <v>4.0302827877978231E-3</v>
      </c>
      <c r="D11150">
        <f t="shared" si="367"/>
        <v>0.39269299549629944</v>
      </c>
    </row>
    <row r="11151" spans="1:4">
      <c r="A11151" s="1">
        <v>34456</v>
      </c>
      <c r="B11151">
        <v>453.02</v>
      </c>
      <c r="C11151">
        <f t="shared" si="368"/>
        <v>4.6794260495441591E-3</v>
      </c>
      <c r="D11151">
        <f t="shared" si="367"/>
        <v>0.46124230328219679</v>
      </c>
    </row>
    <row r="11152" spans="1:4">
      <c r="A11152" s="1">
        <v>34457</v>
      </c>
      <c r="B11152">
        <v>453.03</v>
      </c>
      <c r="C11152">
        <f t="shared" si="368"/>
        <v>2.207408061452233E-5</v>
      </c>
      <c r="D11152">
        <f t="shared" si="367"/>
        <v>-3.0572481525919206E-2</v>
      </c>
    </row>
    <row r="11153" spans="1:4">
      <c r="A11153" s="1">
        <v>34458</v>
      </c>
      <c r="B11153">
        <v>451.72</v>
      </c>
      <c r="C11153">
        <f t="shared" si="368"/>
        <v>-2.8916407301943481E-3</v>
      </c>
      <c r="D11153">
        <f t="shared" si="367"/>
        <v>-0.33825977512754973</v>
      </c>
    </row>
    <row r="11154" spans="1:4">
      <c r="A11154" s="1">
        <v>34459</v>
      </c>
      <c r="B11154">
        <v>451.38</v>
      </c>
      <c r="C11154">
        <f t="shared" si="368"/>
        <v>-7.5267865049152534E-4</v>
      </c>
      <c r="D11154">
        <f t="shared" si="367"/>
        <v>-0.11238610657946896</v>
      </c>
    </row>
    <row r="11155" spans="1:4">
      <c r="A11155" s="1">
        <v>34460</v>
      </c>
      <c r="B11155">
        <v>447.82</v>
      </c>
      <c r="C11155">
        <f t="shared" si="368"/>
        <v>-7.8869245425140736E-3</v>
      </c>
      <c r="D11155">
        <f t="shared" si="367"/>
        <v>-0.86576004772904425</v>
      </c>
    </row>
    <row r="11156" spans="1:4">
      <c r="A11156" s="1">
        <v>34463</v>
      </c>
      <c r="B11156">
        <v>442.32</v>
      </c>
      <c r="C11156">
        <f t="shared" si="368"/>
        <v>-1.2281720334062792E-2</v>
      </c>
      <c r="D11156">
        <f t="shared" si="367"/>
        <v>-1.3298489894529164</v>
      </c>
    </row>
    <row r="11157" spans="1:4">
      <c r="A11157" s="1">
        <v>34464</v>
      </c>
      <c r="B11157">
        <v>446.01</v>
      </c>
      <c r="C11157">
        <f t="shared" si="368"/>
        <v>8.3423765599565883E-3</v>
      </c>
      <c r="D11157">
        <f t="shared" si="367"/>
        <v>0.84804863208437475</v>
      </c>
    </row>
    <row r="11158" spans="1:4">
      <c r="A11158" s="1">
        <v>34465</v>
      </c>
      <c r="B11158">
        <v>441.49</v>
      </c>
      <c r="C11158">
        <f t="shared" si="368"/>
        <v>-1.013430192148154E-2</v>
      </c>
      <c r="D11158">
        <f t="shared" si="367"/>
        <v>-1.1030823350273207</v>
      </c>
    </row>
    <row r="11159" spans="1:4">
      <c r="A11159" s="1">
        <v>34466</v>
      </c>
      <c r="B11159">
        <v>443.75</v>
      </c>
      <c r="C11159">
        <f t="shared" si="368"/>
        <v>5.1190287435728798E-3</v>
      </c>
      <c r="D11159">
        <f t="shared" si="367"/>
        <v>0.50766419834341359</v>
      </c>
    </row>
    <row r="11160" spans="1:4">
      <c r="A11160" s="1">
        <v>34467</v>
      </c>
      <c r="B11160">
        <v>444.14</v>
      </c>
      <c r="C11160">
        <f t="shared" si="368"/>
        <v>8.78873239436589E-4</v>
      </c>
      <c r="D11160">
        <f t="shared" si="367"/>
        <v>5.9905218405506312E-2</v>
      </c>
    </row>
    <row r="11161" spans="1:4">
      <c r="A11161" s="1">
        <v>34470</v>
      </c>
      <c r="B11161">
        <v>444.49</v>
      </c>
      <c r="C11161">
        <f t="shared" si="368"/>
        <v>7.880398072680298E-4</v>
      </c>
      <c r="D11161">
        <f t="shared" si="367"/>
        <v>5.0313238844290238E-2</v>
      </c>
    </row>
    <row r="11162" spans="1:4">
      <c r="A11162" s="1">
        <v>34471</v>
      </c>
      <c r="B11162">
        <v>449.37</v>
      </c>
      <c r="C11162">
        <f t="shared" si="368"/>
        <v>1.0978874665346791E-2</v>
      </c>
      <c r="D11162">
        <f t="shared" si="367"/>
        <v>1.1264619358243306</v>
      </c>
    </row>
    <row r="11163" spans="1:4">
      <c r="A11163" s="1">
        <v>34472</v>
      </c>
      <c r="B11163">
        <v>453.69</v>
      </c>
      <c r="C11163">
        <f t="shared" si="368"/>
        <v>9.6134588423793157E-3</v>
      </c>
      <c r="D11163">
        <f t="shared" si="367"/>
        <v>0.98227448904635417</v>
      </c>
    </row>
    <row r="11164" spans="1:4">
      <c r="A11164" s="1">
        <v>34473</v>
      </c>
      <c r="B11164">
        <v>456.48</v>
      </c>
      <c r="C11164">
        <f t="shared" si="368"/>
        <v>6.149573497322005E-3</v>
      </c>
      <c r="D11164">
        <f t="shared" si="367"/>
        <v>0.61648937404013926</v>
      </c>
    </row>
    <row r="11165" spans="1:4">
      <c r="A11165" s="1">
        <v>34474</v>
      </c>
      <c r="B11165">
        <v>454.92</v>
      </c>
      <c r="C11165">
        <f t="shared" si="368"/>
        <v>-3.4174553101997945E-3</v>
      </c>
      <c r="D11165">
        <f t="shared" si="367"/>
        <v>-0.39378561604306489</v>
      </c>
    </row>
    <row r="11166" spans="1:4">
      <c r="A11166" s="1">
        <v>34477</v>
      </c>
      <c r="B11166">
        <v>453.2</v>
      </c>
      <c r="C11166">
        <f t="shared" si="368"/>
        <v>-3.780884551129929E-3</v>
      </c>
      <c r="D11166">
        <f t="shared" si="367"/>
        <v>-0.43216362034968586</v>
      </c>
    </row>
    <row r="11167" spans="1:4">
      <c r="A11167" s="1">
        <v>34478</v>
      </c>
      <c r="B11167">
        <v>454.81</v>
      </c>
      <c r="C11167">
        <f t="shared" si="368"/>
        <v>3.5525154457193594E-3</v>
      </c>
      <c r="D11167">
        <f t="shared" si="367"/>
        <v>0.34224092657382393</v>
      </c>
    </row>
    <row r="11168" spans="1:4">
      <c r="A11168" s="1">
        <v>34479</v>
      </c>
      <c r="B11168">
        <v>456.34</v>
      </c>
      <c r="C11168">
        <f t="shared" si="368"/>
        <v>3.3640421274817455E-3</v>
      </c>
      <c r="D11168">
        <f t="shared" si="367"/>
        <v>0.32233820823312553</v>
      </c>
    </row>
    <row r="11169" spans="1:4">
      <c r="A11169" s="1">
        <v>34480</v>
      </c>
      <c r="B11169">
        <v>457.06</v>
      </c>
      <c r="C11169">
        <f t="shared" si="368"/>
        <v>1.5777709602489971E-3</v>
      </c>
      <c r="D11169">
        <f t="shared" si="367"/>
        <v>0.13370858015641854</v>
      </c>
    </row>
    <row r="11170" spans="1:4">
      <c r="A11170" s="1">
        <v>34481</v>
      </c>
      <c r="B11170">
        <v>457.33</v>
      </c>
      <c r="C11170">
        <f t="shared" si="368"/>
        <v>5.9073207018768168E-4</v>
      </c>
      <c r="D11170">
        <f t="shared" si="367"/>
        <v>2.9477608876763983E-2</v>
      </c>
    </row>
    <row r="11171" spans="1:4">
      <c r="A11171" s="1">
        <v>34485</v>
      </c>
      <c r="B11171">
        <v>456.5</v>
      </c>
      <c r="C11171">
        <f t="shared" si="368"/>
        <v>-1.8148820326678418E-3</v>
      </c>
      <c r="D11171">
        <f t="shared" si="367"/>
        <v>-0.22455442267681536</v>
      </c>
    </row>
    <row r="11172" spans="1:4">
      <c r="A11172" s="1">
        <v>34486</v>
      </c>
      <c r="B11172">
        <v>457.63</v>
      </c>
      <c r="C11172">
        <f t="shared" si="368"/>
        <v>2.4753559693318629E-3</v>
      </c>
      <c r="D11172">
        <f t="shared" si="367"/>
        <v>0.22849325201160034</v>
      </c>
    </row>
    <row r="11173" spans="1:4">
      <c r="A11173" s="1">
        <v>34487</v>
      </c>
      <c r="B11173">
        <v>457.65</v>
      </c>
      <c r="C11173">
        <f t="shared" si="368"/>
        <v>4.3703428533928745E-5</v>
      </c>
      <c r="D11173">
        <f t="shared" si="367"/>
        <v>-2.8288429737802472E-2</v>
      </c>
    </row>
    <row r="11174" spans="1:4">
      <c r="A11174" s="1">
        <v>34488</v>
      </c>
      <c r="B11174">
        <v>460.13</v>
      </c>
      <c r="C11174">
        <f t="shared" si="368"/>
        <v>5.4189883098438073E-3</v>
      </c>
      <c r="D11174">
        <f t="shared" si="367"/>
        <v>0.53933982658041291</v>
      </c>
    </row>
    <row r="11175" spans="1:4">
      <c r="A11175" s="1">
        <v>34491</v>
      </c>
      <c r="B11175">
        <v>458.88</v>
      </c>
      <c r="C11175">
        <f t="shared" si="368"/>
        <v>-2.7166235629061354E-3</v>
      </c>
      <c r="D11175">
        <f t="shared" si="367"/>
        <v>-0.31977802175314013</v>
      </c>
    </row>
    <row r="11176" spans="1:4">
      <c r="A11176" s="1">
        <v>34492</v>
      </c>
      <c r="B11176">
        <v>458.21</v>
      </c>
      <c r="C11176">
        <f t="shared" si="368"/>
        <v>-1.4600767085077055E-3</v>
      </c>
      <c r="D11176">
        <f t="shared" si="367"/>
        <v>-0.18708710104969448</v>
      </c>
    </row>
    <row r="11177" spans="1:4">
      <c r="A11177" s="1">
        <v>34493</v>
      </c>
      <c r="B11177">
        <v>457.06</v>
      </c>
      <c r="C11177">
        <f t="shared" si="368"/>
        <v>-2.5097662643765463E-3</v>
      </c>
      <c r="D11177">
        <f t="shared" si="367"/>
        <v>-0.29793396134262767</v>
      </c>
    </row>
    <row r="11178" spans="1:4">
      <c r="A11178" s="1">
        <v>34494</v>
      </c>
      <c r="B11178">
        <v>457.86</v>
      </c>
      <c r="C11178">
        <f t="shared" si="368"/>
        <v>1.7503172450006811E-3</v>
      </c>
      <c r="D11178">
        <f t="shared" si="367"/>
        <v>0.15192940917486444</v>
      </c>
    </row>
    <row r="11179" spans="1:4">
      <c r="A11179" s="1">
        <v>34495</v>
      </c>
      <c r="B11179">
        <v>458.67</v>
      </c>
      <c r="C11179">
        <f t="shared" si="368"/>
        <v>1.7690997248067143E-3</v>
      </c>
      <c r="D11179">
        <f t="shared" si="367"/>
        <v>0.15391283265790648</v>
      </c>
    </row>
    <row r="11180" spans="1:4">
      <c r="A11180" s="1">
        <v>34498</v>
      </c>
      <c r="B11180">
        <v>459.1</v>
      </c>
      <c r="C11180">
        <f t="shared" si="368"/>
        <v>9.3749318682278507E-4</v>
      </c>
      <c r="D11180">
        <f t="shared" si="367"/>
        <v>6.6095464923600356E-2</v>
      </c>
    </row>
    <row r="11181" spans="1:4">
      <c r="A11181" s="1">
        <v>34499</v>
      </c>
      <c r="B11181">
        <v>462.37</v>
      </c>
      <c r="C11181">
        <f t="shared" si="368"/>
        <v>7.1226312350250089E-3</v>
      </c>
      <c r="D11181">
        <f t="shared" si="367"/>
        <v>0.71924394038318074</v>
      </c>
    </row>
    <row r="11182" spans="1:4">
      <c r="A11182" s="1">
        <v>34500</v>
      </c>
      <c r="B11182">
        <v>460.61</v>
      </c>
      <c r="C11182">
        <f t="shared" si="368"/>
        <v>-3.8064753336072643E-3</v>
      </c>
      <c r="D11182">
        <f t="shared" si="367"/>
        <v>-0.43486599828056288</v>
      </c>
    </row>
    <row r="11183" spans="1:4">
      <c r="A11183" s="1">
        <v>34501</v>
      </c>
      <c r="B11183">
        <v>461.93</v>
      </c>
      <c r="C11183">
        <f t="shared" si="368"/>
        <v>2.8657649638522678E-3</v>
      </c>
      <c r="D11183">
        <f t="shared" si="367"/>
        <v>0.26972030912648998</v>
      </c>
    </row>
    <row r="11184" spans="1:4">
      <c r="A11184" s="1">
        <v>34502</v>
      </c>
      <c r="B11184">
        <v>458.45</v>
      </c>
      <c r="C11184">
        <f t="shared" si="368"/>
        <v>-7.5336089883749017E-3</v>
      </c>
      <c r="D11184">
        <f t="shared" si="367"/>
        <v>-0.82845004530973987</v>
      </c>
    </row>
    <row r="11185" spans="1:4">
      <c r="A11185" s="1">
        <v>34505</v>
      </c>
      <c r="B11185">
        <v>455.48</v>
      </c>
      <c r="C11185">
        <f t="shared" si="368"/>
        <v>-6.4783509652087913E-3</v>
      </c>
      <c r="D11185">
        <f t="shared" si="367"/>
        <v>-0.71701515676302907</v>
      </c>
    </row>
    <row r="11186" spans="1:4">
      <c r="A11186" s="1">
        <v>34506</v>
      </c>
      <c r="B11186">
        <v>451.34</v>
      </c>
      <c r="C11186">
        <f t="shared" si="368"/>
        <v>-9.0893123737596452E-3</v>
      </c>
      <c r="D11186">
        <f t="shared" si="367"/>
        <v>-0.99273179399709455</v>
      </c>
    </row>
    <row r="11187" spans="1:4">
      <c r="A11187" s="1">
        <v>34507</v>
      </c>
      <c r="B11187">
        <v>453.09</v>
      </c>
      <c r="C11187">
        <f t="shared" si="368"/>
        <v>3.8773430229981833E-3</v>
      </c>
      <c r="D11187">
        <f t="shared" si="367"/>
        <v>0.37654260832020942</v>
      </c>
    </row>
    <row r="11188" spans="1:4">
      <c r="A11188" s="1">
        <v>34508</v>
      </c>
      <c r="B11188">
        <v>449.63</v>
      </c>
      <c r="C11188">
        <f t="shared" si="368"/>
        <v>-7.6364519190447368E-3</v>
      </c>
      <c r="D11188">
        <f t="shared" si="367"/>
        <v>-0.83931022383046383</v>
      </c>
    </row>
    <row r="11189" spans="1:4">
      <c r="A11189" s="1">
        <v>34509</v>
      </c>
      <c r="B11189">
        <v>442.8</v>
      </c>
      <c r="C11189">
        <f t="shared" si="368"/>
        <v>-1.5190267553321585E-2</v>
      </c>
      <c r="D11189">
        <f t="shared" si="367"/>
        <v>-1.6369905871434083</v>
      </c>
    </row>
    <row r="11190" spans="1:4">
      <c r="A11190" s="1">
        <v>34512</v>
      </c>
      <c r="B11190">
        <v>447.31</v>
      </c>
      <c r="C11190">
        <f t="shared" si="368"/>
        <v>1.0185185185185165E-2</v>
      </c>
      <c r="D11190">
        <f t="shared" si="367"/>
        <v>1.0426485965074255</v>
      </c>
    </row>
    <row r="11191" spans="1:4">
      <c r="A11191" s="1">
        <v>34513</v>
      </c>
      <c r="B11191">
        <v>446.07</v>
      </c>
      <c r="C11191">
        <f t="shared" si="368"/>
        <v>-2.7721267130178381E-3</v>
      </c>
      <c r="D11191">
        <f t="shared" si="367"/>
        <v>-0.32563913553849855</v>
      </c>
    </row>
    <row r="11192" spans="1:4">
      <c r="A11192" s="1">
        <v>34514</v>
      </c>
      <c r="B11192">
        <v>447.63</v>
      </c>
      <c r="C11192">
        <f t="shared" si="368"/>
        <v>3.4972089582352597E-3</v>
      </c>
      <c r="D11192">
        <f t="shared" si="367"/>
        <v>0.33640058029509151</v>
      </c>
    </row>
    <row r="11193" spans="1:4">
      <c r="A11193" s="1">
        <v>34515</v>
      </c>
      <c r="B11193">
        <v>444.27</v>
      </c>
      <c r="C11193">
        <f t="shared" si="368"/>
        <v>-7.5061993163997353E-3</v>
      </c>
      <c r="D11193">
        <f t="shared" si="367"/>
        <v>-0.82555559326616257</v>
      </c>
    </row>
    <row r="11194" spans="1:4">
      <c r="A11194" s="1">
        <v>34516</v>
      </c>
      <c r="B11194">
        <v>446.2</v>
      </c>
      <c r="C11194">
        <f t="shared" si="368"/>
        <v>4.3442051005019629E-3</v>
      </c>
      <c r="D11194">
        <f t="shared" si="367"/>
        <v>0.42584308501047785</v>
      </c>
    </row>
    <row r="11195" spans="1:4">
      <c r="A11195" s="1">
        <v>34520</v>
      </c>
      <c r="B11195">
        <v>446.37</v>
      </c>
      <c r="C11195">
        <f t="shared" si="368"/>
        <v>3.8099506947560715E-4</v>
      </c>
      <c r="D11195">
        <f t="shared" si="367"/>
        <v>7.3294528946394044E-3</v>
      </c>
    </row>
    <row r="11196" spans="1:4">
      <c r="A11196" s="1">
        <v>34521</v>
      </c>
      <c r="B11196">
        <v>446.13</v>
      </c>
      <c r="C11196">
        <f t="shared" si="368"/>
        <v>-5.3767054237518E-4</v>
      </c>
      <c r="D11196">
        <f t="shared" si="367"/>
        <v>-8.9681323447189848E-2</v>
      </c>
    </row>
    <row r="11197" spans="1:4">
      <c r="A11197" s="1">
        <v>34522</v>
      </c>
      <c r="B11197">
        <v>448.38</v>
      </c>
      <c r="C11197">
        <f t="shared" si="368"/>
        <v>5.0433730078676617E-3</v>
      </c>
      <c r="D11197">
        <f t="shared" si="367"/>
        <v>0.49967497836957664</v>
      </c>
    </row>
    <row r="11198" spans="1:4">
      <c r="A11198" s="1">
        <v>34523</v>
      </c>
      <c r="B11198">
        <v>449.55</v>
      </c>
      <c r="C11198">
        <f t="shared" si="368"/>
        <v>2.6093938177439136E-3</v>
      </c>
      <c r="D11198">
        <f t="shared" si="367"/>
        <v>0.24264760324223447</v>
      </c>
    </row>
    <row r="11199" spans="1:4">
      <c r="A11199" s="1">
        <v>34526</v>
      </c>
      <c r="B11199">
        <v>448.06</v>
      </c>
      <c r="C11199">
        <f t="shared" si="368"/>
        <v>-3.3144255366477789E-3</v>
      </c>
      <c r="D11199">
        <f t="shared" si="367"/>
        <v>-0.38290570697749371</v>
      </c>
    </row>
    <row r="11200" spans="1:4">
      <c r="A11200" s="1">
        <v>34527</v>
      </c>
      <c r="B11200">
        <v>447.95</v>
      </c>
      <c r="C11200">
        <f t="shared" si="368"/>
        <v>-2.4550283444184628E-4</v>
      </c>
      <c r="D11200">
        <f t="shared" si="367"/>
        <v>-5.8828512802059085E-2</v>
      </c>
    </row>
    <row r="11201" spans="1:4">
      <c r="A11201" s="1">
        <v>34528</v>
      </c>
      <c r="B11201">
        <v>448.73</v>
      </c>
      <c r="C11201">
        <f t="shared" si="368"/>
        <v>1.7412657662686229E-3</v>
      </c>
      <c r="D11201">
        <f t="shared" si="367"/>
        <v>0.15097357609750622</v>
      </c>
    </row>
    <row r="11202" spans="1:4">
      <c r="A11202" s="1">
        <v>34529</v>
      </c>
      <c r="B11202">
        <v>453.41</v>
      </c>
      <c r="C11202">
        <f t="shared" si="368"/>
        <v>1.0429434180910585E-2</v>
      </c>
      <c r="D11202">
        <f t="shared" si="367"/>
        <v>1.0684412074317622</v>
      </c>
    </row>
    <row r="11203" spans="1:4">
      <c r="A11203" s="1">
        <v>34530</v>
      </c>
      <c r="B11203">
        <v>454.16</v>
      </c>
      <c r="C11203">
        <f t="shared" si="368"/>
        <v>1.6541320217904323E-3</v>
      </c>
      <c r="D11203">
        <f t="shared" ref="D11203:D11266" si="369">(C11203-avg)/sd</f>
        <v>0.14177228229880812</v>
      </c>
    </row>
    <row r="11204" spans="1:4">
      <c r="A11204" s="1">
        <v>34533</v>
      </c>
      <c r="B11204">
        <v>455.22</v>
      </c>
      <c r="C11204">
        <f t="shared" ref="C11204:C11267" si="370">(B11204-B11203)/B11203</f>
        <v>2.3339792143737938E-3</v>
      </c>
      <c r="D11204">
        <f t="shared" si="369"/>
        <v>0.21356391474432218</v>
      </c>
    </row>
    <row r="11205" spans="1:4">
      <c r="A11205" s="1">
        <v>34534</v>
      </c>
      <c r="B11205">
        <v>453.86</v>
      </c>
      <c r="C11205">
        <f t="shared" si="370"/>
        <v>-2.9875664513861729E-3</v>
      </c>
      <c r="D11205">
        <f t="shared" si="369"/>
        <v>-0.34838949867866947</v>
      </c>
    </row>
    <row r="11206" spans="1:4">
      <c r="A11206" s="1">
        <v>34535</v>
      </c>
      <c r="B11206">
        <v>451.6</v>
      </c>
      <c r="C11206">
        <f t="shared" si="370"/>
        <v>-4.9795090997223615E-3</v>
      </c>
      <c r="D11206">
        <f t="shared" si="369"/>
        <v>-0.55873796524876662</v>
      </c>
    </row>
    <row r="11207" spans="1:4">
      <c r="A11207" s="1">
        <v>34536</v>
      </c>
      <c r="B11207">
        <v>452.61</v>
      </c>
      <c r="C11207">
        <f t="shared" si="370"/>
        <v>2.2364924712134429E-3</v>
      </c>
      <c r="D11207">
        <f t="shared" si="369"/>
        <v>0.20326934780394318</v>
      </c>
    </row>
    <row r="11208" spans="1:4">
      <c r="A11208" s="1">
        <v>34537</v>
      </c>
      <c r="B11208">
        <v>453.11</v>
      </c>
      <c r="C11208">
        <f t="shared" si="370"/>
        <v>1.1047038289034709E-3</v>
      </c>
      <c r="D11208">
        <f t="shared" si="369"/>
        <v>8.3752851889661944E-2</v>
      </c>
    </row>
    <row r="11209" spans="1:4">
      <c r="A11209" s="1">
        <v>34540</v>
      </c>
      <c r="B11209">
        <v>454.25</v>
      </c>
      <c r="C11209">
        <f t="shared" si="370"/>
        <v>2.5159453554324256E-3</v>
      </c>
      <c r="D11209">
        <f t="shared" si="369"/>
        <v>0.23277947738681706</v>
      </c>
    </row>
    <row r="11210" spans="1:4">
      <c r="A11210" s="1">
        <v>34541</v>
      </c>
      <c r="B11210">
        <v>453.36</v>
      </c>
      <c r="C11210">
        <f t="shared" si="370"/>
        <v>-1.9592735277930355E-3</v>
      </c>
      <c r="D11210">
        <f t="shared" si="369"/>
        <v>-0.23980211548098188</v>
      </c>
    </row>
    <row r="11211" spans="1:4">
      <c r="A11211" s="1">
        <v>34542</v>
      </c>
      <c r="B11211">
        <v>452.57</v>
      </c>
      <c r="C11211">
        <f t="shared" si="370"/>
        <v>-1.7425445562026215E-3</v>
      </c>
      <c r="D11211">
        <f t="shared" si="369"/>
        <v>-0.21691560975079105</v>
      </c>
    </row>
    <row r="11212" spans="1:4">
      <c r="A11212" s="1">
        <v>34543</v>
      </c>
      <c r="B11212">
        <v>454.24</v>
      </c>
      <c r="C11212">
        <f t="shared" si="370"/>
        <v>3.6900369003690387E-3</v>
      </c>
      <c r="D11212">
        <f t="shared" si="369"/>
        <v>0.35676314543901633</v>
      </c>
    </row>
    <row r="11213" spans="1:4">
      <c r="A11213" s="1">
        <v>34544</v>
      </c>
      <c r="B11213">
        <v>458.26</v>
      </c>
      <c r="C11213">
        <f t="shared" si="370"/>
        <v>8.8499471644945E-3</v>
      </c>
      <c r="D11213">
        <f t="shared" si="369"/>
        <v>0.90164791539194677</v>
      </c>
    </row>
    <row r="11214" spans="1:4">
      <c r="A11214" s="1">
        <v>34547</v>
      </c>
      <c r="B11214">
        <v>461.01</v>
      </c>
      <c r="C11214">
        <f t="shared" si="370"/>
        <v>6.0009601536245797E-3</v>
      </c>
      <c r="D11214">
        <f t="shared" si="369"/>
        <v>0.60079585546182113</v>
      </c>
    </row>
    <row r="11215" spans="1:4">
      <c r="A11215" s="1">
        <v>34548</v>
      </c>
      <c r="B11215">
        <v>460.56</v>
      </c>
      <c r="C11215">
        <f t="shared" si="370"/>
        <v>-9.7611765471462364E-4</v>
      </c>
      <c r="D11215">
        <f t="shared" si="369"/>
        <v>-0.13598118947482035</v>
      </c>
    </row>
    <row r="11216" spans="1:4">
      <c r="A11216" s="1">
        <v>34549</v>
      </c>
      <c r="B11216">
        <v>461.45</v>
      </c>
      <c r="C11216">
        <f t="shared" si="370"/>
        <v>1.932430085113745E-3</v>
      </c>
      <c r="D11216">
        <f t="shared" si="369"/>
        <v>0.17116046318764191</v>
      </c>
    </row>
    <row r="11217" spans="1:4">
      <c r="A11217" s="1">
        <v>34550</v>
      </c>
      <c r="B11217">
        <v>458.4</v>
      </c>
      <c r="C11217">
        <f t="shared" si="370"/>
        <v>-6.6096001733665869E-3</v>
      </c>
      <c r="D11217">
        <f t="shared" si="369"/>
        <v>-0.73087502853071873</v>
      </c>
    </row>
    <row r="11218" spans="1:4">
      <c r="A11218" s="1">
        <v>34551</v>
      </c>
      <c r="B11218">
        <v>457.09</v>
      </c>
      <c r="C11218">
        <f t="shared" si="370"/>
        <v>-2.8577661431064623E-3</v>
      </c>
      <c r="D11218">
        <f t="shared" si="369"/>
        <v>-0.33468263024560058</v>
      </c>
    </row>
    <row r="11219" spans="1:4">
      <c r="A11219" s="1">
        <v>34554</v>
      </c>
      <c r="B11219">
        <v>457.89</v>
      </c>
      <c r="C11219">
        <f t="shared" si="370"/>
        <v>1.7502023671487265E-3</v>
      </c>
      <c r="D11219">
        <f t="shared" si="369"/>
        <v>0.15191727811274694</v>
      </c>
    </row>
    <row r="11220" spans="1:4">
      <c r="A11220" s="1">
        <v>34555</v>
      </c>
      <c r="B11220">
        <v>457.92</v>
      </c>
      <c r="C11220">
        <f t="shared" si="370"/>
        <v>6.551791915095232E-5</v>
      </c>
      <c r="D11220">
        <f t="shared" si="369"/>
        <v>-2.5984826943750428E-2</v>
      </c>
    </row>
    <row r="11221" spans="1:4">
      <c r="A11221" s="1">
        <v>34556</v>
      </c>
      <c r="B11221">
        <v>460.3</v>
      </c>
      <c r="C11221">
        <f t="shared" si="370"/>
        <v>5.1974143955275933E-3</v>
      </c>
      <c r="D11221">
        <f t="shared" si="369"/>
        <v>0.51594169654525368</v>
      </c>
    </row>
    <row r="11222" spans="1:4">
      <c r="A11222" s="1">
        <v>34557</v>
      </c>
      <c r="B11222">
        <v>458.88</v>
      </c>
      <c r="C11222">
        <f t="shared" si="370"/>
        <v>-3.0849446013469822E-3</v>
      </c>
      <c r="D11222">
        <f t="shared" si="369"/>
        <v>-0.35867259821408953</v>
      </c>
    </row>
    <row r="11223" spans="1:4">
      <c r="A11223" s="1">
        <v>34558</v>
      </c>
      <c r="B11223">
        <v>461.94</v>
      </c>
      <c r="C11223">
        <f t="shared" si="370"/>
        <v>6.6684100418410094E-3</v>
      </c>
      <c r="D11223">
        <f t="shared" si="369"/>
        <v>0.67127833678023574</v>
      </c>
    </row>
    <row r="11224" spans="1:4">
      <c r="A11224" s="1">
        <v>34561</v>
      </c>
      <c r="B11224">
        <v>461.23</v>
      </c>
      <c r="C11224">
        <f t="shared" si="370"/>
        <v>-1.5369961466856724E-3</v>
      </c>
      <c r="D11224">
        <f t="shared" si="369"/>
        <v>-0.19520976757510039</v>
      </c>
    </row>
    <row r="11225" spans="1:4">
      <c r="A11225" s="1">
        <v>34562</v>
      </c>
      <c r="B11225">
        <v>465.01</v>
      </c>
      <c r="C11225">
        <f t="shared" si="370"/>
        <v>8.1954773106692382E-3</v>
      </c>
      <c r="D11225">
        <f t="shared" si="369"/>
        <v>0.8325361212931115</v>
      </c>
    </row>
    <row r="11226" spans="1:4">
      <c r="A11226" s="1">
        <v>34563</v>
      </c>
      <c r="B11226">
        <v>465.17</v>
      </c>
      <c r="C11226">
        <f t="shared" si="370"/>
        <v>3.4407862196517283E-4</v>
      </c>
      <c r="D11226">
        <f t="shared" si="369"/>
        <v>3.4310885860477499E-3</v>
      </c>
    </row>
    <row r="11227" spans="1:4">
      <c r="A11227" s="1">
        <v>34564</v>
      </c>
      <c r="B11227">
        <v>463.17</v>
      </c>
      <c r="C11227">
        <f t="shared" si="370"/>
        <v>-4.2995034073564503E-3</v>
      </c>
      <c r="D11227">
        <f t="shared" si="369"/>
        <v>-0.48692959528009194</v>
      </c>
    </row>
    <row r="11228" spans="1:4">
      <c r="A11228" s="1">
        <v>34565</v>
      </c>
      <c r="B11228">
        <v>463.68</v>
      </c>
      <c r="C11228">
        <f t="shared" si="370"/>
        <v>1.1011075846881079E-3</v>
      </c>
      <c r="D11228">
        <f t="shared" si="369"/>
        <v>8.3373089722942412E-2</v>
      </c>
    </row>
    <row r="11229" spans="1:4">
      <c r="A11229" s="1">
        <v>34568</v>
      </c>
      <c r="B11229">
        <v>462.32</v>
      </c>
      <c r="C11229">
        <f t="shared" si="370"/>
        <v>-2.933057280883397E-3</v>
      </c>
      <c r="D11229">
        <f t="shared" si="369"/>
        <v>-0.34263334880214369</v>
      </c>
    </row>
    <row r="11230" spans="1:4">
      <c r="A11230" s="1">
        <v>34569</v>
      </c>
      <c r="B11230">
        <v>464.51</v>
      </c>
      <c r="C11230">
        <f t="shared" si="370"/>
        <v>4.7369787160408327E-3</v>
      </c>
      <c r="D11230">
        <f t="shared" si="369"/>
        <v>0.46731984530114362</v>
      </c>
    </row>
    <row r="11231" spans="1:4">
      <c r="A11231" s="1">
        <v>34570</v>
      </c>
      <c r="B11231">
        <v>469.03</v>
      </c>
      <c r="C11231">
        <f t="shared" si="370"/>
        <v>9.7306839465242552E-3</v>
      </c>
      <c r="D11231">
        <f t="shared" si="369"/>
        <v>0.99465342019731084</v>
      </c>
    </row>
    <row r="11232" spans="1:4">
      <c r="A11232" s="1">
        <v>34571</v>
      </c>
      <c r="B11232">
        <v>468.08</v>
      </c>
      <c r="C11232">
        <f t="shared" si="370"/>
        <v>-2.0254567938084744E-3</v>
      </c>
      <c r="D11232">
        <f t="shared" si="369"/>
        <v>-0.24679104587542705</v>
      </c>
    </row>
    <row r="11233" spans="1:4">
      <c r="A11233" s="1">
        <v>34572</v>
      </c>
      <c r="B11233">
        <v>473.8</v>
      </c>
      <c r="C11233">
        <f t="shared" si="370"/>
        <v>1.2220133310545264E-2</v>
      </c>
      <c r="D11233">
        <f t="shared" si="369"/>
        <v>1.2575384268329755</v>
      </c>
    </row>
    <row r="11234" spans="1:4">
      <c r="A11234" s="1">
        <v>34575</v>
      </c>
      <c r="B11234">
        <v>474.59</v>
      </c>
      <c r="C11234">
        <f t="shared" si="370"/>
        <v>1.6673701983958707E-3</v>
      </c>
      <c r="D11234">
        <f t="shared" si="369"/>
        <v>0.14317022924846756</v>
      </c>
    </row>
    <row r="11235" spans="1:4">
      <c r="A11235" s="1">
        <v>34576</v>
      </c>
      <c r="B11235">
        <v>476.07</v>
      </c>
      <c r="C11235">
        <f t="shared" si="370"/>
        <v>3.1184812153648798E-3</v>
      </c>
      <c r="D11235">
        <f t="shared" si="369"/>
        <v>0.29640705938379414</v>
      </c>
    </row>
    <row r="11236" spans="1:4">
      <c r="A11236" s="1">
        <v>34577</v>
      </c>
      <c r="B11236">
        <v>475.49</v>
      </c>
      <c r="C11236">
        <f t="shared" si="370"/>
        <v>-1.2183082319826581E-3</v>
      </c>
      <c r="D11236">
        <f t="shared" si="369"/>
        <v>-0.16155643210974763</v>
      </c>
    </row>
    <row r="11237" spans="1:4">
      <c r="A11237" s="1">
        <v>34578</v>
      </c>
      <c r="B11237">
        <v>473.17</v>
      </c>
      <c r="C11237">
        <f t="shared" si="370"/>
        <v>-4.8791772697638078E-3</v>
      </c>
      <c r="D11237">
        <f t="shared" si="369"/>
        <v>-0.54814295810958935</v>
      </c>
    </row>
    <row r="11238" spans="1:4">
      <c r="A11238" s="1">
        <v>34579</v>
      </c>
      <c r="B11238">
        <v>470.99</v>
      </c>
      <c r="C11238">
        <f t="shared" si="370"/>
        <v>-4.6072236194179828E-3</v>
      </c>
      <c r="D11238">
        <f t="shared" si="369"/>
        <v>-0.51942474507460745</v>
      </c>
    </row>
    <row r="11239" spans="1:4">
      <c r="A11239" s="1">
        <v>34583</v>
      </c>
      <c r="B11239">
        <v>471.86</v>
      </c>
      <c r="C11239">
        <f t="shared" si="370"/>
        <v>1.8471729760716883E-3</v>
      </c>
      <c r="D11239">
        <f t="shared" si="369"/>
        <v>0.16215734145310018</v>
      </c>
    </row>
    <row r="11240" spans="1:4">
      <c r="A11240" s="1">
        <v>34584</v>
      </c>
      <c r="B11240">
        <v>470.99</v>
      </c>
      <c r="C11240">
        <f t="shared" si="370"/>
        <v>-1.8437672190904177E-3</v>
      </c>
      <c r="D11240">
        <f t="shared" si="369"/>
        <v>-0.22760468854448745</v>
      </c>
    </row>
    <row r="11241" spans="1:4">
      <c r="A11241" s="1">
        <v>34585</v>
      </c>
      <c r="B11241">
        <v>473.14</v>
      </c>
      <c r="C11241">
        <f t="shared" si="370"/>
        <v>4.5648527569586983E-3</v>
      </c>
      <c r="D11241">
        <f t="shared" si="369"/>
        <v>0.44914340253052648</v>
      </c>
    </row>
    <row r="11242" spans="1:4">
      <c r="A11242" s="1">
        <v>34586</v>
      </c>
      <c r="B11242">
        <v>468.18</v>
      </c>
      <c r="C11242">
        <f t="shared" si="370"/>
        <v>-1.048315509151621E-2</v>
      </c>
      <c r="D11242">
        <f t="shared" si="369"/>
        <v>-1.1399211112020278</v>
      </c>
    </row>
    <row r="11243" spans="1:4">
      <c r="A11243" s="1">
        <v>34589</v>
      </c>
      <c r="B11243">
        <v>466.21</v>
      </c>
      <c r="C11243">
        <f t="shared" si="370"/>
        <v>-4.2077833311974606E-3</v>
      </c>
      <c r="D11243">
        <f t="shared" si="369"/>
        <v>-0.47724398641487137</v>
      </c>
    </row>
    <row r="11244" spans="1:4">
      <c r="A11244" s="1">
        <v>34590</v>
      </c>
      <c r="B11244">
        <v>467.51</v>
      </c>
      <c r="C11244">
        <f t="shared" si="370"/>
        <v>2.7884429763411584E-3</v>
      </c>
      <c r="D11244">
        <f t="shared" si="369"/>
        <v>0.26155513352833742</v>
      </c>
    </row>
    <row r="11245" spans="1:4">
      <c r="A11245" s="1">
        <v>34591</v>
      </c>
      <c r="B11245">
        <v>468.8</v>
      </c>
      <c r="C11245">
        <f t="shared" si="370"/>
        <v>2.7592992663258977E-3</v>
      </c>
      <c r="D11245">
        <f t="shared" si="369"/>
        <v>0.25847756765715424</v>
      </c>
    </row>
    <row r="11246" spans="1:4">
      <c r="A11246" s="1">
        <v>34592</v>
      </c>
      <c r="B11246">
        <v>474.81</v>
      </c>
      <c r="C11246">
        <f t="shared" si="370"/>
        <v>1.2819965870307147E-2</v>
      </c>
      <c r="D11246">
        <f t="shared" si="369"/>
        <v>1.3208805412508366</v>
      </c>
    </row>
    <row r="11247" spans="1:4">
      <c r="A11247" s="1">
        <v>34593</v>
      </c>
      <c r="B11247">
        <v>471.19</v>
      </c>
      <c r="C11247">
        <f t="shared" si="370"/>
        <v>-7.6241022724879521E-3</v>
      </c>
      <c r="D11247">
        <f t="shared" si="369"/>
        <v>-0.83800610535191622</v>
      </c>
    </row>
    <row r="11248" spans="1:4">
      <c r="A11248" s="1">
        <v>34596</v>
      </c>
      <c r="B11248">
        <v>470.85</v>
      </c>
      <c r="C11248">
        <f t="shared" si="370"/>
        <v>-7.2157728304924761E-4</v>
      </c>
      <c r="D11248">
        <f t="shared" si="369"/>
        <v>-0.10910181274943288</v>
      </c>
    </row>
    <row r="11249" spans="1:4">
      <c r="A11249" s="1">
        <v>34597</v>
      </c>
      <c r="B11249">
        <v>463.36</v>
      </c>
      <c r="C11249">
        <f t="shared" si="370"/>
        <v>-1.5907401507911242E-2</v>
      </c>
      <c r="D11249">
        <f t="shared" si="369"/>
        <v>-1.7127196889824012</v>
      </c>
    </row>
    <row r="11250" spans="1:4">
      <c r="A11250" s="1">
        <v>34598</v>
      </c>
      <c r="B11250">
        <v>461.46</v>
      </c>
      <c r="C11250">
        <f t="shared" si="370"/>
        <v>-4.1004834254144383E-3</v>
      </c>
      <c r="D11250">
        <f t="shared" si="369"/>
        <v>-0.46591315283719431</v>
      </c>
    </row>
    <row r="11251" spans="1:4">
      <c r="A11251" s="1">
        <v>34599</v>
      </c>
      <c r="B11251">
        <v>461.27</v>
      </c>
      <c r="C11251">
        <f t="shared" si="370"/>
        <v>-4.1173666189918461E-4</v>
      </c>
      <c r="D11251">
        <f t="shared" si="369"/>
        <v>-7.6382748475930601E-2</v>
      </c>
    </row>
    <row r="11252" spans="1:4">
      <c r="A11252" s="1">
        <v>34600</v>
      </c>
      <c r="B11252">
        <v>459.67</v>
      </c>
      <c r="C11252">
        <f t="shared" si="370"/>
        <v>-3.4686842846921888E-3</v>
      </c>
      <c r="D11252">
        <f t="shared" si="369"/>
        <v>-0.39919537833588725</v>
      </c>
    </row>
    <row r="11253" spans="1:4">
      <c r="A11253" s="1">
        <v>34603</v>
      </c>
      <c r="B11253">
        <v>460.82</v>
      </c>
      <c r="C11253">
        <f t="shared" si="370"/>
        <v>2.5017947658102055E-3</v>
      </c>
      <c r="D11253">
        <f t="shared" si="369"/>
        <v>0.23128517993272973</v>
      </c>
    </row>
    <row r="11254" spans="1:4">
      <c r="A11254" s="1">
        <v>34604</v>
      </c>
      <c r="B11254">
        <v>462.05</v>
      </c>
      <c r="C11254">
        <f t="shared" si="370"/>
        <v>2.669154984592722E-3</v>
      </c>
      <c r="D11254">
        <f t="shared" si="369"/>
        <v>0.24895836214766104</v>
      </c>
    </row>
    <row r="11255" spans="1:4">
      <c r="A11255" s="1">
        <v>34605</v>
      </c>
      <c r="B11255">
        <v>464.84</v>
      </c>
      <c r="C11255">
        <f t="shared" si="370"/>
        <v>6.0383075424736794E-3</v>
      </c>
      <c r="D11255">
        <f t="shared" si="369"/>
        <v>0.6047397270292918</v>
      </c>
    </row>
    <row r="11256" spans="1:4">
      <c r="A11256" s="1">
        <v>34606</v>
      </c>
      <c r="B11256">
        <v>462.24</v>
      </c>
      <c r="C11256">
        <f t="shared" si="370"/>
        <v>-5.5933224335254408E-3</v>
      </c>
      <c r="D11256">
        <f t="shared" si="369"/>
        <v>-0.62355644465308202</v>
      </c>
    </row>
    <row r="11257" spans="1:4">
      <c r="A11257" s="1">
        <v>34607</v>
      </c>
      <c r="B11257">
        <v>462.71</v>
      </c>
      <c r="C11257">
        <f t="shared" si="370"/>
        <v>1.0167878158531725E-3</v>
      </c>
      <c r="D11257">
        <f t="shared" si="369"/>
        <v>7.4468950795655256E-2</v>
      </c>
    </row>
    <row r="11258" spans="1:4">
      <c r="A11258" s="1">
        <v>34610</v>
      </c>
      <c r="B11258">
        <v>461.74</v>
      </c>
      <c r="C11258">
        <f t="shared" si="370"/>
        <v>-2.0963454431500734E-3</v>
      </c>
      <c r="D11258">
        <f t="shared" si="369"/>
        <v>-0.25427686314967723</v>
      </c>
    </row>
    <row r="11259" spans="1:4">
      <c r="A11259" s="1">
        <v>34611</v>
      </c>
      <c r="B11259">
        <v>454.59</v>
      </c>
      <c r="C11259">
        <f t="shared" si="370"/>
        <v>-1.5484904924849555E-2</v>
      </c>
      <c r="D11259">
        <f t="shared" si="369"/>
        <v>-1.6681041934246534</v>
      </c>
    </row>
    <row r="11260" spans="1:4">
      <c r="A11260" s="1">
        <v>34612</v>
      </c>
      <c r="B11260">
        <v>453.52</v>
      </c>
      <c r="C11260">
        <f t="shared" si="370"/>
        <v>-2.3537693306055858E-3</v>
      </c>
      <c r="D11260">
        <f t="shared" si="369"/>
        <v>-0.28146073816234846</v>
      </c>
    </row>
    <row r="11261" spans="1:4">
      <c r="A11261" s="1">
        <v>34613</v>
      </c>
      <c r="B11261">
        <v>452.36</v>
      </c>
      <c r="C11261">
        <f t="shared" si="370"/>
        <v>-2.5577703298641035E-3</v>
      </c>
      <c r="D11261">
        <f t="shared" si="369"/>
        <v>-0.30300317434073903</v>
      </c>
    </row>
    <row r="11262" spans="1:4">
      <c r="A11262" s="1">
        <v>34614</v>
      </c>
      <c r="B11262">
        <v>455.1</v>
      </c>
      <c r="C11262">
        <f t="shared" si="370"/>
        <v>6.0571226456804517E-3</v>
      </c>
      <c r="D11262">
        <f t="shared" si="369"/>
        <v>0.60672659553236263</v>
      </c>
    </row>
    <row r="11263" spans="1:4">
      <c r="A11263" s="1">
        <v>34617</v>
      </c>
      <c r="B11263">
        <v>459.04</v>
      </c>
      <c r="C11263">
        <f t="shared" si="370"/>
        <v>8.6574379257306038E-3</v>
      </c>
      <c r="D11263">
        <f t="shared" si="369"/>
        <v>0.88131900521554907</v>
      </c>
    </row>
    <row r="11264" spans="1:4">
      <c r="A11264" s="1">
        <v>34618</v>
      </c>
      <c r="B11264">
        <v>465.79</v>
      </c>
      <c r="C11264">
        <f t="shared" si="370"/>
        <v>1.4704600906239106E-2</v>
      </c>
      <c r="D11264">
        <f t="shared" si="369"/>
        <v>1.5198973604266768</v>
      </c>
    </row>
    <row r="11265" spans="1:4">
      <c r="A11265" s="1">
        <v>34619</v>
      </c>
      <c r="B11265">
        <v>465.47</v>
      </c>
      <c r="C11265">
        <f t="shared" si="370"/>
        <v>-6.8700487344080629E-4</v>
      </c>
      <c r="D11265">
        <f t="shared" si="369"/>
        <v>-0.1054509780465145</v>
      </c>
    </row>
    <row r="11266" spans="1:4">
      <c r="A11266" s="1">
        <v>34620</v>
      </c>
      <c r="B11266">
        <v>467.79</v>
      </c>
      <c r="C11266">
        <f t="shared" si="370"/>
        <v>4.9842095086686427E-3</v>
      </c>
      <c r="D11266">
        <f t="shared" si="369"/>
        <v>0.49342733296481078</v>
      </c>
    </row>
    <row r="11267" spans="1:4">
      <c r="A11267" s="1">
        <v>34621</v>
      </c>
      <c r="B11267">
        <v>469.1</v>
      </c>
      <c r="C11267">
        <f t="shared" si="370"/>
        <v>2.8004018897368524E-3</v>
      </c>
      <c r="D11267">
        <f t="shared" ref="D11267:D11330" si="371">(C11267-avg)/sd</f>
        <v>0.26281799071789053</v>
      </c>
    </row>
    <row r="11268" spans="1:4">
      <c r="A11268" s="1">
        <v>34624</v>
      </c>
      <c r="B11268">
        <v>468.96</v>
      </c>
      <c r="C11268">
        <f t="shared" ref="C11268:C11331" si="372">(B11268-B11267)/B11267</f>
        <v>-2.9844382860806477E-4</v>
      </c>
      <c r="D11268">
        <f t="shared" si="371"/>
        <v>-6.4419063790493475E-2</v>
      </c>
    </row>
    <row r="11269" spans="1:4">
      <c r="A11269" s="1">
        <v>34625</v>
      </c>
      <c r="B11269">
        <v>467.66</v>
      </c>
      <c r="C11269">
        <f t="shared" si="372"/>
        <v>-2.7720914363697428E-3</v>
      </c>
      <c r="D11269">
        <f t="shared" si="371"/>
        <v>-0.32563541033645083</v>
      </c>
    </row>
    <row r="11270" spans="1:4">
      <c r="A11270" s="1">
        <v>34626</v>
      </c>
      <c r="B11270">
        <v>470.28</v>
      </c>
      <c r="C11270">
        <f t="shared" si="372"/>
        <v>5.6023606893896155E-3</v>
      </c>
      <c r="D11270">
        <f t="shared" si="371"/>
        <v>0.55870388752915001</v>
      </c>
    </row>
    <row r="11271" spans="1:4">
      <c r="A11271" s="1">
        <v>34627</v>
      </c>
      <c r="B11271">
        <v>466.85</v>
      </c>
      <c r="C11271">
        <f t="shared" si="372"/>
        <v>-7.2935272603554266E-3</v>
      </c>
      <c r="D11271">
        <f t="shared" si="371"/>
        <v>-0.80309749643862782</v>
      </c>
    </row>
    <row r="11272" spans="1:4">
      <c r="A11272" s="1">
        <v>34628</v>
      </c>
      <c r="B11272">
        <v>464.89</v>
      </c>
      <c r="C11272">
        <f t="shared" si="372"/>
        <v>-4.1983506479598082E-3</v>
      </c>
      <c r="D11272">
        <f t="shared" si="371"/>
        <v>-0.4762478982713001</v>
      </c>
    </row>
    <row r="11273" spans="1:4">
      <c r="A11273" s="1">
        <v>34631</v>
      </c>
      <c r="B11273">
        <v>460.83</v>
      </c>
      <c r="C11273">
        <f t="shared" si="372"/>
        <v>-8.7332487255049641E-3</v>
      </c>
      <c r="D11273">
        <f t="shared" si="371"/>
        <v>-0.95513159377331491</v>
      </c>
    </row>
    <row r="11274" spans="1:4">
      <c r="A11274" s="1">
        <v>34632</v>
      </c>
      <c r="B11274">
        <v>461.53</v>
      </c>
      <c r="C11274">
        <f t="shared" si="372"/>
        <v>1.5189983291018134E-3</v>
      </c>
      <c r="D11274">
        <f t="shared" si="371"/>
        <v>0.12750221028506392</v>
      </c>
    </row>
    <row r="11275" spans="1:4">
      <c r="A11275" s="1">
        <v>34633</v>
      </c>
      <c r="B11275">
        <v>462.62</v>
      </c>
      <c r="C11275">
        <f t="shared" si="372"/>
        <v>2.3617099646827551E-3</v>
      </c>
      <c r="D11275">
        <f t="shared" si="371"/>
        <v>0.21649227255080847</v>
      </c>
    </row>
    <row r="11276" spans="1:4">
      <c r="A11276" s="1">
        <v>34634</v>
      </c>
      <c r="B11276">
        <v>465.85</v>
      </c>
      <c r="C11276">
        <f t="shared" si="372"/>
        <v>6.9819722450391647E-3</v>
      </c>
      <c r="D11276">
        <f t="shared" si="371"/>
        <v>0.70439039885298937</v>
      </c>
    </row>
    <row r="11277" spans="1:4">
      <c r="A11277" s="1">
        <v>34635</v>
      </c>
      <c r="B11277">
        <v>473.77</v>
      </c>
      <c r="C11277">
        <f t="shared" si="372"/>
        <v>1.7001180637544185E-2</v>
      </c>
      <c r="D11277">
        <f t="shared" si="371"/>
        <v>1.7624153994071126</v>
      </c>
    </row>
    <row r="11278" spans="1:4">
      <c r="A11278" s="1">
        <v>34638</v>
      </c>
      <c r="B11278">
        <v>472.35</v>
      </c>
      <c r="C11278">
        <f t="shared" si="372"/>
        <v>-2.9972349452265005E-3</v>
      </c>
      <c r="D11278">
        <f t="shared" si="371"/>
        <v>-0.34941048834172733</v>
      </c>
    </row>
    <row r="11279" spans="1:4">
      <c r="A11279" s="1">
        <v>34639</v>
      </c>
      <c r="B11279">
        <v>468.42</v>
      </c>
      <c r="C11279">
        <f t="shared" si="372"/>
        <v>-8.3201016195617802E-3</v>
      </c>
      <c r="D11279">
        <f t="shared" si="371"/>
        <v>-0.9115033998212394</v>
      </c>
    </row>
    <row r="11280" spans="1:4">
      <c r="A11280" s="1">
        <v>34640</v>
      </c>
      <c r="B11280">
        <v>466.51</v>
      </c>
      <c r="C11280">
        <f t="shared" si="372"/>
        <v>-4.0775372528927562E-3</v>
      </c>
      <c r="D11280">
        <f t="shared" si="371"/>
        <v>-0.46349004481868766</v>
      </c>
    </row>
    <row r="11281" spans="1:4">
      <c r="A11281" s="1">
        <v>34641</v>
      </c>
      <c r="B11281">
        <v>467.91</v>
      </c>
      <c r="C11281">
        <f t="shared" si="372"/>
        <v>3.001007481083008E-3</v>
      </c>
      <c r="D11281">
        <f t="shared" si="371"/>
        <v>0.28400187297489093</v>
      </c>
    </row>
    <row r="11282" spans="1:4">
      <c r="A11282" s="1">
        <v>34642</v>
      </c>
      <c r="B11282">
        <v>462.28</v>
      </c>
      <c r="C11282">
        <f t="shared" si="372"/>
        <v>-1.2032228419995409E-2</v>
      </c>
      <c r="D11282">
        <f t="shared" si="371"/>
        <v>-1.3035027281338227</v>
      </c>
    </row>
    <row r="11283" spans="1:4">
      <c r="A11283" s="1">
        <v>34645</v>
      </c>
      <c r="B11283">
        <v>463.07</v>
      </c>
      <c r="C11283">
        <f t="shared" si="372"/>
        <v>1.7089210002596274E-3</v>
      </c>
      <c r="D11283">
        <f t="shared" si="371"/>
        <v>0.14755797980147645</v>
      </c>
    </row>
    <row r="11284" spans="1:4">
      <c r="A11284" s="1">
        <v>34646</v>
      </c>
      <c r="B11284">
        <v>465.65</v>
      </c>
      <c r="C11284">
        <f t="shared" si="372"/>
        <v>5.5715118664564408E-3</v>
      </c>
      <c r="D11284">
        <f t="shared" si="371"/>
        <v>0.55544626231343108</v>
      </c>
    </row>
    <row r="11285" spans="1:4">
      <c r="A11285" s="1">
        <v>34647</v>
      </c>
      <c r="B11285">
        <v>465.4</v>
      </c>
      <c r="C11285">
        <f t="shared" si="372"/>
        <v>-5.3688392569526473E-4</v>
      </c>
      <c r="D11285">
        <f t="shared" si="371"/>
        <v>-8.9598256993174794E-2</v>
      </c>
    </row>
    <row r="11286" spans="1:4">
      <c r="A11286" s="1">
        <v>34648</v>
      </c>
      <c r="B11286">
        <v>464.37</v>
      </c>
      <c r="C11286">
        <f t="shared" si="372"/>
        <v>-2.2131499785130486E-3</v>
      </c>
      <c r="D11286">
        <f t="shared" si="371"/>
        <v>-0.2666113823802167</v>
      </c>
    </row>
    <row r="11287" spans="1:4">
      <c r="A11287" s="1">
        <v>34649</v>
      </c>
      <c r="B11287">
        <v>462.35</v>
      </c>
      <c r="C11287">
        <f t="shared" si="372"/>
        <v>-4.3499795421753813E-3</v>
      </c>
      <c r="D11287">
        <f t="shared" si="371"/>
        <v>-0.49225985795929922</v>
      </c>
    </row>
    <row r="11288" spans="1:4">
      <c r="A11288" s="1">
        <v>34652</v>
      </c>
      <c r="B11288">
        <v>466.04</v>
      </c>
      <c r="C11288">
        <f t="shared" si="372"/>
        <v>7.9809668000432512E-3</v>
      </c>
      <c r="D11288">
        <f t="shared" si="371"/>
        <v>0.80988388428667257</v>
      </c>
    </row>
    <row r="11289" spans="1:4">
      <c r="A11289" s="1">
        <v>34653</v>
      </c>
      <c r="B11289">
        <v>465.03</v>
      </c>
      <c r="C11289">
        <f t="shared" si="372"/>
        <v>-2.167195948845695E-3</v>
      </c>
      <c r="D11289">
        <f t="shared" si="371"/>
        <v>-0.26175865246787783</v>
      </c>
    </row>
    <row r="11290" spans="1:4">
      <c r="A11290" s="1">
        <v>34654</v>
      </c>
      <c r="B11290">
        <v>465.62</v>
      </c>
      <c r="C11290">
        <f t="shared" si="372"/>
        <v>1.2687353504075691E-3</v>
      </c>
      <c r="D11290">
        <f t="shared" si="371"/>
        <v>0.10107452480347145</v>
      </c>
    </row>
    <row r="11291" spans="1:4">
      <c r="A11291" s="1">
        <v>34655</v>
      </c>
      <c r="B11291">
        <v>463.57</v>
      </c>
      <c r="C11291">
        <f t="shared" si="372"/>
        <v>-4.4027318414157713E-3</v>
      </c>
      <c r="D11291">
        <f t="shared" si="371"/>
        <v>-0.49783048282770664</v>
      </c>
    </row>
    <row r="11292" spans="1:4">
      <c r="A11292" s="1">
        <v>34656</v>
      </c>
      <c r="B11292">
        <v>461.47</v>
      </c>
      <c r="C11292">
        <f t="shared" si="372"/>
        <v>-4.530060185085243E-3</v>
      </c>
      <c r="D11292">
        <f t="shared" si="371"/>
        <v>-0.51127631263819595</v>
      </c>
    </row>
    <row r="11293" spans="1:4">
      <c r="A11293" s="1">
        <v>34659</v>
      </c>
      <c r="B11293">
        <v>458.3</v>
      </c>
      <c r="C11293">
        <f t="shared" si="372"/>
        <v>-6.8693522872559773E-3</v>
      </c>
      <c r="D11293">
        <f t="shared" si="371"/>
        <v>-0.75830476346340492</v>
      </c>
    </row>
    <row r="11294" spans="1:4">
      <c r="A11294" s="1">
        <v>34660</v>
      </c>
      <c r="B11294">
        <v>450.09</v>
      </c>
      <c r="C11294">
        <f t="shared" si="372"/>
        <v>-1.7914030111280899E-2</v>
      </c>
      <c r="D11294">
        <f t="shared" si="371"/>
        <v>-1.9246189874120339</v>
      </c>
    </row>
    <row r="11295" spans="1:4">
      <c r="A11295" s="1">
        <v>34661</v>
      </c>
      <c r="B11295">
        <v>449.93</v>
      </c>
      <c r="C11295">
        <f t="shared" si="372"/>
        <v>-3.5548445866375209E-4</v>
      </c>
      <c r="D11295">
        <f t="shared" si="371"/>
        <v>-7.0442534935321849E-2</v>
      </c>
    </row>
    <row r="11296" spans="1:4">
      <c r="A11296" s="1">
        <v>34663</v>
      </c>
      <c r="B11296">
        <v>452.29</v>
      </c>
      <c r="C11296">
        <f t="shared" si="372"/>
        <v>5.2452603738359603E-3</v>
      </c>
      <c r="D11296">
        <f t="shared" si="371"/>
        <v>0.52099421559097903</v>
      </c>
    </row>
    <row r="11297" spans="1:4">
      <c r="A11297" s="1">
        <v>34666</v>
      </c>
      <c r="B11297">
        <v>454.16</v>
      </c>
      <c r="C11297">
        <f t="shared" si="372"/>
        <v>4.134515465741017E-3</v>
      </c>
      <c r="D11297">
        <f t="shared" si="371"/>
        <v>0.40369993085669204</v>
      </c>
    </row>
    <row r="11298" spans="1:4">
      <c r="A11298" s="1">
        <v>34667</v>
      </c>
      <c r="B11298">
        <v>455.17</v>
      </c>
      <c r="C11298">
        <f t="shared" si="372"/>
        <v>2.2238858552051941E-3</v>
      </c>
      <c r="D11298">
        <f t="shared" si="371"/>
        <v>0.20193809343866911</v>
      </c>
    </row>
    <row r="11299" spans="1:4">
      <c r="A11299" s="1">
        <v>34668</v>
      </c>
      <c r="B11299">
        <v>453.69</v>
      </c>
      <c r="C11299">
        <f t="shared" si="372"/>
        <v>-3.2515323944900107E-3</v>
      </c>
      <c r="D11299">
        <f t="shared" si="371"/>
        <v>-0.37626421254405112</v>
      </c>
    </row>
    <row r="11300" spans="1:4">
      <c r="A11300" s="1">
        <v>34669</v>
      </c>
      <c r="B11300">
        <v>448.92</v>
      </c>
      <c r="C11300">
        <f t="shared" si="372"/>
        <v>-1.0513786947034278E-2</v>
      </c>
      <c r="D11300">
        <f t="shared" si="371"/>
        <v>-1.143155824732462</v>
      </c>
    </row>
    <row r="11301" spans="1:4">
      <c r="A11301" s="1">
        <v>34670</v>
      </c>
      <c r="B11301">
        <v>453.3</v>
      </c>
      <c r="C11301">
        <f t="shared" si="372"/>
        <v>9.7567495322106283E-3</v>
      </c>
      <c r="D11301">
        <f t="shared" si="371"/>
        <v>0.99740593718566872</v>
      </c>
    </row>
    <row r="11302" spans="1:4">
      <c r="A11302" s="1">
        <v>34673</v>
      </c>
      <c r="B11302">
        <v>453.32</v>
      </c>
      <c r="C11302">
        <f t="shared" si="372"/>
        <v>4.4120891241962959E-5</v>
      </c>
      <c r="D11302">
        <f t="shared" si="371"/>
        <v>-2.8244345817736528E-2</v>
      </c>
    </row>
    <row r="11303" spans="1:4">
      <c r="A11303" s="1">
        <v>34674</v>
      </c>
      <c r="B11303">
        <v>453.11</v>
      </c>
      <c r="C11303">
        <f t="shared" si="372"/>
        <v>-4.6324891908581031E-4</v>
      </c>
      <c r="D11303">
        <f t="shared" si="371"/>
        <v>-8.182242532497129E-2</v>
      </c>
    </row>
    <row r="11304" spans="1:4">
      <c r="A11304" s="1">
        <v>34675</v>
      </c>
      <c r="B11304">
        <v>451.23</v>
      </c>
      <c r="C11304">
        <f t="shared" si="372"/>
        <v>-4.1491028668535134E-3</v>
      </c>
      <c r="D11304">
        <f t="shared" si="371"/>
        <v>-0.47104734932660952</v>
      </c>
    </row>
    <row r="11305" spans="1:4">
      <c r="A11305" s="1">
        <v>34676</v>
      </c>
      <c r="B11305">
        <v>445.45</v>
      </c>
      <c r="C11305">
        <f t="shared" si="372"/>
        <v>-1.2809431996986082E-2</v>
      </c>
      <c r="D11305">
        <f t="shared" si="371"/>
        <v>-1.3855751616797061</v>
      </c>
    </row>
    <row r="11306" spans="1:4">
      <c r="A11306" s="1">
        <v>34677</v>
      </c>
      <c r="B11306">
        <v>446.96</v>
      </c>
      <c r="C11306">
        <f t="shared" si="372"/>
        <v>3.3898305084745558E-3</v>
      </c>
      <c r="D11306">
        <f t="shared" si="371"/>
        <v>0.32506145250006968</v>
      </c>
    </row>
    <row r="11307" spans="1:4">
      <c r="A11307" s="1">
        <v>34680</v>
      </c>
      <c r="B11307">
        <v>449.47</v>
      </c>
      <c r="C11307">
        <f t="shared" si="372"/>
        <v>5.6157150528012524E-3</v>
      </c>
      <c r="D11307">
        <f t="shared" si="371"/>
        <v>0.56011410376605009</v>
      </c>
    </row>
    <row r="11308" spans="1:4">
      <c r="A11308" s="1">
        <v>34681</v>
      </c>
      <c r="B11308">
        <v>450.15</v>
      </c>
      <c r="C11308">
        <f t="shared" si="372"/>
        <v>1.5128929628227688E-3</v>
      </c>
      <c r="D11308">
        <f t="shared" si="371"/>
        <v>0.12685748568131167</v>
      </c>
    </row>
    <row r="11309" spans="1:4">
      <c r="A11309" s="1">
        <v>34682</v>
      </c>
      <c r="B11309">
        <v>454.97</v>
      </c>
      <c r="C11309">
        <f t="shared" si="372"/>
        <v>1.0707541930467733E-2</v>
      </c>
      <c r="D11309">
        <f t="shared" si="371"/>
        <v>1.0978092912515798</v>
      </c>
    </row>
    <row r="11310" spans="1:4">
      <c r="A11310" s="1">
        <v>34683</v>
      </c>
      <c r="B11310">
        <v>455.34</v>
      </c>
      <c r="C11310">
        <f t="shared" si="372"/>
        <v>8.1324043343505652E-4</v>
      </c>
      <c r="D11310">
        <f t="shared" si="371"/>
        <v>5.2974416401419221E-2</v>
      </c>
    </row>
    <row r="11311" spans="1:4">
      <c r="A11311" s="1">
        <v>34684</v>
      </c>
      <c r="B11311">
        <v>458.8</v>
      </c>
      <c r="C11311">
        <f t="shared" si="372"/>
        <v>7.5987174419116189E-3</v>
      </c>
      <c r="D11311">
        <f t="shared" si="371"/>
        <v>0.76951848200084216</v>
      </c>
    </row>
    <row r="11312" spans="1:4">
      <c r="A11312" s="1">
        <v>34687</v>
      </c>
      <c r="B11312">
        <v>457.91</v>
      </c>
      <c r="C11312">
        <f t="shared" si="372"/>
        <v>-1.9398430688752971E-3</v>
      </c>
      <c r="D11312">
        <f t="shared" si="371"/>
        <v>-0.23775026562400259</v>
      </c>
    </row>
    <row r="11313" spans="1:4">
      <c r="A11313" s="1">
        <v>34688</v>
      </c>
      <c r="B11313">
        <v>457.1</v>
      </c>
      <c r="C11313">
        <f t="shared" si="372"/>
        <v>-1.7689065536895946E-3</v>
      </c>
      <c r="D11313">
        <f t="shared" si="371"/>
        <v>-0.2196994277245371</v>
      </c>
    </row>
    <row r="11314" spans="1:4">
      <c r="A11314" s="1">
        <v>34689</v>
      </c>
      <c r="B11314">
        <v>459.61</v>
      </c>
      <c r="C11314">
        <f t="shared" si="372"/>
        <v>5.4911397943557009E-3</v>
      </c>
      <c r="D11314">
        <f t="shared" si="371"/>
        <v>0.5469589988193877</v>
      </c>
    </row>
    <row r="11315" spans="1:4">
      <c r="A11315" s="1">
        <v>34690</v>
      </c>
      <c r="B11315">
        <v>459.68</v>
      </c>
      <c r="C11315">
        <f t="shared" si="372"/>
        <v>1.523030395335027E-4</v>
      </c>
      <c r="D11315">
        <f t="shared" si="371"/>
        <v>-1.6820347731048839E-2</v>
      </c>
    </row>
    <row r="11316" spans="1:4">
      <c r="A11316" s="1">
        <v>34691</v>
      </c>
      <c r="B11316">
        <v>459.83</v>
      </c>
      <c r="C11316">
        <f t="shared" si="372"/>
        <v>3.2631395753562751E-4</v>
      </c>
      <c r="D11316">
        <f t="shared" si="371"/>
        <v>1.5551460607905994E-3</v>
      </c>
    </row>
    <row r="11317" spans="1:4">
      <c r="A11317" s="1">
        <v>34695</v>
      </c>
      <c r="B11317">
        <v>462.47</v>
      </c>
      <c r="C11317">
        <f t="shared" si="372"/>
        <v>5.7412522019007969E-3</v>
      </c>
      <c r="D11317">
        <f t="shared" si="371"/>
        <v>0.5733707840388117</v>
      </c>
    </row>
    <row r="11318" spans="1:4">
      <c r="A11318" s="1">
        <v>34696</v>
      </c>
      <c r="B11318">
        <v>460.86</v>
      </c>
      <c r="C11318">
        <f t="shared" si="372"/>
        <v>-3.4813068955824454E-3</v>
      </c>
      <c r="D11318">
        <f t="shared" si="371"/>
        <v>-0.40052832175526443</v>
      </c>
    </row>
    <row r="11319" spans="1:4">
      <c r="A11319" s="1">
        <v>34697</v>
      </c>
      <c r="B11319">
        <v>461.17</v>
      </c>
      <c r="C11319">
        <f t="shared" si="372"/>
        <v>6.7265547020787717E-4</v>
      </c>
      <c r="D11319">
        <f t="shared" si="371"/>
        <v>3.8128692071779935E-2</v>
      </c>
    </row>
    <row r="11320" spans="1:4">
      <c r="A11320" s="1">
        <v>34698</v>
      </c>
      <c r="B11320">
        <v>459.27</v>
      </c>
      <c r="C11320">
        <f t="shared" si="372"/>
        <v>-4.1199557646855473E-3</v>
      </c>
      <c r="D11320">
        <f t="shared" si="371"/>
        <v>-0.4679694252452537</v>
      </c>
    </row>
    <row r="11321" spans="1:4">
      <c r="A11321" s="1">
        <v>34702</v>
      </c>
      <c r="B11321">
        <v>459.11</v>
      </c>
      <c r="C11321">
        <f t="shared" si="372"/>
        <v>-3.4837894920192517E-4</v>
      </c>
      <c r="D11321">
        <f t="shared" si="371"/>
        <v>-6.9692195551432953E-2</v>
      </c>
    </row>
    <row r="11322" spans="1:4">
      <c r="A11322" s="1">
        <v>34703</v>
      </c>
      <c r="B11322">
        <v>460.71</v>
      </c>
      <c r="C11322">
        <f t="shared" si="372"/>
        <v>3.4850035939098818E-3</v>
      </c>
      <c r="D11322">
        <f t="shared" si="371"/>
        <v>0.33511169797113649</v>
      </c>
    </row>
    <row r="11323" spans="1:4">
      <c r="A11323" s="1">
        <v>34704</v>
      </c>
      <c r="B11323">
        <v>460.34</v>
      </c>
      <c r="C11323">
        <f t="shared" si="372"/>
        <v>-8.0310824596818947E-4</v>
      </c>
      <c r="D11323">
        <f t="shared" si="371"/>
        <v>-0.11771145471995231</v>
      </c>
    </row>
    <row r="11324" spans="1:4">
      <c r="A11324" s="1">
        <v>34705</v>
      </c>
      <c r="B11324">
        <v>460.68</v>
      </c>
      <c r="C11324">
        <f t="shared" si="372"/>
        <v>7.3858452448197383E-4</v>
      </c>
      <c r="D11324">
        <f t="shared" si="371"/>
        <v>4.5090777792750135E-2</v>
      </c>
    </row>
    <row r="11325" spans="1:4">
      <c r="A11325" s="1">
        <v>34708</v>
      </c>
      <c r="B11325">
        <v>460.83</v>
      </c>
      <c r="C11325">
        <f t="shared" si="372"/>
        <v>3.2560562646517598E-4</v>
      </c>
      <c r="D11325">
        <f t="shared" si="371"/>
        <v>1.4803465405243479E-3</v>
      </c>
    </row>
    <row r="11326" spans="1:4">
      <c r="A11326" s="1">
        <v>34709</v>
      </c>
      <c r="B11326">
        <v>461.68</v>
      </c>
      <c r="C11326">
        <f t="shared" si="372"/>
        <v>1.8444979710522812E-3</v>
      </c>
      <c r="D11326">
        <f t="shared" si="371"/>
        <v>0.16187486183232919</v>
      </c>
    </row>
    <row r="11327" spans="1:4">
      <c r="A11327" s="1">
        <v>34710</v>
      </c>
      <c r="B11327">
        <v>461.66</v>
      </c>
      <c r="C11327">
        <f t="shared" si="372"/>
        <v>-4.3320048518414938E-5</v>
      </c>
      <c r="D11327">
        <f t="shared" si="371"/>
        <v>-3.7478079333812864E-2</v>
      </c>
    </row>
    <row r="11328" spans="1:4">
      <c r="A11328" s="1">
        <v>34711</v>
      </c>
      <c r="B11328">
        <v>461.64</v>
      </c>
      <c r="C11328">
        <f t="shared" si="372"/>
        <v>-4.3321925226440785E-5</v>
      </c>
      <c r="D11328">
        <f t="shared" si="371"/>
        <v>-3.747827751354247E-2</v>
      </c>
    </row>
    <row r="11329" spans="1:4">
      <c r="A11329" s="1">
        <v>34712</v>
      </c>
      <c r="B11329">
        <v>465.97</v>
      </c>
      <c r="C11329">
        <f t="shared" si="372"/>
        <v>9.3796031539728816E-3</v>
      </c>
      <c r="D11329">
        <f t="shared" si="371"/>
        <v>0.95757940784204543</v>
      </c>
    </row>
    <row r="11330" spans="1:4">
      <c r="A11330" s="1">
        <v>34715</v>
      </c>
      <c r="B11330">
        <v>469.38</v>
      </c>
      <c r="C11330">
        <f t="shared" si="372"/>
        <v>7.3180676867608818E-3</v>
      </c>
      <c r="D11330">
        <f t="shared" si="371"/>
        <v>0.73988196325441125</v>
      </c>
    </row>
    <row r="11331" spans="1:4">
      <c r="A11331" s="1">
        <v>34716</v>
      </c>
      <c r="B11331">
        <v>470.05</v>
      </c>
      <c r="C11331">
        <f t="shared" si="372"/>
        <v>1.427414887724266E-3</v>
      </c>
      <c r="D11331">
        <f t="shared" ref="D11331:D11394" si="373">(C11331-avg)/sd</f>
        <v>0.11783103000631921</v>
      </c>
    </row>
    <row r="11332" spans="1:4">
      <c r="A11332" s="1">
        <v>34717</v>
      </c>
      <c r="B11332">
        <v>469.71</v>
      </c>
      <c r="C11332">
        <f t="shared" ref="C11332:C11395" si="374">(B11332-B11331)/B11331</f>
        <v>-7.2332730560585427E-4</v>
      </c>
      <c r="D11332">
        <f t="shared" si="373"/>
        <v>-0.10928661453654899</v>
      </c>
    </row>
    <row r="11333" spans="1:4">
      <c r="A11333" s="1">
        <v>34718</v>
      </c>
      <c r="B11333">
        <v>466.95</v>
      </c>
      <c r="C11333">
        <f t="shared" si="374"/>
        <v>-5.8759660215877687E-3</v>
      </c>
      <c r="D11333">
        <f t="shared" si="373"/>
        <v>-0.65340351147724018</v>
      </c>
    </row>
    <row r="11334" spans="1:4">
      <c r="A11334" s="1">
        <v>34719</v>
      </c>
      <c r="B11334">
        <v>464.78</v>
      </c>
      <c r="C11334">
        <f t="shared" si="374"/>
        <v>-4.6471784987686393E-3</v>
      </c>
      <c r="D11334">
        <f t="shared" si="373"/>
        <v>-0.52364396675271341</v>
      </c>
    </row>
    <row r="11335" spans="1:4">
      <c r="A11335" s="1">
        <v>34722</v>
      </c>
      <c r="B11335">
        <v>465.82</v>
      </c>
      <c r="C11335">
        <f t="shared" si="374"/>
        <v>2.2376177976677577E-3</v>
      </c>
      <c r="D11335">
        <f t="shared" si="373"/>
        <v>0.2033881818950018</v>
      </c>
    </row>
    <row r="11336" spans="1:4">
      <c r="A11336" s="1">
        <v>34723</v>
      </c>
      <c r="B11336">
        <v>465.86</v>
      </c>
      <c r="C11336">
        <f t="shared" si="374"/>
        <v>8.5870078571165825E-5</v>
      </c>
      <c r="D11336">
        <f t="shared" si="373"/>
        <v>-2.3835645827010997E-2</v>
      </c>
    </row>
    <row r="11337" spans="1:4">
      <c r="A11337" s="1">
        <v>34724</v>
      </c>
      <c r="B11337">
        <v>467.44</v>
      </c>
      <c r="C11337">
        <f t="shared" si="374"/>
        <v>3.3915768685870949E-3</v>
      </c>
      <c r="D11337">
        <f t="shared" si="373"/>
        <v>0.32524586753433715</v>
      </c>
    </row>
    <row r="11338" spans="1:4">
      <c r="A11338" s="1">
        <v>34725</v>
      </c>
      <c r="B11338">
        <v>468.32</v>
      </c>
      <c r="C11338">
        <f t="shared" si="374"/>
        <v>1.8825945575902693E-3</v>
      </c>
      <c r="D11338">
        <f t="shared" si="373"/>
        <v>0.16589784842108177</v>
      </c>
    </row>
    <row r="11339" spans="1:4">
      <c r="A11339" s="1">
        <v>34726</v>
      </c>
      <c r="B11339">
        <v>470.39</v>
      </c>
      <c r="C11339">
        <f t="shared" si="374"/>
        <v>4.4200546634779493E-3</v>
      </c>
      <c r="D11339">
        <f t="shared" si="373"/>
        <v>0.43385277307822284</v>
      </c>
    </row>
    <row r="11340" spans="1:4">
      <c r="A11340" s="1">
        <v>34729</v>
      </c>
      <c r="B11340">
        <v>468.51</v>
      </c>
      <c r="C11340">
        <f t="shared" si="374"/>
        <v>-3.9966836029677408E-3</v>
      </c>
      <c r="D11340">
        <f t="shared" si="373"/>
        <v>-0.454951926870097</v>
      </c>
    </row>
    <row r="11341" spans="1:4">
      <c r="A11341" s="1">
        <v>34730</v>
      </c>
      <c r="B11341">
        <v>470.42</v>
      </c>
      <c r="C11341">
        <f t="shared" si="374"/>
        <v>4.0767539646966444E-3</v>
      </c>
      <c r="D11341">
        <f t="shared" si="373"/>
        <v>0.39760033598049443</v>
      </c>
    </row>
    <row r="11342" spans="1:4">
      <c r="A11342" s="1">
        <v>34731</v>
      </c>
      <c r="B11342">
        <v>470.4</v>
      </c>
      <c r="C11342">
        <f t="shared" si="374"/>
        <v>-4.251519918379034E-5</v>
      </c>
      <c r="D11342">
        <f t="shared" si="373"/>
        <v>-3.7393087517658088E-2</v>
      </c>
    </row>
    <row r="11343" spans="1:4">
      <c r="A11343" s="1">
        <v>34732</v>
      </c>
      <c r="B11343">
        <v>472.79</v>
      </c>
      <c r="C11343">
        <f t="shared" si="374"/>
        <v>5.0807823129252619E-3</v>
      </c>
      <c r="D11343">
        <f t="shared" si="373"/>
        <v>0.5036253882676186</v>
      </c>
    </row>
    <row r="11344" spans="1:4">
      <c r="A11344" s="1">
        <v>34733</v>
      </c>
      <c r="B11344">
        <v>478.65</v>
      </c>
      <c r="C11344">
        <f t="shared" si="374"/>
        <v>1.2394509190126603E-2</v>
      </c>
      <c r="D11344">
        <f t="shared" si="373"/>
        <v>1.2759524604435235</v>
      </c>
    </row>
    <row r="11345" spans="1:4">
      <c r="A11345" s="1">
        <v>34736</v>
      </c>
      <c r="B11345">
        <v>481.14</v>
      </c>
      <c r="C11345">
        <f t="shared" si="374"/>
        <v>5.2021309934190104E-3</v>
      </c>
      <c r="D11345">
        <f t="shared" si="373"/>
        <v>0.51643976767933775</v>
      </c>
    </row>
    <row r="11346" spans="1:4">
      <c r="A11346" s="1">
        <v>34737</v>
      </c>
      <c r="B11346">
        <v>480.81</v>
      </c>
      <c r="C11346">
        <f t="shared" si="374"/>
        <v>-6.858710562413936E-4</v>
      </c>
      <c r="D11346">
        <f t="shared" si="373"/>
        <v>-0.10533124733565971</v>
      </c>
    </row>
    <row r="11347" spans="1:4">
      <c r="A11347" s="1">
        <v>34738</v>
      </c>
      <c r="B11347">
        <v>481.19</v>
      </c>
      <c r="C11347">
        <f t="shared" si="374"/>
        <v>7.9033297976330665E-4</v>
      </c>
      <c r="D11347">
        <f t="shared" si="373"/>
        <v>5.0555397080304265E-2</v>
      </c>
    </row>
    <row r="11348" spans="1:4">
      <c r="A11348" s="1">
        <v>34739</v>
      </c>
      <c r="B11348">
        <v>480.19</v>
      </c>
      <c r="C11348">
        <f t="shared" si="374"/>
        <v>-2.0781811758349093E-3</v>
      </c>
      <c r="D11348">
        <f t="shared" si="373"/>
        <v>-0.25235872269553034</v>
      </c>
    </row>
    <row r="11349" spans="1:4">
      <c r="A11349" s="1">
        <v>34740</v>
      </c>
      <c r="B11349">
        <v>481.46</v>
      </c>
      <c r="C11349">
        <f t="shared" si="374"/>
        <v>2.6447864387013093E-3</v>
      </c>
      <c r="D11349">
        <f t="shared" si="373"/>
        <v>0.24638505198479907</v>
      </c>
    </row>
    <row r="11350" spans="1:4">
      <c r="A11350" s="1">
        <v>34743</v>
      </c>
      <c r="B11350">
        <v>481.65</v>
      </c>
      <c r="C11350">
        <f t="shared" si="374"/>
        <v>3.9463299131806947E-4</v>
      </c>
      <c r="D11350">
        <f t="shared" si="373"/>
        <v>8.7696128054485529E-3</v>
      </c>
    </row>
    <row r="11351" spans="1:4">
      <c r="A11351" s="1">
        <v>34744</v>
      </c>
      <c r="B11351">
        <v>482.55</v>
      </c>
      <c r="C11351">
        <f t="shared" si="374"/>
        <v>1.8685767673622634E-3</v>
      </c>
      <c r="D11351">
        <f t="shared" si="373"/>
        <v>0.16441757453788275</v>
      </c>
    </row>
    <row r="11352" spans="1:4">
      <c r="A11352" s="1">
        <v>34745</v>
      </c>
      <c r="B11352">
        <v>484.54</v>
      </c>
      <c r="C11352">
        <f t="shared" si="374"/>
        <v>4.1239249818671823E-3</v>
      </c>
      <c r="D11352">
        <f t="shared" si="373"/>
        <v>0.40258157935949546</v>
      </c>
    </row>
    <row r="11353" spans="1:4">
      <c r="A11353" s="1">
        <v>34746</v>
      </c>
      <c r="B11353">
        <v>485.22</v>
      </c>
      <c r="C11353">
        <f t="shared" si="374"/>
        <v>1.4033929087381987E-3</v>
      </c>
      <c r="D11353">
        <f t="shared" si="373"/>
        <v>0.11529431719085791</v>
      </c>
    </row>
    <row r="11354" spans="1:4">
      <c r="A11354" s="1">
        <v>34747</v>
      </c>
      <c r="B11354">
        <v>481.97</v>
      </c>
      <c r="C11354">
        <f t="shared" si="374"/>
        <v>-6.6979926631218828E-3</v>
      </c>
      <c r="D11354">
        <f t="shared" si="373"/>
        <v>-0.74020924540281086</v>
      </c>
    </row>
    <row r="11355" spans="1:4">
      <c r="A11355" s="1">
        <v>34751</v>
      </c>
      <c r="B11355">
        <v>482.72</v>
      </c>
      <c r="C11355">
        <f t="shared" si="374"/>
        <v>1.5561134510446708E-3</v>
      </c>
      <c r="D11355">
        <f t="shared" si="373"/>
        <v>0.13142155454618676</v>
      </c>
    </row>
    <row r="11356" spans="1:4">
      <c r="A11356" s="1">
        <v>34752</v>
      </c>
      <c r="B11356">
        <v>485.07</v>
      </c>
      <c r="C11356">
        <f t="shared" si="374"/>
        <v>4.8682466025852791E-3</v>
      </c>
      <c r="D11356">
        <f t="shared" si="373"/>
        <v>0.48118168950011453</v>
      </c>
    </row>
    <row r="11357" spans="1:4">
      <c r="A11357" s="1">
        <v>34753</v>
      </c>
      <c r="B11357">
        <v>486.91</v>
      </c>
      <c r="C11357">
        <f t="shared" si="374"/>
        <v>3.7932669511617535E-3</v>
      </c>
      <c r="D11357">
        <f t="shared" si="373"/>
        <v>0.36766420371312786</v>
      </c>
    </row>
    <row r="11358" spans="1:4">
      <c r="A11358" s="1">
        <v>34754</v>
      </c>
      <c r="B11358">
        <v>488.11</v>
      </c>
      <c r="C11358">
        <f t="shared" si="374"/>
        <v>2.4645211640754732E-3</v>
      </c>
      <c r="D11358">
        <f t="shared" si="373"/>
        <v>0.22734910025945482</v>
      </c>
    </row>
    <row r="11359" spans="1:4">
      <c r="A11359" s="1">
        <v>34757</v>
      </c>
      <c r="B11359">
        <v>483.81</v>
      </c>
      <c r="C11359">
        <f t="shared" si="374"/>
        <v>-8.8094896642150564E-3</v>
      </c>
      <c r="D11359">
        <f t="shared" si="373"/>
        <v>-0.96318261098554636</v>
      </c>
    </row>
    <row r="11360" spans="1:4">
      <c r="A11360" s="1">
        <v>34758</v>
      </c>
      <c r="B11360">
        <v>487.39</v>
      </c>
      <c r="C11360">
        <f t="shared" si="374"/>
        <v>7.3995990161426677E-3</v>
      </c>
      <c r="D11360">
        <f t="shared" si="373"/>
        <v>0.74849164392328238</v>
      </c>
    </row>
    <row r="11361" spans="1:4">
      <c r="A11361" s="1">
        <v>34759</v>
      </c>
      <c r="B11361">
        <v>485.65</v>
      </c>
      <c r="C11361">
        <f t="shared" si="374"/>
        <v>-3.5700363158866805E-3</v>
      </c>
      <c r="D11361">
        <f t="shared" si="373"/>
        <v>-0.40989811837879625</v>
      </c>
    </row>
    <row r="11362" spans="1:4">
      <c r="A11362" s="1">
        <v>34760</v>
      </c>
      <c r="B11362">
        <v>485.13</v>
      </c>
      <c r="C11362">
        <f t="shared" si="374"/>
        <v>-1.0707299495521091E-3</v>
      </c>
      <c r="D11362">
        <f t="shared" si="373"/>
        <v>-0.14597221564937721</v>
      </c>
    </row>
    <row r="11363" spans="1:4">
      <c r="A11363" s="1">
        <v>34761</v>
      </c>
      <c r="B11363">
        <v>485.42</v>
      </c>
      <c r="C11363">
        <f t="shared" si="374"/>
        <v>5.9777791519803039E-4</v>
      </c>
      <c r="D11363">
        <f t="shared" si="373"/>
        <v>3.0221647714857719E-2</v>
      </c>
    </row>
    <row r="11364" spans="1:4">
      <c r="A11364" s="1">
        <v>34764</v>
      </c>
      <c r="B11364">
        <v>485.63</v>
      </c>
      <c r="C11364">
        <f t="shared" si="374"/>
        <v>4.3261505500387197E-4</v>
      </c>
      <c r="D11364">
        <f t="shared" si="373"/>
        <v>1.2780505819938549E-2</v>
      </c>
    </row>
    <row r="11365" spans="1:4">
      <c r="A11365" s="1">
        <v>34765</v>
      </c>
      <c r="B11365">
        <v>482.12</v>
      </c>
      <c r="C11365">
        <f t="shared" si="374"/>
        <v>-7.2277248110701377E-3</v>
      </c>
      <c r="D11365">
        <f t="shared" si="373"/>
        <v>-0.79614878016144064</v>
      </c>
    </row>
    <row r="11366" spans="1:4">
      <c r="A11366" s="1">
        <v>34766</v>
      </c>
      <c r="B11366">
        <v>483.14</v>
      </c>
      <c r="C11366">
        <f t="shared" si="374"/>
        <v>2.11565585331449E-3</v>
      </c>
      <c r="D11366">
        <f t="shared" si="373"/>
        <v>0.1905090420281759</v>
      </c>
    </row>
    <row r="11367" spans="1:4">
      <c r="A11367" s="1">
        <v>34767</v>
      </c>
      <c r="B11367">
        <v>483.16</v>
      </c>
      <c r="C11367">
        <f t="shared" si="374"/>
        <v>4.1395868692384511E-5</v>
      </c>
      <c r="D11367">
        <f t="shared" si="373"/>
        <v>-2.8532107272691842E-2</v>
      </c>
    </row>
    <row r="11368" spans="1:4">
      <c r="A11368" s="1">
        <v>34768</v>
      </c>
      <c r="B11368">
        <v>489.57</v>
      </c>
      <c r="C11368">
        <f t="shared" si="374"/>
        <v>1.3266826724066495E-2</v>
      </c>
      <c r="D11368">
        <f t="shared" si="373"/>
        <v>1.3680688955124394</v>
      </c>
    </row>
    <row r="11369" spans="1:4">
      <c r="A11369" s="1">
        <v>34771</v>
      </c>
      <c r="B11369">
        <v>490.05</v>
      </c>
      <c r="C11369">
        <f t="shared" si="374"/>
        <v>9.8045223359278177E-4</v>
      </c>
      <c r="D11369">
        <f t="shared" si="373"/>
        <v>7.0631925660022521E-2</v>
      </c>
    </row>
    <row r="11370" spans="1:4">
      <c r="A11370" s="1">
        <v>34772</v>
      </c>
      <c r="B11370">
        <v>492.89</v>
      </c>
      <c r="C11370">
        <f t="shared" si="374"/>
        <v>5.7953270074481682E-3</v>
      </c>
      <c r="D11370">
        <f t="shared" si="373"/>
        <v>0.57908106512369462</v>
      </c>
    </row>
    <row r="11371" spans="1:4">
      <c r="A11371" s="1">
        <v>34773</v>
      </c>
      <c r="B11371">
        <v>491.88</v>
      </c>
      <c r="C11371">
        <f t="shared" si="374"/>
        <v>-2.0491387530686177E-3</v>
      </c>
      <c r="D11371">
        <f t="shared" si="373"/>
        <v>-0.24929185272340912</v>
      </c>
    </row>
    <row r="11372" spans="1:4">
      <c r="A11372" s="1">
        <v>34774</v>
      </c>
      <c r="B11372">
        <v>495.41</v>
      </c>
      <c r="C11372">
        <f t="shared" si="374"/>
        <v>7.1765471253151776E-3</v>
      </c>
      <c r="D11372">
        <f t="shared" si="373"/>
        <v>0.72493744007092098</v>
      </c>
    </row>
    <row r="11373" spans="1:4">
      <c r="A11373" s="1">
        <v>34775</v>
      </c>
      <c r="B11373">
        <v>495.52</v>
      </c>
      <c r="C11373">
        <f t="shared" si="374"/>
        <v>2.2203831170133182E-4</v>
      </c>
      <c r="D11373">
        <f t="shared" si="373"/>
        <v>-9.4563266942968207E-3</v>
      </c>
    </row>
    <row r="11374" spans="1:4">
      <c r="A11374" s="1">
        <v>34778</v>
      </c>
      <c r="B11374">
        <v>496.14</v>
      </c>
      <c r="C11374">
        <f t="shared" si="374"/>
        <v>1.2512108492089211E-3</v>
      </c>
      <c r="D11374">
        <f t="shared" si="373"/>
        <v>9.9223943433761605E-2</v>
      </c>
    </row>
    <row r="11375" spans="1:4">
      <c r="A11375" s="1">
        <v>34779</v>
      </c>
      <c r="B11375">
        <v>495.07</v>
      </c>
      <c r="C11375">
        <f t="shared" si="374"/>
        <v>-2.1566493328495852E-3</v>
      </c>
      <c r="D11375">
        <f t="shared" si="373"/>
        <v>-0.26064493340365757</v>
      </c>
    </row>
    <row r="11376" spans="1:4">
      <c r="A11376" s="1">
        <v>34780</v>
      </c>
      <c r="B11376">
        <v>495.67</v>
      </c>
      <c r="C11376">
        <f t="shared" si="374"/>
        <v>1.2119498252772794E-3</v>
      </c>
      <c r="D11376">
        <f t="shared" si="373"/>
        <v>9.5077992652050705E-2</v>
      </c>
    </row>
    <row r="11377" spans="1:4">
      <c r="A11377" s="1">
        <v>34781</v>
      </c>
      <c r="B11377">
        <v>495.95</v>
      </c>
      <c r="C11377">
        <f t="shared" si="374"/>
        <v>5.6489196441175118E-4</v>
      </c>
      <c r="D11377">
        <f t="shared" si="373"/>
        <v>2.6748902490304441E-2</v>
      </c>
    </row>
    <row r="11378" spans="1:4">
      <c r="A11378" s="1">
        <v>34782</v>
      </c>
      <c r="B11378">
        <v>500.97</v>
      </c>
      <c r="C11378">
        <f t="shared" si="374"/>
        <v>1.0121988103639557E-2</v>
      </c>
      <c r="D11378">
        <f t="shared" si="373"/>
        <v>1.0359750061779409</v>
      </c>
    </row>
    <row r="11379" spans="1:4">
      <c r="A11379" s="1">
        <v>34785</v>
      </c>
      <c r="B11379">
        <v>503.2</v>
      </c>
      <c r="C11379">
        <f t="shared" si="374"/>
        <v>4.4513643531548025E-3</v>
      </c>
      <c r="D11379">
        <f t="shared" si="373"/>
        <v>0.4371590656654179</v>
      </c>
    </row>
    <row r="11380" spans="1:4">
      <c r="A11380" s="1">
        <v>34786</v>
      </c>
      <c r="B11380">
        <v>503.9</v>
      </c>
      <c r="C11380">
        <f t="shared" si="374"/>
        <v>1.3910969793322508E-3</v>
      </c>
      <c r="D11380">
        <f t="shared" si="373"/>
        <v>0.11399587122517929</v>
      </c>
    </row>
    <row r="11381" spans="1:4">
      <c r="A11381" s="1">
        <v>34787</v>
      </c>
      <c r="B11381">
        <v>503.12</v>
      </c>
      <c r="C11381">
        <f t="shared" si="374"/>
        <v>-1.5479261758284833E-3</v>
      </c>
      <c r="D11381">
        <f t="shared" si="373"/>
        <v>-0.1963639749372838</v>
      </c>
    </row>
    <row r="11382" spans="1:4">
      <c r="A11382" s="1">
        <v>34788</v>
      </c>
      <c r="B11382">
        <v>502.22</v>
      </c>
      <c r="C11382">
        <f t="shared" si="374"/>
        <v>-1.788837653044954E-3</v>
      </c>
      <c r="D11382">
        <f t="shared" si="373"/>
        <v>-0.22180414504155319</v>
      </c>
    </row>
    <row r="11383" spans="1:4">
      <c r="A11383" s="1">
        <v>34789</v>
      </c>
      <c r="B11383">
        <v>500.71</v>
      </c>
      <c r="C11383">
        <f t="shared" si="374"/>
        <v>-3.0066504719048377E-3</v>
      </c>
      <c r="D11383">
        <f t="shared" si="373"/>
        <v>-0.35040476475846671</v>
      </c>
    </row>
    <row r="11384" spans="1:4">
      <c r="A11384" s="1">
        <v>34792</v>
      </c>
      <c r="B11384">
        <v>501.85</v>
      </c>
      <c r="C11384">
        <f t="shared" si="374"/>
        <v>2.2767669908730468E-3</v>
      </c>
      <c r="D11384">
        <f t="shared" si="373"/>
        <v>0.20752232339002297</v>
      </c>
    </row>
    <row r="11385" spans="1:4">
      <c r="A11385" s="1">
        <v>34793</v>
      </c>
      <c r="B11385">
        <v>505.24</v>
      </c>
      <c r="C11385">
        <f t="shared" si="374"/>
        <v>6.7550064760386296E-3</v>
      </c>
      <c r="D11385">
        <f t="shared" si="373"/>
        <v>0.6804228907959462</v>
      </c>
    </row>
    <row r="11386" spans="1:4">
      <c r="A11386" s="1">
        <v>34794</v>
      </c>
      <c r="B11386">
        <v>505.57</v>
      </c>
      <c r="C11386">
        <f t="shared" si="374"/>
        <v>6.531549362678808E-4</v>
      </c>
      <c r="D11386">
        <f t="shared" si="373"/>
        <v>3.6069442316269872E-2</v>
      </c>
    </row>
    <row r="11387" spans="1:4">
      <c r="A11387" s="1">
        <v>34795</v>
      </c>
      <c r="B11387">
        <v>506.08</v>
      </c>
      <c r="C11387">
        <f t="shared" si="374"/>
        <v>1.0087623870087049E-3</v>
      </c>
      <c r="D11387">
        <f t="shared" si="373"/>
        <v>7.3621468237655294E-2</v>
      </c>
    </row>
    <row r="11388" spans="1:4">
      <c r="A11388" s="1">
        <v>34796</v>
      </c>
      <c r="B11388">
        <v>506.42</v>
      </c>
      <c r="C11388">
        <f t="shared" si="374"/>
        <v>6.7183054062605087E-4</v>
      </c>
      <c r="D11388">
        <f t="shared" si="373"/>
        <v>3.8041579788346269E-2</v>
      </c>
    </row>
    <row r="11389" spans="1:4">
      <c r="A11389" s="1">
        <v>34799</v>
      </c>
      <c r="B11389">
        <v>507.01</v>
      </c>
      <c r="C11389">
        <f t="shared" si="374"/>
        <v>1.1650408751628588E-3</v>
      </c>
      <c r="D11389">
        <f t="shared" si="373"/>
        <v>9.0124423465094777E-2</v>
      </c>
    </row>
    <row r="11390" spans="1:4">
      <c r="A11390" s="1">
        <v>34800</v>
      </c>
      <c r="B11390">
        <v>505.53</v>
      </c>
      <c r="C11390">
        <f t="shared" si="374"/>
        <v>-2.9190745744660227E-3</v>
      </c>
      <c r="D11390">
        <f t="shared" si="373"/>
        <v>-0.34115677975742181</v>
      </c>
    </row>
    <row r="11391" spans="1:4">
      <c r="A11391" s="1">
        <v>34801</v>
      </c>
      <c r="B11391">
        <v>507.17</v>
      </c>
      <c r="C11391">
        <f t="shared" si="374"/>
        <v>3.2441200324412858E-3</v>
      </c>
      <c r="D11391">
        <f t="shared" si="373"/>
        <v>0.30967447576035367</v>
      </c>
    </row>
    <row r="11392" spans="1:4">
      <c r="A11392" s="1">
        <v>34802</v>
      </c>
      <c r="B11392">
        <v>509.23</v>
      </c>
      <c r="C11392">
        <f t="shared" si="374"/>
        <v>4.0617544413115965E-3</v>
      </c>
      <c r="D11392">
        <f t="shared" si="373"/>
        <v>0.39601639140961908</v>
      </c>
    </row>
    <row r="11393" spans="1:4">
      <c r="A11393" s="1">
        <v>34806</v>
      </c>
      <c r="B11393">
        <v>506.13</v>
      </c>
      <c r="C11393">
        <f t="shared" si="374"/>
        <v>-6.0876224888557675E-3</v>
      </c>
      <c r="D11393">
        <f t="shared" si="373"/>
        <v>-0.67575436247521203</v>
      </c>
    </row>
    <row r="11394" spans="1:4">
      <c r="A11394" s="1">
        <v>34807</v>
      </c>
      <c r="B11394">
        <v>505.37</v>
      </c>
      <c r="C11394">
        <f t="shared" si="374"/>
        <v>-1.5015905004642897E-3</v>
      </c>
      <c r="D11394">
        <f t="shared" si="373"/>
        <v>-0.19147094336908627</v>
      </c>
    </row>
    <row r="11395" spans="1:4">
      <c r="A11395" s="1">
        <v>34808</v>
      </c>
      <c r="B11395">
        <v>504.92</v>
      </c>
      <c r="C11395">
        <f t="shared" si="374"/>
        <v>-8.9043670973739763E-4</v>
      </c>
      <c r="D11395">
        <f t="shared" ref="D11395:D11458" si="375">(C11395-avg)/sd</f>
        <v>-0.12693331080959355</v>
      </c>
    </row>
    <row r="11396" spans="1:4">
      <c r="A11396" s="1">
        <v>34809</v>
      </c>
      <c r="B11396">
        <v>505.29</v>
      </c>
      <c r="C11396">
        <f t="shared" ref="C11396:C11459" si="376">(B11396-B11395)/B11395</f>
        <v>7.3278935276876447E-4</v>
      </c>
      <c r="D11396">
        <f t="shared" si="375"/>
        <v>4.4478809629709799E-2</v>
      </c>
    </row>
    <row r="11397" spans="1:4">
      <c r="A11397" s="1">
        <v>34810</v>
      </c>
      <c r="B11397">
        <v>508.49</v>
      </c>
      <c r="C11397">
        <f t="shared" si="376"/>
        <v>6.3329968928733764E-3</v>
      </c>
      <c r="D11397">
        <f t="shared" si="375"/>
        <v>0.63585882226172263</v>
      </c>
    </row>
    <row r="11398" spans="1:4">
      <c r="A11398" s="1">
        <v>34813</v>
      </c>
      <c r="B11398">
        <v>512.89</v>
      </c>
      <c r="C11398">
        <f t="shared" si="376"/>
        <v>8.6530708568506309E-3</v>
      </c>
      <c r="D11398">
        <f t="shared" si="375"/>
        <v>0.88085784422626279</v>
      </c>
    </row>
    <row r="11399" spans="1:4">
      <c r="A11399" s="1">
        <v>34814</v>
      </c>
      <c r="B11399">
        <v>512.1</v>
      </c>
      <c r="C11399">
        <f t="shared" si="376"/>
        <v>-1.5402912905300623E-3</v>
      </c>
      <c r="D11399">
        <f t="shared" si="375"/>
        <v>-0.19555773364499415</v>
      </c>
    </row>
    <row r="11400" spans="1:4">
      <c r="A11400" s="1">
        <v>34815</v>
      </c>
      <c r="B11400">
        <v>512.66</v>
      </c>
      <c r="C11400">
        <f t="shared" si="376"/>
        <v>1.0935364186681223E-3</v>
      </c>
      <c r="D11400">
        <f t="shared" si="375"/>
        <v>8.2573577164796311E-2</v>
      </c>
    </row>
    <row r="11401" spans="1:4">
      <c r="A11401" s="1">
        <v>34816</v>
      </c>
      <c r="B11401">
        <v>513.54999999999995</v>
      </c>
      <c r="C11401">
        <f t="shared" si="376"/>
        <v>1.7360433815784076E-3</v>
      </c>
      <c r="D11401">
        <f t="shared" si="375"/>
        <v>0.1504220940493943</v>
      </c>
    </row>
    <row r="11402" spans="1:4">
      <c r="A11402" s="1">
        <v>34817</v>
      </c>
      <c r="B11402">
        <v>514.71</v>
      </c>
      <c r="C11402">
        <f t="shared" si="376"/>
        <v>2.25878687566952E-3</v>
      </c>
      <c r="D11402">
        <f t="shared" si="375"/>
        <v>0.20562362933626865</v>
      </c>
    </row>
    <row r="11403" spans="1:4">
      <c r="A11403" s="1">
        <v>34820</v>
      </c>
      <c r="B11403">
        <v>514.26</v>
      </c>
      <c r="C11403">
        <f t="shared" si="376"/>
        <v>-8.7427872005604217E-4</v>
      </c>
      <c r="D11403">
        <f t="shared" si="375"/>
        <v>-0.12522703259160997</v>
      </c>
    </row>
    <row r="11404" spans="1:4">
      <c r="A11404" s="1">
        <v>34821</v>
      </c>
      <c r="B11404">
        <v>514.86</v>
      </c>
      <c r="C11404">
        <f t="shared" si="376"/>
        <v>1.1667250029168568E-3</v>
      </c>
      <c r="D11404">
        <f t="shared" si="375"/>
        <v>9.0302266783454127E-2</v>
      </c>
    </row>
    <row r="11405" spans="1:4">
      <c r="A11405" s="1">
        <v>34822</v>
      </c>
      <c r="B11405">
        <v>520.48</v>
      </c>
      <c r="C11405">
        <f t="shared" si="376"/>
        <v>1.0915588703725294E-2</v>
      </c>
      <c r="D11405">
        <f t="shared" si="375"/>
        <v>1.119778959789044</v>
      </c>
    </row>
    <row r="11406" spans="1:4">
      <c r="A11406" s="1">
        <v>34823</v>
      </c>
      <c r="B11406">
        <v>520.54</v>
      </c>
      <c r="C11406">
        <f t="shared" si="376"/>
        <v>1.1527820473398675E-4</v>
      </c>
      <c r="D11406">
        <f t="shared" si="375"/>
        <v>-2.0730157700524884E-2</v>
      </c>
    </row>
    <row r="11407" spans="1:4">
      <c r="A11407" s="1">
        <v>34824</v>
      </c>
      <c r="B11407">
        <v>520.12</v>
      </c>
      <c r="C11407">
        <f t="shared" si="376"/>
        <v>-8.0685442040949614E-4</v>
      </c>
      <c r="D11407">
        <f t="shared" si="375"/>
        <v>-0.11810704946756773</v>
      </c>
    </row>
    <row r="11408" spans="1:4">
      <c r="A11408" s="1">
        <v>34827</v>
      </c>
      <c r="B11408">
        <v>523.96</v>
      </c>
      <c r="C11408">
        <f t="shared" si="376"/>
        <v>7.38291163577642E-3</v>
      </c>
      <c r="D11408">
        <f t="shared" si="375"/>
        <v>0.74672946222892278</v>
      </c>
    </row>
    <row r="11409" spans="1:4">
      <c r="A11409" s="1">
        <v>34828</v>
      </c>
      <c r="B11409">
        <v>523.55999999999995</v>
      </c>
      <c r="C11409">
        <f t="shared" si="376"/>
        <v>-7.6341705473717634E-4</v>
      </c>
      <c r="D11409">
        <f t="shared" si="375"/>
        <v>-0.11352007841764875</v>
      </c>
    </row>
    <row r="11410" spans="1:4">
      <c r="A11410" s="1">
        <v>34829</v>
      </c>
      <c r="B11410">
        <v>524.36</v>
      </c>
      <c r="C11410">
        <f t="shared" si="376"/>
        <v>1.5280006112003749E-3</v>
      </c>
      <c r="D11410">
        <f t="shared" si="375"/>
        <v>0.12845284821464767</v>
      </c>
    </row>
    <row r="11411" spans="1:4">
      <c r="A11411" s="1">
        <v>34830</v>
      </c>
      <c r="B11411">
        <v>524.37</v>
      </c>
      <c r="C11411">
        <f t="shared" si="376"/>
        <v>1.9070867343029418E-5</v>
      </c>
      <c r="D11411">
        <f t="shared" si="375"/>
        <v>-3.088961982654707E-2</v>
      </c>
    </row>
    <row r="11412" spans="1:4">
      <c r="A11412" s="1">
        <v>34831</v>
      </c>
      <c r="B11412">
        <v>525.54999999999995</v>
      </c>
      <c r="C11412">
        <f t="shared" si="376"/>
        <v>2.2503194309360756E-3</v>
      </c>
      <c r="D11412">
        <f t="shared" si="375"/>
        <v>0.20472947005064124</v>
      </c>
    </row>
    <row r="11413" spans="1:4">
      <c r="A11413" s="1">
        <v>34834</v>
      </c>
      <c r="B11413">
        <v>527.74</v>
      </c>
      <c r="C11413">
        <f t="shared" si="376"/>
        <v>4.1670630767768144E-3</v>
      </c>
      <c r="D11413">
        <f t="shared" si="375"/>
        <v>0.40713694751860169</v>
      </c>
    </row>
    <row r="11414" spans="1:4">
      <c r="A11414" s="1">
        <v>34835</v>
      </c>
      <c r="B11414">
        <v>528.19000000000005</v>
      </c>
      <c r="C11414">
        <f t="shared" si="376"/>
        <v>8.5269261378717826E-4</v>
      </c>
      <c r="D11414">
        <f t="shared" si="375"/>
        <v>5.7140553236155585E-2</v>
      </c>
    </row>
    <row r="11415" spans="1:4">
      <c r="A11415" s="1">
        <v>34836</v>
      </c>
      <c r="B11415">
        <v>527.07000000000005</v>
      </c>
      <c r="C11415">
        <f t="shared" si="376"/>
        <v>-2.120449080823197E-3</v>
      </c>
      <c r="D11415">
        <f t="shared" si="375"/>
        <v>-0.25682219909473453</v>
      </c>
    </row>
    <row r="11416" spans="1:4">
      <c r="A11416" s="1">
        <v>34837</v>
      </c>
      <c r="B11416">
        <v>519.58000000000004</v>
      </c>
      <c r="C11416">
        <f t="shared" si="376"/>
        <v>-1.421063615838505E-2</v>
      </c>
      <c r="D11416">
        <f t="shared" si="375"/>
        <v>-1.5335418448310008</v>
      </c>
    </row>
    <row r="11417" spans="1:4">
      <c r="A11417" s="1">
        <v>34838</v>
      </c>
      <c r="B11417">
        <v>519.19000000000005</v>
      </c>
      <c r="C11417">
        <f t="shared" si="376"/>
        <v>-7.5060625890139405E-4</v>
      </c>
      <c r="D11417">
        <f t="shared" si="375"/>
        <v>-0.11216726273199122</v>
      </c>
    </row>
    <row r="11418" spans="1:4">
      <c r="A11418" s="1">
        <v>34841</v>
      </c>
      <c r="B11418">
        <v>523.65</v>
      </c>
      <c r="C11418">
        <f t="shared" si="376"/>
        <v>8.5903041275832009E-3</v>
      </c>
      <c r="D11418">
        <f t="shared" si="375"/>
        <v>0.87422969895107006</v>
      </c>
    </row>
    <row r="11419" spans="1:4">
      <c r="A11419" s="1">
        <v>34842</v>
      </c>
      <c r="B11419">
        <v>528.59</v>
      </c>
      <c r="C11419">
        <f t="shared" si="376"/>
        <v>9.4337821063688616E-3</v>
      </c>
      <c r="D11419">
        <f t="shared" si="375"/>
        <v>0.96330068679874026</v>
      </c>
    </row>
    <row r="11420" spans="1:4">
      <c r="A11420" s="1">
        <v>34843</v>
      </c>
      <c r="B11420">
        <v>528.61</v>
      </c>
      <c r="C11420">
        <f t="shared" si="376"/>
        <v>3.7836508446966098E-5</v>
      </c>
      <c r="D11420">
        <f t="shared" si="375"/>
        <v>-2.8907974504722697E-2</v>
      </c>
    </row>
    <row r="11421" spans="1:4">
      <c r="A11421" s="1">
        <v>34844</v>
      </c>
      <c r="B11421">
        <v>528.59</v>
      </c>
      <c r="C11421">
        <f t="shared" si="376"/>
        <v>-3.7835076899759387E-5</v>
      </c>
      <c r="D11421">
        <f t="shared" si="375"/>
        <v>-3.6898868195315279E-2</v>
      </c>
    </row>
    <row r="11422" spans="1:4">
      <c r="A11422" s="1">
        <v>34845</v>
      </c>
      <c r="B11422">
        <v>523.65</v>
      </c>
      <c r="C11422">
        <f t="shared" si="376"/>
        <v>-9.345617586409229E-3</v>
      </c>
      <c r="D11422">
        <f t="shared" si="375"/>
        <v>-1.0197975373305157</v>
      </c>
    </row>
    <row r="11423" spans="1:4">
      <c r="A11423" s="1">
        <v>34849</v>
      </c>
      <c r="B11423">
        <v>523.58000000000004</v>
      </c>
      <c r="C11423">
        <f t="shared" si="376"/>
        <v>-1.3367707438162197E-4</v>
      </c>
      <c r="D11423">
        <f t="shared" si="375"/>
        <v>-4.7019750551122126E-2</v>
      </c>
    </row>
    <row r="11424" spans="1:4">
      <c r="A11424" s="1">
        <v>34850</v>
      </c>
      <c r="B11424">
        <v>533.4</v>
      </c>
      <c r="C11424">
        <f t="shared" si="376"/>
        <v>1.8755491042438472E-2</v>
      </c>
      <c r="D11424">
        <f t="shared" si="375"/>
        <v>1.9476699818448691</v>
      </c>
    </row>
    <row r="11425" spans="1:4">
      <c r="A11425" s="1">
        <v>34851</v>
      </c>
      <c r="B11425">
        <v>533.49</v>
      </c>
      <c r="C11425">
        <f t="shared" si="376"/>
        <v>1.6872890888644889E-4</v>
      </c>
      <c r="D11425">
        <f t="shared" si="375"/>
        <v>-1.5085781510802001E-2</v>
      </c>
    </row>
    <row r="11426" spans="1:4">
      <c r="A11426" s="1">
        <v>34852</v>
      </c>
      <c r="B11426">
        <v>532.51</v>
      </c>
      <c r="C11426">
        <f t="shared" si="376"/>
        <v>-1.8369603928846243E-3</v>
      </c>
      <c r="D11426">
        <f t="shared" si="375"/>
        <v>-0.22688589001090831</v>
      </c>
    </row>
    <row r="11427" spans="1:4">
      <c r="A11427" s="1">
        <v>34855</v>
      </c>
      <c r="B11427">
        <v>535.6</v>
      </c>
      <c r="C11427">
        <f t="shared" si="376"/>
        <v>5.8027079303675649E-3</v>
      </c>
      <c r="D11427">
        <f t="shared" si="375"/>
        <v>0.57986048807508539</v>
      </c>
    </row>
    <row r="11428" spans="1:4">
      <c r="A11428" s="1">
        <v>34856</v>
      </c>
      <c r="B11428">
        <v>535.54999999999995</v>
      </c>
      <c r="C11428">
        <f t="shared" si="376"/>
        <v>-9.3353248693181864E-5</v>
      </c>
      <c r="D11428">
        <f t="shared" si="375"/>
        <v>-4.2761568265157181E-2</v>
      </c>
    </row>
    <row r="11429" spans="1:4">
      <c r="A11429" s="1">
        <v>34857</v>
      </c>
      <c r="B11429">
        <v>533.13</v>
      </c>
      <c r="C11429">
        <f t="shared" si="376"/>
        <v>-4.5187190738492375E-3</v>
      </c>
      <c r="D11429">
        <f t="shared" si="375"/>
        <v>-0.51007869514670479</v>
      </c>
    </row>
    <row r="11430" spans="1:4">
      <c r="A11430" s="1">
        <v>34858</v>
      </c>
      <c r="B11430">
        <v>532.35</v>
      </c>
      <c r="C11430">
        <f t="shared" si="376"/>
        <v>-1.4630577907826848E-3</v>
      </c>
      <c r="D11430">
        <f t="shared" si="375"/>
        <v>-0.18740190232461321</v>
      </c>
    </row>
    <row r="11431" spans="1:4">
      <c r="A11431" s="1">
        <v>34859</v>
      </c>
      <c r="B11431">
        <v>527.94000000000005</v>
      </c>
      <c r="C11431">
        <f t="shared" si="376"/>
        <v>-8.2840236686389929E-3</v>
      </c>
      <c r="D11431">
        <f t="shared" si="375"/>
        <v>-0.90769358046728443</v>
      </c>
    </row>
    <row r="11432" spans="1:4">
      <c r="A11432" s="1">
        <v>34862</v>
      </c>
      <c r="B11432">
        <v>530.88</v>
      </c>
      <c r="C11432">
        <f t="shared" si="376"/>
        <v>5.568814638026936E-3</v>
      </c>
      <c r="D11432">
        <f t="shared" si="375"/>
        <v>0.55516143590810796</v>
      </c>
    </row>
    <row r="11433" spans="1:4">
      <c r="A11433" s="1">
        <v>34863</v>
      </c>
      <c r="B11433">
        <v>536.04999999999995</v>
      </c>
      <c r="C11433">
        <f t="shared" si="376"/>
        <v>9.7385473176611649E-3</v>
      </c>
      <c r="D11433">
        <f t="shared" si="375"/>
        <v>0.99548378951647876</v>
      </c>
    </row>
    <row r="11434" spans="1:4">
      <c r="A11434" s="1">
        <v>34864</v>
      </c>
      <c r="B11434">
        <v>536.47</v>
      </c>
      <c r="C11434">
        <f t="shared" si="376"/>
        <v>7.8350900102615946E-4</v>
      </c>
      <c r="D11434">
        <f t="shared" si="375"/>
        <v>4.9834787245244601E-2</v>
      </c>
    </row>
    <row r="11435" spans="1:4">
      <c r="A11435" s="1">
        <v>34865</v>
      </c>
      <c r="B11435">
        <v>537.12</v>
      </c>
      <c r="C11435">
        <f t="shared" si="376"/>
        <v>1.2116241355527378E-3</v>
      </c>
      <c r="D11435">
        <f t="shared" si="375"/>
        <v>9.5043599927846431E-2</v>
      </c>
    </row>
    <row r="11436" spans="1:4">
      <c r="A11436" s="1">
        <v>34866</v>
      </c>
      <c r="B11436">
        <v>539.83000000000004</v>
      </c>
      <c r="C11436">
        <f t="shared" si="376"/>
        <v>5.0454274649985786E-3</v>
      </c>
      <c r="D11436">
        <f t="shared" si="375"/>
        <v>0.49989192834425755</v>
      </c>
    </row>
    <row r="11437" spans="1:4">
      <c r="A11437" s="1">
        <v>34869</v>
      </c>
      <c r="B11437">
        <v>545.22</v>
      </c>
      <c r="C11437">
        <f t="shared" si="376"/>
        <v>9.9846247892854904E-3</v>
      </c>
      <c r="D11437">
        <f t="shared" si="375"/>
        <v>1.0214694868742107</v>
      </c>
    </row>
    <row r="11438" spans="1:4">
      <c r="A11438" s="1">
        <v>34870</v>
      </c>
      <c r="B11438">
        <v>544.98</v>
      </c>
      <c r="C11438">
        <f t="shared" si="376"/>
        <v>-4.4018928139101477E-4</v>
      </c>
      <c r="D11438">
        <f t="shared" si="375"/>
        <v>-7.9387335422752572E-2</v>
      </c>
    </row>
    <row r="11439" spans="1:4">
      <c r="A11439" s="1">
        <v>34871</v>
      </c>
      <c r="B11439">
        <v>543.98</v>
      </c>
      <c r="C11439">
        <f t="shared" si="376"/>
        <v>-1.8349297221916399E-3</v>
      </c>
      <c r="D11439">
        <f t="shared" si="375"/>
        <v>-0.2266714518759877</v>
      </c>
    </row>
    <row r="11440" spans="1:4">
      <c r="A11440" s="1">
        <v>34872</v>
      </c>
      <c r="B11440">
        <v>551.07000000000005</v>
      </c>
      <c r="C11440">
        <f t="shared" si="376"/>
        <v>1.3033567410566623E-2</v>
      </c>
      <c r="D11440">
        <f t="shared" si="375"/>
        <v>1.3434367912955461</v>
      </c>
    </row>
    <row r="11441" spans="1:4">
      <c r="A11441" s="1">
        <v>34873</v>
      </c>
      <c r="B11441">
        <v>549.71</v>
      </c>
      <c r="C11441">
        <f t="shared" si="376"/>
        <v>-2.4679260348050404E-3</v>
      </c>
      <c r="D11441">
        <f t="shared" si="375"/>
        <v>-0.2935156473220617</v>
      </c>
    </row>
    <row r="11442" spans="1:4">
      <c r="A11442" s="1">
        <v>34876</v>
      </c>
      <c r="B11442">
        <v>544.13</v>
      </c>
      <c r="C11442">
        <f t="shared" si="376"/>
        <v>-1.0150806789034291E-2</v>
      </c>
      <c r="D11442">
        <f t="shared" si="375"/>
        <v>-1.1048252434306141</v>
      </c>
    </row>
    <row r="11443" spans="1:4">
      <c r="A11443" s="1">
        <v>34877</v>
      </c>
      <c r="B11443">
        <v>542.42999999999995</v>
      </c>
      <c r="C11443">
        <f t="shared" si="376"/>
        <v>-3.1242533953284059E-3</v>
      </c>
      <c r="D11443">
        <f t="shared" si="375"/>
        <v>-0.36282359349681959</v>
      </c>
    </row>
    <row r="11444" spans="1:4">
      <c r="A11444" s="1">
        <v>34878</v>
      </c>
      <c r="B11444">
        <v>544.73</v>
      </c>
      <c r="C11444">
        <f t="shared" si="376"/>
        <v>4.240178456206457E-3</v>
      </c>
      <c r="D11444">
        <f t="shared" si="375"/>
        <v>0.41485790673324685</v>
      </c>
    </row>
    <row r="11445" spans="1:4">
      <c r="A11445" s="1">
        <v>34879</v>
      </c>
      <c r="B11445">
        <v>543.87</v>
      </c>
      <c r="C11445">
        <f t="shared" si="376"/>
        <v>-1.5787637912360502E-3</v>
      </c>
      <c r="D11445">
        <f t="shared" si="375"/>
        <v>-0.19962041664210806</v>
      </c>
    </row>
    <row r="11446" spans="1:4">
      <c r="A11446" s="1">
        <v>34880</v>
      </c>
      <c r="B11446">
        <v>544.75</v>
      </c>
      <c r="C11446">
        <f t="shared" si="376"/>
        <v>1.618033721293683E-3</v>
      </c>
      <c r="D11446">
        <f t="shared" si="375"/>
        <v>0.13796031403675993</v>
      </c>
    </row>
    <row r="11447" spans="1:4">
      <c r="A11447" s="1">
        <v>34883</v>
      </c>
      <c r="B11447">
        <v>547.09</v>
      </c>
      <c r="C11447">
        <f t="shared" si="376"/>
        <v>4.2955484167049689E-3</v>
      </c>
      <c r="D11447">
        <f t="shared" si="375"/>
        <v>0.42070495574072569</v>
      </c>
    </row>
    <row r="11448" spans="1:4">
      <c r="A11448" s="1">
        <v>34885</v>
      </c>
      <c r="B11448">
        <v>547.26</v>
      </c>
      <c r="C11448">
        <f t="shared" si="376"/>
        <v>3.1073497961936621E-4</v>
      </c>
      <c r="D11448">
        <f t="shared" si="375"/>
        <v>-8.9988711614701864E-5</v>
      </c>
    </row>
    <row r="11449" spans="1:4">
      <c r="A11449" s="1">
        <v>34886</v>
      </c>
      <c r="B11449">
        <v>553.99</v>
      </c>
      <c r="C11449">
        <f t="shared" si="376"/>
        <v>1.2297628184044181E-2</v>
      </c>
      <c r="D11449">
        <f t="shared" si="375"/>
        <v>1.2657218591326738</v>
      </c>
    </row>
    <row r="11450" spans="1:4">
      <c r="A11450" s="1">
        <v>34887</v>
      </c>
      <c r="B11450">
        <v>556.37</v>
      </c>
      <c r="C11450">
        <f t="shared" si="376"/>
        <v>4.2961064279138528E-3</v>
      </c>
      <c r="D11450">
        <f t="shared" si="375"/>
        <v>0.42076388153470662</v>
      </c>
    </row>
    <row r="11451" spans="1:4">
      <c r="A11451" s="1">
        <v>34890</v>
      </c>
      <c r="B11451">
        <v>557.19000000000005</v>
      </c>
      <c r="C11451">
        <f t="shared" si="376"/>
        <v>1.4738393515107751E-3</v>
      </c>
      <c r="D11451">
        <f t="shared" si="375"/>
        <v>0.12273343760173261</v>
      </c>
    </row>
    <row r="11452" spans="1:4">
      <c r="A11452" s="1">
        <v>34891</v>
      </c>
      <c r="B11452">
        <v>554.78</v>
      </c>
      <c r="C11452">
        <f t="shared" si="376"/>
        <v>-4.3252750408300251E-3</v>
      </c>
      <c r="D11452">
        <f t="shared" si="375"/>
        <v>-0.48965107101469757</v>
      </c>
    </row>
    <row r="11453" spans="1:4">
      <c r="A11453" s="1">
        <v>34892</v>
      </c>
      <c r="B11453">
        <v>560.89</v>
      </c>
      <c r="C11453">
        <f t="shared" si="376"/>
        <v>1.1013374671040799E-2</v>
      </c>
      <c r="D11453">
        <f t="shared" si="375"/>
        <v>1.1301051246984959</v>
      </c>
    </row>
    <row r="11454" spans="1:4">
      <c r="A11454" s="1">
        <v>34893</v>
      </c>
      <c r="B11454">
        <v>561</v>
      </c>
      <c r="C11454">
        <f t="shared" si="376"/>
        <v>1.9611688566387999E-4</v>
      </c>
      <c r="D11454">
        <f t="shared" si="375"/>
        <v>-1.2193620472730914E-2</v>
      </c>
    </row>
    <row r="11455" spans="1:4">
      <c r="A11455" s="1">
        <v>34894</v>
      </c>
      <c r="B11455">
        <v>559.89</v>
      </c>
      <c r="C11455">
        <f t="shared" si="376"/>
        <v>-1.9786096256684737E-3</v>
      </c>
      <c r="D11455">
        <f t="shared" si="375"/>
        <v>-0.24184400084396915</v>
      </c>
    </row>
    <row r="11456" spans="1:4">
      <c r="A11456" s="1">
        <v>34897</v>
      </c>
      <c r="B11456">
        <v>562.72</v>
      </c>
      <c r="C11456">
        <f t="shared" si="376"/>
        <v>5.0545642894140649E-3</v>
      </c>
      <c r="D11456">
        <f t="shared" si="375"/>
        <v>0.50085677389677541</v>
      </c>
    </row>
    <row r="11457" spans="1:4">
      <c r="A11457" s="1">
        <v>34898</v>
      </c>
      <c r="B11457">
        <v>558.46</v>
      </c>
      <c r="C11457">
        <f t="shared" si="376"/>
        <v>-7.5703724765424909E-3</v>
      </c>
      <c r="D11457">
        <f t="shared" si="375"/>
        <v>-0.8323322571637205</v>
      </c>
    </row>
    <row r="11458" spans="1:4">
      <c r="A11458" s="1">
        <v>34899</v>
      </c>
      <c r="B11458">
        <v>550.98</v>
      </c>
      <c r="C11458">
        <f t="shared" si="376"/>
        <v>-1.339397629194574E-2</v>
      </c>
      <c r="D11458">
        <f t="shared" si="375"/>
        <v>-1.4473028405311859</v>
      </c>
    </row>
    <row r="11459" spans="1:4">
      <c r="A11459" s="1">
        <v>34900</v>
      </c>
      <c r="B11459">
        <v>553.54</v>
      </c>
      <c r="C11459">
        <f t="shared" si="376"/>
        <v>4.6462666521469844E-3</v>
      </c>
      <c r="D11459">
        <f t="shared" ref="D11459:D11522" si="377">(C11459-avg)/sd</f>
        <v>0.45774068218848196</v>
      </c>
    </row>
    <row r="11460" spans="1:4">
      <c r="A11460" s="1">
        <v>34901</v>
      </c>
      <c r="B11460">
        <v>553.62</v>
      </c>
      <c r="C11460">
        <f t="shared" ref="C11460:C11523" si="378">(B11460-B11459)/B11459</f>
        <v>1.4452433428485914E-4</v>
      </c>
      <c r="D11460">
        <f t="shared" si="377"/>
        <v>-1.7641776361195214E-2</v>
      </c>
    </row>
    <row r="11461" spans="1:4">
      <c r="A11461" s="1">
        <v>34904</v>
      </c>
      <c r="B11461">
        <v>556.63</v>
      </c>
      <c r="C11461">
        <f t="shared" si="378"/>
        <v>5.436942306997563E-3</v>
      </c>
      <c r="D11461">
        <f t="shared" si="377"/>
        <v>0.54123576257698935</v>
      </c>
    </row>
    <row r="11462" spans="1:4">
      <c r="A11462" s="1">
        <v>34905</v>
      </c>
      <c r="B11462">
        <v>561.1</v>
      </c>
      <c r="C11462">
        <f t="shared" si="378"/>
        <v>8.0304690728132278E-3</v>
      </c>
      <c r="D11462">
        <f t="shared" si="377"/>
        <v>0.81511130746454197</v>
      </c>
    </row>
    <row r="11463" spans="1:4">
      <c r="A11463" s="1">
        <v>34906</v>
      </c>
      <c r="B11463">
        <v>561.61</v>
      </c>
      <c r="C11463">
        <f t="shared" si="378"/>
        <v>9.089288896809675E-4</v>
      </c>
      <c r="D11463">
        <f t="shared" si="377"/>
        <v>6.3079084854900769E-2</v>
      </c>
    </row>
    <row r="11464" spans="1:4">
      <c r="A11464" s="1">
        <v>34907</v>
      </c>
      <c r="B11464">
        <v>565.22</v>
      </c>
      <c r="C11464">
        <f t="shared" si="378"/>
        <v>6.4279482202952466E-3</v>
      </c>
      <c r="D11464">
        <f t="shared" si="377"/>
        <v>0.64588565016194766</v>
      </c>
    </row>
    <row r="11465" spans="1:4">
      <c r="A11465" s="1">
        <v>34908</v>
      </c>
      <c r="B11465">
        <v>562.92999999999995</v>
      </c>
      <c r="C11465">
        <f t="shared" si="378"/>
        <v>-4.0515197622166188E-3</v>
      </c>
      <c r="D11465">
        <f t="shared" si="377"/>
        <v>-0.46074260664706235</v>
      </c>
    </row>
    <row r="11466" spans="1:4">
      <c r="A11466" s="1">
        <v>34911</v>
      </c>
      <c r="B11466">
        <v>562.05999999999995</v>
      </c>
      <c r="C11466">
        <f t="shared" si="378"/>
        <v>-1.5454852290693419E-3</v>
      </c>
      <c r="D11466">
        <f t="shared" si="377"/>
        <v>-0.19610621178923657</v>
      </c>
    </row>
    <row r="11467" spans="1:4">
      <c r="A11467" s="1">
        <v>34912</v>
      </c>
      <c r="B11467">
        <v>559.64</v>
      </c>
      <c r="C11467">
        <f t="shared" si="378"/>
        <v>-4.3055901505176658E-3</v>
      </c>
      <c r="D11467">
        <f t="shared" si="377"/>
        <v>-0.48757235328893178</v>
      </c>
    </row>
    <row r="11468" spans="1:4">
      <c r="A11468" s="1">
        <v>34913</v>
      </c>
      <c r="B11468">
        <v>558.79999999999995</v>
      </c>
      <c r="C11468">
        <f t="shared" si="378"/>
        <v>-1.5009649060110639E-3</v>
      </c>
      <c r="D11468">
        <f t="shared" si="377"/>
        <v>-0.1914048808074755</v>
      </c>
    </row>
    <row r="11469" spans="1:4">
      <c r="A11469" s="1">
        <v>34914</v>
      </c>
      <c r="B11469">
        <v>558.75</v>
      </c>
      <c r="C11469">
        <f t="shared" si="378"/>
        <v>-8.9477451682094719E-5</v>
      </c>
      <c r="D11469">
        <f t="shared" si="377"/>
        <v>-4.2352285418233791E-2</v>
      </c>
    </row>
    <row r="11470" spans="1:4">
      <c r="A11470" s="1">
        <v>34915</v>
      </c>
      <c r="B11470">
        <v>558.94000000000005</v>
      </c>
      <c r="C11470">
        <f t="shared" si="378"/>
        <v>3.4004474272940414E-4</v>
      </c>
      <c r="D11470">
        <f t="shared" si="377"/>
        <v>3.0051123099327512E-3</v>
      </c>
    </row>
    <row r="11471" spans="1:4">
      <c r="A11471" s="1">
        <v>34918</v>
      </c>
      <c r="B11471">
        <v>560.03</v>
      </c>
      <c r="C11471">
        <f t="shared" si="378"/>
        <v>1.9501198697533153E-3</v>
      </c>
      <c r="D11471">
        <f t="shared" si="377"/>
        <v>0.1730284984325306</v>
      </c>
    </row>
    <row r="11472" spans="1:4">
      <c r="A11472" s="1">
        <v>34919</v>
      </c>
      <c r="B11472">
        <v>560.39</v>
      </c>
      <c r="C11472">
        <f t="shared" si="378"/>
        <v>6.4282270592649264E-4</v>
      </c>
      <c r="D11472">
        <f t="shared" si="377"/>
        <v>3.4978362304315017E-2</v>
      </c>
    </row>
    <row r="11473" spans="1:4">
      <c r="A11473" s="1">
        <v>34920</v>
      </c>
      <c r="B11473">
        <v>559.71</v>
      </c>
      <c r="C11473">
        <f t="shared" si="378"/>
        <v>-1.2134406395545067E-3</v>
      </c>
      <c r="D11473">
        <f t="shared" si="377"/>
        <v>-0.16104241600390989</v>
      </c>
    </row>
    <row r="11474" spans="1:4">
      <c r="A11474" s="1">
        <v>34921</v>
      </c>
      <c r="B11474">
        <v>557.45000000000005</v>
      </c>
      <c r="C11474">
        <f t="shared" si="378"/>
        <v>-4.0378052920262116E-3</v>
      </c>
      <c r="D11474">
        <f t="shared" si="377"/>
        <v>-0.45929436325673029</v>
      </c>
    </row>
    <row r="11475" spans="1:4">
      <c r="A11475" s="1">
        <v>34922</v>
      </c>
      <c r="B11475">
        <v>555.11</v>
      </c>
      <c r="C11475">
        <f t="shared" si="378"/>
        <v>-4.1976858911113675E-3</v>
      </c>
      <c r="D11475">
        <f t="shared" si="377"/>
        <v>-0.47617770017406658</v>
      </c>
    </row>
    <row r="11476" spans="1:4">
      <c r="A11476" s="1">
        <v>34925</v>
      </c>
      <c r="B11476">
        <v>559.74</v>
      </c>
      <c r="C11476">
        <f t="shared" si="378"/>
        <v>8.3406892327646687E-3</v>
      </c>
      <c r="D11476">
        <f t="shared" si="377"/>
        <v>0.84787045090645841</v>
      </c>
    </row>
    <row r="11477" spans="1:4">
      <c r="A11477" s="1">
        <v>34926</v>
      </c>
      <c r="B11477">
        <v>558.57000000000005</v>
      </c>
      <c r="C11477">
        <f t="shared" si="378"/>
        <v>-2.090256190374029E-3</v>
      </c>
      <c r="D11477">
        <f t="shared" si="377"/>
        <v>-0.25363384012636453</v>
      </c>
    </row>
    <row r="11478" spans="1:4">
      <c r="A11478" s="1">
        <v>34927</v>
      </c>
      <c r="B11478">
        <v>559.97</v>
      </c>
      <c r="C11478">
        <f t="shared" si="378"/>
        <v>2.5064002721234173E-3</v>
      </c>
      <c r="D11478">
        <f t="shared" si="377"/>
        <v>0.23177151983391725</v>
      </c>
    </row>
    <row r="11479" spans="1:4">
      <c r="A11479" s="1">
        <v>34928</v>
      </c>
      <c r="B11479">
        <v>559.04</v>
      </c>
      <c r="C11479">
        <f t="shared" si="378"/>
        <v>-1.6608032573174698E-3</v>
      </c>
      <c r="D11479">
        <f t="shared" si="377"/>
        <v>-0.20828375637373656</v>
      </c>
    </row>
    <row r="11480" spans="1:4">
      <c r="A11480" s="1">
        <v>34929</v>
      </c>
      <c r="B11480">
        <v>559.21</v>
      </c>
      <c r="C11480">
        <f t="shared" si="378"/>
        <v>3.0409273039509299E-4</v>
      </c>
      <c r="D11480">
        <f t="shared" si="377"/>
        <v>-7.9140797188774188E-4</v>
      </c>
    </row>
    <row r="11481" spans="1:4">
      <c r="A11481" s="1">
        <v>34932</v>
      </c>
      <c r="B11481">
        <v>558.11</v>
      </c>
      <c r="C11481">
        <f t="shared" si="378"/>
        <v>-1.9670606748806757E-3</v>
      </c>
      <c r="D11481">
        <f t="shared" si="377"/>
        <v>-0.2406244355664568</v>
      </c>
    </row>
    <row r="11482" spans="1:4">
      <c r="A11482" s="1">
        <v>34933</v>
      </c>
      <c r="B11482">
        <v>559.52</v>
      </c>
      <c r="C11482">
        <f t="shared" si="378"/>
        <v>2.5263836878034224E-3</v>
      </c>
      <c r="D11482">
        <f t="shared" si="377"/>
        <v>0.23388176173703276</v>
      </c>
    </row>
    <row r="11483" spans="1:4">
      <c r="A11483" s="1">
        <v>34934</v>
      </c>
      <c r="B11483">
        <v>557.14</v>
      </c>
      <c r="C11483">
        <f t="shared" si="378"/>
        <v>-4.2536459822705092E-3</v>
      </c>
      <c r="D11483">
        <f t="shared" si="377"/>
        <v>-0.48208706677871271</v>
      </c>
    </row>
    <row r="11484" spans="1:4">
      <c r="A11484" s="1">
        <v>34935</v>
      </c>
      <c r="B11484">
        <v>557.46</v>
      </c>
      <c r="C11484">
        <f t="shared" si="378"/>
        <v>5.7436191980480677E-4</v>
      </c>
      <c r="D11484">
        <f t="shared" si="377"/>
        <v>2.7748926560816869E-2</v>
      </c>
    </row>
    <row r="11485" spans="1:4">
      <c r="A11485" s="1">
        <v>34936</v>
      </c>
      <c r="B11485">
        <v>560.1</v>
      </c>
      <c r="C11485">
        <f t="shared" si="378"/>
        <v>4.7357657948552115E-3</v>
      </c>
      <c r="D11485">
        <f t="shared" si="377"/>
        <v>0.46719176123623396</v>
      </c>
    </row>
    <row r="11486" spans="1:4">
      <c r="A11486" s="1">
        <v>34939</v>
      </c>
      <c r="B11486">
        <v>559.04999999999995</v>
      </c>
      <c r="C11486">
        <f t="shared" si="378"/>
        <v>-1.8746652383504162E-3</v>
      </c>
      <c r="D11486">
        <f t="shared" si="377"/>
        <v>-0.23086750887559626</v>
      </c>
    </row>
    <row r="11487" spans="1:4">
      <c r="A11487" s="1">
        <v>34940</v>
      </c>
      <c r="B11487">
        <v>560</v>
      </c>
      <c r="C11487">
        <f t="shared" si="378"/>
        <v>1.699311331723541E-3</v>
      </c>
      <c r="D11487">
        <f t="shared" si="377"/>
        <v>0.14654320207055077</v>
      </c>
    </row>
    <row r="11488" spans="1:4">
      <c r="A11488" s="1">
        <v>34941</v>
      </c>
      <c r="B11488">
        <v>560.91999999999996</v>
      </c>
      <c r="C11488">
        <f t="shared" si="378"/>
        <v>1.6428571428570699E-3</v>
      </c>
      <c r="D11488">
        <f t="shared" si="377"/>
        <v>0.14058165891596261</v>
      </c>
    </row>
    <row r="11489" spans="1:4">
      <c r="A11489" s="1">
        <v>34942</v>
      </c>
      <c r="B11489">
        <v>561.88</v>
      </c>
      <c r="C11489">
        <f t="shared" si="378"/>
        <v>1.7114740069885839E-3</v>
      </c>
      <c r="D11489">
        <f t="shared" si="377"/>
        <v>0.1478275764442451</v>
      </c>
    </row>
    <row r="11490" spans="1:4">
      <c r="A11490" s="1">
        <v>34943</v>
      </c>
      <c r="B11490">
        <v>563.84</v>
      </c>
      <c r="C11490">
        <f t="shared" si="378"/>
        <v>3.48828931444443E-3</v>
      </c>
      <c r="D11490">
        <f t="shared" si="377"/>
        <v>0.33545866894271414</v>
      </c>
    </row>
    <row r="11491" spans="1:4">
      <c r="A11491" s="1">
        <v>34947</v>
      </c>
      <c r="B11491">
        <v>569.16999999999996</v>
      </c>
      <c r="C11491">
        <f t="shared" si="378"/>
        <v>9.4530363223608235E-3</v>
      </c>
      <c r="D11491">
        <f t="shared" si="377"/>
        <v>0.96533392546266539</v>
      </c>
    </row>
    <row r="11492" spans="1:4">
      <c r="A11492" s="1">
        <v>34948</v>
      </c>
      <c r="B11492">
        <v>570.16999999999996</v>
      </c>
      <c r="C11492">
        <f t="shared" si="378"/>
        <v>1.7569443224344221E-3</v>
      </c>
      <c r="D11492">
        <f t="shared" si="377"/>
        <v>0.15262922629921444</v>
      </c>
    </row>
    <row r="11493" spans="1:4">
      <c r="A11493" s="1">
        <v>34949</v>
      </c>
      <c r="B11493">
        <v>570.29</v>
      </c>
      <c r="C11493">
        <f t="shared" si="378"/>
        <v>2.1046354595998483E-4</v>
      </c>
      <c r="D11493">
        <f t="shared" si="377"/>
        <v>-1.0678618022129023E-2</v>
      </c>
    </row>
    <row r="11494" spans="1:4">
      <c r="A11494" s="1">
        <v>34950</v>
      </c>
      <c r="B11494">
        <v>572.67999999999995</v>
      </c>
      <c r="C11494">
        <f t="shared" si="378"/>
        <v>4.1908502691612804E-3</v>
      </c>
      <c r="D11494">
        <f t="shared" si="377"/>
        <v>0.40964886694874175</v>
      </c>
    </row>
    <row r="11495" spans="1:4">
      <c r="A11495" s="1">
        <v>34953</v>
      </c>
      <c r="B11495">
        <v>573.91</v>
      </c>
      <c r="C11495">
        <f t="shared" si="378"/>
        <v>2.1477963260459914E-3</v>
      </c>
      <c r="D11495">
        <f t="shared" si="377"/>
        <v>0.19390306502354493</v>
      </c>
    </row>
    <row r="11496" spans="1:4">
      <c r="A11496" s="1">
        <v>34954</v>
      </c>
      <c r="B11496">
        <v>576.51</v>
      </c>
      <c r="C11496">
        <f t="shared" si="378"/>
        <v>4.5303270547647238E-3</v>
      </c>
      <c r="D11496">
        <f t="shared" si="377"/>
        <v>0.44549750011469919</v>
      </c>
    </row>
    <row r="11497" spans="1:4">
      <c r="A11497" s="1">
        <v>34955</v>
      </c>
      <c r="B11497">
        <v>578.77</v>
      </c>
      <c r="C11497">
        <f t="shared" si="378"/>
        <v>3.920140153683355E-3</v>
      </c>
      <c r="D11497">
        <f t="shared" si="377"/>
        <v>0.38106197077311205</v>
      </c>
    </row>
    <row r="11498" spans="1:4">
      <c r="A11498" s="1">
        <v>34956</v>
      </c>
      <c r="B11498">
        <v>583.61</v>
      </c>
      <c r="C11498">
        <f t="shared" si="378"/>
        <v>8.3625619848990661E-3</v>
      </c>
      <c r="D11498">
        <f t="shared" si="377"/>
        <v>0.850180206096941</v>
      </c>
    </row>
    <row r="11499" spans="1:4">
      <c r="A11499" s="1">
        <v>34957</v>
      </c>
      <c r="B11499">
        <v>583.35</v>
      </c>
      <c r="C11499">
        <f t="shared" si="378"/>
        <v>-4.455029900104366E-4</v>
      </c>
      <c r="D11499">
        <f t="shared" si="377"/>
        <v>-7.9948461246746205E-2</v>
      </c>
    </row>
    <row r="11500" spans="1:4">
      <c r="A11500" s="1">
        <v>34960</v>
      </c>
      <c r="B11500">
        <v>582.77</v>
      </c>
      <c r="C11500">
        <f t="shared" si="378"/>
        <v>-9.9425730693415769E-4</v>
      </c>
      <c r="D11500">
        <f t="shared" si="377"/>
        <v>-0.13789673058323576</v>
      </c>
    </row>
    <row r="11501" spans="1:4">
      <c r="A11501" s="1">
        <v>34961</v>
      </c>
      <c r="B11501">
        <v>584.20000000000005</v>
      </c>
      <c r="C11501">
        <f t="shared" si="378"/>
        <v>2.4537982394427713E-3</v>
      </c>
      <c r="D11501">
        <f t="shared" si="377"/>
        <v>0.22621676306314067</v>
      </c>
    </row>
    <row r="11502" spans="1:4">
      <c r="A11502" s="1">
        <v>34962</v>
      </c>
      <c r="B11502">
        <v>586.77</v>
      </c>
      <c r="C11502">
        <f t="shared" si="378"/>
        <v>4.3991783635740096E-3</v>
      </c>
      <c r="D11502">
        <f t="shared" si="377"/>
        <v>0.43164824290456594</v>
      </c>
    </row>
    <row r="11503" spans="1:4">
      <c r="A11503" s="1">
        <v>34963</v>
      </c>
      <c r="B11503">
        <v>583</v>
      </c>
      <c r="C11503">
        <f t="shared" si="378"/>
        <v>-6.4250046866744757E-3</v>
      </c>
      <c r="D11503">
        <f t="shared" si="377"/>
        <v>-0.71138180788308647</v>
      </c>
    </row>
    <row r="11504" spans="1:4">
      <c r="A11504" s="1">
        <v>34964</v>
      </c>
      <c r="B11504">
        <v>581.73</v>
      </c>
      <c r="C11504">
        <f t="shared" si="378"/>
        <v>-2.1783876500857322E-3</v>
      </c>
      <c r="D11504">
        <f t="shared" si="377"/>
        <v>-0.26294049231458166</v>
      </c>
    </row>
    <row r="11505" spans="1:4">
      <c r="A11505" s="1">
        <v>34967</v>
      </c>
      <c r="B11505">
        <v>581.80999999999995</v>
      </c>
      <c r="C11505">
        <f t="shared" si="378"/>
        <v>1.3752084300264252E-4</v>
      </c>
      <c r="D11505">
        <f t="shared" si="377"/>
        <v>-1.8381342659994936E-2</v>
      </c>
    </row>
    <row r="11506" spans="1:4">
      <c r="A11506" s="1">
        <v>34968</v>
      </c>
      <c r="B11506">
        <v>581.41</v>
      </c>
      <c r="C11506">
        <f t="shared" si="378"/>
        <v>-6.875096681046687E-4</v>
      </c>
      <c r="D11506">
        <f t="shared" si="377"/>
        <v>-0.10550428419143033</v>
      </c>
    </row>
    <row r="11507" spans="1:4">
      <c r="A11507" s="1">
        <v>34969</v>
      </c>
      <c r="B11507">
        <v>581.04</v>
      </c>
      <c r="C11507">
        <f t="shared" si="378"/>
        <v>-6.3638396312413711E-4</v>
      </c>
      <c r="D11507">
        <f t="shared" si="377"/>
        <v>-0.10010542712395769</v>
      </c>
    </row>
    <row r="11508" spans="1:4">
      <c r="A11508" s="1">
        <v>34970</v>
      </c>
      <c r="B11508">
        <v>585.87</v>
      </c>
      <c r="C11508">
        <f t="shared" si="378"/>
        <v>8.3126807104502987E-3</v>
      </c>
      <c r="D11508">
        <f t="shared" si="377"/>
        <v>0.84491276047062025</v>
      </c>
    </row>
    <row r="11509" spans="1:4">
      <c r="A11509" s="1">
        <v>34971</v>
      </c>
      <c r="B11509">
        <v>584.41</v>
      </c>
      <c r="C11509">
        <f t="shared" si="378"/>
        <v>-2.492020414085098E-3</v>
      </c>
      <c r="D11509">
        <f t="shared" si="377"/>
        <v>-0.29606000558395834</v>
      </c>
    </row>
    <row r="11510" spans="1:4">
      <c r="A11510" s="1">
        <v>34974</v>
      </c>
      <c r="B11510">
        <v>581.72</v>
      </c>
      <c r="C11510">
        <f t="shared" si="378"/>
        <v>-4.6029328724695694E-3</v>
      </c>
      <c r="D11510">
        <f t="shared" si="377"/>
        <v>-0.51897164365535076</v>
      </c>
    </row>
    <row r="11511" spans="1:4">
      <c r="A11511" s="1">
        <v>34975</v>
      </c>
      <c r="B11511">
        <v>582.34</v>
      </c>
      <c r="C11511">
        <f t="shared" si="378"/>
        <v>1.0658048545692162E-3</v>
      </c>
      <c r="D11511">
        <f t="shared" si="377"/>
        <v>7.9645133422368466E-2</v>
      </c>
    </row>
    <row r="11512" spans="1:4">
      <c r="A11512" s="1">
        <v>34976</v>
      </c>
      <c r="B11512">
        <v>581.47</v>
      </c>
      <c r="C11512">
        <f t="shared" si="378"/>
        <v>-1.4939725933303645E-3</v>
      </c>
      <c r="D11512">
        <f t="shared" si="377"/>
        <v>-0.19066649496519622</v>
      </c>
    </row>
    <row r="11513" spans="1:4">
      <c r="A11513" s="1">
        <v>34977</v>
      </c>
      <c r="B11513">
        <v>582.63</v>
      </c>
      <c r="C11513">
        <f t="shared" si="378"/>
        <v>1.9949438492097068E-3</v>
      </c>
      <c r="D11513">
        <f t="shared" si="377"/>
        <v>0.17776189542671461</v>
      </c>
    </row>
    <row r="11514" spans="1:4">
      <c r="A11514" s="1">
        <v>34978</v>
      </c>
      <c r="B11514">
        <v>582.49</v>
      </c>
      <c r="C11514">
        <f t="shared" si="378"/>
        <v>-2.4028972074899396E-4</v>
      </c>
      <c r="D11514">
        <f t="shared" si="377"/>
        <v>-5.8278009768117325E-2</v>
      </c>
    </row>
    <row r="11515" spans="1:4">
      <c r="A11515" s="1">
        <v>34981</v>
      </c>
      <c r="B11515">
        <v>578.37</v>
      </c>
      <c r="C11515">
        <f t="shared" si="378"/>
        <v>-7.0730827997047239E-3</v>
      </c>
      <c r="D11515">
        <f t="shared" si="377"/>
        <v>-0.77981863632662662</v>
      </c>
    </row>
    <row r="11516" spans="1:4">
      <c r="A11516" s="1">
        <v>34982</v>
      </c>
      <c r="B11516">
        <v>577.52</v>
      </c>
      <c r="C11516">
        <f t="shared" si="378"/>
        <v>-1.4696474575099378E-3</v>
      </c>
      <c r="D11516">
        <f t="shared" si="377"/>
        <v>-0.18809776889107457</v>
      </c>
    </row>
    <row r="11517" spans="1:4">
      <c r="A11517" s="1">
        <v>34983</v>
      </c>
      <c r="B11517">
        <v>579.46</v>
      </c>
      <c r="C11517">
        <f t="shared" si="378"/>
        <v>3.3591910236875858E-3</v>
      </c>
      <c r="D11517">
        <f t="shared" si="377"/>
        <v>0.32182593332143256</v>
      </c>
    </row>
    <row r="11518" spans="1:4">
      <c r="A11518" s="1">
        <v>34984</v>
      </c>
      <c r="B11518">
        <v>583.1</v>
      </c>
      <c r="C11518">
        <f t="shared" si="378"/>
        <v>6.2817105581057988E-3</v>
      </c>
      <c r="D11518">
        <f t="shared" si="377"/>
        <v>0.63044300274333864</v>
      </c>
    </row>
    <row r="11519" spans="1:4">
      <c r="A11519" s="1">
        <v>34985</v>
      </c>
      <c r="B11519">
        <v>584.5</v>
      </c>
      <c r="C11519">
        <f t="shared" si="378"/>
        <v>2.4009603841536223E-3</v>
      </c>
      <c r="D11519">
        <f t="shared" si="377"/>
        <v>0.22063710350506621</v>
      </c>
    </row>
    <row r="11520" spans="1:4">
      <c r="A11520" s="1">
        <v>34988</v>
      </c>
      <c r="B11520">
        <v>583.03</v>
      </c>
      <c r="C11520">
        <f t="shared" si="378"/>
        <v>-2.5149700598802861E-3</v>
      </c>
      <c r="D11520">
        <f t="shared" si="377"/>
        <v>-0.2984834803789666</v>
      </c>
    </row>
    <row r="11521" spans="1:4">
      <c r="A11521" s="1">
        <v>34989</v>
      </c>
      <c r="B11521">
        <v>586.78</v>
      </c>
      <c r="C11521">
        <f t="shared" si="378"/>
        <v>6.4319160249043791E-3</v>
      </c>
      <c r="D11521">
        <f t="shared" si="377"/>
        <v>0.64630464897994977</v>
      </c>
    </row>
    <row r="11522" spans="1:4">
      <c r="A11522" s="1">
        <v>34990</v>
      </c>
      <c r="B11522">
        <v>587.44000000000005</v>
      </c>
      <c r="C11522">
        <f t="shared" si="378"/>
        <v>1.1247827124306927E-3</v>
      </c>
      <c r="D11522">
        <f t="shared" si="377"/>
        <v>8.5873175164992432E-2</v>
      </c>
    </row>
    <row r="11523" spans="1:4">
      <c r="A11523" s="1">
        <v>34991</v>
      </c>
      <c r="B11523">
        <v>590.65</v>
      </c>
      <c r="C11523">
        <f t="shared" si="378"/>
        <v>5.4643878523762809E-3</v>
      </c>
      <c r="D11523">
        <f t="shared" ref="D11523:D11586" si="379">(C11523-avg)/sd</f>
        <v>0.54413400283978786</v>
      </c>
    </row>
    <row r="11524" spans="1:4">
      <c r="A11524" s="1">
        <v>34992</v>
      </c>
      <c r="B11524">
        <v>587.46</v>
      </c>
      <c r="C11524">
        <f t="shared" ref="C11524:C11587" si="380">(B11524-B11523)/B11523</f>
        <v>-5.400829594514418E-3</v>
      </c>
      <c r="D11524">
        <f t="shared" si="379"/>
        <v>-0.60322926628501317</v>
      </c>
    </row>
    <row r="11525" spans="1:4">
      <c r="A11525" s="1">
        <v>34995</v>
      </c>
      <c r="B11525">
        <v>585.05999999999995</v>
      </c>
      <c r="C11525">
        <f t="shared" si="380"/>
        <v>-4.0853845368196825E-3</v>
      </c>
      <c r="D11525">
        <f t="shared" si="379"/>
        <v>-0.46431871533394969</v>
      </c>
    </row>
    <row r="11526" spans="1:4">
      <c r="A11526" s="1">
        <v>34996</v>
      </c>
      <c r="B11526">
        <v>586.54</v>
      </c>
      <c r="C11526">
        <f t="shared" si="380"/>
        <v>2.5296550781116782E-3</v>
      </c>
      <c r="D11526">
        <f t="shared" si="379"/>
        <v>0.23422721944158498</v>
      </c>
    </row>
    <row r="11527" spans="1:4">
      <c r="A11527" s="1">
        <v>34997</v>
      </c>
      <c r="B11527">
        <v>582.47</v>
      </c>
      <c r="C11527">
        <f t="shared" si="380"/>
        <v>-6.9389981927915172E-3</v>
      </c>
      <c r="D11527">
        <f t="shared" si="379"/>
        <v>-0.7656593474141643</v>
      </c>
    </row>
    <row r="11528" spans="1:4">
      <c r="A11528" s="1">
        <v>34998</v>
      </c>
      <c r="B11528">
        <v>576.72</v>
      </c>
      <c r="C11528">
        <f t="shared" si="380"/>
        <v>-9.8717530516593127E-3</v>
      </c>
      <c r="D11528">
        <f t="shared" si="379"/>
        <v>-1.0753572636187905</v>
      </c>
    </row>
    <row r="11529" spans="1:4">
      <c r="A11529" s="1">
        <v>34999</v>
      </c>
      <c r="B11529">
        <v>579.70000000000005</v>
      </c>
      <c r="C11529">
        <f t="shared" si="380"/>
        <v>5.1671521708975205E-3</v>
      </c>
      <c r="D11529">
        <f t="shared" si="379"/>
        <v>0.51274601591094793</v>
      </c>
    </row>
    <row r="11530" spans="1:4">
      <c r="A11530" s="1">
        <v>35002</v>
      </c>
      <c r="B11530">
        <v>583.25</v>
      </c>
      <c r="C11530">
        <f t="shared" si="380"/>
        <v>6.123857167500352E-3</v>
      </c>
      <c r="D11530">
        <f t="shared" si="379"/>
        <v>0.61377373835237792</v>
      </c>
    </row>
    <row r="11531" spans="1:4">
      <c r="A11531" s="1">
        <v>35003</v>
      </c>
      <c r="B11531">
        <v>581.5</v>
      </c>
      <c r="C11531">
        <f t="shared" si="380"/>
        <v>-3.0004286326618087E-3</v>
      </c>
      <c r="D11531">
        <f t="shared" si="379"/>
        <v>-0.3497477406493088</v>
      </c>
    </row>
    <row r="11532" spans="1:4">
      <c r="A11532" s="1">
        <v>35004</v>
      </c>
      <c r="B11532">
        <v>584.22</v>
      </c>
      <c r="C11532">
        <f t="shared" si="380"/>
        <v>4.6775580395529278E-3</v>
      </c>
      <c r="D11532">
        <f t="shared" si="379"/>
        <v>0.46104504206209018</v>
      </c>
    </row>
    <row r="11533" spans="1:4">
      <c r="A11533" s="1">
        <v>35005</v>
      </c>
      <c r="B11533">
        <v>589.72</v>
      </c>
      <c r="C11533">
        <f t="shared" si="380"/>
        <v>9.4142617507103482E-3</v>
      </c>
      <c r="D11533">
        <f t="shared" si="379"/>
        <v>0.96123934387649246</v>
      </c>
    </row>
    <row r="11534" spans="1:4">
      <c r="A11534" s="1">
        <v>35006</v>
      </c>
      <c r="B11534">
        <v>590.57000000000005</v>
      </c>
      <c r="C11534">
        <f t="shared" si="380"/>
        <v>1.4413620023062178E-3</v>
      </c>
      <c r="D11534">
        <f t="shared" si="379"/>
        <v>0.11930384056531873</v>
      </c>
    </row>
    <row r="11535" spans="1:4">
      <c r="A11535" s="1">
        <v>35009</v>
      </c>
      <c r="B11535">
        <v>588.46</v>
      </c>
      <c r="C11535">
        <f t="shared" si="380"/>
        <v>-3.5728194794859432E-3</v>
      </c>
      <c r="D11535">
        <f t="shared" si="379"/>
        <v>-0.4101920195088351</v>
      </c>
    </row>
    <row r="11536" spans="1:4">
      <c r="A11536" s="1">
        <v>35010</v>
      </c>
      <c r="B11536">
        <v>586.32000000000005</v>
      </c>
      <c r="C11536">
        <f t="shared" si="380"/>
        <v>-3.6366108146687732E-3</v>
      </c>
      <c r="D11536">
        <f t="shared" si="379"/>
        <v>-0.41692836282041357</v>
      </c>
    </row>
    <row r="11537" spans="1:4">
      <c r="A11537" s="1">
        <v>35011</v>
      </c>
      <c r="B11537">
        <v>591.71</v>
      </c>
      <c r="C11537">
        <f t="shared" si="380"/>
        <v>9.1929321872015034E-3</v>
      </c>
      <c r="D11537">
        <f t="shared" si="379"/>
        <v>0.93786701720353249</v>
      </c>
    </row>
    <row r="11538" spans="1:4">
      <c r="A11538" s="1">
        <v>35012</v>
      </c>
      <c r="B11538">
        <v>593.26</v>
      </c>
      <c r="C11538">
        <f t="shared" si="380"/>
        <v>2.6195264572171409E-3</v>
      </c>
      <c r="D11538">
        <f t="shared" si="379"/>
        <v>0.2437176065263558</v>
      </c>
    </row>
    <row r="11539" spans="1:4">
      <c r="A11539" s="1">
        <v>35013</v>
      </c>
      <c r="B11539">
        <v>592.72</v>
      </c>
      <c r="C11539">
        <f t="shared" si="380"/>
        <v>-9.102248592522058E-4</v>
      </c>
      <c r="D11539">
        <f t="shared" si="379"/>
        <v>-0.12902293267203849</v>
      </c>
    </row>
    <row r="11540" spans="1:4">
      <c r="A11540" s="1">
        <v>35016</v>
      </c>
      <c r="B11540">
        <v>592.29999999999995</v>
      </c>
      <c r="C11540">
        <f t="shared" si="380"/>
        <v>-7.0859765150504917E-4</v>
      </c>
      <c r="D11540">
        <f t="shared" si="379"/>
        <v>-0.10773116807035665</v>
      </c>
    </row>
    <row r="11541" spans="1:4">
      <c r="A11541" s="1">
        <v>35017</v>
      </c>
      <c r="B11541">
        <v>589.29</v>
      </c>
      <c r="C11541">
        <f t="shared" si="380"/>
        <v>-5.0818841803140155E-3</v>
      </c>
      <c r="D11541">
        <f t="shared" si="379"/>
        <v>-0.56954873896026459</v>
      </c>
    </row>
    <row r="11542" spans="1:4">
      <c r="A11542" s="1">
        <v>35018</v>
      </c>
      <c r="B11542">
        <v>593.96</v>
      </c>
      <c r="C11542">
        <f t="shared" si="380"/>
        <v>7.9247908500060631E-3</v>
      </c>
      <c r="D11542">
        <f t="shared" si="379"/>
        <v>0.80395172305787865</v>
      </c>
    </row>
    <row r="11543" spans="1:4">
      <c r="A11543" s="1">
        <v>35019</v>
      </c>
      <c r="B11543">
        <v>597.34</v>
      </c>
      <c r="C11543">
        <f t="shared" si="380"/>
        <v>5.6906188968954058E-3</v>
      </c>
      <c r="D11543">
        <f t="shared" si="379"/>
        <v>0.56802392424133907</v>
      </c>
    </row>
    <row r="11544" spans="1:4">
      <c r="A11544" s="1">
        <v>35020</v>
      </c>
      <c r="B11544">
        <v>600.07000000000005</v>
      </c>
      <c r="C11544">
        <f t="shared" si="380"/>
        <v>4.5702614926173002E-3</v>
      </c>
      <c r="D11544">
        <f t="shared" si="379"/>
        <v>0.44971456317755626</v>
      </c>
    </row>
    <row r="11545" spans="1:4">
      <c r="A11545" s="1">
        <v>35023</v>
      </c>
      <c r="B11545">
        <v>596.85</v>
      </c>
      <c r="C11545">
        <f t="shared" si="380"/>
        <v>-5.366040628593376E-3</v>
      </c>
      <c r="D11545">
        <f t="shared" si="379"/>
        <v>-0.59955556330909521</v>
      </c>
    </row>
    <row r="11546" spans="1:4">
      <c r="A11546" s="1">
        <v>35024</v>
      </c>
      <c r="B11546">
        <v>600.24</v>
      </c>
      <c r="C11546">
        <f t="shared" si="380"/>
        <v>5.6798190500125427E-3</v>
      </c>
      <c r="D11546">
        <f t="shared" si="379"/>
        <v>0.56688346408155499</v>
      </c>
    </row>
    <row r="11547" spans="1:4">
      <c r="A11547" s="1">
        <v>35025</v>
      </c>
      <c r="B11547">
        <v>598.4</v>
      </c>
      <c r="C11547">
        <f t="shared" si="380"/>
        <v>-3.0654404904705314E-3</v>
      </c>
      <c r="D11547">
        <f t="shared" si="379"/>
        <v>-0.35661297073530573</v>
      </c>
    </row>
    <row r="11548" spans="1:4">
      <c r="A11548" s="1">
        <v>35027</v>
      </c>
      <c r="B11548">
        <v>599.97</v>
      </c>
      <c r="C11548">
        <f t="shared" si="380"/>
        <v>2.6236631016043617E-3</v>
      </c>
      <c r="D11548">
        <f t="shared" si="379"/>
        <v>0.24415443476753254</v>
      </c>
    </row>
    <row r="11549" spans="1:4">
      <c r="A11549" s="1">
        <v>35030</v>
      </c>
      <c r="B11549">
        <v>601.32000000000005</v>
      </c>
      <c r="C11549">
        <f t="shared" si="380"/>
        <v>2.2501125056253193E-3</v>
      </c>
      <c r="D11549">
        <f t="shared" si="379"/>
        <v>0.20470761880816268</v>
      </c>
    </row>
    <row r="11550" spans="1:4">
      <c r="A11550" s="1">
        <v>35031</v>
      </c>
      <c r="B11550">
        <v>606.45000000000005</v>
      </c>
      <c r="C11550">
        <f t="shared" si="380"/>
        <v>8.5312312911594405E-3</v>
      </c>
      <c r="D11550">
        <f t="shared" si="379"/>
        <v>0.86799162750455372</v>
      </c>
    </row>
    <row r="11551" spans="1:4">
      <c r="A11551" s="1">
        <v>35032</v>
      </c>
      <c r="B11551">
        <v>607.64</v>
      </c>
      <c r="C11551">
        <f t="shared" si="380"/>
        <v>1.9622392612745334E-3</v>
      </c>
      <c r="D11551">
        <f t="shared" si="379"/>
        <v>0.17430830205758988</v>
      </c>
    </row>
    <row r="11552" spans="1:4">
      <c r="A11552" s="1">
        <v>35033</v>
      </c>
      <c r="B11552">
        <v>605.37</v>
      </c>
      <c r="C11552">
        <f t="shared" si="380"/>
        <v>-3.7357645974589919E-3</v>
      </c>
      <c r="D11552">
        <f t="shared" si="379"/>
        <v>-0.42739896857905235</v>
      </c>
    </row>
    <row r="11553" spans="1:4">
      <c r="A11553" s="1">
        <v>35034</v>
      </c>
      <c r="B11553">
        <v>606.98</v>
      </c>
      <c r="C11553">
        <f t="shared" si="380"/>
        <v>2.6595305350447058E-3</v>
      </c>
      <c r="D11553">
        <f t="shared" si="379"/>
        <v>0.2479420235468999</v>
      </c>
    </row>
    <row r="11554" spans="1:4">
      <c r="A11554" s="1">
        <v>35037</v>
      </c>
      <c r="B11554">
        <v>613.67999999999995</v>
      </c>
      <c r="C11554">
        <f t="shared" si="380"/>
        <v>1.1038254967214622E-2</v>
      </c>
      <c r="D11554">
        <f t="shared" si="379"/>
        <v>1.1327324755172281</v>
      </c>
    </row>
    <row r="11555" spans="1:4">
      <c r="A11555" s="1">
        <v>35038</v>
      </c>
      <c r="B11555">
        <v>617.67999999999995</v>
      </c>
      <c r="C11555">
        <f t="shared" si="380"/>
        <v>6.5180550123843054E-3</v>
      </c>
      <c r="D11555">
        <f t="shared" si="379"/>
        <v>0.65540089677776547</v>
      </c>
    </row>
    <row r="11556" spans="1:4">
      <c r="A11556" s="1">
        <v>35039</v>
      </c>
      <c r="B11556">
        <v>620.17999999999995</v>
      </c>
      <c r="C11556">
        <f t="shared" si="380"/>
        <v>4.0474031861157883E-3</v>
      </c>
      <c r="D11556">
        <f t="shared" si="379"/>
        <v>0.39450090373917041</v>
      </c>
    </row>
    <row r="11557" spans="1:4">
      <c r="A11557" s="1">
        <v>35040</v>
      </c>
      <c r="B11557">
        <v>616.16999999999996</v>
      </c>
      <c r="C11557">
        <f t="shared" si="380"/>
        <v>-6.465864748943841E-3</v>
      </c>
      <c r="D11557">
        <f t="shared" si="379"/>
        <v>-0.71569661656972139</v>
      </c>
    </row>
    <row r="11558" spans="1:4">
      <c r="A11558" s="1">
        <v>35041</v>
      </c>
      <c r="B11558">
        <v>617.48</v>
      </c>
      <c r="C11558">
        <f t="shared" si="380"/>
        <v>2.1260366457309821E-3</v>
      </c>
      <c r="D11558">
        <f t="shared" si="379"/>
        <v>0.19160525017875465</v>
      </c>
    </row>
    <row r="11559" spans="1:4">
      <c r="A11559" s="1">
        <v>35044</v>
      </c>
      <c r="B11559">
        <v>619.52</v>
      </c>
      <c r="C11559">
        <f t="shared" si="380"/>
        <v>3.3037507287684842E-3</v>
      </c>
      <c r="D11559">
        <f t="shared" si="379"/>
        <v>0.3159714570230473</v>
      </c>
    </row>
    <row r="11560" spans="1:4">
      <c r="A11560" s="1">
        <v>35045</v>
      </c>
      <c r="B11560">
        <v>618.78</v>
      </c>
      <c r="C11560">
        <f t="shared" si="380"/>
        <v>-1.1944731404958824E-3</v>
      </c>
      <c r="D11560">
        <f t="shared" si="379"/>
        <v>-0.15903945455068538</v>
      </c>
    </row>
    <row r="11561" spans="1:4">
      <c r="A11561" s="1">
        <v>35046</v>
      </c>
      <c r="B11561">
        <v>621.69000000000005</v>
      </c>
      <c r="C11561">
        <f t="shared" si="380"/>
        <v>4.7028022883740294E-3</v>
      </c>
      <c r="D11561">
        <f t="shared" si="379"/>
        <v>0.46371082615666143</v>
      </c>
    </row>
    <row r="11562" spans="1:4">
      <c r="A11562" s="1">
        <v>35047</v>
      </c>
      <c r="B11562">
        <v>616.91999999999996</v>
      </c>
      <c r="C11562">
        <f t="shared" si="380"/>
        <v>-7.6726342710998971E-3</v>
      </c>
      <c r="D11562">
        <f t="shared" si="379"/>
        <v>-0.84313106790850967</v>
      </c>
    </row>
    <row r="11563" spans="1:4">
      <c r="A11563" s="1">
        <v>35048</v>
      </c>
      <c r="B11563">
        <v>616.34</v>
      </c>
      <c r="C11563">
        <f t="shared" si="380"/>
        <v>-9.401543149839968E-4</v>
      </c>
      <c r="D11563">
        <f t="shared" si="379"/>
        <v>-0.13218347302379929</v>
      </c>
    </row>
    <row r="11564" spans="1:4">
      <c r="A11564" s="1">
        <v>35051</v>
      </c>
      <c r="B11564">
        <v>606.80999999999995</v>
      </c>
      <c r="C11564">
        <f t="shared" si="380"/>
        <v>-1.5462244864847464E-2</v>
      </c>
      <c r="D11564">
        <f t="shared" si="379"/>
        <v>-1.6657112987909612</v>
      </c>
    </row>
    <row r="11565" spans="1:4">
      <c r="A11565" s="1">
        <v>35052</v>
      </c>
      <c r="B11565">
        <v>611.92999999999995</v>
      </c>
      <c r="C11565">
        <f t="shared" si="380"/>
        <v>8.4375669484682281E-3</v>
      </c>
      <c r="D11565">
        <f t="shared" si="379"/>
        <v>0.85810070475441869</v>
      </c>
    </row>
    <row r="11566" spans="1:4">
      <c r="A11566" s="1">
        <v>35053</v>
      </c>
      <c r="B11566">
        <v>605.94000000000005</v>
      </c>
      <c r="C11566">
        <f t="shared" si="380"/>
        <v>-9.7887013220464697E-3</v>
      </c>
      <c r="D11566">
        <f t="shared" si="379"/>
        <v>-1.0665870292023287</v>
      </c>
    </row>
    <row r="11567" spans="1:4">
      <c r="A11567" s="1">
        <v>35054</v>
      </c>
      <c r="B11567">
        <v>610.49</v>
      </c>
      <c r="C11567">
        <f t="shared" si="380"/>
        <v>7.5089942898636068E-3</v>
      </c>
      <c r="D11567">
        <f t="shared" si="379"/>
        <v>0.76004374764295324</v>
      </c>
    </row>
    <row r="11568" spans="1:4">
      <c r="A11568" s="1">
        <v>35055</v>
      </c>
      <c r="B11568">
        <v>611.95000000000005</v>
      </c>
      <c r="C11568">
        <f t="shared" si="380"/>
        <v>2.3915215646448532E-3</v>
      </c>
      <c r="D11568">
        <f t="shared" si="379"/>
        <v>0.21964036737335085</v>
      </c>
    </row>
    <row r="11569" spans="1:4">
      <c r="A11569" s="1">
        <v>35059</v>
      </c>
      <c r="B11569">
        <v>614.29999999999995</v>
      </c>
      <c r="C11569">
        <f t="shared" si="380"/>
        <v>3.840183021488535E-3</v>
      </c>
      <c r="D11569">
        <f t="shared" si="379"/>
        <v>0.37261852479208879</v>
      </c>
    </row>
    <row r="11570" spans="1:4">
      <c r="A11570" s="1">
        <v>35060</v>
      </c>
      <c r="B11570">
        <v>614.53</v>
      </c>
      <c r="C11570">
        <f t="shared" si="380"/>
        <v>3.7440989744427512E-4</v>
      </c>
      <c r="D11570">
        <f t="shared" si="379"/>
        <v>6.6340609665394741E-3</v>
      </c>
    </row>
    <row r="11571" spans="1:4">
      <c r="A11571" s="1">
        <v>35061</v>
      </c>
      <c r="B11571">
        <v>614.12</v>
      </c>
      <c r="C11571">
        <f t="shared" si="380"/>
        <v>-6.671765414218479E-4</v>
      </c>
      <c r="D11571">
        <f t="shared" si="379"/>
        <v>-0.10335711292529001</v>
      </c>
    </row>
    <row r="11572" spans="1:4">
      <c r="A11572" s="1">
        <v>35062</v>
      </c>
      <c r="B11572">
        <v>615.92999999999995</v>
      </c>
      <c r="C11572">
        <f t="shared" si="380"/>
        <v>2.9473067152998526E-3</v>
      </c>
      <c r="D11572">
        <f t="shared" si="379"/>
        <v>0.2783310903619669</v>
      </c>
    </row>
    <row r="11573" spans="1:4">
      <c r="A11573" s="1">
        <v>35066</v>
      </c>
      <c r="B11573">
        <v>620.73</v>
      </c>
      <c r="C11573">
        <f t="shared" si="380"/>
        <v>7.7930933710000623E-3</v>
      </c>
      <c r="D11573">
        <f t="shared" si="379"/>
        <v>0.79004451404099318</v>
      </c>
    </row>
    <row r="11574" spans="1:4">
      <c r="A11574" s="1">
        <v>35067</v>
      </c>
      <c r="B11574">
        <v>621.32000000000005</v>
      </c>
      <c r="C11574">
        <f t="shared" si="380"/>
        <v>9.5049377346033187E-4</v>
      </c>
      <c r="D11574">
        <f t="shared" si="379"/>
        <v>6.7468322453411181E-2</v>
      </c>
    </row>
    <row r="11575" spans="1:4">
      <c r="A11575" s="1">
        <v>35068</v>
      </c>
      <c r="B11575">
        <v>617.70000000000005</v>
      </c>
      <c r="C11575">
        <f t="shared" si="380"/>
        <v>-5.8263052855211557E-3</v>
      </c>
      <c r="D11575">
        <f t="shared" si="379"/>
        <v>-0.64815935462911023</v>
      </c>
    </row>
    <row r="11576" spans="1:4">
      <c r="A11576" s="1">
        <v>35069</v>
      </c>
      <c r="B11576">
        <v>616.71</v>
      </c>
      <c r="C11576">
        <f t="shared" si="380"/>
        <v>-1.6027197668771393E-3</v>
      </c>
      <c r="D11576">
        <f t="shared" si="379"/>
        <v>-0.20215015952677531</v>
      </c>
    </row>
    <row r="11577" spans="1:4">
      <c r="A11577" s="1">
        <v>35072</v>
      </c>
      <c r="B11577">
        <v>618.46</v>
      </c>
      <c r="C11577">
        <f t="shared" si="380"/>
        <v>2.8376384362179953E-3</v>
      </c>
      <c r="D11577">
        <f t="shared" si="379"/>
        <v>0.26675015736898205</v>
      </c>
    </row>
    <row r="11578" spans="1:4">
      <c r="A11578" s="1">
        <v>35073</v>
      </c>
      <c r="B11578">
        <v>609.45000000000005</v>
      </c>
      <c r="C11578">
        <f t="shared" si="380"/>
        <v>-1.4568444200109935E-2</v>
      </c>
      <c r="D11578">
        <f t="shared" si="379"/>
        <v>-1.5713262524122857</v>
      </c>
    </row>
    <row r="11579" spans="1:4">
      <c r="A11579" s="1">
        <v>35074</v>
      </c>
      <c r="B11579">
        <v>598.48</v>
      </c>
      <c r="C11579">
        <f t="shared" si="380"/>
        <v>-1.7999835917630692E-2</v>
      </c>
      <c r="D11579">
        <f t="shared" si="379"/>
        <v>-1.9336800513957613</v>
      </c>
    </row>
    <row r="11580" spans="1:4">
      <c r="A11580" s="1">
        <v>35075</v>
      </c>
      <c r="B11580">
        <v>602.69000000000005</v>
      </c>
      <c r="C11580">
        <f t="shared" si="380"/>
        <v>7.0344873679989914E-3</v>
      </c>
      <c r="D11580">
        <f t="shared" si="379"/>
        <v>0.70993597798678942</v>
      </c>
    </row>
    <row r="11581" spans="1:4">
      <c r="A11581" s="1">
        <v>35076</v>
      </c>
      <c r="B11581">
        <v>601.80999999999995</v>
      </c>
      <c r="C11581">
        <f t="shared" si="380"/>
        <v>-1.4601204599381259E-3</v>
      </c>
      <c r="D11581">
        <f t="shared" si="379"/>
        <v>-0.18709172118587505</v>
      </c>
    </row>
    <row r="11582" spans="1:4">
      <c r="A11582" s="1">
        <v>35079</v>
      </c>
      <c r="B11582">
        <v>599.82000000000005</v>
      </c>
      <c r="C11582">
        <f t="shared" si="380"/>
        <v>-3.3066914806997153E-3</v>
      </c>
      <c r="D11582">
        <f t="shared" si="379"/>
        <v>-0.38208899329831153</v>
      </c>
    </row>
    <row r="11583" spans="1:4">
      <c r="A11583" s="1">
        <v>35080</v>
      </c>
      <c r="B11583">
        <v>608.44000000000005</v>
      </c>
      <c r="C11583">
        <f t="shared" si="380"/>
        <v>1.437097796005469E-2</v>
      </c>
      <c r="D11583">
        <f t="shared" si="379"/>
        <v>1.4846668907135518</v>
      </c>
    </row>
    <row r="11584" spans="1:4">
      <c r="A11584" s="1">
        <v>35081</v>
      </c>
      <c r="B11584">
        <v>606.37</v>
      </c>
      <c r="C11584">
        <f t="shared" si="380"/>
        <v>-3.4021431858524257E-3</v>
      </c>
      <c r="D11584">
        <f t="shared" si="379"/>
        <v>-0.39216866091682673</v>
      </c>
    </row>
    <row r="11585" spans="1:4">
      <c r="A11585" s="1">
        <v>35082</v>
      </c>
      <c r="B11585">
        <v>608.24</v>
      </c>
      <c r="C11585">
        <f t="shared" si="380"/>
        <v>3.0839256559526437E-3</v>
      </c>
      <c r="D11585">
        <f t="shared" si="379"/>
        <v>0.29275800405586738</v>
      </c>
    </row>
    <row r="11586" spans="1:4">
      <c r="A11586" s="1">
        <v>35083</v>
      </c>
      <c r="B11586">
        <v>611.83000000000004</v>
      </c>
      <c r="C11586">
        <f t="shared" si="380"/>
        <v>5.9022754175983684E-3</v>
      </c>
      <c r="D11586">
        <f t="shared" si="379"/>
        <v>0.59037478088202489</v>
      </c>
    </row>
    <row r="11587" spans="1:4">
      <c r="A11587" s="1">
        <v>35086</v>
      </c>
      <c r="B11587">
        <v>613.4</v>
      </c>
      <c r="C11587">
        <f t="shared" si="380"/>
        <v>2.5660722749782394E-3</v>
      </c>
      <c r="D11587">
        <f t="shared" ref="D11587:D11650" si="381">(C11587-avg)/sd</f>
        <v>0.23807286305188716</v>
      </c>
    </row>
    <row r="11588" spans="1:4">
      <c r="A11588" s="1">
        <v>35087</v>
      </c>
      <c r="B11588">
        <v>612.79</v>
      </c>
      <c r="C11588">
        <f t="shared" ref="C11588:C11651" si="382">(B11588-B11587)/B11587</f>
        <v>-9.9445712422564997E-4</v>
      </c>
      <c r="D11588">
        <f t="shared" si="381"/>
        <v>-0.13791783122129617</v>
      </c>
    </row>
    <row r="11589" spans="1:4">
      <c r="A11589" s="1">
        <v>35088</v>
      </c>
      <c r="B11589">
        <v>619.96</v>
      </c>
      <c r="C11589">
        <f t="shared" si="382"/>
        <v>1.1700582581308561E-2</v>
      </c>
      <c r="D11589">
        <f t="shared" si="381"/>
        <v>1.2026740464294534</v>
      </c>
    </row>
    <row r="11590" spans="1:4">
      <c r="A11590" s="1">
        <v>35089</v>
      </c>
      <c r="B11590">
        <v>617.03</v>
      </c>
      <c r="C11590">
        <f t="shared" si="382"/>
        <v>-4.7261113620234588E-3</v>
      </c>
      <c r="D11590">
        <f t="shared" si="381"/>
        <v>-0.53197925028183857</v>
      </c>
    </row>
    <row r="11591" spans="1:4">
      <c r="A11591" s="1">
        <v>35090</v>
      </c>
      <c r="B11591">
        <v>621.62</v>
      </c>
      <c r="C11591">
        <f t="shared" si="382"/>
        <v>7.4388603471468679E-3</v>
      </c>
      <c r="D11591">
        <f t="shared" si="381"/>
        <v>0.75263762713175109</v>
      </c>
    </row>
    <row r="11592" spans="1:4">
      <c r="A11592" s="1">
        <v>35093</v>
      </c>
      <c r="B11592">
        <v>624.22</v>
      </c>
      <c r="C11592">
        <f t="shared" si="382"/>
        <v>4.1826196068337936E-3</v>
      </c>
      <c r="D11592">
        <f t="shared" si="381"/>
        <v>0.40877971180469719</v>
      </c>
    </row>
    <row r="11593" spans="1:4">
      <c r="A11593" s="1">
        <v>35094</v>
      </c>
      <c r="B11593">
        <v>630.15</v>
      </c>
      <c r="C11593">
        <f t="shared" si="382"/>
        <v>9.499855820063359E-3</v>
      </c>
      <c r="D11593">
        <f t="shared" si="381"/>
        <v>0.97027804850533261</v>
      </c>
    </row>
    <row r="11594" spans="1:4">
      <c r="A11594" s="1">
        <v>35095</v>
      </c>
      <c r="B11594">
        <v>636.02</v>
      </c>
      <c r="C11594">
        <f t="shared" si="382"/>
        <v>9.315242402602562E-3</v>
      </c>
      <c r="D11594">
        <f t="shared" si="381"/>
        <v>0.95078293437462202</v>
      </c>
    </row>
    <row r="11595" spans="1:4">
      <c r="A11595" s="1">
        <v>35096</v>
      </c>
      <c r="B11595">
        <v>638.46</v>
      </c>
      <c r="C11595">
        <f t="shared" si="382"/>
        <v>3.8363573472533171E-3</v>
      </c>
      <c r="D11595">
        <f t="shared" si="381"/>
        <v>0.37221453489325967</v>
      </c>
    </row>
    <row r="11596" spans="1:4">
      <c r="A11596" s="1">
        <v>35097</v>
      </c>
      <c r="B11596">
        <v>635.84</v>
      </c>
      <c r="C11596">
        <f t="shared" si="382"/>
        <v>-4.1036243460827685E-3</v>
      </c>
      <c r="D11596">
        <f t="shared" si="381"/>
        <v>-0.46624483299211916</v>
      </c>
    </row>
    <row r="11597" spans="1:4">
      <c r="A11597" s="1">
        <v>35100</v>
      </c>
      <c r="B11597">
        <v>641.42999999999995</v>
      </c>
      <c r="C11597">
        <f t="shared" si="382"/>
        <v>8.7915198792147681E-3</v>
      </c>
      <c r="D11597">
        <f t="shared" si="381"/>
        <v>0.89547801392680637</v>
      </c>
    </row>
    <row r="11598" spans="1:4">
      <c r="A11598" s="1">
        <v>35101</v>
      </c>
      <c r="B11598">
        <v>646.33000000000004</v>
      </c>
      <c r="C11598">
        <f t="shared" si="382"/>
        <v>7.6391812044963462E-3</v>
      </c>
      <c r="D11598">
        <f t="shared" si="381"/>
        <v>0.77379144157548818</v>
      </c>
    </row>
    <row r="11599" spans="1:4">
      <c r="A11599" s="1">
        <v>35102</v>
      </c>
      <c r="B11599">
        <v>649.92999999999995</v>
      </c>
      <c r="C11599">
        <f t="shared" si="382"/>
        <v>5.5699101078395073E-3</v>
      </c>
      <c r="D11599">
        <f t="shared" si="381"/>
        <v>0.55527711714794714</v>
      </c>
    </row>
    <row r="11600" spans="1:4">
      <c r="A11600" s="1">
        <v>35103</v>
      </c>
      <c r="B11600">
        <v>656.07</v>
      </c>
      <c r="C11600">
        <f t="shared" si="382"/>
        <v>9.4471712338253366E-3</v>
      </c>
      <c r="D11600">
        <f t="shared" si="381"/>
        <v>0.96471457410695849</v>
      </c>
    </row>
    <row r="11601" spans="1:4">
      <c r="A11601" s="1">
        <v>35104</v>
      </c>
      <c r="B11601">
        <v>656.37</v>
      </c>
      <c r="C11601">
        <f t="shared" si="382"/>
        <v>4.5726827929939566E-4</v>
      </c>
      <c r="D11601">
        <f t="shared" si="381"/>
        <v>1.5383877925507747E-2</v>
      </c>
    </row>
    <row r="11602" spans="1:4">
      <c r="A11602" s="1">
        <v>35107</v>
      </c>
      <c r="B11602">
        <v>661.45</v>
      </c>
      <c r="C11602">
        <f t="shared" si="382"/>
        <v>7.7395371513019192E-3</v>
      </c>
      <c r="D11602">
        <f t="shared" si="381"/>
        <v>0.78438899544551288</v>
      </c>
    </row>
    <row r="11603" spans="1:4">
      <c r="A11603" s="1">
        <v>35108</v>
      </c>
      <c r="B11603">
        <v>660.51</v>
      </c>
      <c r="C11603">
        <f t="shared" si="382"/>
        <v>-1.4211202660821748E-3</v>
      </c>
      <c r="D11603">
        <f t="shared" si="381"/>
        <v>-0.18297331397149663</v>
      </c>
    </row>
    <row r="11604" spans="1:4">
      <c r="A11604" s="1">
        <v>35109</v>
      </c>
      <c r="B11604">
        <v>655.58</v>
      </c>
      <c r="C11604">
        <f t="shared" si="382"/>
        <v>-7.4639293878971556E-3</v>
      </c>
      <c r="D11604">
        <f t="shared" si="381"/>
        <v>-0.82109190318453695</v>
      </c>
    </row>
    <row r="11605" spans="1:4">
      <c r="A11605" s="1">
        <v>35110</v>
      </c>
      <c r="B11605">
        <v>651.32000000000005</v>
      </c>
      <c r="C11605">
        <f t="shared" si="382"/>
        <v>-6.498062784099562E-3</v>
      </c>
      <c r="D11605">
        <f t="shared" si="381"/>
        <v>-0.71909671813752163</v>
      </c>
    </row>
    <row r="11606" spans="1:4">
      <c r="A11606" s="1">
        <v>35111</v>
      </c>
      <c r="B11606">
        <v>647.98</v>
      </c>
      <c r="C11606">
        <f t="shared" si="382"/>
        <v>-5.1280476570656998E-3</v>
      </c>
      <c r="D11606">
        <f t="shared" si="381"/>
        <v>-0.57442358641351421</v>
      </c>
    </row>
    <row r="11607" spans="1:4">
      <c r="A11607" s="1">
        <v>35115</v>
      </c>
      <c r="B11607">
        <v>640.65</v>
      </c>
      <c r="C11607">
        <f t="shared" si="382"/>
        <v>-1.1312077533257262E-2</v>
      </c>
      <c r="D11607">
        <f t="shared" si="381"/>
        <v>-1.2274550392854546</v>
      </c>
    </row>
    <row r="11608" spans="1:4">
      <c r="A11608" s="1">
        <v>35116</v>
      </c>
      <c r="B11608">
        <v>648.1</v>
      </c>
      <c r="C11608">
        <f t="shared" si="382"/>
        <v>1.162881448528845E-2</v>
      </c>
      <c r="D11608">
        <f t="shared" si="381"/>
        <v>1.1950953598848906</v>
      </c>
    </row>
    <row r="11609" spans="1:4">
      <c r="A11609" s="1">
        <v>35117</v>
      </c>
      <c r="B11609">
        <v>658.86</v>
      </c>
      <c r="C11609">
        <f t="shared" si="382"/>
        <v>1.6602376176515957E-2</v>
      </c>
      <c r="D11609">
        <f t="shared" si="381"/>
        <v>1.7203017838827546</v>
      </c>
    </row>
    <row r="11610" spans="1:4">
      <c r="A11610" s="1">
        <v>35118</v>
      </c>
      <c r="B11610">
        <v>659.08</v>
      </c>
      <c r="C11610">
        <f t="shared" si="382"/>
        <v>3.3391008712021868E-4</v>
      </c>
      <c r="D11610">
        <f t="shared" si="381"/>
        <v>2.3572947628735259E-3</v>
      </c>
    </row>
    <row r="11611" spans="1:4">
      <c r="A11611" s="1">
        <v>35121</v>
      </c>
      <c r="B11611">
        <v>650.46</v>
      </c>
      <c r="C11611">
        <f t="shared" si="382"/>
        <v>-1.3078837166960011E-2</v>
      </c>
      <c r="D11611">
        <f t="shared" si="381"/>
        <v>-1.4140242560536862</v>
      </c>
    </row>
    <row r="11612" spans="1:4">
      <c r="A11612" s="1">
        <v>35122</v>
      </c>
      <c r="B11612">
        <v>647.24</v>
      </c>
      <c r="C11612">
        <f t="shared" si="382"/>
        <v>-4.95034283430192E-3</v>
      </c>
      <c r="D11612">
        <f t="shared" si="381"/>
        <v>-0.55565801753446331</v>
      </c>
    </row>
    <row r="11613" spans="1:4">
      <c r="A11613" s="1">
        <v>35123</v>
      </c>
      <c r="B11613">
        <v>644.75</v>
      </c>
      <c r="C11613">
        <f t="shared" si="382"/>
        <v>-3.8471046288857443E-3</v>
      </c>
      <c r="D11613">
        <f t="shared" si="381"/>
        <v>-0.43915643805140187</v>
      </c>
    </row>
    <row r="11614" spans="1:4">
      <c r="A11614" s="1">
        <v>35124</v>
      </c>
      <c r="B11614">
        <v>640.42999999999995</v>
      </c>
      <c r="C11614">
        <f t="shared" si="382"/>
        <v>-6.700271423032261E-3</v>
      </c>
      <c r="D11614">
        <f t="shared" si="381"/>
        <v>-0.74044988167475867</v>
      </c>
    </row>
    <row r="11615" spans="1:4">
      <c r="A11615" s="1">
        <v>35125</v>
      </c>
      <c r="B11615">
        <v>644.37</v>
      </c>
      <c r="C11615">
        <f t="shared" si="382"/>
        <v>6.152116546695275E-3</v>
      </c>
      <c r="D11615">
        <f t="shared" si="381"/>
        <v>0.61675791918953216</v>
      </c>
    </row>
    <row r="11616" spans="1:4">
      <c r="A11616" s="1">
        <v>35128</v>
      </c>
      <c r="B11616">
        <v>650.80999999999995</v>
      </c>
      <c r="C11616">
        <f t="shared" si="382"/>
        <v>9.9942579573846398E-3</v>
      </c>
      <c r="D11616">
        <f t="shared" si="381"/>
        <v>1.0224867461510081</v>
      </c>
    </row>
    <row r="11617" spans="1:4">
      <c r="A11617" s="1">
        <v>35129</v>
      </c>
      <c r="B11617">
        <v>655.79</v>
      </c>
      <c r="C11617">
        <f t="shared" si="382"/>
        <v>7.6520028887079464E-3</v>
      </c>
      <c r="D11617">
        <f t="shared" si="381"/>
        <v>0.77514540706993085</v>
      </c>
    </row>
    <row r="11618" spans="1:4">
      <c r="A11618" s="1">
        <v>35130</v>
      </c>
      <c r="B11618">
        <v>652</v>
      </c>
      <c r="C11618">
        <f t="shared" si="382"/>
        <v>-5.7792891016940845E-3</v>
      </c>
      <c r="D11618">
        <f t="shared" si="381"/>
        <v>-0.64319446159854898</v>
      </c>
    </row>
    <row r="11619" spans="1:4">
      <c r="A11619" s="1">
        <v>35131</v>
      </c>
      <c r="B11619">
        <v>653.65</v>
      </c>
      <c r="C11619">
        <f t="shared" si="382"/>
        <v>2.5306748466257319E-3</v>
      </c>
      <c r="D11619">
        <f t="shared" si="381"/>
        <v>0.23433490665003287</v>
      </c>
    </row>
    <row r="11620" spans="1:4">
      <c r="A11620" s="1">
        <v>35132</v>
      </c>
      <c r="B11620">
        <v>633.5</v>
      </c>
      <c r="C11620">
        <f t="shared" si="382"/>
        <v>-3.0826895127361705E-2</v>
      </c>
      <c r="D11620">
        <f t="shared" si="381"/>
        <v>-3.2882131438140831</v>
      </c>
    </row>
    <row r="11621" spans="1:4">
      <c r="A11621" s="1">
        <v>35135</v>
      </c>
      <c r="B11621">
        <v>640.02</v>
      </c>
      <c r="C11621">
        <f t="shared" si="382"/>
        <v>1.0292028413575346E-2</v>
      </c>
      <c r="D11621">
        <f t="shared" si="381"/>
        <v>1.0539312051076506</v>
      </c>
    </row>
    <row r="11622" spans="1:4">
      <c r="A11622" s="1">
        <v>35136</v>
      </c>
      <c r="B11622">
        <v>637.09</v>
      </c>
      <c r="C11622">
        <f t="shared" si="382"/>
        <v>-4.5779819380643572E-3</v>
      </c>
      <c r="D11622">
        <f t="shared" si="381"/>
        <v>-0.5163368334633951</v>
      </c>
    </row>
    <row r="11623" spans="1:4">
      <c r="A11623" s="1">
        <v>35137</v>
      </c>
      <c r="B11623">
        <v>638.54999999999995</v>
      </c>
      <c r="C11623">
        <f t="shared" si="382"/>
        <v>2.2916699367435097E-3</v>
      </c>
      <c r="D11623">
        <f t="shared" si="381"/>
        <v>0.20909606940818642</v>
      </c>
    </row>
    <row r="11624" spans="1:4">
      <c r="A11624" s="1">
        <v>35138</v>
      </c>
      <c r="B11624">
        <v>640.87</v>
      </c>
      <c r="C11624">
        <f t="shared" si="382"/>
        <v>3.6332315402083631E-3</v>
      </c>
      <c r="D11624">
        <f t="shared" si="381"/>
        <v>0.35076451871512909</v>
      </c>
    </row>
    <row r="11625" spans="1:4">
      <c r="A11625" s="1">
        <v>35139</v>
      </c>
      <c r="B11625">
        <v>641.42999999999995</v>
      </c>
      <c r="C11625">
        <f t="shared" si="382"/>
        <v>8.7381216159274956E-4</v>
      </c>
      <c r="D11625">
        <f t="shared" si="381"/>
        <v>5.9370770305540811E-2</v>
      </c>
    </row>
    <row r="11626" spans="1:4">
      <c r="A11626" s="1">
        <v>35142</v>
      </c>
      <c r="B11626">
        <v>652.65</v>
      </c>
      <c r="C11626">
        <f t="shared" si="382"/>
        <v>1.7492165941724005E-2</v>
      </c>
      <c r="D11626">
        <f t="shared" si="381"/>
        <v>1.8142632806344878</v>
      </c>
    </row>
    <row r="11627" spans="1:4">
      <c r="A11627" s="1">
        <v>35143</v>
      </c>
      <c r="B11627">
        <v>651.69000000000005</v>
      </c>
      <c r="C11627">
        <f t="shared" si="382"/>
        <v>-1.4709262238564664E-3</v>
      </c>
      <c r="D11627">
        <f t="shared" si="381"/>
        <v>-0.18823280618259419</v>
      </c>
    </row>
    <row r="11628" spans="1:4">
      <c r="A11628" s="1">
        <v>35144</v>
      </c>
      <c r="B11628">
        <v>649.98</v>
      </c>
      <c r="C11628">
        <f t="shared" si="382"/>
        <v>-2.6239469686507944E-3</v>
      </c>
      <c r="D11628">
        <f t="shared" si="381"/>
        <v>-0.30999140490208116</v>
      </c>
    </row>
    <row r="11629" spans="1:4">
      <c r="A11629" s="1">
        <v>35145</v>
      </c>
      <c r="B11629">
        <v>649.19000000000005</v>
      </c>
      <c r="C11629">
        <f t="shared" si="382"/>
        <v>-1.2154220129849589E-3</v>
      </c>
      <c r="D11629">
        <f t="shared" si="381"/>
        <v>-0.1612516483646641</v>
      </c>
    </row>
    <row r="11630" spans="1:4">
      <c r="A11630" s="1">
        <v>35146</v>
      </c>
      <c r="B11630">
        <v>650.62</v>
      </c>
      <c r="C11630">
        <f t="shared" si="382"/>
        <v>2.202744959102805E-3</v>
      </c>
      <c r="D11630">
        <f t="shared" si="381"/>
        <v>0.19970562199639655</v>
      </c>
    </row>
    <row r="11631" spans="1:4">
      <c r="A11631" s="1">
        <v>35149</v>
      </c>
      <c r="B11631">
        <v>650.04</v>
      </c>
      <c r="C11631">
        <f t="shared" si="382"/>
        <v>-8.9145737911536834E-4</v>
      </c>
      <c r="D11631">
        <f t="shared" si="381"/>
        <v>-0.12704109314896489</v>
      </c>
    </row>
    <row r="11632" spans="1:4">
      <c r="A11632" s="1">
        <v>35150</v>
      </c>
      <c r="B11632">
        <v>652.97</v>
      </c>
      <c r="C11632">
        <f t="shared" si="382"/>
        <v>4.5074149283122018E-3</v>
      </c>
      <c r="D11632">
        <f t="shared" si="381"/>
        <v>0.44307798734952308</v>
      </c>
    </row>
    <row r="11633" spans="1:4">
      <c r="A11633" s="1">
        <v>35151</v>
      </c>
      <c r="B11633">
        <v>648.91</v>
      </c>
      <c r="C11633">
        <f t="shared" si="382"/>
        <v>-6.2177435410509805E-3</v>
      </c>
      <c r="D11633">
        <f t="shared" si="381"/>
        <v>-0.68949510135673187</v>
      </c>
    </row>
    <row r="11634" spans="1:4">
      <c r="A11634" s="1">
        <v>35152</v>
      </c>
      <c r="B11634">
        <v>648.94000000000005</v>
      </c>
      <c r="C11634">
        <f t="shared" si="382"/>
        <v>4.6231372609585925E-5</v>
      </c>
      <c r="D11634">
        <f t="shared" si="381"/>
        <v>-2.8021479702703019E-2</v>
      </c>
    </row>
    <row r="11635" spans="1:4">
      <c r="A11635" s="1">
        <v>35153</v>
      </c>
      <c r="B11635">
        <v>645.5</v>
      </c>
      <c r="C11635">
        <f t="shared" si="382"/>
        <v>-5.3009523222486733E-3</v>
      </c>
      <c r="D11635">
        <f t="shared" si="381"/>
        <v>-0.59268226028368487</v>
      </c>
    </row>
    <row r="11636" spans="1:4">
      <c r="A11636" s="1">
        <v>35156</v>
      </c>
      <c r="B11636">
        <v>653.73</v>
      </c>
      <c r="C11636">
        <f t="shared" si="382"/>
        <v>1.2749806351665404E-2</v>
      </c>
      <c r="D11636">
        <f t="shared" si="381"/>
        <v>1.3134717199306476</v>
      </c>
    </row>
    <row r="11637" spans="1:4">
      <c r="A11637" s="1">
        <v>35157</v>
      </c>
      <c r="B11637">
        <v>655.26</v>
      </c>
      <c r="C11637">
        <f t="shared" si="382"/>
        <v>2.3404157679775637E-3</v>
      </c>
      <c r="D11637">
        <f t="shared" si="381"/>
        <v>0.2142436126169894</v>
      </c>
    </row>
    <row r="11638" spans="1:4">
      <c r="A11638" s="1">
        <v>35158</v>
      </c>
      <c r="B11638">
        <v>655.88</v>
      </c>
      <c r="C11638">
        <f t="shared" si="382"/>
        <v>9.4618929890425872E-4</v>
      </c>
      <c r="D11638">
        <f t="shared" si="381"/>
        <v>6.7013771403451841E-2</v>
      </c>
    </row>
    <row r="11639" spans="1:4">
      <c r="A11639" s="1">
        <v>35159</v>
      </c>
      <c r="B11639">
        <v>655.86</v>
      </c>
      <c r="C11639">
        <f t="shared" si="382"/>
        <v>-3.0493382935875176E-5</v>
      </c>
      <c r="D11639">
        <f t="shared" si="381"/>
        <v>-3.6123587808292133E-2</v>
      </c>
    </row>
    <row r="11640" spans="1:4">
      <c r="A11640" s="1">
        <v>35163</v>
      </c>
      <c r="B11640">
        <v>644.24</v>
      </c>
      <c r="C11640">
        <f t="shared" si="382"/>
        <v>-1.7717195742993939E-2</v>
      </c>
      <c r="D11640">
        <f t="shared" si="381"/>
        <v>-1.9038333450281835</v>
      </c>
    </row>
    <row r="11641" spans="1:4">
      <c r="A11641" s="1">
        <v>35164</v>
      </c>
      <c r="B11641">
        <v>642.19000000000005</v>
      </c>
      <c r="C11641">
        <f t="shared" si="382"/>
        <v>-3.1820439587730573E-3</v>
      </c>
      <c r="D11641">
        <f t="shared" si="381"/>
        <v>-0.36892625735260781</v>
      </c>
    </row>
    <row r="11642" spans="1:4">
      <c r="A11642" s="1">
        <v>35165</v>
      </c>
      <c r="B11642">
        <v>633.5</v>
      </c>
      <c r="C11642">
        <f t="shared" si="382"/>
        <v>-1.3531820800697697E-2</v>
      </c>
      <c r="D11642">
        <f t="shared" si="381"/>
        <v>-1.4618591737997675</v>
      </c>
    </row>
    <row r="11643" spans="1:4">
      <c r="A11643" s="1">
        <v>35166</v>
      </c>
      <c r="B11643">
        <v>631.17999999999995</v>
      </c>
      <c r="C11643">
        <f t="shared" si="382"/>
        <v>-3.6621941594318073E-3</v>
      </c>
      <c r="D11643">
        <f t="shared" si="381"/>
        <v>-0.41962995533118858</v>
      </c>
    </row>
    <row r="11644" spans="1:4">
      <c r="A11644" s="1">
        <v>35167</v>
      </c>
      <c r="B11644">
        <v>636.71</v>
      </c>
      <c r="C11644">
        <f t="shared" si="382"/>
        <v>8.7613675971990341E-3</v>
      </c>
      <c r="D11644">
        <f t="shared" si="381"/>
        <v>0.8922939431952035</v>
      </c>
    </row>
    <row r="11645" spans="1:4">
      <c r="A11645" s="1">
        <v>35170</v>
      </c>
      <c r="B11645">
        <v>642.49</v>
      </c>
      <c r="C11645">
        <f t="shared" si="382"/>
        <v>9.0779161627742178E-3</v>
      </c>
      <c r="D11645">
        <f t="shared" si="381"/>
        <v>0.9257213641198575</v>
      </c>
    </row>
    <row r="11646" spans="1:4">
      <c r="A11646" s="1">
        <v>35171</v>
      </c>
      <c r="B11646">
        <v>645</v>
      </c>
      <c r="C11646">
        <f t="shared" si="382"/>
        <v>3.9066755902815468E-3</v>
      </c>
      <c r="D11646">
        <f t="shared" si="381"/>
        <v>0.37964011745470855</v>
      </c>
    </row>
    <row r="11647" spans="1:4">
      <c r="A11647" s="1">
        <v>35172</v>
      </c>
      <c r="B11647">
        <v>641.61</v>
      </c>
      <c r="C11647">
        <f t="shared" si="382"/>
        <v>-5.2558139534883506E-3</v>
      </c>
      <c r="D11647">
        <f t="shared" si="381"/>
        <v>-0.58791566388587191</v>
      </c>
    </row>
    <row r="11648" spans="1:4">
      <c r="A11648" s="1">
        <v>35173</v>
      </c>
      <c r="B11648">
        <v>643.61</v>
      </c>
      <c r="C11648">
        <f t="shared" si="382"/>
        <v>3.1171583984040147E-3</v>
      </c>
      <c r="D11648">
        <f t="shared" si="381"/>
        <v>0.29626737036237411</v>
      </c>
    </row>
    <row r="11649" spans="1:4">
      <c r="A11649" s="1">
        <v>35174</v>
      </c>
      <c r="B11649">
        <v>645.07000000000005</v>
      </c>
      <c r="C11649">
        <f t="shared" si="382"/>
        <v>2.2684544988425233E-3</v>
      </c>
      <c r="D11649">
        <f t="shared" si="381"/>
        <v>0.20664452705715303</v>
      </c>
    </row>
    <row r="11650" spans="1:4">
      <c r="A11650" s="1">
        <v>35177</v>
      </c>
      <c r="B11650">
        <v>647.89</v>
      </c>
      <c r="C11650">
        <f t="shared" si="382"/>
        <v>4.3716185840295407E-3</v>
      </c>
      <c r="D11650">
        <f t="shared" si="381"/>
        <v>0.42873793955269424</v>
      </c>
    </row>
    <row r="11651" spans="1:4">
      <c r="A11651" s="1">
        <v>35178</v>
      </c>
      <c r="B11651">
        <v>651.58000000000004</v>
      </c>
      <c r="C11651">
        <f t="shared" si="382"/>
        <v>5.6954112580840186E-3</v>
      </c>
      <c r="D11651">
        <f t="shared" ref="D11651:D11714" si="383">(C11651-avg)/sd</f>
        <v>0.56852999595385389</v>
      </c>
    </row>
    <row r="11652" spans="1:4">
      <c r="A11652" s="1">
        <v>35179</v>
      </c>
      <c r="B11652">
        <v>650.16999999999996</v>
      </c>
      <c r="C11652">
        <f t="shared" ref="C11652:C11715" si="384">(B11652-B11651)/B11651</f>
        <v>-2.1639706559441387E-3</v>
      </c>
      <c r="D11652">
        <f t="shared" si="383"/>
        <v>-0.26141806263380379</v>
      </c>
    </row>
    <row r="11653" spans="1:4">
      <c r="A11653" s="1">
        <v>35180</v>
      </c>
      <c r="B11653">
        <v>652.87</v>
      </c>
      <c r="C11653">
        <f t="shared" si="384"/>
        <v>4.1527600473722963E-3</v>
      </c>
      <c r="D11653">
        <f t="shared" si="383"/>
        <v>0.40562655247532048</v>
      </c>
    </row>
    <row r="11654" spans="1:4">
      <c r="A11654" s="1">
        <v>35181</v>
      </c>
      <c r="B11654">
        <v>653.46</v>
      </c>
      <c r="C11654">
        <f t="shared" si="384"/>
        <v>9.0370211527567793E-4</v>
      </c>
      <c r="D11654">
        <f t="shared" si="383"/>
        <v>6.2527139254369132E-2</v>
      </c>
    </row>
    <row r="11655" spans="1:4">
      <c r="A11655" s="1">
        <v>35184</v>
      </c>
      <c r="B11655">
        <v>654.16</v>
      </c>
      <c r="C11655">
        <f t="shared" si="384"/>
        <v>1.0712208857465366E-3</v>
      </c>
      <c r="D11655">
        <f t="shared" si="383"/>
        <v>8.0217064473695046E-2</v>
      </c>
    </row>
    <row r="11656" spans="1:4">
      <c r="A11656" s="1">
        <v>35185</v>
      </c>
      <c r="B11656">
        <v>654.16999999999996</v>
      </c>
      <c r="C11656">
        <f t="shared" si="384"/>
        <v>1.5286779992648445E-5</v>
      </c>
      <c r="D11656">
        <f t="shared" si="383"/>
        <v>-3.1289218164473519E-2</v>
      </c>
    </row>
    <row r="11657" spans="1:4">
      <c r="A11657" s="1">
        <v>35186</v>
      </c>
      <c r="B11657">
        <v>654.58000000000004</v>
      </c>
      <c r="C11657">
        <f t="shared" si="384"/>
        <v>6.2674839873439912E-4</v>
      </c>
      <c r="D11657">
        <f t="shared" si="383"/>
        <v>3.3280920928752435E-2</v>
      </c>
    </row>
    <row r="11658" spans="1:4">
      <c r="A11658" s="1">
        <v>35187</v>
      </c>
      <c r="B11658">
        <v>643.38</v>
      </c>
      <c r="C11658">
        <f t="shared" si="384"/>
        <v>-1.7110208072351807E-2</v>
      </c>
      <c r="D11658">
        <f t="shared" si="383"/>
        <v>-1.8397356533335083</v>
      </c>
    </row>
    <row r="11659" spans="1:4">
      <c r="A11659" s="1">
        <v>35188</v>
      </c>
      <c r="B11659">
        <v>641.63</v>
      </c>
      <c r="C11659">
        <f t="shared" si="384"/>
        <v>-2.7200099474649509E-3</v>
      </c>
      <c r="D11659">
        <f t="shared" si="383"/>
        <v>-0.32013562281146302</v>
      </c>
    </row>
    <row r="11660" spans="1:4">
      <c r="A11660" s="1">
        <v>35191</v>
      </c>
      <c r="B11660">
        <v>640.80999999999995</v>
      </c>
      <c r="C11660">
        <f t="shared" si="384"/>
        <v>-1.2779951062139396E-3</v>
      </c>
      <c r="D11660">
        <f t="shared" si="383"/>
        <v>-0.16785934574001665</v>
      </c>
    </row>
    <row r="11661" spans="1:4">
      <c r="A11661" s="1">
        <v>35192</v>
      </c>
      <c r="B11661">
        <v>638.26</v>
      </c>
      <c r="C11661">
        <f t="shared" si="384"/>
        <v>-3.9793386495216281E-3</v>
      </c>
      <c r="D11661">
        <f t="shared" si="383"/>
        <v>-0.45312030568202366</v>
      </c>
    </row>
    <row r="11662" spans="1:4">
      <c r="A11662" s="1">
        <v>35193</v>
      </c>
      <c r="B11662">
        <v>644.77</v>
      </c>
      <c r="C11662">
        <f t="shared" si="384"/>
        <v>1.0199605176573796E-2</v>
      </c>
      <c r="D11662">
        <f t="shared" si="383"/>
        <v>1.0441713426964716</v>
      </c>
    </row>
    <row r="11663" spans="1:4">
      <c r="A11663" s="1">
        <v>35194</v>
      </c>
      <c r="B11663">
        <v>645.44000000000005</v>
      </c>
      <c r="C11663">
        <f t="shared" si="384"/>
        <v>1.0391302324861157E-3</v>
      </c>
      <c r="D11663">
        <f t="shared" si="383"/>
        <v>7.6828302397537657E-2</v>
      </c>
    </row>
    <row r="11664" spans="1:4">
      <c r="A11664" s="1">
        <v>35195</v>
      </c>
      <c r="B11664">
        <v>652.09</v>
      </c>
      <c r="C11664">
        <f t="shared" si="384"/>
        <v>1.0303049082796195E-2</v>
      </c>
      <c r="D11664">
        <f t="shared" si="383"/>
        <v>1.0550949840312649</v>
      </c>
    </row>
    <row r="11665" spans="1:4">
      <c r="A11665" s="1">
        <v>35198</v>
      </c>
      <c r="B11665">
        <v>661.51</v>
      </c>
      <c r="C11665">
        <f t="shared" si="384"/>
        <v>1.4445858700486066E-2</v>
      </c>
      <c r="D11665">
        <f t="shared" si="383"/>
        <v>1.4925742714499046</v>
      </c>
    </row>
    <row r="11666" spans="1:4">
      <c r="A11666" s="1">
        <v>35199</v>
      </c>
      <c r="B11666">
        <v>665.6</v>
      </c>
      <c r="C11666">
        <f t="shared" si="384"/>
        <v>6.1828241447597649E-3</v>
      </c>
      <c r="D11666">
        <f t="shared" si="383"/>
        <v>0.62000063110712256</v>
      </c>
    </row>
    <row r="11667" spans="1:4">
      <c r="A11667" s="1">
        <v>35200</v>
      </c>
      <c r="B11667">
        <v>665.42</v>
      </c>
      <c r="C11667">
        <f t="shared" si="384"/>
        <v>-2.7043269230778795E-4</v>
      </c>
      <c r="D11667">
        <f t="shared" si="383"/>
        <v>-6.1461097318632113E-2</v>
      </c>
    </row>
    <row r="11668" spans="1:4">
      <c r="A11668" s="1">
        <v>35201</v>
      </c>
      <c r="B11668">
        <v>664.85</v>
      </c>
      <c r="C11668">
        <f t="shared" si="384"/>
        <v>-8.5660184545089779E-4</v>
      </c>
      <c r="D11668">
        <f t="shared" si="383"/>
        <v>-0.12336036064196837</v>
      </c>
    </row>
    <row r="11669" spans="1:4">
      <c r="A11669" s="1">
        <v>35202</v>
      </c>
      <c r="B11669">
        <v>668.91</v>
      </c>
      <c r="C11669">
        <f t="shared" si="384"/>
        <v>6.106640595622991E-3</v>
      </c>
      <c r="D11669">
        <f t="shared" si="383"/>
        <v>0.61195567421432573</v>
      </c>
    </row>
    <row r="11670" spans="1:4">
      <c r="A11670" s="1">
        <v>35205</v>
      </c>
      <c r="B11670">
        <v>673.15</v>
      </c>
      <c r="C11670">
        <f t="shared" si="384"/>
        <v>6.3386703741908617E-3</v>
      </c>
      <c r="D11670">
        <f t="shared" si="383"/>
        <v>0.63645793996033906</v>
      </c>
    </row>
    <row r="11671" spans="1:4">
      <c r="A11671" s="1">
        <v>35206</v>
      </c>
      <c r="B11671">
        <v>672.76</v>
      </c>
      <c r="C11671">
        <f t="shared" si="384"/>
        <v>-5.7936566887021668E-4</v>
      </c>
      <c r="D11671">
        <f t="shared" si="383"/>
        <v>-9.4084314632203597E-2</v>
      </c>
    </row>
    <row r="11672" spans="1:4">
      <c r="A11672" s="1">
        <v>35207</v>
      </c>
      <c r="B11672">
        <v>678.42</v>
      </c>
      <c r="C11672">
        <f t="shared" si="384"/>
        <v>8.4131042273618648E-3</v>
      </c>
      <c r="D11672">
        <f t="shared" si="383"/>
        <v>0.85551744972086963</v>
      </c>
    </row>
    <row r="11673" spans="1:4">
      <c r="A11673" s="1">
        <v>35208</v>
      </c>
      <c r="B11673">
        <v>676</v>
      </c>
      <c r="C11673">
        <f t="shared" si="384"/>
        <v>-3.5671118186373623E-3</v>
      </c>
      <c r="D11673">
        <f t="shared" si="383"/>
        <v>-0.40958929246335318</v>
      </c>
    </row>
    <row r="11674" spans="1:4">
      <c r="A11674" s="1">
        <v>35209</v>
      </c>
      <c r="B11674">
        <v>678.51</v>
      </c>
      <c r="C11674">
        <f t="shared" si="384"/>
        <v>3.7130177514792767E-3</v>
      </c>
      <c r="D11674">
        <f t="shared" si="383"/>
        <v>0.35918991550468665</v>
      </c>
    </row>
    <row r="11675" spans="1:4">
      <c r="A11675" s="1">
        <v>35213</v>
      </c>
      <c r="B11675">
        <v>672.23</v>
      </c>
      <c r="C11675">
        <f t="shared" si="384"/>
        <v>-9.2555747151847022E-3</v>
      </c>
      <c r="D11675">
        <f t="shared" si="383"/>
        <v>-1.0102890407362648</v>
      </c>
    </row>
    <row r="11676" spans="1:4">
      <c r="A11676" s="1">
        <v>35214</v>
      </c>
      <c r="B11676">
        <v>667.93</v>
      </c>
      <c r="C11676">
        <f t="shared" si="384"/>
        <v>-6.3966202043944306E-3</v>
      </c>
      <c r="D11676">
        <f t="shared" si="383"/>
        <v>-0.70838441620266801</v>
      </c>
    </row>
    <row r="11677" spans="1:4">
      <c r="A11677" s="1">
        <v>35215</v>
      </c>
      <c r="B11677">
        <v>671.7</v>
      </c>
      <c r="C11677">
        <f t="shared" si="384"/>
        <v>5.6443040438370722E-3</v>
      </c>
      <c r="D11677">
        <f t="shared" si="383"/>
        <v>0.56313309150156243</v>
      </c>
    </row>
    <row r="11678" spans="1:4">
      <c r="A11678" s="1">
        <v>35216</v>
      </c>
      <c r="B11678">
        <v>669.12</v>
      </c>
      <c r="C11678">
        <f t="shared" si="384"/>
        <v>-3.8410004466280195E-3</v>
      </c>
      <c r="D11678">
        <f t="shared" si="383"/>
        <v>-0.43851183847989844</v>
      </c>
    </row>
    <row r="11679" spans="1:4">
      <c r="A11679" s="1">
        <v>35219</v>
      </c>
      <c r="B11679">
        <v>667.68</v>
      </c>
      <c r="C11679">
        <f t="shared" si="384"/>
        <v>-2.1520803443329365E-3</v>
      </c>
      <c r="D11679">
        <f t="shared" si="383"/>
        <v>-0.26016244976937414</v>
      </c>
    </row>
    <row r="11680" spans="1:4">
      <c r="A11680" s="1">
        <v>35220</v>
      </c>
      <c r="B11680">
        <v>672.56</v>
      </c>
      <c r="C11680">
        <f t="shared" si="384"/>
        <v>7.3088904864605734E-3</v>
      </c>
      <c r="D11680">
        <f t="shared" si="383"/>
        <v>0.73891285402218054</v>
      </c>
    </row>
    <row r="11681" spans="1:4">
      <c r="A11681" s="1">
        <v>35221</v>
      </c>
      <c r="B11681">
        <v>678.44</v>
      </c>
      <c r="C11681">
        <f t="shared" si="384"/>
        <v>8.7427144046629442E-3</v>
      </c>
      <c r="D11681">
        <f t="shared" si="383"/>
        <v>0.89032417240392059</v>
      </c>
    </row>
    <row r="11682" spans="1:4">
      <c r="A11682" s="1">
        <v>35222</v>
      </c>
      <c r="B11682">
        <v>673.03</v>
      </c>
      <c r="C11682">
        <f t="shared" si="384"/>
        <v>-7.9741760509405134E-3</v>
      </c>
      <c r="D11682">
        <f t="shared" si="383"/>
        <v>-0.87497377736064763</v>
      </c>
    </row>
    <row r="11683" spans="1:4">
      <c r="A11683" s="1">
        <v>35223</v>
      </c>
      <c r="B11683">
        <v>673.31</v>
      </c>
      <c r="C11683">
        <f t="shared" si="384"/>
        <v>4.1602900316475155E-4</v>
      </c>
      <c r="D11683">
        <f t="shared" si="383"/>
        <v>1.1029024383600382E-2</v>
      </c>
    </row>
    <row r="11684" spans="1:4">
      <c r="A11684" s="1">
        <v>35226</v>
      </c>
      <c r="B11684">
        <v>672.16</v>
      </c>
      <c r="C11684">
        <f t="shared" si="384"/>
        <v>-1.7079799795042066E-3</v>
      </c>
      <c r="D11684">
        <f t="shared" si="383"/>
        <v>-0.21326560220050889</v>
      </c>
    </row>
    <row r="11685" spans="1:4">
      <c r="A11685" s="1">
        <v>35227</v>
      </c>
      <c r="B11685">
        <v>670.97</v>
      </c>
      <c r="C11685">
        <f t="shared" si="384"/>
        <v>-1.7704118067125997E-3</v>
      </c>
      <c r="D11685">
        <f t="shared" si="383"/>
        <v>-0.21985838193210605</v>
      </c>
    </row>
    <row r="11686" spans="1:4">
      <c r="A11686" s="1">
        <v>35228</v>
      </c>
      <c r="B11686">
        <v>669.04</v>
      </c>
      <c r="C11686">
        <f t="shared" si="384"/>
        <v>-2.8764326273902911E-3</v>
      </c>
      <c r="D11686">
        <f t="shared" si="383"/>
        <v>-0.33665380464092659</v>
      </c>
    </row>
    <row r="11687" spans="1:4">
      <c r="A11687" s="1">
        <v>35229</v>
      </c>
      <c r="B11687">
        <v>667.92</v>
      </c>
      <c r="C11687">
        <f t="shared" si="384"/>
        <v>-1.6740404161186247E-3</v>
      </c>
      <c r="D11687">
        <f t="shared" si="383"/>
        <v>-0.2096815958436096</v>
      </c>
    </row>
    <row r="11688" spans="1:4">
      <c r="A11688" s="1">
        <v>35230</v>
      </c>
      <c r="B11688">
        <v>665.85</v>
      </c>
      <c r="C11688">
        <f t="shared" si="384"/>
        <v>-3.0991735537189129E-3</v>
      </c>
      <c r="D11688">
        <f t="shared" si="383"/>
        <v>-0.3601751707479095</v>
      </c>
    </row>
    <row r="11689" spans="1:4">
      <c r="A11689" s="1">
        <v>35233</v>
      </c>
      <c r="B11689">
        <v>665.16</v>
      </c>
      <c r="C11689">
        <f t="shared" si="384"/>
        <v>-1.0362694300518954E-3</v>
      </c>
      <c r="D11689">
        <f t="shared" si="383"/>
        <v>-0.14233319650385437</v>
      </c>
    </row>
    <row r="11690" spans="1:4">
      <c r="A11690" s="1">
        <v>35234</v>
      </c>
      <c r="B11690">
        <v>662.06</v>
      </c>
      <c r="C11690">
        <f t="shared" si="384"/>
        <v>-4.6605328041373845E-3</v>
      </c>
      <c r="D11690">
        <f t="shared" si="383"/>
        <v>-0.52505417686030398</v>
      </c>
    </row>
    <row r="11691" spans="1:4">
      <c r="A11691" s="1">
        <v>35235</v>
      </c>
      <c r="B11691">
        <v>661.96</v>
      </c>
      <c r="C11691">
        <f t="shared" si="384"/>
        <v>-1.5104371205013E-4</v>
      </c>
      <c r="D11691">
        <f t="shared" si="383"/>
        <v>-4.8853661585709605E-2</v>
      </c>
    </row>
    <row r="11692" spans="1:4">
      <c r="A11692" s="1">
        <v>35236</v>
      </c>
      <c r="B11692">
        <v>662.1</v>
      </c>
      <c r="C11692">
        <f t="shared" si="384"/>
        <v>2.1149314157953102E-4</v>
      </c>
      <c r="D11692">
        <f t="shared" si="383"/>
        <v>-1.0569893074681501E-2</v>
      </c>
    </row>
    <row r="11693" spans="1:4">
      <c r="A11693" s="1">
        <v>35237</v>
      </c>
      <c r="B11693">
        <v>666.84</v>
      </c>
      <c r="C11693">
        <f t="shared" si="384"/>
        <v>7.1590394200271995E-3</v>
      </c>
      <c r="D11693">
        <f t="shared" si="383"/>
        <v>0.72308863234366871</v>
      </c>
    </row>
    <row r="11694" spans="1:4">
      <c r="A11694" s="1">
        <v>35240</v>
      </c>
      <c r="B11694">
        <v>668.85</v>
      </c>
      <c r="C11694">
        <f t="shared" si="384"/>
        <v>3.0142163037610082E-3</v>
      </c>
      <c r="D11694">
        <f t="shared" si="383"/>
        <v>0.28539672015979073</v>
      </c>
    </row>
    <row r="11695" spans="1:4">
      <c r="A11695" s="1">
        <v>35241</v>
      </c>
      <c r="B11695">
        <v>668.48</v>
      </c>
      <c r="C11695">
        <f t="shared" si="384"/>
        <v>-5.5318830829035584E-4</v>
      </c>
      <c r="D11695">
        <f t="shared" si="383"/>
        <v>-9.1319994253087511E-2</v>
      </c>
    </row>
    <row r="11696" spans="1:4">
      <c r="A11696" s="1">
        <v>35242</v>
      </c>
      <c r="B11696">
        <v>664.39</v>
      </c>
      <c r="C11696">
        <f t="shared" si="384"/>
        <v>-6.1183580660603637E-3</v>
      </c>
      <c r="D11696">
        <f t="shared" si="383"/>
        <v>-0.67900002898048706</v>
      </c>
    </row>
    <row r="11697" spans="1:4">
      <c r="A11697" s="1">
        <v>35243</v>
      </c>
      <c r="B11697">
        <v>668.55</v>
      </c>
      <c r="C11697">
        <f t="shared" si="384"/>
        <v>6.2613826216528969E-3</v>
      </c>
      <c r="D11697">
        <f t="shared" si="383"/>
        <v>0.62829637956371354</v>
      </c>
    </row>
    <row r="11698" spans="1:4">
      <c r="A11698" s="1">
        <v>35244</v>
      </c>
      <c r="B11698">
        <v>670.63</v>
      </c>
      <c r="C11698">
        <f t="shared" si="384"/>
        <v>3.1112108294069868E-3</v>
      </c>
      <c r="D11698">
        <f t="shared" si="383"/>
        <v>0.29563930909796488</v>
      </c>
    </row>
    <row r="11699" spans="1:4">
      <c r="A11699" s="1">
        <v>35247</v>
      </c>
      <c r="B11699">
        <v>675.88</v>
      </c>
      <c r="C11699">
        <f t="shared" si="384"/>
        <v>7.8284598064506505E-3</v>
      </c>
      <c r="D11699">
        <f t="shared" si="383"/>
        <v>0.7937791976029398</v>
      </c>
    </row>
    <row r="11700" spans="1:4">
      <c r="A11700" s="1">
        <v>35248</v>
      </c>
      <c r="B11700">
        <v>673.61</v>
      </c>
      <c r="C11700">
        <f t="shared" si="384"/>
        <v>-3.3585843640882729E-3</v>
      </c>
      <c r="D11700">
        <f t="shared" si="383"/>
        <v>-0.38756886414489511</v>
      </c>
    </row>
    <row r="11701" spans="1:4">
      <c r="A11701" s="1">
        <v>35249</v>
      </c>
      <c r="B11701">
        <v>672.4</v>
      </c>
      <c r="C11701">
        <f t="shared" si="384"/>
        <v>-1.7962916227491224E-3</v>
      </c>
      <c r="D11701">
        <f t="shared" si="383"/>
        <v>-0.22259128170858594</v>
      </c>
    </row>
    <row r="11702" spans="1:4">
      <c r="A11702" s="1">
        <v>35251</v>
      </c>
      <c r="B11702">
        <v>657.44</v>
      </c>
      <c r="C11702">
        <f t="shared" si="384"/>
        <v>-2.2248661511005241E-2</v>
      </c>
      <c r="D11702">
        <f t="shared" si="383"/>
        <v>-2.3823545898101219</v>
      </c>
    </row>
    <row r="11703" spans="1:4">
      <c r="A11703" s="1">
        <v>35254</v>
      </c>
      <c r="B11703">
        <v>652.54</v>
      </c>
      <c r="C11703">
        <f t="shared" si="384"/>
        <v>-7.4531516183987748E-3</v>
      </c>
      <c r="D11703">
        <f t="shared" si="383"/>
        <v>-0.81995377438904982</v>
      </c>
    </row>
    <row r="11704" spans="1:4">
      <c r="A11704" s="1">
        <v>35255</v>
      </c>
      <c r="B11704">
        <v>654.75</v>
      </c>
      <c r="C11704">
        <f t="shared" si="384"/>
        <v>3.386765562264438E-3</v>
      </c>
      <c r="D11704">
        <f t="shared" si="383"/>
        <v>0.32473779522210705</v>
      </c>
    </row>
    <row r="11705" spans="1:4">
      <c r="A11705" s="1">
        <v>35256</v>
      </c>
      <c r="B11705">
        <v>656.06</v>
      </c>
      <c r="C11705">
        <f t="shared" si="384"/>
        <v>2.0007636502481028E-3</v>
      </c>
      <c r="D11705">
        <f t="shared" si="383"/>
        <v>0.17837646443812274</v>
      </c>
    </row>
    <row r="11706" spans="1:4">
      <c r="A11706" s="1">
        <v>35257</v>
      </c>
      <c r="B11706">
        <v>645.66999999999996</v>
      </c>
      <c r="C11706">
        <f t="shared" si="384"/>
        <v>-1.5836966131146522E-2</v>
      </c>
      <c r="D11706">
        <f t="shared" si="383"/>
        <v>-1.7052817371381945</v>
      </c>
    </row>
    <row r="11707" spans="1:4">
      <c r="A11707" s="1">
        <v>35258</v>
      </c>
      <c r="B11707">
        <v>646.19000000000005</v>
      </c>
      <c r="C11707">
        <f t="shared" si="384"/>
        <v>8.0536496972152263E-4</v>
      </c>
      <c r="D11707">
        <f t="shared" si="383"/>
        <v>5.2142770110270215E-2</v>
      </c>
    </row>
    <row r="11708" spans="1:4">
      <c r="A11708" s="1">
        <v>35261</v>
      </c>
      <c r="B11708">
        <v>629.79999999999995</v>
      </c>
      <c r="C11708">
        <f t="shared" si="384"/>
        <v>-2.536405701109596E-2</v>
      </c>
      <c r="D11708">
        <f t="shared" si="383"/>
        <v>-2.7113392956453186</v>
      </c>
    </row>
    <row r="11709" spans="1:4">
      <c r="A11709" s="1">
        <v>35262</v>
      </c>
      <c r="B11709">
        <v>628.37</v>
      </c>
      <c r="C11709">
        <f t="shared" si="384"/>
        <v>-2.2705620832009369E-3</v>
      </c>
      <c r="D11709">
        <f t="shared" si="383"/>
        <v>-0.27267408111993513</v>
      </c>
    </row>
    <row r="11710" spans="1:4">
      <c r="A11710" s="1">
        <v>35263</v>
      </c>
      <c r="B11710">
        <v>634.07000000000005</v>
      </c>
      <c r="C11710">
        <f t="shared" si="384"/>
        <v>9.0710886897847533E-3</v>
      </c>
      <c r="D11710">
        <f t="shared" si="383"/>
        <v>0.92500038529294082</v>
      </c>
    </row>
    <row r="11711" spans="1:4">
      <c r="A11711" s="1">
        <v>35264</v>
      </c>
      <c r="B11711">
        <v>643.55999999999995</v>
      </c>
      <c r="C11711">
        <f t="shared" si="384"/>
        <v>1.4966801772674775E-2</v>
      </c>
      <c r="D11711">
        <f t="shared" si="383"/>
        <v>1.5475856827958785</v>
      </c>
    </row>
    <row r="11712" spans="1:4">
      <c r="A11712" s="1">
        <v>35265</v>
      </c>
      <c r="B11712">
        <v>638.73</v>
      </c>
      <c r="C11712">
        <f t="shared" si="384"/>
        <v>-7.5051277270183478E-3</v>
      </c>
      <c r="D11712">
        <f t="shared" si="383"/>
        <v>-0.82544243379173898</v>
      </c>
    </row>
    <row r="11713" spans="1:4">
      <c r="A11713" s="1">
        <v>35268</v>
      </c>
      <c r="B11713">
        <v>633.77</v>
      </c>
      <c r="C11713">
        <f t="shared" si="384"/>
        <v>-7.7654094844457535E-3</v>
      </c>
      <c r="D11713">
        <f t="shared" si="383"/>
        <v>-0.85292809890200483</v>
      </c>
    </row>
    <row r="11714" spans="1:4">
      <c r="A11714" s="1">
        <v>35269</v>
      </c>
      <c r="B11714">
        <v>626.87</v>
      </c>
      <c r="C11714">
        <f t="shared" si="384"/>
        <v>-1.0887230383262031E-2</v>
      </c>
      <c r="D11714">
        <f t="shared" si="383"/>
        <v>-1.1825913246585211</v>
      </c>
    </row>
    <row r="11715" spans="1:4">
      <c r="A11715" s="1">
        <v>35270</v>
      </c>
      <c r="B11715">
        <v>626.65</v>
      </c>
      <c r="C11715">
        <f t="shared" si="384"/>
        <v>-3.5094995772652588E-4</v>
      </c>
      <c r="D11715">
        <f t="shared" ref="D11715:D11778" si="385">(C11715-avg)/sd</f>
        <v>-6.9963693177702513E-2</v>
      </c>
    </row>
    <row r="11716" spans="1:4">
      <c r="A11716" s="1">
        <v>35271</v>
      </c>
      <c r="B11716">
        <v>631.16999999999996</v>
      </c>
      <c r="C11716">
        <f t="shared" ref="C11716:C11779" si="386">(B11716-B11715)/B11715</f>
        <v>7.2129577914305945E-3</v>
      </c>
      <c r="D11716">
        <f t="shared" si="385"/>
        <v>0.72878239403612222</v>
      </c>
    </row>
    <row r="11717" spans="1:4">
      <c r="A11717" s="1">
        <v>35272</v>
      </c>
      <c r="B11717">
        <v>635.9</v>
      </c>
      <c r="C11717">
        <f t="shared" si="386"/>
        <v>7.4940190439976842E-3</v>
      </c>
      <c r="D11717">
        <f t="shared" si="385"/>
        <v>0.75846236676984524</v>
      </c>
    </row>
    <row r="11718" spans="1:4">
      <c r="A11718" s="1">
        <v>35275</v>
      </c>
      <c r="B11718">
        <v>630.91</v>
      </c>
      <c r="C11718">
        <f t="shared" si="386"/>
        <v>-7.8471457776380076E-3</v>
      </c>
      <c r="D11718">
        <f t="shared" si="385"/>
        <v>-0.86155942367959093</v>
      </c>
    </row>
    <row r="11719" spans="1:4">
      <c r="A11719" s="1">
        <v>35276</v>
      </c>
      <c r="B11719">
        <v>635.26</v>
      </c>
      <c r="C11719">
        <f t="shared" si="386"/>
        <v>6.8948027452410375E-3</v>
      </c>
      <c r="D11719">
        <f t="shared" si="385"/>
        <v>0.69518532930465982</v>
      </c>
    </row>
    <row r="11720" spans="1:4">
      <c r="A11720" s="1">
        <v>35277</v>
      </c>
      <c r="B11720">
        <v>639.95000000000005</v>
      </c>
      <c r="C11720">
        <f t="shared" si="386"/>
        <v>7.3828038913201751E-3</v>
      </c>
      <c r="D11720">
        <f t="shared" si="385"/>
        <v>0.74671808445096743</v>
      </c>
    </row>
    <row r="11721" spans="1:4">
      <c r="A11721" s="1">
        <v>35278</v>
      </c>
      <c r="B11721">
        <v>650.02</v>
      </c>
      <c r="C11721">
        <f t="shared" si="386"/>
        <v>1.5735604344089282E-2</v>
      </c>
      <c r="D11721">
        <f t="shared" si="385"/>
        <v>1.6287709730085591</v>
      </c>
    </row>
    <row r="11722" spans="1:4">
      <c r="A11722" s="1">
        <v>35279</v>
      </c>
      <c r="B11722">
        <v>662.49</v>
      </c>
      <c r="C11722">
        <f t="shared" si="386"/>
        <v>1.9184025106919831E-2</v>
      </c>
      <c r="D11722">
        <f t="shared" si="385"/>
        <v>1.9929230333882946</v>
      </c>
    </row>
    <row r="11723" spans="1:4">
      <c r="A11723" s="1">
        <v>35282</v>
      </c>
      <c r="B11723">
        <v>660.23</v>
      </c>
      <c r="C11723">
        <f t="shared" si="386"/>
        <v>-3.4113722471282447E-3</v>
      </c>
      <c r="D11723">
        <f t="shared" si="385"/>
        <v>-0.39314324665044287</v>
      </c>
    </row>
    <row r="11724" spans="1:4">
      <c r="A11724" s="1">
        <v>35283</v>
      </c>
      <c r="B11724">
        <v>662.38</v>
      </c>
      <c r="C11724">
        <f t="shared" si="386"/>
        <v>3.2564409372491058E-3</v>
      </c>
      <c r="D11724">
        <f t="shared" si="385"/>
        <v>0.31097555911998043</v>
      </c>
    </row>
    <row r="11725" spans="1:4">
      <c r="A11725" s="1">
        <v>35284</v>
      </c>
      <c r="B11725">
        <v>664.16</v>
      </c>
      <c r="C11725">
        <f t="shared" si="386"/>
        <v>2.6872792052899737E-3</v>
      </c>
      <c r="D11725">
        <f t="shared" si="385"/>
        <v>0.25087227369256887</v>
      </c>
    </row>
    <row r="11726" spans="1:4">
      <c r="A11726" s="1">
        <v>35285</v>
      </c>
      <c r="B11726">
        <v>662.59</v>
      </c>
      <c r="C11726">
        <f t="shared" si="386"/>
        <v>-2.3638882197059992E-3</v>
      </c>
      <c r="D11726">
        <f t="shared" si="385"/>
        <v>-0.28252928941177458</v>
      </c>
    </row>
    <row r="11727" spans="1:4">
      <c r="A11727" s="1">
        <v>35286</v>
      </c>
      <c r="B11727">
        <v>662.1</v>
      </c>
      <c r="C11727">
        <f t="shared" si="386"/>
        <v>-7.3952217811921257E-4</v>
      </c>
      <c r="D11727">
        <f t="shared" si="385"/>
        <v>-0.11099678756905497</v>
      </c>
    </row>
    <row r="11728" spans="1:4">
      <c r="A11728" s="1">
        <v>35289</v>
      </c>
      <c r="B11728">
        <v>665.77</v>
      </c>
      <c r="C11728">
        <f t="shared" si="386"/>
        <v>5.5429693399787934E-3</v>
      </c>
      <c r="D11728">
        <f t="shared" si="385"/>
        <v>0.55243218121946769</v>
      </c>
    </row>
    <row r="11729" spans="1:4">
      <c r="A11729" s="1">
        <v>35290</v>
      </c>
      <c r="B11729">
        <v>660.2</v>
      </c>
      <c r="C11729">
        <f t="shared" si="386"/>
        <v>-8.3662526097600318E-3</v>
      </c>
      <c r="D11729">
        <f t="shared" si="385"/>
        <v>-0.91637692869869103</v>
      </c>
    </row>
    <row r="11730" spans="1:4">
      <c r="A11730" s="1">
        <v>35291</v>
      </c>
      <c r="B11730">
        <v>662.05</v>
      </c>
      <c r="C11730">
        <f t="shared" si="386"/>
        <v>2.8021811572249452E-3</v>
      </c>
      <c r="D11730">
        <f t="shared" si="385"/>
        <v>0.26300588075983072</v>
      </c>
    </row>
    <row r="11731" spans="1:4">
      <c r="A11731" s="1">
        <v>35292</v>
      </c>
      <c r="B11731">
        <v>662.28</v>
      </c>
      <c r="C11731">
        <f t="shared" si="386"/>
        <v>3.4740578506157875E-4</v>
      </c>
      <c r="D11731">
        <f t="shared" si="385"/>
        <v>3.782435878070528E-3</v>
      </c>
    </row>
    <row r="11732" spans="1:4">
      <c r="A11732" s="1">
        <v>35293</v>
      </c>
      <c r="B11732">
        <v>665.21</v>
      </c>
      <c r="C11732">
        <f t="shared" si="386"/>
        <v>4.4241106480643593E-3</v>
      </c>
      <c r="D11732">
        <f t="shared" si="385"/>
        <v>0.43428108367185159</v>
      </c>
    </row>
    <row r="11733" spans="1:4">
      <c r="A11733" s="1">
        <v>35296</v>
      </c>
      <c r="B11733">
        <v>666.58</v>
      </c>
      <c r="C11733">
        <f t="shared" si="386"/>
        <v>2.0595000075164303E-3</v>
      </c>
      <c r="D11733">
        <f t="shared" si="385"/>
        <v>0.18457900380020023</v>
      </c>
    </row>
    <row r="11734" spans="1:4">
      <c r="A11734" s="1">
        <v>35297</v>
      </c>
      <c r="B11734">
        <v>665.69</v>
      </c>
      <c r="C11734">
        <f t="shared" si="386"/>
        <v>-1.3351735725644128E-3</v>
      </c>
      <c r="D11734">
        <f t="shared" si="385"/>
        <v>-0.17389737235072156</v>
      </c>
    </row>
    <row r="11735" spans="1:4">
      <c r="A11735" s="1">
        <v>35298</v>
      </c>
      <c r="B11735">
        <v>665.07</v>
      </c>
      <c r="C11735">
        <f t="shared" si="386"/>
        <v>-9.3136444891767111E-4</v>
      </c>
      <c r="D11735">
        <f t="shared" si="385"/>
        <v>-0.13125526615501595</v>
      </c>
    </row>
    <row r="11736" spans="1:4">
      <c r="A11736" s="1">
        <v>35299</v>
      </c>
      <c r="B11736">
        <v>670.68</v>
      </c>
      <c r="C11736">
        <f t="shared" si="386"/>
        <v>8.435202309531176E-3</v>
      </c>
      <c r="D11736">
        <f t="shared" si="385"/>
        <v>0.85785099968644585</v>
      </c>
    </row>
    <row r="11737" spans="1:4">
      <c r="A11737" s="1">
        <v>35300</v>
      </c>
      <c r="B11737">
        <v>667.03</v>
      </c>
      <c r="C11737">
        <f t="shared" si="386"/>
        <v>-5.4422377288721561E-3</v>
      </c>
      <c r="D11737">
        <f t="shared" si="385"/>
        <v>-0.60760195119788152</v>
      </c>
    </row>
    <row r="11738" spans="1:4">
      <c r="A11738" s="1">
        <v>35303</v>
      </c>
      <c r="B11738">
        <v>663.88</v>
      </c>
      <c r="C11738">
        <f t="shared" si="386"/>
        <v>-4.722426277678631E-3</v>
      </c>
      <c r="D11738">
        <f t="shared" si="385"/>
        <v>-0.53159010662764572</v>
      </c>
    </row>
    <row r="11739" spans="1:4">
      <c r="A11739" s="1">
        <v>35304</v>
      </c>
      <c r="B11739">
        <v>666.4</v>
      </c>
      <c r="C11739">
        <f t="shared" si="386"/>
        <v>3.7958667229017018E-3</v>
      </c>
      <c r="D11739">
        <f t="shared" si="385"/>
        <v>0.36793873872516103</v>
      </c>
    </row>
    <row r="11740" spans="1:4">
      <c r="A11740" s="1">
        <v>35305</v>
      </c>
      <c r="B11740">
        <v>664.81</v>
      </c>
      <c r="C11740">
        <f t="shared" si="386"/>
        <v>-2.3859543817527488E-3</v>
      </c>
      <c r="D11740">
        <f t="shared" si="385"/>
        <v>-0.28485946862325839</v>
      </c>
    </row>
    <row r="11741" spans="1:4">
      <c r="A11741" s="1">
        <v>35306</v>
      </c>
      <c r="B11741">
        <v>657.4</v>
      </c>
      <c r="C11741">
        <f t="shared" si="386"/>
        <v>-1.114604172620744E-2</v>
      </c>
      <c r="D11741">
        <f t="shared" si="385"/>
        <v>-1.2099217144993064</v>
      </c>
    </row>
    <row r="11742" spans="1:4">
      <c r="A11742" s="1">
        <v>35307</v>
      </c>
      <c r="B11742">
        <v>651.99</v>
      </c>
      <c r="C11742">
        <f t="shared" si="386"/>
        <v>-8.2293885001520663E-3</v>
      </c>
      <c r="D11742">
        <f t="shared" si="385"/>
        <v>-0.90192412524646104</v>
      </c>
    </row>
    <row r="11743" spans="1:4">
      <c r="A11743" s="1">
        <v>35311</v>
      </c>
      <c r="B11743">
        <v>654.72</v>
      </c>
      <c r="C11743">
        <f t="shared" si="386"/>
        <v>4.1871807849813928E-3</v>
      </c>
      <c r="D11743">
        <f t="shared" si="385"/>
        <v>0.4092613706666639</v>
      </c>
    </row>
    <row r="11744" spans="1:4">
      <c r="A11744" s="1">
        <v>35312</v>
      </c>
      <c r="B11744">
        <v>655.61</v>
      </c>
      <c r="C11744">
        <f t="shared" si="386"/>
        <v>1.3593597262951892E-3</v>
      </c>
      <c r="D11744">
        <f t="shared" si="385"/>
        <v>0.11064442809248205</v>
      </c>
    </row>
    <row r="11745" spans="1:4">
      <c r="A11745" s="1">
        <v>35313</v>
      </c>
      <c r="B11745">
        <v>649.44000000000005</v>
      </c>
      <c r="C11745">
        <f t="shared" si="386"/>
        <v>-9.4110828083768683E-3</v>
      </c>
      <c r="D11745">
        <f t="shared" si="385"/>
        <v>-1.0267106425175883</v>
      </c>
    </row>
    <row r="11746" spans="1:4">
      <c r="A11746" s="1">
        <v>35314</v>
      </c>
      <c r="B11746">
        <v>655.68</v>
      </c>
      <c r="C11746">
        <f t="shared" si="386"/>
        <v>9.6082779009606656E-3</v>
      </c>
      <c r="D11746">
        <f t="shared" si="385"/>
        <v>0.98172738339363219</v>
      </c>
    </row>
    <row r="11747" spans="1:4">
      <c r="A11747" s="1">
        <v>35317</v>
      </c>
      <c r="B11747">
        <v>663.76</v>
      </c>
      <c r="C11747">
        <f t="shared" si="386"/>
        <v>1.2323084431430029E-2</v>
      </c>
      <c r="D11747">
        <f t="shared" si="385"/>
        <v>1.2684100302036203</v>
      </c>
    </row>
    <row r="11748" spans="1:4">
      <c r="A11748" s="1">
        <v>35318</v>
      </c>
      <c r="B11748">
        <v>663.81</v>
      </c>
      <c r="C11748">
        <f t="shared" si="386"/>
        <v>7.5328431963291736E-5</v>
      </c>
      <c r="D11748">
        <f t="shared" si="385"/>
        <v>-2.4948840125522717E-2</v>
      </c>
    </row>
    <row r="11749" spans="1:4">
      <c r="A11749" s="1">
        <v>35319</v>
      </c>
      <c r="B11749">
        <v>667.28</v>
      </c>
      <c r="C11749">
        <f t="shared" si="386"/>
        <v>5.2273994064567083E-3</v>
      </c>
      <c r="D11749">
        <f t="shared" si="385"/>
        <v>0.51910810350696779</v>
      </c>
    </row>
    <row r="11750" spans="1:4">
      <c r="A11750" s="1">
        <v>35320</v>
      </c>
      <c r="B11750">
        <v>671.15</v>
      </c>
      <c r="C11750">
        <f t="shared" si="386"/>
        <v>5.7996643088358783E-3</v>
      </c>
      <c r="D11750">
        <f t="shared" si="385"/>
        <v>0.57953908267591647</v>
      </c>
    </row>
    <row r="11751" spans="1:4">
      <c r="A11751" s="1">
        <v>35321</v>
      </c>
      <c r="B11751">
        <v>680.54</v>
      </c>
      <c r="C11751">
        <f t="shared" si="386"/>
        <v>1.3990911122699824E-2</v>
      </c>
      <c r="D11751">
        <f t="shared" si="385"/>
        <v>1.4445319618798731</v>
      </c>
    </row>
    <row r="11752" spans="1:4">
      <c r="A11752" s="1">
        <v>35324</v>
      </c>
      <c r="B11752">
        <v>683.98</v>
      </c>
      <c r="C11752">
        <f t="shared" si="386"/>
        <v>5.0548094160520396E-3</v>
      </c>
      <c r="D11752">
        <f t="shared" si="385"/>
        <v>0.50088265918642294</v>
      </c>
    </row>
    <row r="11753" spans="1:4">
      <c r="A11753" s="1">
        <v>35325</v>
      </c>
      <c r="B11753">
        <v>682.94</v>
      </c>
      <c r="C11753">
        <f t="shared" si="386"/>
        <v>-1.5205122956811071E-3</v>
      </c>
      <c r="D11753">
        <f t="shared" si="385"/>
        <v>-0.19346907851215148</v>
      </c>
    </row>
    <row r="11754" spans="1:4">
      <c r="A11754" s="1">
        <v>35326</v>
      </c>
      <c r="B11754">
        <v>681.47</v>
      </c>
      <c r="C11754">
        <f t="shared" si="386"/>
        <v>-2.1524584883006225E-3</v>
      </c>
      <c r="D11754">
        <f t="shared" si="385"/>
        <v>-0.26020238164382442</v>
      </c>
    </row>
    <row r="11755" spans="1:4">
      <c r="A11755" s="1">
        <v>35327</v>
      </c>
      <c r="B11755">
        <v>683</v>
      </c>
      <c r="C11755">
        <f t="shared" si="386"/>
        <v>2.2451465214902676E-3</v>
      </c>
      <c r="D11755">
        <f t="shared" si="385"/>
        <v>0.20418321257152125</v>
      </c>
    </row>
    <row r="11756" spans="1:4">
      <c r="A11756" s="1">
        <v>35328</v>
      </c>
      <c r="B11756">
        <v>687.03</v>
      </c>
      <c r="C11756">
        <f t="shared" si="386"/>
        <v>5.9004392386529615E-3</v>
      </c>
      <c r="D11756">
        <f t="shared" si="385"/>
        <v>0.59018088100953747</v>
      </c>
    </row>
    <row r="11757" spans="1:4">
      <c r="A11757" s="1">
        <v>35331</v>
      </c>
      <c r="B11757">
        <v>686.48</v>
      </c>
      <c r="C11757">
        <f t="shared" si="386"/>
        <v>-8.0054728323356267E-4</v>
      </c>
      <c r="D11757">
        <f t="shared" si="385"/>
        <v>-0.11744101792568924</v>
      </c>
    </row>
    <row r="11758" spans="1:4">
      <c r="A11758" s="1">
        <v>35332</v>
      </c>
      <c r="B11758">
        <v>685.61</v>
      </c>
      <c r="C11758">
        <f t="shared" si="386"/>
        <v>-1.2673348094627732E-3</v>
      </c>
      <c r="D11758">
        <f t="shared" si="385"/>
        <v>-0.16673362202670439</v>
      </c>
    </row>
    <row r="11759" spans="1:4">
      <c r="A11759" s="1">
        <v>35333</v>
      </c>
      <c r="B11759">
        <v>685.83</v>
      </c>
      <c r="C11759">
        <f t="shared" si="386"/>
        <v>3.2088213415794298E-4</v>
      </c>
      <c r="D11759">
        <f t="shared" si="385"/>
        <v>9.8154735847358994E-4</v>
      </c>
    </row>
    <row r="11760" spans="1:4">
      <c r="A11760" s="1">
        <v>35334</v>
      </c>
      <c r="B11760">
        <v>685.86</v>
      </c>
      <c r="C11760">
        <f t="shared" si="386"/>
        <v>4.3742618433099621E-5</v>
      </c>
      <c r="D11760">
        <f t="shared" si="385"/>
        <v>-2.8284291297771321E-2</v>
      </c>
    </row>
    <row r="11761" spans="1:4">
      <c r="A11761" s="1">
        <v>35335</v>
      </c>
      <c r="B11761">
        <v>686.19</v>
      </c>
      <c r="C11761">
        <f t="shared" si="386"/>
        <v>4.8114775610188804E-4</v>
      </c>
      <c r="D11761">
        <f t="shared" si="385"/>
        <v>1.7905542558822391E-2</v>
      </c>
    </row>
    <row r="11762" spans="1:4">
      <c r="A11762" s="1">
        <v>35338</v>
      </c>
      <c r="B11762">
        <v>687.33</v>
      </c>
      <c r="C11762">
        <f t="shared" si="386"/>
        <v>1.661347440213332E-3</v>
      </c>
      <c r="D11762">
        <f t="shared" si="385"/>
        <v>0.14253422803162644</v>
      </c>
    </row>
    <row r="11763" spans="1:4">
      <c r="A11763" s="1">
        <v>35339</v>
      </c>
      <c r="B11763">
        <v>689.08</v>
      </c>
      <c r="C11763">
        <f t="shared" si="386"/>
        <v>2.5460841226194113E-3</v>
      </c>
      <c r="D11763">
        <f t="shared" si="385"/>
        <v>0.23596212095709801</v>
      </c>
    </row>
    <row r="11764" spans="1:4">
      <c r="A11764" s="1">
        <v>35340</v>
      </c>
      <c r="B11764">
        <v>694.01</v>
      </c>
      <c r="C11764">
        <f t="shared" si="386"/>
        <v>7.1544668253322539E-3</v>
      </c>
      <c r="D11764">
        <f t="shared" si="385"/>
        <v>0.72260576789818287</v>
      </c>
    </row>
    <row r="11765" spans="1:4">
      <c r="A11765" s="1">
        <v>35341</v>
      </c>
      <c r="B11765">
        <v>692.78</v>
      </c>
      <c r="C11765">
        <f t="shared" si="386"/>
        <v>-1.7723087563580038E-3</v>
      </c>
      <c r="D11765">
        <f t="shared" si="385"/>
        <v>-0.22005869916985621</v>
      </c>
    </row>
    <row r="11766" spans="1:4">
      <c r="A11766" s="1">
        <v>35342</v>
      </c>
      <c r="B11766">
        <v>701.46</v>
      </c>
      <c r="C11766">
        <f t="shared" si="386"/>
        <v>1.2529230058604556E-2</v>
      </c>
      <c r="D11766">
        <f t="shared" si="385"/>
        <v>1.2901789383609472</v>
      </c>
    </row>
    <row r="11767" spans="1:4">
      <c r="A11767" s="1">
        <v>35345</v>
      </c>
      <c r="B11767">
        <v>703.34</v>
      </c>
      <c r="C11767">
        <f t="shared" si="386"/>
        <v>2.6801243121489398E-3</v>
      </c>
      <c r="D11767">
        <f t="shared" si="385"/>
        <v>0.25011671940894203</v>
      </c>
    </row>
    <row r="11768" spans="1:4">
      <c r="A11768" s="1">
        <v>35346</v>
      </c>
      <c r="B11768">
        <v>700.64</v>
      </c>
      <c r="C11768">
        <f t="shared" si="386"/>
        <v>-3.8388261722638343E-3</v>
      </c>
      <c r="D11768">
        <f t="shared" si="385"/>
        <v>-0.43828223584611231</v>
      </c>
    </row>
    <row r="11769" spans="1:4">
      <c r="A11769" s="1">
        <v>35347</v>
      </c>
      <c r="B11769">
        <v>696.74</v>
      </c>
      <c r="C11769">
        <f t="shared" si="386"/>
        <v>-5.5663393468828176E-3</v>
      </c>
      <c r="D11769">
        <f t="shared" si="385"/>
        <v>-0.62070703987561782</v>
      </c>
    </row>
    <row r="11770" spans="1:4">
      <c r="A11770" s="1">
        <v>35348</v>
      </c>
      <c r="B11770">
        <v>694.61</v>
      </c>
      <c r="C11770">
        <f t="shared" si="386"/>
        <v>-3.0570944685248376E-3</v>
      </c>
      <c r="D11770">
        <f t="shared" si="385"/>
        <v>-0.35573163365479116</v>
      </c>
    </row>
    <row r="11771" spans="1:4">
      <c r="A11771" s="1">
        <v>35349</v>
      </c>
      <c r="B11771">
        <v>700.66</v>
      </c>
      <c r="C11771">
        <f t="shared" si="386"/>
        <v>8.7099235542246068E-3</v>
      </c>
      <c r="D11771">
        <f t="shared" si="385"/>
        <v>0.88686146974378388</v>
      </c>
    </row>
    <row r="11772" spans="1:4">
      <c r="A11772" s="1">
        <v>35352</v>
      </c>
      <c r="B11772">
        <v>703.54</v>
      </c>
      <c r="C11772">
        <f t="shared" si="386"/>
        <v>4.1104101846830068E-3</v>
      </c>
      <c r="D11772">
        <f t="shared" si="385"/>
        <v>0.4011544213707493</v>
      </c>
    </row>
    <row r="11773" spans="1:4">
      <c r="A11773" s="1">
        <v>35353</v>
      </c>
      <c r="B11773">
        <v>702.57</v>
      </c>
      <c r="C11773">
        <f t="shared" si="386"/>
        <v>-1.3787417915113764E-3</v>
      </c>
      <c r="D11773">
        <f t="shared" si="385"/>
        <v>-0.17849816146196373</v>
      </c>
    </row>
    <row r="11774" spans="1:4">
      <c r="A11774" s="1">
        <v>35354</v>
      </c>
      <c r="B11774">
        <v>704.41</v>
      </c>
      <c r="C11774">
        <f t="shared" si="386"/>
        <v>2.6189561182514455E-3</v>
      </c>
      <c r="D11774">
        <f t="shared" si="385"/>
        <v>0.24365737892544598</v>
      </c>
    </row>
    <row r="11775" spans="1:4">
      <c r="A11775" s="1">
        <v>35355</v>
      </c>
      <c r="B11775">
        <v>706.99</v>
      </c>
      <c r="C11775">
        <f t="shared" si="386"/>
        <v>3.6626396558822861E-3</v>
      </c>
      <c r="D11775">
        <f t="shared" si="385"/>
        <v>0.35387000573399113</v>
      </c>
    </row>
    <row r="11776" spans="1:4">
      <c r="A11776" s="1">
        <v>35356</v>
      </c>
      <c r="B11776">
        <v>710.82</v>
      </c>
      <c r="C11776">
        <f t="shared" si="386"/>
        <v>5.4173326355394574E-3</v>
      </c>
      <c r="D11776">
        <f t="shared" si="385"/>
        <v>0.53916498793666467</v>
      </c>
    </row>
    <row r="11777" spans="1:4">
      <c r="A11777" s="1">
        <v>35359</v>
      </c>
      <c r="B11777">
        <v>709.85</v>
      </c>
      <c r="C11777">
        <f t="shared" si="386"/>
        <v>-1.3646211417799544E-3</v>
      </c>
      <c r="D11777">
        <f t="shared" si="385"/>
        <v>-0.17700702565016763</v>
      </c>
    </row>
    <row r="11778" spans="1:4">
      <c r="A11778" s="1">
        <v>35360</v>
      </c>
      <c r="B11778">
        <v>706.57</v>
      </c>
      <c r="C11778">
        <f t="shared" si="386"/>
        <v>-4.6206945129252273E-3</v>
      </c>
      <c r="D11778">
        <f t="shared" si="385"/>
        <v>-0.52084726684999327</v>
      </c>
    </row>
    <row r="11779" spans="1:4">
      <c r="A11779" s="1">
        <v>35361</v>
      </c>
      <c r="B11779">
        <v>707.27</v>
      </c>
      <c r="C11779">
        <f t="shared" si="386"/>
        <v>9.9070155823192561E-4</v>
      </c>
      <c r="D11779">
        <f t="shared" ref="D11779:D11842" si="387">(C11779-avg)/sd</f>
        <v>7.1714250858001385E-2</v>
      </c>
    </row>
    <row r="11780" spans="1:4">
      <c r="A11780" s="1">
        <v>35362</v>
      </c>
      <c r="B11780">
        <v>702.29</v>
      </c>
      <c r="C11780">
        <f t="shared" ref="C11780:C11843" si="388">(B11780-B11779)/B11779</f>
        <v>-7.0411582563943307E-3</v>
      </c>
      <c r="D11780">
        <f t="shared" si="387"/>
        <v>-0.77644741540472861</v>
      </c>
    </row>
    <row r="11781" spans="1:4">
      <c r="A11781" s="1">
        <v>35363</v>
      </c>
      <c r="B11781">
        <v>700.92</v>
      </c>
      <c r="C11781">
        <f t="shared" si="388"/>
        <v>-1.950761081604472E-3</v>
      </c>
      <c r="D11781">
        <f t="shared" si="387"/>
        <v>-0.23890320405699061</v>
      </c>
    </row>
    <row r="11782" spans="1:4">
      <c r="A11782" s="1">
        <v>35366</v>
      </c>
      <c r="B11782">
        <v>697.26</v>
      </c>
      <c r="C11782">
        <f t="shared" si="388"/>
        <v>-5.2217086115390748E-3</v>
      </c>
      <c r="D11782">
        <f t="shared" si="387"/>
        <v>-0.58431415136899734</v>
      </c>
    </row>
    <row r="11783" spans="1:4">
      <c r="A11783" s="1">
        <v>35367</v>
      </c>
      <c r="B11783">
        <v>701.5</v>
      </c>
      <c r="C11783">
        <f t="shared" si="388"/>
        <v>6.0809454149098026E-3</v>
      </c>
      <c r="D11783">
        <f t="shared" si="387"/>
        <v>0.60924227186522939</v>
      </c>
    </row>
    <row r="11784" spans="1:4">
      <c r="A11784" s="1">
        <v>35368</v>
      </c>
      <c r="B11784">
        <v>700.9</v>
      </c>
      <c r="C11784">
        <f t="shared" si="388"/>
        <v>-8.5531004989311868E-4</v>
      </c>
      <c r="D11784">
        <f t="shared" si="387"/>
        <v>-0.12322394747016953</v>
      </c>
    </row>
    <row r="11785" spans="1:4">
      <c r="A11785" s="1">
        <v>35369</v>
      </c>
      <c r="B11785">
        <v>705.27</v>
      </c>
      <c r="C11785">
        <f t="shared" si="388"/>
        <v>6.234840918818668E-3</v>
      </c>
      <c r="D11785">
        <f t="shared" si="387"/>
        <v>0.62549358476638206</v>
      </c>
    </row>
    <row r="11786" spans="1:4">
      <c r="A11786" s="1">
        <v>35370</v>
      </c>
      <c r="B11786">
        <v>703.77</v>
      </c>
      <c r="C11786">
        <f t="shared" si="388"/>
        <v>-2.1268450380705264E-3</v>
      </c>
      <c r="D11786">
        <f t="shared" si="387"/>
        <v>-0.257497610005961</v>
      </c>
    </row>
    <row r="11787" spans="1:4">
      <c r="A11787" s="1">
        <v>35373</v>
      </c>
      <c r="B11787">
        <v>706.73</v>
      </c>
      <c r="C11787">
        <f t="shared" si="388"/>
        <v>4.2059195475795163E-3</v>
      </c>
      <c r="D11787">
        <f t="shared" si="387"/>
        <v>0.41124017762741083</v>
      </c>
    </row>
    <row r="11788" spans="1:4">
      <c r="A11788" s="1">
        <v>35374</v>
      </c>
      <c r="B11788">
        <v>714.14</v>
      </c>
      <c r="C11788">
        <f t="shared" si="388"/>
        <v>1.0484909371329882E-2</v>
      </c>
      <c r="D11788">
        <f t="shared" si="387"/>
        <v>1.0742993686831066</v>
      </c>
    </row>
    <row r="11789" spans="1:4">
      <c r="A11789" s="1">
        <v>35375</v>
      </c>
      <c r="B11789">
        <v>724.59</v>
      </c>
      <c r="C11789">
        <f t="shared" si="388"/>
        <v>1.4632985128966373E-2</v>
      </c>
      <c r="D11789">
        <f t="shared" si="387"/>
        <v>1.5123347586900617</v>
      </c>
    </row>
    <row r="11790" spans="1:4">
      <c r="A11790" s="1">
        <v>35376</v>
      </c>
      <c r="B11790">
        <v>727.65</v>
      </c>
      <c r="C11790">
        <f t="shared" si="388"/>
        <v>4.2230778785243318E-3</v>
      </c>
      <c r="D11790">
        <f t="shared" si="387"/>
        <v>0.41305209154278322</v>
      </c>
    </row>
    <row r="11791" spans="1:4">
      <c r="A11791" s="1">
        <v>35377</v>
      </c>
      <c r="B11791">
        <v>730.82</v>
      </c>
      <c r="C11791">
        <f t="shared" si="388"/>
        <v>4.3564900707758853E-3</v>
      </c>
      <c r="D11791">
        <f t="shared" si="387"/>
        <v>0.42714037369553975</v>
      </c>
    </row>
    <row r="11792" spans="1:4">
      <c r="A11792" s="1">
        <v>35380</v>
      </c>
      <c r="B11792">
        <v>731.87</v>
      </c>
      <c r="C11792">
        <f t="shared" si="388"/>
        <v>1.4367422894829842E-3</v>
      </c>
      <c r="D11792">
        <f t="shared" si="387"/>
        <v>0.11881600046150195</v>
      </c>
    </row>
    <row r="11793" spans="1:4">
      <c r="A11793" s="1">
        <v>35381</v>
      </c>
      <c r="B11793">
        <v>729.56</v>
      </c>
      <c r="C11793">
        <f t="shared" si="388"/>
        <v>-3.1562982496892334E-3</v>
      </c>
      <c r="D11793">
        <f t="shared" si="387"/>
        <v>-0.3662075192247477</v>
      </c>
    </row>
    <row r="11794" spans="1:4">
      <c r="A11794" s="1">
        <v>35382</v>
      </c>
      <c r="B11794">
        <v>731.13</v>
      </c>
      <c r="C11794">
        <f t="shared" si="388"/>
        <v>2.1519820165579939E-3</v>
      </c>
      <c r="D11794">
        <f t="shared" si="387"/>
        <v>0.19434507251882707</v>
      </c>
    </row>
    <row r="11795" spans="1:4">
      <c r="A11795" s="1">
        <v>35383</v>
      </c>
      <c r="B11795">
        <v>735.88</v>
      </c>
      <c r="C11795">
        <f t="shared" si="388"/>
        <v>6.4967926360565151E-3</v>
      </c>
      <c r="D11795">
        <f t="shared" si="387"/>
        <v>0.65315559706498372</v>
      </c>
    </row>
    <row r="11796" spans="1:4">
      <c r="A11796" s="1">
        <v>35384</v>
      </c>
      <c r="B11796">
        <v>737.62</v>
      </c>
      <c r="C11796">
        <f t="shared" si="388"/>
        <v>2.3645159536881135E-3</v>
      </c>
      <c r="D11796">
        <f t="shared" si="387"/>
        <v>0.21678858403597231</v>
      </c>
    </row>
    <row r="11797" spans="1:4">
      <c r="A11797" s="1">
        <v>35387</v>
      </c>
      <c r="B11797">
        <v>737.02</v>
      </c>
      <c r="C11797">
        <f t="shared" si="388"/>
        <v>-8.1342696781543718E-4</v>
      </c>
      <c r="D11797">
        <f t="shared" si="387"/>
        <v>-0.1188011082395177</v>
      </c>
    </row>
    <row r="11798" spans="1:4">
      <c r="A11798" s="1">
        <v>35388</v>
      </c>
      <c r="B11798">
        <v>742.16</v>
      </c>
      <c r="C11798">
        <f t="shared" si="388"/>
        <v>6.9740305554801584E-3</v>
      </c>
      <c r="D11798">
        <f t="shared" si="387"/>
        <v>0.70355175913506973</v>
      </c>
    </row>
    <row r="11799" spans="1:4">
      <c r="A11799" s="1">
        <v>35389</v>
      </c>
      <c r="B11799">
        <v>743.95</v>
      </c>
      <c r="C11799">
        <f t="shared" si="388"/>
        <v>2.4118788401423915E-3</v>
      </c>
      <c r="D11799">
        <f t="shared" si="387"/>
        <v>0.22179008874611675</v>
      </c>
    </row>
    <row r="11800" spans="1:4">
      <c r="A11800" s="1">
        <v>35390</v>
      </c>
      <c r="B11800">
        <v>742.75</v>
      </c>
      <c r="C11800">
        <f t="shared" si="388"/>
        <v>-1.61301162712554E-3</v>
      </c>
      <c r="D11800">
        <f t="shared" si="387"/>
        <v>-0.20323697647063316</v>
      </c>
    </row>
    <row r="11801" spans="1:4">
      <c r="A11801" s="1">
        <v>35391</v>
      </c>
      <c r="B11801">
        <v>748.73</v>
      </c>
      <c r="C11801">
        <f t="shared" si="388"/>
        <v>8.0511612251767325E-3</v>
      </c>
      <c r="D11801">
        <f t="shared" si="387"/>
        <v>0.81729639172052382</v>
      </c>
    </row>
    <row r="11802" spans="1:4">
      <c r="A11802" s="1">
        <v>35394</v>
      </c>
      <c r="B11802">
        <v>757.03</v>
      </c>
      <c r="C11802">
        <f t="shared" si="388"/>
        <v>1.1085438008360763E-2</v>
      </c>
      <c r="D11802">
        <f t="shared" si="387"/>
        <v>1.1377149886239657</v>
      </c>
    </row>
    <row r="11803" spans="1:4">
      <c r="A11803" s="1">
        <v>35395</v>
      </c>
      <c r="B11803">
        <v>755.96</v>
      </c>
      <c r="C11803">
        <f t="shared" si="388"/>
        <v>-1.4134182264902797E-3</v>
      </c>
      <c r="D11803">
        <f t="shared" si="387"/>
        <v>-0.18215998120864296</v>
      </c>
    </row>
    <row r="11804" spans="1:4">
      <c r="A11804" s="1">
        <v>35396</v>
      </c>
      <c r="B11804">
        <v>755</v>
      </c>
      <c r="C11804">
        <f t="shared" si="388"/>
        <v>-1.2699084607651679E-3</v>
      </c>
      <c r="D11804">
        <f t="shared" si="387"/>
        <v>-0.1670053987294107</v>
      </c>
    </row>
    <row r="11805" spans="1:4">
      <c r="A11805" s="1">
        <v>35398</v>
      </c>
      <c r="B11805">
        <v>757.02</v>
      </c>
      <c r="C11805">
        <f t="shared" si="388"/>
        <v>2.6754966887416977E-3</v>
      </c>
      <c r="D11805">
        <f t="shared" si="387"/>
        <v>0.2496280439501429</v>
      </c>
    </row>
    <row r="11806" spans="1:4">
      <c r="A11806" s="1">
        <v>35401</v>
      </c>
      <c r="B11806">
        <v>756.56</v>
      </c>
      <c r="C11806">
        <f t="shared" si="388"/>
        <v>-6.0764576893613956E-4</v>
      </c>
      <c r="D11806">
        <f t="shared" si="387"/>
        <v>-9.7070683586291978E-2</v>
      </c>
    </row>
    <row r="11807" spans="1:4">
      <c r="A11807" s="1">
        <v>35402</v>
      </c>
      <c r="B11807">
        <v>748.28</v>
      </c>
      <c r="C11807">
        <f t="shared" si="388"/>
        <v>-1.0944274082690036E-2</v>
      </c>
      <c r="D11807">
        <f t="shared" si="387"/>
        <v>-1.188615119928023</v>
      </c>
    </row>
    <row r="11808" spans="1:4">
      <c r="A11808" s="1">
        <v>35403</v>
      </c>
      <c r="B11808">
        <v>745.1</v>
      </c>
      <c r="C11808">
        <f t="shared" si="388"/>
        <v>-4.2497460843533841E-3</v>
      </c>
      <c r="D11808">
        <f t="shared" si="387"/>
        <v>-0.48167523888430402</v>
      </c>
    </row>
    <row r="11809" spans="1:4">
      <c r="A11809" s="1">
        <v>35404</v>
      </c>
      <c r="B11809">
        <v>744.38</v>
      </c>
      <c r="C11809">
        <f t="shared" si="388"/>
        <v>-9.6631324654412464E-4</v>
      </c>
      <c r="D11809">
        <f t="shared" si="387"/>
        <v>-0.13494584730469592</v>
      </c>
    </row>
    <row r="11810" spans="1:4">
      <c r="A11810" s="1">
        <v>35405</v>
      </c>
      <c r="B11810">
        <v>739.6</v>
      </c>
      <c r="C11810">
        <f t="shared" si="388"/>
        <v>-6.4214514092264339E-3</v>
      </c>
      <c r="D11810">
        <f t="shared" si="387"/>
        <v>-0.71100658299239095</v>
      </c>
    </row>
    <row r="11811" spans="1:4">
      <c r="A11811" s="1">
        <v>35408</v>
      </c>
      <c r="B11811">
        <v>749.76</v>
      </c>
      <c r="C11811">
        <f t="shared" si="388"/>
        <v>1.3737155219037274E-2</v>
      </c>
      <c r="D11811">
        <f t="shared" si="387"/>
        <v>1.4177354247089304</v>
      </c>
    </row>
    <row r="11812" spans="1:4">
      <c r="A11812" s="1">
        <v>35409</v>
      </c>
      <c r="B11812">
        <v>747.54</v>
      </c>
      <c r="C11812">
        <f t="shared" si="388"/>
        <v>-2.9609475032010609E-3</v>
      </c>
      <c r="D11812">
        <f t="shared" si="387"/>
        <v>-0.34557854679854177</v>
      </c>
    </row>
    <row r="11813" spans="1:4">
      <c r="A11813" s="1">
        <v>35410</v>
      </c>
      <c r="B11813">
        <v>740.73</v>
      </c>
      <c r="C11813">
        <f t="shared" si="388"/>
        <v>-9.1098804077373065E-3</v>
      </c>
      <c r="D11813">
        <f t="shared" si="387"/>
        <v>-0.9949037713937211</v>
      </c>
    </row>
    <row r="11814" spans="1:4">
      <c r="A11814" s="1">
        <v>35411</v>
      </c>
      <c r="B11814">
        <v>729.3</v>
      </c>
      <c r="C11814">
        <f t="shared" si="388"/>
        <v>-1.5430723745494396E-2</v>
      </c>
      <c r="D11814">
        <f t="shared" si="387"/>
        <v>-1.6623826793018264</v>
      </c>
    </row>
    <row r="11815" spans="1:4">
      <c r="A11815" s="1">
        <v>35412</v>
      </c>
      <c r="B11815">
        <v>728.64</v>
      </c>
      <c r="C11815">
        <f t="shared" si="388"/>
        <v>-9.0497737556556731E-4</v>
      </c>
      <c r="D11815">
        <f t="shared" si="387"/>
        <v>-0.12846880017843582</v>
      </c>
    </row>
    <row r="11816" spans="1:4">
      <c r="A11816" s="1">
        <v>35415</v>
      </c>
      <c r="B11816">
        <v>720.98</v>
      </c>
      <c r="C11816">
        <f t="shared" si="388"/>
        <v>-1.0512736056214273E-2</v>
      </c>
      <c r="D11816">
        <f t="shared" si="387"/>
        <v>-1.1430448510190847</v>
      </c>
    </row>
    <row r="11817" spans="1:4">
      <c r="A11817" s="1">
        <v>35416</v>
      </c>
      <c r="B11817">
        <v>726.04</v>
      </c>
      <c r="C11817">
        <f t="shared" si="388"/>
        <v>7.0182251934865674E-3</v>
      </c>
      <c r="D11817">
        <f t="shared" si="387"/>
        <v>0.70821869788605918</v>
      </c>
    </row>
    <row r="11818" spans="1:4">
      <c r="A11818" s="1">
        <v>35417</v>
      </c>
      <c r="B11818">
        <v>731.54</v>
      </c>
      <c r="C11818">
        <f t="shared" si="388"/>
        <v>7.575340201641783E-3</v>
      </c>
      <c r="D11818">
        <f t="shared" si="387"/>
        <v>0.76704985337465748</v>
      </c>
    </row>
    <row r="11819" spans="1:4">
      <c r="A11819" s="1">
        <v>35418</v>
      </c>
      <c r="B11819">
        <v>745.76</v>
      </c>
      <c r="C11819">
        <f t="shared" si="388"/>
        <v>1.9438444924406086E-2</v>
      </c>
      <c r="D11819">
        <f t="shared" si="387"/>
        <v>2.019789679633345</v>
      </c>
    </row>
    <row r="11820" spans="1:4">
      <c r="A11820" s="1">
        <v>35419</v>
      </c>
      <c r="B11820">
        <v>748.87</v>
      </c>
      <c r="C11820">
        <f t="shared" si="388"/>
        <v>4.1702424372452446E-3</v>
      </c>
      <c r="D11820">
        <f t="shared" si="387"/>
        <v>0.40747268690335076</v>
      </c>
    </row>
    <row r="11821" spans="1:4">
      <c r="A11821" s="1">
        <v>35422</v>
      </c>
      <c r="B11821">
        <v>746.92</v>
      </c>
      <c r="C11821">
        <f t="shared" si="388"/>
        <v>-2.6039232443548885E-3</v>
      </c>
      <c r="D11821">
        <f t="shared" si="387"/>
        <v>-0.30787690642282806</v>
      </c>
    </row>
    <row r="11822" spans="1:4">
      <c r="A11822" s="1">
        <v>35423</v>
      </c>
      <c r="B11822">
        <v>751.03</v>
      </c>
      <c r="C11822">
        <f t="shared" si="388"/>
        <v>5.5025973330477349E-3</v>
      </c>
      <c r="D11822">
        <f t="shared" si="387"/>
        <v>0.5481689110106599</v>
      </c>
    </row>
    <row r="11823" spans="1:4">
      <c r="A11823" s="1">
        <v>35425</v>
      </c>
      <c r="B11823">
        <v>755.82</v>
      </c>
      <c r="C11823">
        <f t="shared" si="388"/>
        <v>6.3779076734618821E-3</v>
      </c>
      <c r="D11823">
        <f t="shared" si="387"/>
        <v>0.64060138542595269</v>
      </c>
    </row>
    <row r="11824" spans="1:4">
      <c r="A11824" s="1">
        <v>35426</v>
      </c>
      <c r="B11824">
        <v>756.79</v>
      </c>
      <c r="C11824">
        <f t="shared" si="388"/>
        <v>1.2833743483897139E-3</v>
      </c>
      <c r="D11824">
        <f t="shared" si="387"/>
        <v>0.10262039801434876</v>
      </c>
    </row>
    <row r="11825" spans="1:4">
      <c r="A11825" s="1">
        <v>35429</v>
      </c>
      <c r="B11825">
        <v>753.85</v>
      </c>
      <c r="C11825">
        <f t="shared" si="388"/>
        <v>-3.8848293449965524E-3</v>
      </c>
      <c r="D11825">
        <f t="shared" si="387"/>
        <v>-0.44314015524944916</v>
      </c>
    </row>
    <row r="11826" spans="1:4">
      <c r="A11826" s="1">
        <v>35430</v>
      </c>
      <c r="B11826">
        <v>740.74</v>
      </c>
      <c r="C11826">
        <f t="shared" si="388"/>
        <v>-1.7390727598328597E-2</v>
      </c>
      <c r="D11826">
        <f t="shared" si="387"/>
        <v>-1.8693584199234377</v>
      </c>
    </row>
    <row r="11827" spans="1:4">
      <c r="A11827" s="1">
        <v>35432</v>
      </c>
      <c r="B11827">
        <v>737.01</v>
      </c>
      <c r="C11827">
        <f t="shared" si="388"/>
        <v>-5.0355050355050598E-3</v>
      </c>
      <c r="D11827">
        <f t="shared" si="387"/>
        <v>-0.56465111703347615</v>
      </c>
    </row>
    <row r="11828" spans="1:4">
      <c r="A11828" s="1">
        <v>35433</v>
      </c>
      <c r="B11828">
        <v>748.03</v>
      </c>
      <c r="C11828">
        <f t="shared" si="388"/>
        <v>1.4952307295694743E-2</v>
      </c>
      <c r="D11828">
        <f t="shared" si="387"/>
        <v>1.5460550709536991</v>
      </c>
    </row>
    <row r="11829" spans="1:4">
      <c r="A11829" s="1">
        <v>35436</v>
      </c>
      <c r="B11829">
        <v>747.65</v>
      </c>
      <c r="C11829">
        <f t="shared" si="388"/>
        <v>-5.0800101600202599E-4</v>
      </c>
      <c r="D11829">
        <f t="shared" si="387"/>
        <v>-8.654823154734681E-2</v>
      </c>
    </row>
    <row r="11830" spans="1:4">
      <c r="A11830" s="1">
        <v>35437</v>
      </c>
      <c r="B11830">
        <v>753.23</v>
      </c>
      <c r="C11830">
        <f t="shared" si="388"/>
        <v>7.463385273858144E-3</v>
      </c>
      <c r="D11830">
        <f t="shared" si="387"/>
        <v>0.75522745105603417</v>
      </c>
    </row>
    <row r="11831" spans="1:4">
      <c r="A11831" s="1">
        <v>35438</v>
      </c>
      <c r="B11831">
        <v>748.41</v>
      </c>
      <c r="C11831">
        <f t="shared" si="388"/>
        <v>-6.3991078422262126E-3</v>
      </c>
      <c r="D11831">
        <f t="shared" si="387"/>
        <v>-0.70864710991211499</v>
      </c>
    </row>
    <row r="11832" spans="1:4">
      <c r="A11832" s="1">
        <v>35439</v>
      </c>
      <c r="B11832">
        <v>754.85</v>
      </c>
      <c r="C11832">
        <f t="shared" si="388"/>
        <v>8.6049090739034155E-3</v>
      </c>
      <c r="D11832">
        <f t="shared" si="387"/>
        <v>0.87577197631802228</v>
      </c>
    </row>
    <row r="11833" spans="1:4">
      <c r="A11833" s="1">
        <v>35440</v>
      </c>
      <c r="B11833">
        <v>759.5</v>
      </c>
      <c r="C11833">
        <f t="shared" si="388"/>
        <v>6.1601642710471978E-3</v>
      </c>
      <c r="D11833">
        <f t="shared" si="387"/>
        <v>0.61760775614554075</v>
      </c>
    </row>
    <row r="11834" spans="1:4">
      <c r="A11834" s="1">
        <v>35443</v>
      </c>
      <c r="B11834">
        <v>759.51</v>
      </c>
      <c r="C11834">
        <f t="shared" si="388"/>
        <v>1.3166556945346815E-5</v>
      </c>
      <c r="D11834">
        <f t="shared" si="387"/>
        <v>-3.1513112997569731E-2</v>
      </c>
    </row>
    <row r="11835" spans="1:4">
      <c r="A11835" s="1">
        <v>35444</v>
      </c>
      <c r="B11835">
        <v>768.86</v>
      </c>
      <c r="C11835">
        <f t="shared" si="388"/>
        <v>1.2310568656107258E-2</v>
      </c>
      <c r="D11835">
        <f t="shared" si="387"/>
        <v>1.2670883685838545</v>
      </c>
    </row>
    <row r="11836" spans="1:4">
      <c r="A11836" s="1">
        <v>35445</v>
      </c>
      <c r="B11836">
        <v>767.2</v>
      </c>
      <c r="C11836">
        <f t="shared" si="388"/>
        <v>-2.1590406575969202E-3</v>
      </c>
      <c r="D11836">
        <f t="shared" si="387"/>
        <v>-0.26089745648412538</v>
      </c>
    </row>
    <row r="11837" spans="1:4">
      <c r="A11837" s="1">
        <v>35446</v>
      </c>
      <c r="B11837">
        <v>769.75</v>
      </c>
      <c r="C11837">
        <f t="shared" si="388"/>
        <v>3.3237747653805452E-3</v>
      </c>
      <c r="D11837">
        <f t="shared" si="387"/>
        <v>0.31808598848278019</v>
      </c>
    </row>
    <row r="11838" spans="1:4">
      <c r="A11838" s="1">
        <v>35447</v>
      </c>
      <c r="B11838">
        <v>776.17</v>
      </c>
      <c r="C11838">
        <f t="shared" si="388"/>
        <v>8.3403702500811413E-3</v>
      </c>
      <c r="D11838">
        <f t="shared" si="387"/>
        <v>0.84783676644350536</v>
      </c>
    </row>
    <row r="11839" spans="1:4">
      <c r="A11839" s="1">
        <v>35450</v>
      </c>
      <c r="B11839">
        <v>776.7</v>
      </c>
      <c r="C11839">
        <f t="shared" si="388"/>
        <v>6.8284009946285797E-4</v>
      </c>
      <c r="D11839">
        <f t="shared" si="387"/>
        <v>3.9204185459182216E-2</v>
      </c>
    </row>
    <row r="11840" spans="1:4">
      <c r="A11840" s="1">
        <v>35451</v>
      </c>
      <c r="B11840">
        <v>782.72</v>
      </c>
      <c r="C11840">
        <f t="shared" si="388"/>
        <v>7.7507403115745863E-3</v>
      </c>
      <c r="D11840">
        <f t="shared" si="387"/>
        <v>0.78557204536216729</v>
      </c>
    </row>
    <row r="11841" spans="1:4">
      <c r="A11841" s="1">
        <v>35452</v>
      </c>
      <c r="B11841">
        <v>786.23</v>
      </c>
      <c r="C11841">
        <f t="shared" si="388"/>
        <v>4.4843622240392364E-3</v>
      </c>
      <c r="D11841">
        <f t="shared" si="387"/>
        <v>0.44064362961429282</v>
      </c>
    </row>
    <row r="11842" spans="1:4">
      <c r="A11842" s="1">
        <v>35453</v>
      </c>
      <c r="B11842">
        <v>777.56</v>
      </c>
      <c r="C11842">
        <f t="shared" si="388"/>
        <v>-1.1027307530875281E-2</v>
      </c>
      <c r="D11842">
        <f t="shared" si="387"/>
        <v>-1.1973834238319445</v>
      </c>
    </row>
    <row r="11843" spans="1:4">
      <c r="A11843" s="1">
        <v>35454</v>
      </c>
      <c r="B11843">
        <v>770.52</v>
      </c>
      <c r="C11843">
        <f t="shared" si="388"/>
        <v>-9.0539636812592781E-3</v>
      </c>
      <c r="D11843">
        <f t="shared" ref="D11843:D11906" si="389">(C11843-avg)/sd</f>
        <v>-0.98899898408466014</v>
      </c>
    </row>
    <row r="11844" spans="1:4">
      <c r="A11844" s="1">
        <v>35457</v>
      </c>
      <c r="B11844">
        <v>765.02</v>
      </c>
      <c r="C11844">
        <f t="shared" ref="C11844:C11907" si="390">(B11844-B11843)/B11843</f>
        <v>-7.1380366505736387E-3</v>
      </c>
      <c r="D11844">
        <f t="shared" si="389"/>
        <v>-0.78667774089949738</v>
      </c>
    </row>
    <row r="11845" spans="1:4">
      <c r="A11845" s="1">
        <v>35458</v>
      </c>
      <c r="B11845">
        <v>765.02</v>
      </c>
      <c r="C11845">
        <f t="shared" si="390"/>
        <v>0</v>
      </c>
      <c r="D11845">
        <f t="shared" si="389"/>
        <v>-3.29034969354682E-2</v>
      </c>
    </row>
    <row r="11846" spans="1:4">
      <c r="A11846" s="1">
        <v>35459</v>
      </c>
      <c r="B11846">
        <v>772.5</v>
      </c>
      <c r="C11846">
        <f t="shared" si="390"/>
        <v>9.7775221562835194E-3</v>
      </c>
      <c r="D11846">
        <f t="shared" si="389"/>
        <v>0.99959951922680801</v>
      </c>
    </row>
    <row r="11847" spans="1:4">
      <c r="A11847" s="1">
        <v>35460</v>
      </c>
      <c r="B11847">
        <v>784.17</v>
      </c>
      <c r="C11847">
        <f t="shared" si="390"/>
        <v>1.5106796116504801E-2</v>
      </c>
      <c r="D11847">
        <f t="shared" si="389"/>
        <v>1.5623690379179396</v>
      </c>
    </row>
    <row r="11848" spans="1:4">
      <c r="A11848" s="1">
        <v>35461</v>
      </c>
      <c r="B11848">
        <v>786.16</v>
      </c>
      <c r="C11848">
        <f t="shared" si="390"/>
        <v>2.5377150362804099E-3</v>
      </c>
      <c r="D11848">
        <f t="shared" si="389"/>
        <v>0.23507834828449015</v>
      </c>
    </row>
    <row r="11849" spans="1:4">
      <c r="A11849" s="1">
        <v>35464</v>
      </c>
      <c r="B11849">
        <v>786.73</v>
      </c>
      <c r="C11849">
        <f t="shared" si="390"/>
        <v>7.2504324819381552E-4</v>
      </c>
      <c r="D11849">
        <f t="shared" si="389"/>
        <v>4.3660823619624069E-2</v>
      </c>
    </row>
    <row r="11850" spans="1:4">
      <c r="A11850" s="1">
        <v>35465</v>
      </c>
      <c r="B11850">
        <v>789.26</v>
      </c>
      <c r="C11850">
        <f t="shared" si="390"/>
        <v>3.2158427923175328E-3</v>
      </c>
      <c r="D11850">
        <f t="shared" si="389"/>
        <v>0.30668840881518628</v>
      </c>
    </row>
    <row r="11851" spans="1:4">
      <c r="A11851" s="1">
        <v>35466</v>
      </c>
      <c r="B11851">
        <v>778.28</v>
      </c>
      <c r="C11851">
        <f t="shared" si="390"/>
        <v>-1.3911765451182143E-2</v>
      </c>
      <c r="D11851">
        <f t="shared" si="389"/>
        <v>-1.5019811997414632</v>
      </c>
    </row>
    <row r="11852" spans="1:4">
      <c r="A11852" s="1">
        <v>35467</v>
      </c>
      <c r="B11852">
        <v>780.15</v>
      </c>
      <c r="C11852">
        <f t="shared" si="390"/>
        <v>2.4027342344657508E-3</v>
      </c>
      <c r="D11852">
        <f t="shared" si="389"/>
        <v>0.22082442149506598</v>
      </c>
    </row>
    <row r="11853" spans="1:4">
      <c r="A11853" s="1">
        <v>35468</v>
      </c>
      <c r="B11853">
        <v>789.56</v>
      </c>
      <c r="C11853">
        <f t="shared" si="390"/>
        <v>1.2061782990450513E-2</v>
      </c>
      <c r="D11853">
        <f t="shared" si="389"/>
        <v>1.2408166868568589</v>
      </c>
    </row>
    <row r="11854" spans="1:4">
      <c r="A11854" s="1">
        <v>35471</v>
      </c>
      <c r="B11854">
        <v>785.43</v>
      </c>
      <c r="C11854">
        <f t="shared" si="390"/>
        <v>-5.230761436749577E-3</v>
      </c>
      <c r="D11854">
        <f t="shared" si="389"/>
        <v>-0.58527012663402156</v>
      </c>
    </row>
    <row r="11855" spans="1:4">
      <c r="A11855" s="1">
        <v>35472</v>
      </c>
      <c r="B11855">
        <v>789.59</v>
      </c>
      <c r="C11855">
        <f t="shared" si="390"/>
        <v>5.2964618107279862E-3</v>
      </c>
      <c r="D11855">
        <f t="shared" si="389"/>
        <v>0.52640106992256286</v>
      </c>
    </row>
    <row r="11856" spans="1:4">
      <c r="A11856" s="1">
        <v>35473</v>
      </c>
      <c r="B11856">
        <v>802.77</v>
      </c>
      <c r="C11856">
        <f t="shared" si="390"/>
        <v>1.6692207348117313E-2</v>
      </c>
      <c r="D11856">
        <f t="shared" si="389"/>
        <v>1.7297879250687589</v>
      </c>
    </row>
    <row r="11857" spans="1:4">
      <c r="A11857" s="1">
        <v>35474</v>
      </c>
      <c r="B11857">
        <v>811.82</v>
      </c>
      <c r="C11857">
        <f t="shared" si="390"/>
        <v>1.1273465625272578E-2</v>
      </c>
      <c r="D11857">
        <f t="shared" si="389"/>
        <v>1.157570641056161</v>
      </c>
    </row>
    <row r="11858" spans="1:4">
      <c r="A11858" s="1">
        <v>35475</v>
      </c>
      <c r="B11858">
        <v>808.48</v>
      </c>
      <c r="C11858">
        <f t="shared" si="390"/>
        <v>-4.1142125101623905E-3</v>
      </c>
      <c r="D11858">
        <f t="shared" si="389"/>
        <v>-0.46736293951983543</v>
      </c>
    </row>
    <row r="11859" spans="1:4">
      <c r="A11859" s="1">
        <v>35479</v>
      </c>
      <c r="B11859">
        <v>816.29</v>
      </c>
      <c r="C11859">
        <f t="shared" si="390"/>
        <v>9.6601029091628061E-3</v>
      </c>
      <c r="D11859">
        <f t="shared" si="389"/>
        <v>0.98720008664360204</v>
      </c>
    </row>
    <row r="11860" spans="1:4">
      <c r="A11860" s="1">
        <v>35480</v>
      </c>
      <c r="B11860">
        <v>812.49</v>
      </c>
      <c r="C11860">
        <f t="shared" si="390"/>
        <v>-4.6552083205722902E-3</v>
      </c>
      <c r="D11860">
        <f t="shared" si="389"/>
        <v>-0.52449191320570987</v>
      </c>
    </row>
    <row r="11861" spans="1:4">
      <c r="A11861" s="1">
        <v>35481</v>
      </c>
      <c r="B11861">
        <v>802.8</v>
      </c>
      <c r="C11861">
        <f t="shared" si="390"/>
        <v>-1.1926300631392453E-2</v>
      </c>
      <c r="D11861">
        <f t="shared" si="389"/>
        <v>-1.2923167896639554</v>
      </c>
    </row>
    <row r="11862" spans="1:4">
      <c r="A11862" s="1">
        <v>35482</v>
      </c>
      <c r="B11862">
        <v>801.77</v>
      </c>
      <c r="C11862">
        <f t="shared" si="390"/>
        <v>-1.2830094668659351E-3</v>
      </c>
      <c r="D11862">
        <f t="shared" si="389"/>
        <v>-0.16838886052040336</v>
      </c>
    </row>
    <row r="11863" spans="1:4">
      <c r="A11863" s="1">
        <v>35485</v>
      </c>
      <c r="B11863">
        <v>810.28</v>
      </c>
      <c r="C11863">
        <f t="shared" si="390"/>
        <v>1.061401648851914E-2</v>
      </c>
      <c r="D11863">
        <f t="shared" si="389"/>
        <v>1.0879330363726507</v>
      </c>
    </row>
    <row r="11864" spans="1:4">
      <c r="A11864" s="1">
        <v>35486</v>
      </c>
      <c r="B11864">
        <v>812.03</v>
      </c>
      <c r="C11864">
        <f t="shared" si="390"/>
        <v>2.1597472478649357E-3</v>
      </c>
      <c r="D11864">
        <f t="shared" si="389"/>
        <v>0.19516507830530974</v>
      </c>
    </row>
    <row r="11865" spans="1:4">
      <c r="A11865" s="1">
        <v>35487</v>
      </c>
      <c r="B11865">
        <v>805.68</v>
      </c>
      <c r="C11865">
        <f t="shared" si="390"/>
        <v>-7.819908131473003E-3</v>
      </c>
      <c r="D11865">
        <f t="shared" si="389"/>
        <v>-0.85868313750309222</v>
      </c>
    </row>
    <row r="11866" spans="1:4">
      <c r="A11866" s="1">
        <v>35488</v>
      </c>
      <c r="B11866">
        <v>795.07</v>
      </c>
      <c r="C11866">
        <f t="shared" si="390"/>
        <v>-1.3169000099294881E-2</v>
      </c>
      <c r="D11866">
        <f t="shared" si="389"/>
        <v>-1.4235454310603788</v>
      </c>
    </row>
    <row r="11867" spans="1:4">
      <c r="A11867" s="1">
        <v>35489</v>
      </c>
      <c r="B11867">
        <v>790.82</v>
      </c>
      <c r="C11867">
        <f t="shared" si="390"/>
        <v>-5.345441281899707E-3</v>
      </c>
      <c r="D11867">
        <f t="shared" si="389"/>
        <v>-0.59738027930030191</v>
      </c>
    </row>
    <row r="11868" spans="1:4">
      <c r="A11868" s="1">
        <v>35492</v>
      </c>
      <c r="B11868">
        <v>795.31</v>
      </c>
      <c r="C11868">
        <f t="shared" si="390"/>
        <v>5.6776510457498481E-3</v>
      </c>
      <c r="D11868">
        <f t="shared" si="389"/>
        <v>0.56665452356835488</v>
      </c>
    </row>
    <row r="11869" spans="1:4">
      <c r="A11869" s="1">
        <v>35493</v>
      </c>
      <c r="B11869">
        <v>790.95</v>
      </c>
      <c r="C11869">
        <f t="shared" si="390"/>
        <v>-5.4821390401225941E-3</v>
      </c>
      <c r="D11869">
        <f t="shared" si="389"/>
        <v>-0.61181551610281315</v>
      </c>
    </row>
    <row r="11870" spans="1:4">
      <c r="A11870" s="1">
        <v>35494</v>
      </c>
      <c r="B11870">
        <v>801.99</v>
      </c>
      <c r="C11870">
        <f t="shared" si="390"/>
        <v>1.3957898729376019E-2</v>
      </c>
      <c r="D11870">
        <f t="shared" si="389"/>
        <v>1.4410458643663371</v>
      </c>
    </row>
    <row r="11871" spans="1:4">
      <c r="A11871" s="1">
        <v>35495</v>
      </c>
      <c r="B11871">
        <v>798.56</v>
      </c>
      <c r="C11871">
        <f t="shared" si="390"/>
        <v>-4.2768613074976791E-3</v>
      </c>
      <c r="D11871">
        <f t="shared" si="389"/>
        <v>-0.48453859723142939</v>
      </c>
    </row>
    <row r="11872" spans="1:4">
      <c r="A11872" s="1">
        <v>35496</v>
      </c>
      <c r="B11872">
        <v>804.97</v>
      </c>
      <c r="C11872">
        <f t="shared" si="390"/>
        <v>8.0269485073132668E-3</v>
      </c>
      <c r="D11872">
        <f t="shared" si="389"/>
        <v>0.81473953694444445</v>
      </c>
    </row>
    <row r="11873" spans="1:4">
      <c r="A11873" s="1">
        <v>35499</v>
      </c>
      <c r="B11873">
        <v>813.65</v>
      </c>
      <c r="C11873">
        <f t="shared" si="390"/>
        <v>1.0783010546976843E-2</v>
      </c>
      <c r="D11873">
        <f t="shared" si="389"/>
        <v>1.1057787515019126</v>
      </c>
    </row>
    <row r="11874" spans="1:4">
      <c r="A11874" s="1">
        <v>35500</v>
      </c>
      <c r="B11874">
        <v>811.34</v>
      </c>
      <c r="C11874">
        <f t="shared" si="390"/>
        <v>-2.8390585632642358E-3</v>
      </c>
      <c r="D11874">
        <f t="shared" si="389"/>
        <v>-0.33270711617327681</v>
      </c>
    </row>
    <row r="11875" spans="1:4">
      <c r="A11875" s="1">
        <v>35501</v>
      </c>
      <c r="B11875">
        <v>804.26</v>
      </c>
      <c r="C11875">
        <f t="shared" si="390"/>
        <v>-8.7263046318436666E-3</v>
      </c>
      <c r="D11875">
        <f t="shared" si="389"/>
        <v>-0.95439829984309399</v>
      </c>
    </row>
    <row r="11876" spans="1:4">
      <c r="A11876" s="1">
        <v>35502</v>
      </c>
      <c r="B11876">
        <v>789.56</v>
      </c>
      <c r="C11876">
        <f t="shared" si="390"/>
        <v>-1.8277671399796143E-2</v>
      </c>
      <c r="D11876">
        <f t="shared" si="389"/>
        <v>-1.9630193838715637</v>
      </c>
    </row>
    <row r="11877" spans="1:4">
      <c r="A11877" s="1">
        <v>35503</v>
      </c>
      <c r="B11877">
        <v>793.17</v>
      </c>
      <c r="C11877">
        <f t="shared" si="390"/>
        <v>4.5721667764324608E-3</v>
      </c>
      <c r="D11877">
        <f t="shared" si="389"/>
        <v>0.44991576050079979</v>
      </c>
    </row>
    <row r="11878" spans="1:4">
      <c r="A11878" s="1">
        <v>35506</v>
      </c>
      <c r="B11878">
        <v>795.71</v>
      </c>
      <c r="C11878">
        <f t="shared" si="390"/>
        <v>3.2023399775585027E-3</v>
      </c>
      <c r="D11878">
        <f t="shared" si="389"/>
        <v>0.30526251616646244</v>
      </c>
    </row>
    <row r="11879" spans="1:4">
      <c r="A11879" s="1">
        <v>35507</v>
      </c>
      <c r="B11879">
        <v>789.66</v>
      </c>
      <c r="C11879">
        <f t="shared" si="390"/>
        <v>-7.6032725490443355E-3</v>
      </c>
      <c r="D11879">
        <f t="shared" si="389"/>
        <v>-0.83580649363663728</v>
      </c>
    </row>
    <row r="11880" spans="1:4">
      <c r="A11880" s="1">
        <v>35508</v>
      </c>
      <c r="B11880">
        <v>785.77</v>
      </c>
      <c r="C11880">
        <f t="shared" si="390"/>
        <v>-4.926170757034656E-3</v>
      </c>
      <c r="D11880">
        <f t="shared" si="389"/>
        <v>-0.55310545439152847</v>
      </c>
    </row>
    <row r="11881" spans="1:4">
      <c r="A11881" s="1">
        <v>35509</v>
      </c>
      <c r="B11881">
        <v>782.65</v>
      </c>
      <c r="C11881">
        <f t="shared" si="390"/>
        <v>-3.9706275373200869E-3</v>
      </c>
      <c r="D11881">
        <f t="shared" si="389"/>
        <v>-0.45220041519459181</v>
      </c>
    </row>
    <row r="11882" spans="1:4">
      <c r="A11882" s="1">
        <v>35510</v>
      </c>
      <c r="B11882">
        <v>784.1</v>
      </c>
      <c r="C11882">
        <f t="shared" si="390"/>
        <v>1.8526799974446374E-3</v>
      </c>
      <c r="D11882">
        <f t="shared" si="389"/>
        <v>0.16273888103815609</v>
      </c>
    </row>
    <row r="11883" spans="1:4">
      <c r="A11883" s="1">
        <v>35513</v>
      </c>
      <c r="B11883">
        <v>790.89</v>
      </c>
      <c r="C11883">
        <f t="shared" si="390"/>
        <v>8.6596097436550997E-3</v>
      </c>
      <c r="D11883">
        <f t="shared" si="389"/>
        <v>0.88154834845013907</v>
      </c>
    </row>
    <row r="11884" spans="1:4">
      <c r="A11884" s="1">
        <v>35514</v>
      </c>
      <c r="B11884">
        <v>789.07</v>
      </c>
      <c r="C11884">
        <f t="shared" si="390"/>
        <v>-2.301204971614177E-3</v>
      </c>
      <c r="D11884">
        <f t="shared" si="389"/>
        <v>-0.27590995972034943</v>
      </c>
    </row>
    <row r="11885" spans="1:4">
      <c r="A11885" s="1">
        <v>35515</v>
      </c>
      <c r="B11885">
        <v>790.5</v>
      </c>
      <c r="C11885">
        <f t="shared" si="390"/>
        <v>1.8122600022811028E-3</v>
      </c>
      <c r="D11885">
        <f t="shared" si="389"/>
        <v>0.15847054328831076</v>
      </c>
    </row>
    <row r="11886" spans="1:4">
      <c r="A11886" s="1">
        <v>35516</v>
      </c>
      <c r="B11886">
        <v>773.88</v>
      </c>
      <c r="C11886">
        <f t="shared" si="390"/>
        <v>-2.102466793168881E-2</v>
      </c>
      <c r="D11886">
        <f t="shared" si="389"/>
        <v>-2.2531012838899396</v>
      </c>
    </row>
    <row r="11887" spans="1:4">
      <c r="A11887" s="1">
        <v>35520</v>
      </c>
      <c r="B11887">
        <v>757.12</v>
      </c>
      <c r="C11887">
        <f t="shared" si="390"/>
        <v>-2.165710446063988E-2</v>
      </c>
      <c r="D11887">
        <f t="shared" si="389"/>
        <v>-2.3198863663715512</v>
      </c>
    </row>
    <row r="11888" spans="1:4">
      <c r="A11888" s="1">
        <v>35521</v>
      </c>
      <c r="B11888">
        <v>759.64</v>
      </c>
      <c r="C11888">
        <f t="shared" si="390"/>
        <v>3.3284023668638811E-3</v>
      </c>
      <c r="D11888">
        <f t="shared" si="389"/>
        <v>0.31857466162642228</v>
      </c>
    </row>
    <row r="11889" spans="1:4">
      <c r="A11889" s="1">
        <v>35522</v>
      </c>
      <c r="B11889">
        <v>750.11</v>
      </c>
      <c r="C11889">
        <f t="shared" si="390"/>
        <v>-1.2545416249802502E-2</v>
      </c>
      <c r="D11889">
        <f t="shared" si="389"/>
        <v>-1.3576951885204327</v>
      </c>
    </row>
    <row r="11890" spans="1:4">
      <c r="A11890" s="1">
        <v>35523</v>
      </c>
      <c r="B11890">
        <v>750.32</v>
      </c>
      <c r="C11890">
        <f t="shared" si="390"/>
        <v>2.799589393556097E-4</v>
      </c>
      <c r="D11890">
        <f t="shared" si="389"/>
        <v>-3.3399281021830162E-3</v>
      </c>
    </row>
    <row r="11891" spans="1:4">
      <c r="A11891" s="1">
        <v>35524</v>
      </c>
      <c r="B11891">
        <v>757.9</v>
      </c>
      <c r="C11891">
        <f t="shared" si="390"/>
        <v>1.0102356327966636E-2</v>
      </c>
      <c r="D11891">
        <f t="shared" si="389"/>
        <v>1.0339018973400453</v>
      </c>
    </row>
    <row r="11892" spans="1:4">
      <c r="A11892" s="1">
        <v>35527</v>
      </c>
      <c r="B11892">
        <v>762.13</v>
      </c>
      <c r="C11892">
        <f t="shared" si="390"/>
        <v>5.5812112415886241E-3</v>
      </c>
      <c r="D11892">
        <f t="shared" si="389"/>
        <v>0.55647051303041184</v>
      </c>
    </row>
    <row r="11893" spans="1:4">
      <c r="A11893" s="1">
        <v>35528</v>
      </c>
      <c r="B11893">
        <v>766.12</v>
      </c>
      <c r="C11893">
        <f t="shared" si="390"/>
        <v>5.2353273063650676E-3</v>
      </c>
      <c r="D11893">
        <f t="shared" si="389"/>
        <v>0.51994528704246645</v>
      </c>
    </row>
    <row r="11894" spans="1:4">
      <c r="A11894" s="1">
        <v>35529</v>
      </c>
      <c r="B11894">
        <v>760.6</v>
      </c>
      <c r="C11894">
        <f t="shared" si="390"/>
        <v>-7.205137576358771E-3</v>
      </c>
      <c r="D11894">
        <f t="shared" si="389"/>
        <v>-0.79376357585369439</v>
      </c>
    </row>
    <row r="11895" spans="1:4">
      <c r="A11895" s="1">
        <v>35530</v>
      </c>
      <c r="B11895">
        <v>758.34</v>
      </c>
      <c r="C11895">
        <f t="shared" si="390"/>
        <v>-2.9713384170391675E-3</v>
      </c>
      <c r="D11895">
        <f t="shared" si="389"/>
        <v>-0.34667582376780259</v>
      </c>
    </row>
    <row r="11896" spans="1:4">
      <c r="A11896" s="1">
        <v>35531</v>
      </c>
      <c r="B11896">
        <v>737.65</v>
      </c>
      <c r="C11896">
        <f t="shared" si="390"/>
        <v>-2.7283276630535189E-2</v>
      </c>
      <c r="D11896">
        <f t="shared" si="389"/>
        <v>-2.9140082350836551</v>
      </c>
    </row>
    <row r="11897" spans="1:4">
      <c r="A11897" s="1">
        <v>35534</v>
      </c>
      <c r="B11897">
        <v>743.73</v>
      </c>
      <c r="C11897">
        <f t="shared" si="390"/>
        <v>8.2423913780248648E-3</v>
      </c>
      <c r="D11897">
        <f t="shared" si="389"/>
        <v>0.83749023085899943</v>
      </c>
    </row>
    <row r="11898" spans="1:4">
      <c r="A11898" s="1">
        <v>35535</v>
      </c>
      <c r="B11898">
        <v>754.72</v>
      </c>
      <c r="C11898">
        <f t="shared" si="390"/>
        <v>1.4776867949390248E-2</v>
      </c>
      <c r="D11898">
        <f t="shared" si="389"/>
        <v>1.5275287356186757</v>
      </c>
    </row>
    <row r="11899" spans="1:4">
      <c r="A11899" s="1">
        <v>35536</v>
      </c>
      <c r="B11899">
        <v>763.53</v>
      </c>
      <c r="C11899">
        <f t="shared" si="390"/>
        <v>1.1673203307186698E-2</v>
      </c>
      <c r="D11899">
        <f t="shared" si="389"/>
        <v>1.1997828043888521</v>
      </c>
    </row>
    <row r="11900" spans="1:4">
      <c r="A11900" s="1">
        <v>35537</v>
      </c>
      <c r="B11900">
        <v>761.77</v>
      </c>
      <c r="C11900">
        <f t="shared" si="390"/>
        <v>-2.305082969889842E-3</v>
      </c>
      <c r="D11900">
        <f t="shared" si="389"/>
        <v>-0.27631947502006399</v>
      </c>
    </row>
    <row r="11901" spans="1:4">
      <c r="A11901" s="1">
        <v>35538</v>
      </c>
      <c r="B11901">
        <v>766.34</v>
      </c>
      <c r="C11901">
        <f t="shared" si="390"/>
        <v>5.9991861060425724E-3</v>
      </c>
      <c r="D11901">
        <f t="shared" si="389"/>
        <v>0.60060851664018922</v>
      </c>
    </row>
    <row r="11902" spans="1:4">
      <c r="A11902" s="1">
        <v>35541</v>
      </c>
      <c r="B11902">
        <v>760.37</v>
      </c>
      <c r="C11902">
        <f t="shared" si="390"/>
        <v>-7.7902758566693988E-3</v>
      </c>
      <c r="D11902">
        <f t="shared" si="389"/>
        <v>-0.85555397935633126</v>
      </c>
    </row>
    <row r="11903" spans="1:4">
      <c r="A11903" s="1">
        <v>35542</v>
      </c>
      <c r="B11903">
        <v>774.61</v>
      </c>
      <c r="C11903">
        <f t="shared" si="390"/>
        <v>1.8727724660362731E-2</v>
      </c>
      <c r="D11903">
        <f t="shared" si="389"/>
        <v>1.9447378613359227</v>
      </c>
    </row>
    <row r="11904" spans="1:4">
      <c r="A11904" s="1">
        <v>35543</v>
      </c>
      <c r="B11904">
        <v>773.64</v>
      </c>
      <c r="C11904">
        <f t="shared" si="390"/>
        <v>-1.2522430642517232E-3</v>
      </c>
      <c r="D11904">
        <f t="shared" si="389"/>
        <v>-0.16513993886235095</v>
      </c>
    </row>
    <row r="11905" spans="1:4">
      <c r="A11905" s="1">
        <v>35544</v>
      </c>
      <c r="B11905">
        <v>771.18</v>
      </c>
      <c r="C11905">
        <f t="shared" si="390"/>
        <v>-3.1797735380797742E-3</v>
      </c>
      <c r="D11905">
        <f t="shared" si="389"/>
        <v>-0.36868650169915057</v>
      </c>
    </row>
    <row r="11906" spans="1:4">
      <c r="A11906" s="1">
        <v>35545</v>
      </c>
      <c r="B11906">
        <v>765.37</v>
      </c>
      <c r="C11906">
        <f t="shared" si="390"/>
        <v>-7.5339090744053865E-3</v>
      </c>
      <c r="D11906">
        <f t="shared" si="389"/>
        <v>-0.82848173429255478</v>
      </c>
    </row>
    <row r="11907" spans="1:4">
      <c r="A11907" s="1">
        <v>35548</v>
      </c>
      <c r="B11907">
        <v>772.96</v>
      </c>
      <c r="C11907">
        <f t="shared" si="390"/>
        <v>9.9167722800737306E-3</v>
      </c>
      <c r="D11907">
        <f t="shared" ref="D11907:D11970" si="391">(C11907-avg)/sd</f>
        <v>1.0143042849656374</v>
      </c>
    </row>
    <row r="11908" spans="1:4">
      <c r="A11908" s="1">
        <v>35549</v>
      </c>
      <c r="B11908">
        <v>794.05</v>
      </c>
      <c r="C11908">
        <f t="shared" ref="C11908:C11971" si="392">(B11908-B11907)/B11907</f>
        <v>2.7284723659697679E-2</v>
      </c>
      <c r="D11908">
        <f t="shared" si="391"/>
        <v>2.8483540470004085</v>
      </c>
    </row>
    <row r="11909" spans="1:4">
      <c r="A11909" s="1">
        <v>35550</v>
      </c>
      <c r="B11909">
        <v>801.34</v>
      </c>
      <c r="C11909">
        <f t="shared" si="392"/>
        <v>9.1807820666205877E-3</v>
      </c>
      <c r="D11909">
        <f t="shared" si="391"/>
        <v>0.93658396860021453</v>
      </c>
    </row>
    <row r="11910" spans="1:4">
      <c r="A11910" s="1">
        <v>35551</v>
      </c>
      <c r="B11910">
        <v>798.53</v>
      </c>
      <c r="C11910">
        <f t="shared" si="392"/>
        <v>-3.5066264007787692E-3</v>
      </c>
      <c r="D11910">
        <f t="shared" si="391"/>
        <v>-0.40320205289747824</v>
      </c>
    </row>
    <row r="11911" spans="1:4">
      <c r="A11911" s="1">
        <v>35552</v>
      </c>
      <c r="B11911">
        <v>812.97</v>
      </c>
      <c r="C11911">
        <f t="shared" si="392"/>
        <v>1.8083227931323876E-2</v>
      </c>
      <c r="D11911">
        <f t="shared" si="391"/>
        <v>1.876679225824502</v>
      </c>
    </row>
    <row r="11912" spans="1:4">
      <c r="A11912" s="1">
        <v>35555</v>
      </c>
      <c r="B11912">
        <v>830.29</v>
      </c>
      <c r="C11912">
        <f t="shared" si="392"/>
        <v>2.1304599185701729E-2</v>
      </c>
      <c r="D11912">
        <f t="shared" si="391"/>
        <v>2.2168549352895108</v>
      </c>
    </row>
    <row r="11913" spans="1:4">
      <c r="A11913" s="1">
        <v>35556</v>
      </c>
      <c r="B11913">
        <v>827.76</v>
      </c>
      <c r="C11913">
        <f t="shared" si="392"/>
        <v>-3.0471281118644965E-3</v>
      </c>
      <c r="D11913">
        <f t="shared" si="391"/>
        <v>-0.35467918977918839</v>
      </c>
    </row>
    <row r="11914" spans="1:4">
      <c r="A11914" s="1">
        <v>35557</v>
      </c>
      <c r="B11914">
        <v>815.62</v>
      </c>
      <c r="C11914">
        <f t="shared" si="392"/>
        <v>-1.4666086788441078E-2</v>
      </c>
      <c r="D11914">
        <f t="shared" si="391"/>
        <v>-1.581637276549726</v>
      </c>
    </row>
    <row r="11915" spans="1:4">
      <c r="A11915" s="1">
        <v>35558</v>
      </c>
      <c r="B11915">
        <v>820.26</v>
      </c>
      <c r="C11915">
        <f t="shared" si="392"/>
        <v>5.6889237635173078E-3</v>
      </c>
      <c r="D11915">
        <f t="shared" si="391"/>
        <v>0.56784491873281573</v>
      </c>
    </row>
    <row r="11916" spans="1:4">
      <c r="A11916" s="1">
        <v>35559</v>
      </c>
      <c r="B11916">
        <v>824.78</v>
      </c>
      <c r="C11916">
        <f t="shared" si="392"/>
        <v>5.5104479067612485E-3</v>
      </c>
      <c r="D11916">
        <f t="shared" si="391"/>
        <v>0.5489979289262672</v>
      </c>
    </row>
    <row r="11917" spans="1:4">
      <c r="A11917" s="1">
        <v>35562</v>
      </c>
      <c r="B11917">
        <v>837.66</v>
      </c>
      <c r="C11917">
        <f t="shared" si="392"/>
        <v>1.5616285554935857E-2</v>
      </c>
      <c r="D11917">
        <f t="shared" si="391"/>
        <v>1.6161709494323844</v>
      </c>
    </row>
    <row r="11918" spans="1:4">
      <c r="A11918" s="1">
        <v>35563</v>
      </c>
      <c r="B11918">
        <v>833.13</v>
      </c>
      <c r="C11918">
        <f t="shared" si="392"/>
        <v>-5.407922068619694E-3</v>
      </c>
      <c r="D11918">
        <f t="shared" si="391"/>
        <v>-0.60397822913968124</v>
      </c>
    </row>
    <row r="11919" spans="1:4">
      <c r="A11919" s="1">
        <v>35564</v>
      </c>
      <c r="B11919">
        <v>836.04</v>
      </c>
      <c r="C11919">
        <f t="shared" si="392"/>
        <v>3.4928522559504139E-3</v>
      </c>
      <c r="D11919">
        <f t="shared" si="391"/>
        <v>0.33594051401472685</v>
      </c>
    </row>
    <row r="11920" spans="1:4">
      <c r="A11920" s="1">
        <v>35565</v>
      </c>
      <c r="B11920">
        <v>841.88</v>
      </c>
      <c r="C11920">
        <f t="shared" si="392"/>
        <v>6.9853117075738391E-3</v>
      </c>
      <c r="D11920">
        <f t="shared" si="391"/>
        <v>0.70474304496151252</v>
      </c>
    </row>
    <row r="11921" spans="1:4">
      <c r="A11921" s="1">
        <v>35566</v>
      </c>
      <c r="B11921">
        <v>829.75</v>
      </c>
      <c r="C11921">
        <f t="shared" si="392"/>
        <v>-1.4408229201311346E-2</v>
      </c>
      <c r="D11921">
        <f t="shared" si="391"/>
        <v>-1.5544076029988789</v>
      </c>
    </row>
    <row r="11922" spans="1:4">
      <c r="A11922" s="1">
        <v>35569</v>
      </c>
      <c r="B11922">
        <v>833.27</v>
      </c>
      <c r="C11922">
        <f t="shared" si="392"/>
        <v>4.2422416390478839E-3</v>
      </c>
      <c r="D11922">
        <f t="shared" si="391"/>
        <v>0.41507577813999164</v>
      </c>
    </row>
    <row r="11923" spans="1:4">
      <c r="A11923" s="1">
        <v>35570</v>
      </c>
      <c r="B11923">
        <v>841.66</v>
      </c>
      <c r="C11923">
        <f t="shared" si="392"/>
        <v>1.0068765226157171E-2</v>
      </c>
      <c r="D11923">
        <f t="shared" si="391"/>
        <v>1.0303546884071362</v>
      </c>
    </row>
    <row r="11924" spans="1:4">
      <c r="A11924" s="1">
        <v>35571</v>
      </c>
      <c r="B11924">
        <v>839.35</v>
      </c>
      <c r="C11924">
        <f t="shared" si="392"/>
        <v>-2.7445761946628634E-3</v>
      </c>
      <c r="D11924">
        <f t="shared" si="391"/>
        <v>-0.32272981016508945</v>
      </c>
    </row>
    <row r="11925" spans="1:4">
      <c r="A11925" s="1">
        <v>35572</v>
      </c>
      <c r="B11925">
        <v>835.66</v>
      </c>
      <c r="C11925">
        <f t="shared" si="392"/>
        <v>-4.3962590099482389E-3</v>
      </c>
      <c r="D11925">
        <f t="shared" si="391"/>
        <v>-0.49714695402495751</v>
      </c>
    </row>
    <row r="11926" spans="1:4">
      <c r="A11926" s="1">
        <v>35573</v>
      </c>
      <c r="B11926">
        <v>847.03</v>
      </c>
      <c r="C11926">
        <f t="shared" si="392"/>
        <v>1.3606012014455646E-2</v>
      </c>
      <c r="D11926">
        <f t="shared" si="391"/>
        <v>1.4038867468828515</v>
      </c>
    </row>
    <row r="11927" spans="1:4">
      <c r="A11927" s="1">
        <v>35577</v>
      </c>
      <c r="B11927">
        <v>849.71</v>
      </c>
      <c r="C11927">
        <f t="shared" si="392"/>
        <v>3.1639965526605476E-3</v>
      </c>
      <c r="D11927">
        <f t="shared" si="391"/>
        <v>0.30121346353080181</v>
      </c>
    </row>
    <row r="11928" spans="1:4">
      <c r="A11928" s="1">
        <v>35578</v>
      </c>
      <c r="B11928">
        <v>847.21</v>
      </c>
      <c r="C11928">
        <f t="shared" si="392"/>
        <v>-2.9421802732697037E-3</v>
      </c>
      <c r="D11928">
        <f t="shared" si="391"/>
        <v>-0.34359673369708188</v>
      </c>
    </row>
    <row r="11929" spans="1:4">
      <c r="A11929" s="1">
        <v>35579</v>
      </c>
      <c r="B11929">
        <v>844.08</v>
      </c>
      <c r="C11929">
        <f t="shared" si="392"/>
        <v>-3.6944795269177599E-3</v>
      </c>
      <c r="D11929">
        <f t="shared" si="391"/>
        <v>-0.42303927916337558</v>
      </c>
    </row>
    <row r="11930" spans="1:4">
      <c r="A11930" s="1">
        <v>35580</v>
      </c>
      <c r="B11930">
        <v>848.28</v>
      </c>
      <c r="C11930">
        <f t="shared" si="392"/>
        <v>4.9758316747226944E-3</v>
      </c>
      <c r="D11930">
        <f t="shared" si="391"/>
        <v>0.49254263654788272</v>
      </c>
    </row>
    <row r="11931" spans="1:4">
      <c r="A11931" s="1">
        <v>35583</v>
      </c>
      <c r="B11931">
        <v>846.36</v>
      </c>
      <c r="C11931">
        <f t="shared" si="392"/>
        <v>-2.2634035931531561E-3</v>
      </c>
      <c r="D11931">
        <f t="shared" si="391"/>
        <v>-0.27191814700417849</v>
      </c>
    </row>
    <row r="11932" spans="1:4">
      <c r="A11932" s="1">
        <v>35584</v>
      </c>
      <c r="B11932">
        <v>845.48</v>
      </c>
      <c r="C11932">
        <f t="shared" si="392"/>
        <v>-1.0397466798998008E-3</v>
      </c>
      <c r="D11932">
        <f t="shared" si="391"/>
        <v>-0.14270039290581851</v>
      </c>
    </row>
    <row r="11933" spans="1:4">
      <c r="A11933" s="1">
        <v>35585</v>
      </c>
      <c r="B11933">
        <v>840.11</v>
      </c>
      <c r="C11933">
        <f t="shared" si="392"/>
        <v>-6.351421677626915E-3</v>
      </c>
      <c r="D11933">
        <f t="shared" si="391"/>
        <v>-0.7036114671397441</v>
      </c>
    </row>
    <row r="11934" spans="1:4">
      <c r="A11934" s="1">
        <v>35586</v>
      </c>
      <c r="B11934">
        <v>843.43</v>
      </c>
      <c r="C11934">
        <f t="shared" si="392"/>
        <v>3.9518634464533646E-3</v>
      </c>
      <c r="D11934">
        <f t="shared" si="391"/>
        <v>0.3844119397063539</v>
      </c>
    </row>
    <row r="11935" spans="1:4">
      <c r="A11935" s="1">
        <v>35587</v>
      </c>
      <c r="B11935">
        <v>858.01</v>
      </c>
      <c r="C11935">
        <f t="shared" si="392"/>
        <v>1.7286556086456541E-2</v>
      </c>
      <c r="D11935">
        <f t="shared" si="391"/>
        <v>1.7925509498084291</v>
      </c>
    </row>
    <row r="11936" spans="1:4">
      <c r="A11936" s="1">
        <v>35590</v>
      </c>
      <c r="B11936">
        <v>862.91</v>
      </c>
      <c r="C11936">
        <f t="shared" si="392"/>
        <v>5.7108891504760754E-3</v>
      </c>
      <c r="D11936">
        <f t="shared" si="391"/>
        <v>0.57016445612926381</v>
      </c>
    </row>
    <row r="11937" spans="1:4">
      <c r="A11937" s="1">
        <v>35591</v>
      </c>
      <c r="B11937">
        <v>865.27</v>
      </c>
      <c r="C11937">
        <f t="shared" si="392"/>
        <v>2.7349318005354135E-3</v>
      </c>
      <c r="D11937">
        <f t="shared" si="391"/>
        <v>0.25590437155258317</v>
      </c>
    </row>
    <row r="11938" spans="1:4">
      <c r="A11938" s="1">
        <v>35592</v>
      </c>
      <c r="B11938">
        <v>869.57</v>
      </c>
      <c r="C11938">
        <f t="shared" si="392"/>
        <v>4.9695470777908262E-3</v>
      </c>
      <c r="D11938">
        <f t="shared" si="391"/>
        <v>0.49187898524811574</v>
      </c>
    </row>
    <row r="11939" spans="1:4">
      <c r="A11939" s="1">
        <v>35593</v>
      </c>
      <c r="B11939">
        <v>883.46</v>
      </c>
      <c r="C11939">
        <f t="shared" si="392"/>
        <v>1.5973412146233178E-2</v>
      </c>
      <c r="D11939">
        <f t="shared" si="391"/>
        <v>1.6538833960801547</v>
      </c>
    </row>
    <row r="11940" spans="1:4">
      <c r="A11940" s="1">
        <v>35594</v>
      </c>
      <c r="B11940">
        <v>893.27</v>
      </c>
      <c r="C11940">
        <f t="shared" si="392"/>
        <v>1.1104068095895621E-2</v>
      </c>
      <c r="D11940">
        <f t="shared" si="391"/>
        <v>1.1396823195349723</v>
      </c>
    </row>
    <row r="11941" spans="1:4">
      <c r="A11941" s="1">
        <v>35597</v>
      </c>
      <c r="B11941">
        <v>893.9</v>
      </c>
      <c r="C11941">
        <f t="shared" si="392"/>
        <v>7.0527388135725537E-4</v>
      </c>
      <c r="D11941">
        <f t="shared" si="391"/>
        <v>4.157318520161761E-2</v>
      </c>
    </row>
    <row r="11942" spans="1:4">
      <c r="A11942" s="1">
        <v>35598</v>
      </c>
      <c r="B11942">
        <v>894.42</v>
      </c>
      <c r="C11942">
        <f t="shared" si="392"/>
        <v>5.8172055039711578E-4</v>
      </c>
      <c r="D11942">
        <f t="shared" si="391"/>
        <v>2.8525995450044628E-2</v>
      </c>
    </row>
    <row r="11943" spans="1:4">
      <c r="A11943" s="1">
        <v>35599</v>
      </c>
      <c r="B11943">
        <v>889.06</v>
      </c>
      <c r="C11943">
        <f t="shared" si="392"/>
        <v>-5.992710359786246E-3</v>
      </c>
      <c r="D11943">
        <f t="shared" si="391"/>
        <v>-0.66573167390767074</v>
      </c>
    </row>
    <row r="11944" spans="1:4">
      <c r="A11944" s="1">
        <v>35600</v>
      </c>
      <c r="B11944">
        <v>897.99</v>
      </c>
      <c r="C11944">
        <f t="shared" si="392"/>
        <v>1.0044316469079774E-2</v>
      </c>
      <c r="D11944">
        <f t="shared" si="391"/>
        <v>1.0277729079702993</v>
      </c>
    </row>
    <row r="11945" spans="1:4">
      <c r="A11945" s="1">
        <v>35601</v>
      </c>
      <c r="B11945">
        <v>898.7</v>
      </c>
      <c r="C11945">
        <f t="shared" si="392"/>
        <v>7.9065468435064571E-4</v>
      </c>
      <c r="D11945">
        <f t="shared" si="391"/>
        <v>5.0589368975374568E-2</v>
      </c>
    </row>
    <row r="11946" spans="1:4">
      <c r="A11946" s="1">
        <v>35604</v>
      </c>
      <c r="B11946">
        <v>878.62</v>
      </c>
      <c r="C11946">
        <f t="shared" si="392"/>
        <v>-2.2343384889284567E-2</v>
      </c>
      <c r="D11946">
        <f t="shared" si="391"/>
        <v>-2.392357346358378</v>
      </c>
    </row>
    <row r="11947" spans="1:4">
      <c r="A11947" s="1">
        <v>35605</v>
      </c>
      <c r="B11947">
        <v>896.34</v>
      </c>
      <c r="C11947">
        <f t="shared" si="392"/>
        <v>2.0167990712708597E-2</v>
      </c>
      <c r="D11947">
        <f t="shared" si="391"/>
        <v>2.096829466893428</v>
      </c>
    </row>
    <row r="11948" spans="1:4">
      <c r="A11948" s="1">
        <v>35606</v>
      </c>
      <c r="B11948">
        <v>888.99</v>
      </c>
      <c r="C11948">
        <f t="shared" si="392"/>
        <v>-8.2000133877769849E-3</v>
      </c>
      <c r="D11948">
        <f t="shared" si="391"/>
        <v>-0.89882212336473832</v>
      </c>
    </row>
    <row r="11949" spans="1:4">
      <c r="A11949" s="1">
        <v>35607</v>
      </c>
      <c r="B11949">
        <v>883.68</v>
      </c>
      <c r="C11949">
        <f t="shared" si="392"/>
        <v>-5.9730705632234996E-3</v>
      </c>
      <c r="D11949">
        <f t="shared" si="391"/>
        <v>-0.66365771806653595</v>
      </c>
    </row>
    <row r="11950" spans="1:4">
      <c r="A11950" s="1">
        <v>35608</v>
      </c>
      <c r="B11950">
        <v>887.3</v>
      </c>
      <c r="C11950">
        <f t="shared" si="392"/>
        <v>4.096505522361041E-3</v>
      </c>
      <c r="D11950">
        <f t="shared" si="391"/>
        <v>0.39968609375597408</v>
      </c>
    </row>
    <row r="11951" spans="1:4">
      <c r="A11951" s="1">
        <v>35611</v>
      </c>
      <c r="B11951">
        <v>885.14</v>
      </c>
      <c r="C11951">
        <f t="shared" si="392"/>
        <v>-2.4343514031330647E-3</v>
      </c>
      <c r="D11951">
        <f t="shared" si="391"/>
        <v>-0.28997017763007288</v>
      </c>
    </row>
    <row r="11952" spans="1:4">
      <c r="A11952" s="1">
        <v>35612</v>
      </c>
      <c r="B11952">
        <v>891.03</v>
      </c>
      <c r="C11952">
        <f t="shared" si="392"/>
        <v>6.6543145717061552E-3</v>
      </c>
      <c r="D11952">
        <f t="shared" si="391"/>
        <v>0.66978985992527817</v>
      </c>
    </row>
    <row r="11953" spans="1:4">
      <c r="A11953" s="1">
        <v>35613</v>
      </c>
      <c r="B11953">
        <v>904.03</v>
      </c>
      <c r="C11953">
        <f t="shared" si="392"/>
        <v>1.4589856682715509E-2</v>
      </c>
      <c r="D11953">
        <f t="shared" si="391"/>
        <v>1.5077804094260416</v>
      </c>
    </row>
    <row r="11954" spans="1:4">
      <c r="A11954" s="1">
        <v>35614</v>
      </c>
      <c r="B11954">
        <v>916.92</v>
      </c>
      <c r="C11954">
        <f t="shared" si="392"/>
        <v>1.4258376381314764E-2</v>
      </c>
      <c r="D11954">
        <f t="shared" si="391"/>
        <v>1.4727762022737521</v>
      </c>
    </row>
    <row r="11955" spans="1:4">
      <c r="A11955" s="1">
        <v>35618</v>
      </c>
      <c r="B11955">
        <v>912.2</v>
      </c>
      <c r="C11955">
        <f t="shared" si="392"/>
        <v>-5.1476682807659489E-3</v>
      </c>
      <c r="D11955">
        <f t="shared" si="391"/>
        <v>-0.57649551760688655</v>
      </c>
    </row>
    <row r="11956" spans="1:4">
      <c r="A11956" s="1">
        <v>35619</v>
      </c>
      <c r="B11956">
        <v>918.75</v>
      </c>
      <c r="C11956">
        <f t="shared" si="392"/>
        <v>7.1804428853321136E-3</v>
      </c>
      <c r="D11956">
        <f t="shared" si="391"/>
        <v>0.72534883100447622</v>
      </c>
    </row>
    <row r="11957" spans="1:4">
      <c r="A11957" s="1">
        <v>35620</v>
      </c>
      <c r="B11957">
        <v>907.54</v>
      </c>
      <c r="C11957">
        <f t="shared" si="392"/>
        <v>-1.2201360544217726E-2</v>
      </c>
      <c r="D11957">
        <f t="shared" si="391"/>
        <v>-1.321363022960897</v>
      </c>
    </row>
    <row r="11958" spans="1:4">
      <c r="A11958" s="1">
        <v>35621</v>
      </c>
      <c r="B11958">
        <v>913.78</v>
      </c>
      <c r="C11958">
        <f t="shared" si="392"/>
        <v>6.8757299953721152E-3</v>
      </c>
      <c r="D11958">
        <f t="shared" si="391"/>
        <v>0.69317125340164421</v>
      </c>
    </row>
    <row r="11959" spans="1:4">
      <c r="A11959" s="1">
        <v>35622</v>
      </c>
      <c r="B11959">
        <v>916.68</v>
      </c>
      <c r="C11959">
        <f t="shared" si="392"/>
        <v>3.1736304143228974E-3</v>
      </c>
      <c r="D11959">
        <f t="shared" si="391"/>
        <v>0.30223079604763725</v>
      </c>
    </row>
    <row r="11960" spans="1:4">
      <c r="A11960" s="1">
        <v>35625</v>
      </c>
      <c r="B11960">
        <v>918.38</v>
      </c>
      <c r="C11960">
        <f t="shared" si="392"/>
        <v>1.8545184797312535E-3</v>
      </c>
      <c r="D11960">
        <f t="shared" si="391"/>
        <v>0.16293302414269226</v>
      </c>
    </row>
    <row r="11961" spans="1:4">
      <c r="A11961" s="1">
        <v>35626</v>
      </c>
      <c r="B11961">
        <v>925.76</v>
      </c>
      <c r="C11961">
        <f t="shared" si="392"/>
        <v>8.035889283303203E-3</v>
      </c>
      <c r="D11961">
        <f t="shared" si="391"/>
        <v>0.81568367984986434</v>
      </c>
    </row>
    <row r="11962" spans="1:4">
      <c r="A11962" s="1">
        <v>35627</v>
      </c>
      <c r="B11962">
        <v>936.59</v>
      </c>
      <c r="C11962">
        <f t="shared" si="392"/>
        <v>1.1698496370549647E-2</v>
      </c>
      <c r="D11962">
        <f t="shared" si="391"/>
        <v>1.2024537432824496</v>
      </c>
    </row>
    <row r="11963" spans="1:4">
      <c r="A11963" s="1">
        <v>35628</v>
      </c>
      <c r="B11963">
        <v>931.61</v>
      </c>
      <c r="C11963">
        <f t="shared" si="392"/>
        <v>-5.3171611911295427E-3</v>
      </c>
      <c r="D11963">
        <f t="shared" si="391"/>
        <v>-0.59439391132784247</v>
      </c>
    </row>
    <row r="11964" spans="1:4">
      <c r="A11964" s="1">
        <v>35629</v>
      </c>
      <c r="B11964">
        <v>915.3</v>
      </c>
      <c r="C11964">
        <f t="shared" si="392"/>
        <v>-1.7507326026985605E-2</v>
      </c>
      <c r="D11964">
        <f t="shared" si="391"/>
        <v>-1.881671174355886</v>
      </c>
    </row>
    <row r="11965" spans="1:4">
      <c r="A11965" s="1">
        <v>35632</v>
      </c>
      <c r="B11965">
        <v>912.94</v>
      </c>
      <c r="C11965">
        <f t="shared" si="392"/>
        <v>-2.5783895990384572E-3</v>
      </c>
      <c r="D11965">
        <f t="shared" si="391"/>
        <v>-0.30518056215672068</v>
      </c>
    </row>
    <row r="11966" spans="1:4">
      <c r="A11966" s="1">
        <v>35633</v>
      </c>
      <c r="B11966">
        <v>933.98</v>
      </c>
      <c r="C11966">
        <f t="shared" si="392"/>
        <v>2.3046421451573994E-2</v>
      </c>
      <c r="D11966">
        <f t="shared" si="391"/>
        <v>2.4007907744914663</v>
      </c>
    </row>
    <row r="11967" spans="1:4">
      <c r="A11967" s="1">
        <v>35634</v>
      </c>
      <c r="B11967">
        <v>936.56</v>
      </c>
      <c r="C11967">
        <f t="shared" si="392"/>
        <v>2.7623717852629896E-3</v>
      </c>
      <c r="D11967">
        <f t="shared" si="391"/>
        <v>0.25880202461251123</v>
      </c>
    </row>
    <row r="11968" spans="1:4">
      <c r="A11968" s="1">
        <v>35635</v>
      </c>
      <c r="B11968">
        <v>940.3</v>
      </c>
      <c r="C11968">
        <f t="shared" si="392"/>
        <v>3.9933373195524145E-3</v>
      </c>
      <c r="D11968">
        <f t="shared" si="391"/>
        <v>0.3887915666079591</v>
      </c>
    </row>
    <row r="11969" spans="1:4">
      <c r="A11969" s="1">
        <v>35636</v>
      </c>
      <c r="B11969">
        <v>938.79</v>
      </c>
      <c r="C11969">
        <f t="shared" si="392"/>
        <v>-1.6058704668722652E-3</v>
      </c>
      <c r="D11969">
        <f t="shared" si="391"/>
        <v>-0.20248287237528564</v>
      </c>
    </row>
    <row r="11970" spans="1:4">
      <c r="A11970" s="1">
        <v>35639</v>
      </c>
      <c r="B11970">
        <v>936.45</v>
      </c>
      <c r="C11970">
        <f t="shared" si="392"/>
        <v>-2.4925702233725522E-3</v>
      </c>
      <c r="D11970">
        <f t="shared" si="391"/>
        <v>-0.29611806525782425</v>
      </c>
    </row>
    <row r="11971" spans="1:4">
      <c r="A11971" s="1">
        <v>35640</v>
      </c>
      <c r="B11971">
        <v>942.29</v>
      </c>
      <c r="C11971">
        <f t="shared" si="392"/>
        <v>6.2363180095038901E-3</v>
      </c>
      <c r="D11971">
        <f t="shared" ref="D11971:D12034" si="393">(C11971-avg)/sd</f>
        <v>0.62564956504065405</v>
      </c>
    </row>
    <row r="11972" spans="1:4">
      <c r="A11972" s="1">
        <v>35641</v>
      </c>
      <c r="B11972">
        <v>952.29</v>
      </c>
      <c r="C11972">
        <f t="shared" ref="C11972:C12035" si="394">(B11972-B11971)/B11971</f>
        <v>1.0612444152012651E-2</v>
      </c>
      <c r="D11972">
        <f t="shared" si="393"/>
        <v>1.0877669981720286</v>
      </c>
    </row>
    <row r="11973" spans="1:4">
      <c r="A11973" s="1">
        <v>35642</v>
      </c>
      <c r="B11973">
        <v>954.31</v>
      </c>
      <c r="C11973">
        <f t="shared" si="394"/>
        <v>2.1212025748458788E-3</v>
      </c>
      <c r="D11973">
        <f t="shared" si="393"/>
        <v>0.19109477393646829</v>
      </c>
    </row>
    <row r="11974" spans="1:4">
      <c r="A11974" s="1">
        <v>35643</v>
      </c>
      <c r="B11974">
        <v>947.14</v>
      </c>
      <c r="C11974">
        <f t="shared" si="394"/>
        <v>-7.5132818476176082E-3</v>
      </c>
      <c r="D11974">
        <f t="shared" si="393"/>
        <v>-0.82630350615530046</v>
      </c>
    </row>
    <row r="11975" spans="1:4">
      <c r="A11975" s="1">
        <v>35646</v>
      </c>
      <c r="B11975">
        <v>950.3</v>
      </c>
      <c r="C11975">
        <f t="shared" si="394"/>
        <v>3.3363599890195413E-3</v>
      </c>
      <c r="D11975">
        <f t="shared" si="393"/>
        <v>0.31941498382113281</v>
      </c>
    </row>
    <row r="11976" spans="1:4">
      <c r="A11976" s="1">
        <v>35647</v>
      </c>
      <c r="B11976">
        <v>952.37</v>
      </c>
      <c r="C11976">
        <f t="shared" si="394"/>
        <v>2.1782594970009999E-3</v>
      </c>
      <c r="D11976">
        <f t="shared" si="393"/>
        <v>0.19711996552145891</v>
      </c>
    </row>
    <row r="11977" spans="1:4">
      <c r="A11977" s="1">
        <v>35648</v>
      </c>
      <c r="B11977">
        <v>960.32</v>
      </c>
      <c r="C11977">
        <f t="shared" si="394"/>
        <v>8.3475959973540181E-3</v>
      </c>
      <c r="D11977">
        <f t="shared" si="393"/>
        <v>0.84859980289937031</v>
      </c>
    </row>
    <row r="11978" spans="1:4">
      <c r="A11978" s="1">
        <v>35649</v>
      </c>
      <c r="B11978">
        <v>951.19</v>
      </c>
      <c r="C11978">
        <f t="shared" si="394"/>
        <v>-9.5072475841386159E-3</v>
      </c>
      <c r="D11978">
        <f t="shared" si="393"/>
        <v>-1.0368656101500333</v>
      </c>
    </row>
    <row r="11979" spans="1:4">
      <c r="A11979" s="1">
        <v>35650</v>
      </c>
      <c r="B11979">
        <v>933.54</v>
      </c>
      <c r="C11979">
        <f t="shared" si="394"/>
        <v>-1.8555703907736719E-2</v>
      </c>
      <c r="D11979">
        <f t="shared" si="393"/>
        <v>-1.9923795222022473</v>
      </c>
    </row>
    <row r="11980" spans="1:4">
      <c r="A11980" s="1">
        <v>35653</v>
      </c>
      <c r="B11980">
        <v>937</v>
      </c>
      <c r="C11980">
        <f t="shared" si="394"/>
        <v>3.7063221715192027E-3</v>
      </c>
      <c r="D11980">
        <f t="shared" si="393"/>
        <v>0.35848286453684103</v>
      </c>
    </row>
    <row r="11981" spans="1:4">
      <c r="A11981" s="1">
        <v>35654</v>
      </c>
      <c r="B11981">
        <v>926.53</v>
      </c>
      <c r="C11981">
        <f t="shared" si="394"/>
        <v>-1.1173959445037383E-2</v>
      </c>
      <c r="D11981">
        <f t="shared" si="393"/>
        <v>-1.2128698161180547</v>
      </c>
    </row>
    <row r="11982" spans="1:4">
      <c r="A11982" s="1">
        <v>35655</v>
      </c>
      <c r="B11982">
        <v>922.02</v>
      </c>
      <c r="C11982">
        <f t="shared" si="394"/>
        <v>-4.8676243618663087E-3</v>
      </c>
      <c r="D11982">
        <f t="shared" si="393"/>
        <v>-0.54692297496263764</v>
      </c>
    </row>
    <row r="11983" spans="1:4">
      <c r="A11983" s="1">
        <v>35656</v>
      </c>
      <c r="B11983">
        <v>924.77</v>
      </c>
      <c r="C11983">
        <f t="shared" si="394"/>
        <v>2.9825817227392033E-3</v>
      </c>
      <c r="D11983">
        <f t="shared" si="393"/>
        <v>0.28205611915700474</v>
      </c>
    </row>
    <row r="11984" spans="1:4">
      <c r="A11984" s="1">
        <v>35657</v>
      </c>
      <c r="B11984">
        <v>900.81</v>
      </c>
      <c r="C11984">
        <f t="shared" si="394"/>
        <v>-2.5909144976588812E-2</v>
      </c>
      <c r="D11984">
        <f t="shared" si="393"/>
        <v>-2.7689003995169617</v>
      </c>
    </row>
    <row r="11985" spans="1:4">
      <c r="A11985" s="1">
        <v>35660</v>
      </c>
      <c r="B11985">
        <v>912.49</v>
      </c>
      <c r="C11985">
        <f t="shared" si="394"/>
        <v>1.2966108280325557E-2</v>
      </c>
      <c r="D11985">
        <f t="shared" si="393"/>
        <v>1.3363131300725619</v>
      </c>
    </row>
    <row r="11986" spans="1:4">
      <c r="A11986" s="1">
        <v>35661</v>
      </c>
      <c r="B11986">
        <v>926.01</v>
      </c>
      <c r="C11986">
        <f t="shared" si="394"/>
        <v>1.4816600729870993E-2</v>
      </c>
      <c r="D11986">
        <f t="shared" si="393"/>
        <v>1.5317245037316141</v>
      </c>
    </row>
    <row r="11987" spans="1:4">
      <c r="A11987" s="1">
        <v>35662</v>
      </c>
      <c r="B11987">
        <v>939.35</v>
      </c>
      <c r="C11987">
        <f t="shared" si="394"/>
        <v>1.4405891945011427E-2</v>
      </c>
      <c r="D11987">
        <f t="shared" si="393"/>
        <v>1.4883537956571431</v>
      </c>
    </row>
    <row r="11988" spans="1:4">
      <c r="A11988" s="1">
        <v>35663</v>
      </c>
      <c r="B11988">
        <v>925.05</v>
      </c>
      <c r="C11988">
        <f t="shared" si="394"/>
        <v>-1.5223292702400668E-2</v>
      </c>
      <c r="D11988">
        <f t="shared" si="393"/>
        <v>-1.640478031660366</v>
      </c>
    </row>
    <row r="11989" spans="1:4">
      <c r="A11989" s="1">
        <v>35664</v>
      </c>
      <c r="B11989">
        <v>923.54</v>
      </c>
      <c r="C11989">
        <f t="shared" si="394"/>
        <v>-1.6323441976109302E-3</v>
      </c>
      <c r="D11989">
        <f t="shared" si="393"/>
        <v>-0.20527848934243037</v>
      </c>
    </row>
    <row r="11990" spans="1:4">
      <c r="A11990" s="1">
        <v>35667</v>
      </c>
      <c r="B11990">
        <v>920.16</v>
      </c>
      <c r="C11990">
        <f t="shared" si="394"/>
        <v>-3.6598306516230977E-3</v>
      </c>
      <c r="D11990">
        <f t="shared" si="393"/>
        <v>-0.41938036970998421</v>
      </c>
    </row>
    <row r="11991" spans="1:4">
      <c r="A11991" s="1">
        <v>35668</v>
      </c>
      <c r="B11991">
        <v>913.02</v>
      </c>
      <c r="C11991">
        <f t="shared" si="394"/>
        <v>-7.7595200834637305E-3</v>
      </c>
      <c r="D11991">
        <f t="shared" si="393"/>
        <v>-0.85230618016020798</v>
      </c>
    </row>
    <row r="11992" spans="1:4">
      <c r="A11992" s="1">
        <v>35669</v>
      </c>
      <c r="B11992">
        <v>913.7</v>
      </c>
      <c r="C11992">
        <f t="shared" si="394"/>
        <v>7.4478105627485015E-4</v>
      </c>
      <c r="D11992">
        <f t="shared" si="393"/>
        <v>4.5745129443774374E-2</v>
      </c>
    </row>
    <row r="11993" spans="1:4">
      <c r="A11993" s="1">
        <v>35670</v>
      </c>
      <c r="B11993">
        <v>903.67</v>
      </c>
      <c r="C11993">
        <f t="shared" si="394"/>
        <v>-1.0977344861552026E-2</v>
      </c>
      <c r="D11993">
        <f t="shared" si="393"/>
        <v>-1.1921073829345452</v>
      </c>
    </row>
    <row r="11994" spans="1:4">
      <c r="A11994" s="1">
        <v>35671</v>
      </c>
      <c r="B11994">
        <v>899.47</v>
      </c>
      <c r="C11994">
        <f t="shared" si="394"/>
        <v>-4.6477143204930252E-3</v>
      </c>
      <c r="D11994">
        <f t="shared" si="393"/>
        <v>-0.52370054934467392</v>
      </c>
    </row>
    <row r="11995" spans="1:4">
      <c r="A11995" s="1">
        <v>35675</v>
      </c>
      <c r="B11995">
        <v>927.58</v>
      </c>
      <c r="C11995">
        <f t="shared" si="394"/>
        <v>3.1251737134090088E-2</v>
      </c>
      <c r="D11995">
        <f t="shared" si="393"/>
        <v>3.267269321442849</v>
      </c>
    </row>
    <row r="11996" spans="1:4">
      <c r="A11996" s="1">
        <v>35676</v>
      </c>
      <c r="B11996">
        <v>927.86</v>
      </c>
      <c r="C11996">
        <f t="shared" si="394"/>
        <v>3.0186075594554942E-4</v>
      </c>
      <c r="D11996">
        <f t="shared" si="393"/>
        <v>-1.027103715074565E-3</v>
      </c>
    </row>
    <row r="11997" spans="1:4">
      <c r="A11997" s="1">
        <v>35677</v>
      </c>
      <c r="B11997">
        <v>930.87</v>
      </c>
      <c r="C11997">
        <f t="shared" si="394"/>
        <v>3.2440238829133609E-3</v>
      </c>
      <c r="D11997">
        <f t="shared" si="393"/>
        <v>0.3096643224028876</v>
      </c>
    </row>
    <row r="11998" spans="1:4">
      <c r="A11998" s="1">
        <v>35678</v>
      </c>
      <c r="B11998">
        <v>929.05</v>
      </c>
      <c r="C11998">
        <f t="shared" si="394"/>
        <v>-1.9551602264548757E-3</v>
      </c>
      <c r="D11998">
        <f t="shared" si="393"/>
        <v>-0.23936775225785129</v>
      </c>
    </row>
    <row r="11999" spans="1:4">
      <c r="A11999" s="1">
        <v>35681</v>
      </c>
      <c r="B11999">
        <v>931.2</v>
      </c>
      <c r="C11999">
        <f t="shared" si="394"/>
        <v>2.3141919164739152E-3</v>
      </c>
      <c r="D11999">
        <f t="shared" si="393"/>
        <v>0.21147438281212436</v>
      </c>
    </row>
    <row r="12000" spans="1:4">
      <c r="A12000" s="1">
        <v>35682</v>
      </c>
      <c r="B12000">
        <v>933.62</v>
      </c>
      <c r="C12000">
        <f t="shared" si="394"/>
        <v>2.5987972508590626E-3</v>
      </c>
      <c r="D12000">
        <f t="shared" si="393"/>
        <v>0.24152860938114232</v>
      </c>
    </row>
    <row r="12001" spans="1:4">
      <c r="A12001" s="1">
        <v>35683</v>
      </c>
      <c r="B12001">
        <v>919.03</v>
      </c>
      <c r="C12001">
        <f t="shared" si="394"/>
        <v>-1.5627343030354995E-2</v>
      </c>
      <c r="D12001">
        <f t="shared" si="393"/>
        <v>-1.6831456089489634</v>
      </c>
    </row>
    <row r="12002" spans="1:4">
      <c r="A12002" s="1">
        <v>35684</v>
      </c>
      <c r="B12002">
        <v>912.59</v>
      </c>
      <c r="C12002">
        <f t="shared" si="394"/>
        <v>-7.0073882245410279E-3</v>
      </c>
      <c r="D12002">
        <f t="shared" si="393"/>
        <v>-0.77288131152001138</v>
      </c>
    </row>
    <row r="12003" spans="1:4">
      <c r="A12003" s="1">
        <v>35685</v>
      </c>
      <c r="B12003">
        <v>923.91</v>
      </c>
      <c r="C12003">
        <f t="shared" si="394"/>
        <v>1.2404256018584399E-2</v>
      </c>
      <c r="D12003">
        <f t="shared" si="393"/>
        <v>1.2769817222155588</v>
      </c>
    </row>
    <row r="12004" spans="1:4">
      <c r="A12004" s="1">
        <v>35688</v>
      </c>
      <c r="B12004">
        <v>919.77</v>
      </c>
      <c r="C12004">
        <f t="shared" si="394"/>
        <v>-4.480955937266602E-3</v>
      </c>
      <c r="D12004">
        <f t="shared" si="393"/>
        <v>-0.50609092075989226</v>
      </c>
    </row>
    <row r="12005" spans="1:4">
      <c r="A12005" s="1">
        <v>35689</v>
      </c>
      <c r="B12005">
        <v>945.64</v>
      </c>
      <c r="C12005">
        <f t="shared" si="394"/>
        <v>2.8126596866607963E-2</v>
      </c>
      <c r="D12005">
        <f t="shared" si="393"/>
        <v>2.9372555714835271</v>
      </c>
    </row>
    <row r="12006" spans="1:4">
      <c r="A12006" s="1">
        <v>35690</v>
      </c>
      <c r="B12006">
        <v>943</v>
      </c>
      <c r="C12006">
        <f t="shared" si="394"/>
        <v>-2.7917600778308727E-3</v>
      </c>
      <c r="D12006">
        <f t="shared" si="393"/>
        <v>-0.32771241218905006</v>
      </c>
    </row>
    <row r="12007" spans="1:4">
      <c r="A12007" s="1">
        <v>35691</v>
      </c>
      <c r="B12007">
        <v>947.29</v>
      </c>
      <c r="C12007">
        <f t="shared" si="394"/>
        <v>4.5493107104983711E-3</v>
      </c>
      <c r="D12007">
        <f t="shared" si="393"/>
        <v>0.44750216770731421</v>
      </c>
    </row>
    <row r="12008" spans="1:4">
      <c r="A12008" s="1">
        <v>35692</v>
      </c>
      <c r="B12008">
        <v>950.51</v>
      </c>
      <c r="C12008">
        <f t="shared" si="394"/>
        <v>3.399170264649714E-3</v>
      </c>
      <c r="D12008">
        <f t="shared" si="393"/>
        <v>0.326047727577429</v>
      </c>
    </row>
    <row r="12009" spans="1:4">
      <c r="A12009" s="1">
        <v>35695</v>
      </c>
      <c r="B12009">
        <v>955.43</v>
      </c>
      <c r="C12009">
        <f t="shared" si="394"/>
        <v>5.1761685831816177E-3</v>
      </c>
      <c r="D12009">
        <f t="shared" si="393"/>
        <v>0.5136981459833212</v>
      </c>
    </row>
    <row r="12010" spans="1:4">
      <c r="A12010" s="1">
        <v>35696</v>
      </c>
      <c r="B12010">
        <v>951.93</v>
      </c>
      <c r="C12010">
        <f t="shared" si="394"/>
        <v>-3.6632720345812883E-3</v>
      </c>
      <c r="D12010">
        <f t="shared" si="393"/>
        <v>-0.4197437785805862</v>
      </c>
    </row>
    <row r="12011" spans="1:4">
      <c r="A12011" s="1">
        <v>35697</v>
      </c>
      <c r="B12011">
        <v>944.48</v>
      </c>
      <c r="C12011">
        <f t="shared" si="394"/>
        <v>-7.8262057084028582E-3</v>
      </c>
      <c r="D12011">
        <f t="shared" si="393"/>
        <v>-0.85934815948623444</v>
      </c>
    </row>
    <row r="12012" spans="1:4">
      <c r="A12012" s="1">
        <v>35698</v>
      </c>
      <c r="B12012">
        <v>937.91</v>
      </c>
      <c r="C12012">
        <f t="shared" si="394"/>
        <v>-6.9562087074369495E-3</v>
      </c>
      <c r="D12012">
        <f t="shared" si="393"/>
        <v>-0.76747677191058383</v>
      </c>
    </row>
    <row r="12013" spans="1:4">
      <c r="A12013" s="1">
        <v>35699</v>
      </c>
      <c r="B12013">
        <v>945.22</v>
      </c>
      <c r="C12013">
        <f t="shared" si="394"/>
        <v>7.7939247902251386E-3</v>
      </c>
      <c r="D12013">
        <f t="shared" si="393"/>
        <v>0.79013231162854813</v>
      </c>
    </row>
    <row r="12014" spans="1:4">
      <c r="A12014" s="1">
        <v>35702</v>
      </c>
      <c r="B12014">
        <v>953.34</v>
      </c>
      <c r="C12014">
        <f t="shared" si="394"/>
        <v>8.5905926662575953E-3</v>
      </c>
      <c r="D12014">
        <f t="shared" si="393"/>
        <v>0.87426016853700705</v>
      </c>
    </row>
    <row r="12015" spans="1:4">
      <c r="A12015" s="1">
        <v>35703</v>
      </c>
      <c r="B12015">
        <v>947.28</v>
      </c>
      <c r="C12015">
        <f t="shared" si="394"/>
        <v>-6.3565989049028243E-3</v>
      </c>
      <c r="D12015">
        <f t="shared" si="393"/>
        <v>-0.70415818058025503</v>
      </c>
    </row>
    <row r="12016" spans="1:4">
      <c r="A12016" s="1">
        <v>35704</v>
      </c>
      <c r="B12016">
        <v>955.41</v>
      </c>
      <c r="C12016">
        <f t="shared" si="394"/>
        <v>8.5824676969850477E-3</v>
      </c>
      <c r="D12016">
        <f t="shared" si="393"/>
        <v>0.87340217454363733</v>
      </c>
    </row>
    <row r="12017" spans="1:4">
      <c r="A12017" s="1">
        <v>35705</v>
      </c>
      <c r="B12017">
        <v>960.46</v>
      </c>
      <c r="C12017">
        <f t="shared" si="394"/>
        <v>5.2856888665599776E-3</v>
      </c>
      <c r="D12017">
        <f t="shared" si="393"/>
        <v>0.52526345068032287</v>
      </c>
    </row>
    <row r="12018" spans="1:4">
      <c r="A12018" s="1">
        <v>35706</v>
      </c>
      <c r="B12018">
        <v>965.03</v>
      </c>
      <c r="C12018">
        <f t="shared" si="394"/>
        <v>4.7581367261519854E-3</v>
      </c>
      <c r="D12018">
        <f t="shared" si="393"/>
        <v>0.46955412397692425</v>
      </c>
    </row>
    <row r="12019" spans="1:4">
      <c r="A12019" s="1">
        <v>35709</v>
      </c>
      <c r="B12019">
        <v>972.69</v>
      </c>
      <c r="C12019">
        <f t="shared" si="394"/>
        <v>7.9375770701429829E-3</v>
      </c>
      <c r="D12019">
        <f t="shared" si="393"/>
        <v>0.80530194355809004</v>
      </c>
    </row>
    <row r="12020" spans="1:4">
      <c r="A12020" s="1">
        <v>35710</v>
      </c>
      <c r="B12020">
        <v>983.12</v>
      </c>
      <c r="C12020">
        <f t="shared" si="394"/>
        <v>1.0722840781749529E-2</v>
      </c>
      <c r="D12020">
        <f t="shared" si="393"/>
        <v>1.0994248447466053</v>
      </c>
    </row>
    <row r="12021" spans="1:4">
      <c r="A12021" s="1">
        <v>35711</v>
      </c>
      <c r="B12021">
        <v>973.84</v>
      </c>
      <c r="C12021">
        <f t="shared" si="394"/>
        <v>-9.4393359915371199E-3</v>
      </c>
      <c r="D12021">
        <f t="shared" si="393"/>
        <v>-1.0296941690555872</v>
      </c>
    </row>
    <row r="12022" spans="1:4">
      <c r="A12022" s="1">
        <v>35712</v>
      </c>
      <c r="B12022">
        <v>970.62</v>
      </c>
      <c r="C12022">
        <f t="shared" si="394"/>
        <v>-3.3064979873490791E-3</v>
      </c>
      <c r="D12022">
        <f t="shared" si="393"/>
        <v>-0.38206856046625592</v>
      </c>
    </row>
    <row r="12023" spans="1:4">
      <c r="A12023" s="1">
        <v>35713</v>
      </c>
      <c r="B12023">
        <v>966.98</v>
      </c>
      <c r="C12023">
        <f t="shared" si="394"/>
        <v>-3.7501802971296556E-3</v>
      </c>
      <c r="D12023">
        <f t="shared" si="393"/>
        <v>-0.42892126156414007</v>
      </c>
    </row>
    <row r="12024" spans="1:4">
      <c r="A12024" s="1">
        <v>35716</v>
      </c>
      <c r="B12024">
        <v>968.1</v>
      </c>
      <c r="C12024">
        <f t="shared" si="394"/>
        <v>1.158245258433478E-3</v>
      </c>
      <c r="D12024">
        <f t="shared" si="393"/>
        <v>8.9406808648414521E-2</v>
      </c>
    </row>
    <row r="12025" spans="1:4">
      <c r="A12025" s="1">
        <v>35717</v>
      </c>
      <c r="B12025">
        <v>970.28</v>
      </c>
      <c r="C12025">
        <f t="shared" si="394"/>
        <v>2.2518334882759526E-3</v>
      </c>
      <c r="D12025">
        <f t="shared" si="393"/>
        <v>0.20488935399107916</v>
      </c>
    </row>
    <row r="12026" spans="1:4">
      <c r="A12026" s="1">
        <v>35718</v>
      </c>
      <c r="B12026">
        <v>965.72</v>
      </c>
      <c r="C12026">
        <f t="shared" si="394"/>
        <v>-4.6996743208145538E-3</v>
      </c>
      <c r="D12026">
        <f t="shared" si="393"/>
        <v>-0.52918750771656509</v>
      </c>
    </row>
    <row r="12027" spans="1:4">
      <c r="A12027" s="1">
        <v>35719</v>
      </c>
      <c r="B12027">
        <v>955.25</v>
      </c>
      <c r="C12027">
        <f t="shared" si="394"/>
        <v>-1.0841651824545445E-2</v>
      </c>
      <c r="D12027">
        <f t="shared" si="393"/>
        <v>-1.1777782443509546</v>
      </c>
    </row>
    <row r="12028" spans="1:4">
      <c r="A12028" s="1">
        <v>35720</v>
      </c>
      <c r="B12028">
        <v>944.16</v>
      </c>
      <c r="C12028">
        <f t="shared" si="394"/>
        <v>-1.1609526302015213E-2</v>
      </c>
      <c r="D12028">
        <f t="shared" si="393"/>
        <v>-1.2588655281585452</v>
      </c>
    </row>
    <row r="12029" spans="1:4">
      <c r="A12029" s="1">
        <v>35723</v>
      </c>
      <c r="B12029">
        <v>955.61</v>
      </c>
      <c r="C12029">
        <f t="shared" si="394"/>
        <v>1.2127181833587576E-2</v>
      </c>
      <c r="D12029">
        <f t="shared" si="393"/>
        <v>1.2477227824619859</v>
      </c>
    </row>
    <row r="12030" spans="1:4">
      <c r="A12030" s="1">
        <v>35724</v>
      </c>
      <c r="B12030">
        <v>972.28</v>
      </c>
      <c r="C12030">
        <f t="shared" si="394"/>
        <v>1.7444354914661796E-2</v>
      </c>
      <c r="D12030">
        <f t="shared" si="393"/>
        <v>1.8092144524284763</v>
      </c>
    </row>
    <row r="12031" spans="1:4">
      <c r="A12031" s="1">
        <v>35725</v>
      </c>
      <c r="B12031">
        <v>968.49</v>
      </c>
      <c r="C12031">
        <f t="shared" si="394"/>
        <v>-3.8980540585016291E-3</v>
      </c>
      <c r="D12031">
        <f t="shared" si="393"/>
        <v>-0.44453668050028666</v>
      </c>
    </row>
    <row r="12032" spans="1:4">
      <c r="A12032" s="1">
        <v>35726</v>
      </c>
      <c r="B12032">
        <v>950.69</v>
      </c>
      <c r="C12032">
        <f t="shared" si="394"/>
        <v>-1.837912626872756E-2</v>
      </c>
      <c r="D12032">
        <f t="shared" si="393"/>
        <v>-1.9737329835445359</v>
      </c>
    </row>
    <row r="12033" spans="1:4">
      <c r="A12033" s="1">
        <v>35727</v>
      </c>
      <c r="B12033">
        <v>941.64</v>
      </c>
      <c r="C12033">
        <f t="shared" si="394"/>
        <v>-9.5194016977143622E-3</v>
      </c>
      <c r="D12033">
        <f t="shared" si="393"/>
        <v>-1.0381490804122482</v>
      </c>
    </row>
    <row r="12034" spans="1:4">
      <c r="A12034" s="1">
        <v>35730</v>
      </c>
      <c r="B12034">
        <v>876.99</v>
      </c>
      <c r="C12034">
        <f t="shared" si="394"/>
        <v>-6.8656811520326211E-2</v>
      </c>
      <c r="D12034">
        <f t="shared" si="393"/>
        <v>-7.2830394558977654</v>
      </c>
    </row>
    <row r="12035" spans="1:4">
      <c r="A12035" s="1">
        <v>35731</v>
      </c>
      <c r="B12035">
        <v>921.85</v>
      </c>
      <c r="C12035">
        <f t="shared" si="394"/>
        <v>5.1152236627555629E-2</v>
      </c>
      <c r="D12035">
        <f t="shared" ref="D12035:D12098" si="395">(C12035-avg)/sd</f>
        <v>5.3687553034443622</v>
      </c>
    </row>
    <row r="12036" spans="1:4">
      <c r="A12036" s="1">
        <v>35732</v>
      </c>
      <c r="B12036">
        <v>919.16</v>
      </c>
      <c r="C12036">
        <f t="shared" ref="C12036:C12099" si="396">(B12036-B12035)/B12035</f>
        <v>-2.9180452351250793E-3</v>
      </c>
      <c r="D12036">
        <f t="shared" si="395"/>
        <v>-0.34104808187290758</v>
      </c>
    </row>
    <row r="12037" spans="1:4">
      <c r="A12037" s="1">
        <v>35733</v>
      </c>
      <c r="B12037">
        <v>903.68</v>
      </c>
      <c r="C12037">
        <f t="shared" si="396"/>
        <v>-1.6841463945341421E-2</v>
      </c>
      <c r="D12037">
        <f t="shared" si="395"/>
        <v>-1.811356364871779</v>
      </c>
    </row>
    <row r="12038" spans="1:4">
      <c r="A12038" s="1">
        <v>35734</v>
      </c>
      <c r="B12038">
        <v>914.62</v>
      </c>
      <c r="C12038">
        <f t="shared" si="396"/>
        <v>1.2106055240793263E-2</v>
      </c>
      <c r="D12038">
        <f t="shared" si="395"/>
        <v>1.2454918214441841</v>
      </c>
    </row>
    <row r="12039" spans="1:4">
      <c r="A12039" s="1">
        <v>35737</v>
      </c>
      <c r="B12039">
        <v>938.99</v>
      </c>
      <c r="C12039">
        <f t="shared" si="396"/>
        <v>2.6644945441822838E-2</v>
      </c>
      <c r="D12039">
        <f t="shared" si="395"/>
        <v>2.7807936846640078</v>
      </c>
    </row>
    <row r="12040" spans="1:4">
      <c r="A12040" s="1">
        <v>35738</v>
      </c>
      <c r="B12040">
        <v>940.76</v>
      </c>
      <c r="C12040">
        <f t="shared" si="396"/>
        <v>1.8850041001501419E-3</v>
      </c>
      <c r="D12040">
        <f t="shared" si="395"/>
        <v>0.166152295296361</v>
      </c>
    </row>
    <row r="12041" spans="1:4">
      <c r="A12041" s="1">
        <v>35739</v>
      </c>
      <c r="B12041">
        <v>942.76</v>
      </c>
      <c r="C12041">
        <f t="shared" si="396"/>
        <v>2.1259407287724818E-3</v>
      </c>
      <c r="D12041">
        <f t="shared" si="395"/>
        <v>0.1915951213805408</v>
      </c>
    </row>
    <row r="12042" spans="1:4">
      <c r="A12042" s="1">
        <v>35740</v>
      </c>
      <c r="B12042">
        <v>938.03</v>
      </c>
      <c r="C12042">
        <f t="shared" si="396"/>
        <v>-5.0171835886121795E-3</v>
      </c>
      <c r="D12042">
        <f t="shared" si="395"/>
        <v>-0.56271637846935041</v>
      </c>
    </row>
    <row r="12043" spans="1:4">
      <c r="A12043" s="1">
        <v>35741</v>
      </c>
      <c r="B12043">
        <v>927.51</v>
      </c>
      <c r="C12043">
        <f t="shared" si="396"/>
        <v>-1.1214993123887277E-2</v>
      </c>
      <c r="D12043">
        <f t="shared" si="395"/>
        <v>-1.2172029586565785</v>
      </c>
    </row>
    <row r="12044" spans="1:4">
      <c r="A12044" s="1">
        <v>35744</v>
      </c>
      <c r="B12044">
        <v>921.13</v>
      </c>
      <c r="C12044">
        <f t="shared" si="396"/>
        <v>-6.8786320363122717E-3</v>
      </c>
      <c r="D12044">
        <f t="shared" si="395"/>
        <v>-0.75928470180940966</v>
      </c>
    </row>
    <row r="12045" spans="1:4">
      <c r="A12045" s="1">
        <v>35745</v>
      </c>
      <c r="B12045">
        <v>923.78</v>
      </c>
      <c r="C12045">
        <f t="shared" si="396"/>
        <v>2.8769011974422473E-3</v>
      </c>
      <c r="D12045">
        <f t="shared" si="395"/>
        <v>0.27089629160820211</v>
      </c>
    </row>
    <row r="12046" spans="1:4">
      <c r="A12046" s="1">
        <v>35746</v>
      </c>
      <c r="B12046">
        <v>905.96</v>
      </c>
      <c r="C12046">
        <f t="shared" si="396"/>
        <v>-1.9290307216003742E-2</v>
      </c>
      <c r="D12046">
        <f t="shared" si="395"/>
        <v>-2.0699533818514482</v>
      </c>
    </row>
    <row r="12047" spans="1:4">
      <c r="A12047" s="1">
        <v>35747</v>
      </c>
      <c r="B12047">
        <v>916.66</v>
      </c>
      <c r="C12047">
        <f t="shared" si="396"/>
        <v>1.1810675968033833E-2</v>
      </c>
      <c r="D12047">
        <f t="shared" si="395"/>
        <v>1.2142998706450816</v>
      </c>
    </row>
    <row r="12048" spans="1:4">
      <c r="A12048" s="1">
        <v>35748</v>
      </c>
      <c r="B12048">
        <v>928.35</v>
      </c>
      <c r="C12048">
        <f t="shared" si="396"/>
        <v>1.2752820020509301E-2</v>
      </c>
      <c r="D12048">
        <f t="shared" si="395"/>
        <v>1.3137899623361673</v>
      </c>
    </row>
    <row r="12049" spans="1:4">
      <c r="A12049" s="1">
        <v>35751</v>
      </c>
      <c r="B12049">
        <v>946.2</v>
      </c>
      <c r="C12049">
        <f t="shared" si="396"/>
        <v>1.9227661980933938E-2</v>
      </c>
      <c r="D12049">
        <f t="shared" si="395"/>
        <v>1.99753107245129</v>
      </c>
    </row>
    <row r="12050" spans="1:4">
      <c r="A12050" s="1">
        <v>35752</v>
      </c>
      <c r="B12050">
        <v>938.23</v>
      </c>
      <c r="C12050">
        <f t="shared" si="396"/>
        <v>-8.4231663496089904E-3</v>
      </c>
      <c r="D12050">
        <f t="shared" si="395"/>
        <v>-0.92238700028082088</v>
      </c>
    </row>
    <row r="12051" spans="1:4">
      <c r="A12051" s="1">
        <v>35753</v>
      </c>
      <c r="B12051">
        <v>944.59</v>
      </c>
      <c r="C12051">
        <f t="shared" si="396"/>
        <v>6.7787216354199004E-3</v>
      </c>
      <c r="D12051">
        <f t="shared" si="395"/>
        <v>0.68292720356543413</v>
      </c>
    </row>
    <row r="12052" spans="1:4">
      <c r="A12052" s="1">
        <v>35754</v>
      </c>
      <c r="B12052">
        <v>958.98</v>
      </c>
      <c r="C12052">
        <f t="shared" si="396"/>
        <v>1.5234122741083418E-2</v>
      </c>
      <c r="D12052">
        <f t="shared" si="395"/>
        <v>1.5758146861930189</v>
      </c>
    </row>
    <row r="12053" spans="1:4">
      <c r="A12053" s="1">
        <v>35755</v>
      </c>
      <c r="B12053">
        <v>963.09</v>
      </c>
      <c r="C12053">
        <f t="shared" si="396"/>
        <v>4.2858036663955597E-3</v>
      </c>
      <c r="D12053">
        <f t="shared" si="395"/>
        <v>0.41967591342045363</v>
      </c>
    </row>
    <row r="12054" spans="1:4">
      <c r="A12054" s="1">
        <v>35758</v>
      </c>
      <c r="B12054">
        <v>946.67</v>
      </c>
      <c r="C12054">
        <f t="shared" si="396"/>
        <v>-1.7049289266839105E-2</v>
      </c>
      <c r="D12054">
        <f t="shared" si="395"/>
        <v>-1.8333026481786752</v>
      </c>
    </row>
    <row r="12055" spans="1:4">
      <c r="A12055" s="1">
        <v>35759</v>
      </c>
      <c r="B12055">
        <v>950.82</v>
      </c>
      <c r="C12055">
        <f t="shared" si="396"/>
        <v>4.3837873810304451E-3</v>
      </c>
      <c r="D12055">
        <f t="shared" si="395"/>
        <v>0.43002296037961468</v>
      </c>
    </row>
    <row r="12056" spans="1:4">
      <c r="A12056" s="1">
        <v>35760</v>
      </c>
      <c r="B12056">
        <v>951.64</v>
      </c>
      <c r="C12056">
        <f t="shared" si="396"/>
        <v>8.6241349571941725E-4</v>
      </c>
      <c r="D12056">
        <f t="shared" si="395"/>
        <v>5.8167075063911708E-2</v>
      </c>
    </row>
    <row r="12057" spans="1:4">
      <c r="A12057" s="1">
        <v>35762</v>
      </c>
      <c r="B12057">
        <v>955.4</v>
      </c>
      <c r="C12057">
        <f t="shared" si="396"/>
        <v>3.9510739355218261E-3</v>
      </c>
      <c r="D12057">
        <f t="shared" si="395"/>
        <v>0.38432856762035122</v>
      </c>
    </row>
    <row r="12058" spans="1:4">
      <c r="A12058" s="1">
        <v>35765</v>
      </c>
      <c r="B12058">
        <v>974.77</v>
      </c>
      <c r="C12058">
        <f t="shared" si="396"/>
        <v>2.0274230688716772E-2</v>
      </c>
      <c r="D12058">
        <f t="shared" si="395"/>
        <v>2.1080483722471688</v>
      </c>
    </row>
    <row r="12059" spans="1:4">
      <c r="A12059" s="1">
        <v>35766</v>
      </c>
      <c r="B12059">
        <v>971.68</v>
      </c>
      <c r="C12059">
        <f t="shared" si="396"/>
        <v>-3.1699785590447306E-3</v>
      </c>
      <c r="D12059">
        <f t="shared" si="395"/>
        <v>-0.36765215524252515</v>
      </c>
    </row>
    <row r="12060" spans="1:4">
      <c r="A12060" s="1">
        <v>35767</v>
      </c>
      <c r="B12060">
        <v>976.77</v>
      </c>
      <c r="C12060">
        <f t="shared" si="396"/>
        <v>5.2383500740985018E-3</v>
      </c>
      <c r="D12060">
        <f t="shared" si="395"/>
        <v>0.52026449028762833</v>
      </c>
    </row>
    <row r="12061" spans="1:4">
      <c r="A12061" s="1">
        <v>35768</v>
      </c>
      <c r="B12061">
        <v>973.1</v>
      </c>
      <c r="C12061">
        <f t="shared" si="396"/>
        <v>-3.7572816527943723E-3</v>
      </c>
      <c r="D12061">
        <f t="shared" si="395"/>
        <v>-0.42967116230846603</v>
      </c>
    </row>
    <row r="12062" spans="1:4">
      <c r="A12062" s="1">
        <v>35769</v>
      </c>
      <c r="B12062">
        <v>983.79</v>
      </c>
      <c r="C12062">
        <f t="shared" si="396"/>
        <v>1.0985510225053891E-2</v>
      </c>
      <c r="D12062">
        <f t="shared" si="395"/>
        <v>1.127162648673864</v>
      </c>
    </row>
    <row r="12063" spans="1:4">
      <c r="A12063" s="1">
        <v>35772</v>
      </c>
      <c r="B12063">
        <v>982.37</v>
      </c>
      <c r="C12063">
        <f t="shared" si="396"/>
        <v>-1.4433974730379035E-3</v>
      </c>
      <c r="D12063">
        <f t="shared" si="395"/>
        <v>-0.18532577945363099</v>
      </c>
    </row>
    <row r="12064" spans="1:4">
      <c r="A12064" s="1">
        <v>35773</v>
      </c>
      <c r="B12064">
        <v>975.78</v>
      </c>
      <c r="C12064">
        <f t="shared" si="396"/>
        <v>-6.708266742673363E-3</v>
      </c>
      <c r="D12064">
        <f t="shared" si="395"/>
        <v>-0.74129418471111785</v>
      </c>
    </row>
    <row r="12065" spans="1:4">
      <c r="A12065" s="1">
        <v>35774</v>
      </c>
      <c r="B12065">
        <v>969.79</v>
      </c>
      <c r="C12065">
        <f t="shared" si="396"/>
        <v>-6.1386788005493133E-3</v>
      </c>
      <c r="D12065">
        <f t="shared" si="395"/>
        <v>-0.68114589163516692</v>
      </c>
    </row>
    <row r="12066" spans="1:4">
      <c r="A12066" s="1">
        <v>35775</v>
      </c>
      <c r="B12066">
        <v>954.94</v>
      </c>
      <c r="C12066">
        <f t="shared" si="396"/>
        <v>-1.5312593448065983E-2</v>
      </c>
      <c r="D12066">
        <f t="shared" si="395"/>
        <v>-1.6499081600478249</v>
      </c>
    </row>
    <row r="12067" spans="1:4">
      <c r="A12067" s="1">
        <v>35776</v>
      </c>
      <c r="B12067">
        <v>953.39</v>
      </c>
      <c r="C12067">
        <f t="shared" si="396"/>
        <v>-1.6231386265106375E-3</v>
      </c>
      <c r="D12067">
        <f t="shared" si="395"/>
        <v>-0.20430638416336511</v>
      </c>
    </row>
    <row r="12068" spans="1:4">
      <c r="A12068" s="1">
        <v>35779</v>
      </c>
      <c r="B12068">
        <v>963.39</v>
      </c>
      <c r="C12068">
        <f t="shared" si="396"/>
        <v>1.0488887024197863E-2</v>
      </c>
      <c r="D12068">
        <f t="shared" si="395"/>
        <v>1.0747194074738955</v>
      </c>
    </row>
    <row r="12069" spans="1:4">
      <c r="A12069" s="1">
        <v>35780</v>
      </c>
      <c r="B12069">
        <v>968.04</v>
      </c>
      <c r="C12069">
        <f t="shared" si="396"/>
        <v>4.8267056955126975E-3</v>
      </c>
      <c r="D12069">
        <f t="shared" si="395"/>
        <v>0.47679498383369034</v>
      </c>
    </row>
    <row r="12070" spans="1:4">
      <c r="A12070" s="1">
        <v>35781</v>
      </c>
      <c r="B12070">
        <v>965.54</v>
      </c>
      <c r="C12070">
        <f t="shared" si="396"/>
        <v>-2.5825379116565434E-3</v>
      </c>
      <c r="D12070">
        <f t="shared" si="395"/>
        <v>-0.3056186225591106</v>
      </c>
    </row>
    <row r="12071" spans="1:4">
      <c r="A12071" s="1">
        <v>35782</v>
      </c>
      <c r="B12071">
        <v>955.3</v>
      </c>
      <c r="C12071">
        <f t="shared" si="396"/>
        <v>-1.0605464299770087E-2</v>
      </c>
      <c r="D12071">
        <f t="shared" si="395"/>
        <v>-1.1528369220187173</v>
      </c>
    </row>
    <row r="12072" spans="1:4">
      <c r="A12072" s="1">
        <v>35783</v>
      </c>
      <c r="B12072">
        <v>946.78</v>
      </c>
      <c r="C12072">
        <f t="shared" si="396"/>
        <v>-8.9186642939390586E-3</v>
      </c>
      <c r="D12072">
        <f t="shared" si="395"/>
        <v>-0.97471141477414125</v>
      </c>
    </row>
    <row r="12073" spans="1:4">
      <c r="A12073" s="1">
        <v>35786</v>
      </c>
      <c r="B12073">
        <v>953.7</v>
      </c>
      <c r="C12073">
        <f t="shared" si="396"/>
        <v>7.3089841357021406E-3</v>
      </c>
      <c r="D12073">
        <f t="shared" si="395"/>
        <v>0.73892274335025709</v>
      </c>
    </row>
    <row r="12074" spans="1:4">
      <c r="A12074" s="1">
        <v>35787</v>
      </c>
      <c r="B12074">
        <v>939.13</v>
      </c>
      <c r="C12074">
        <f t="shared" si="396"/>
        <v>-1.5277340882877266E-2</v>
      </c>
      <c r="D12074">
        <f t="shared" si="395"/>
        <v>-1.6461855011468256</v>
      </c>
    </row>
    <row r="12075" spans="1:4">
      <c r="A12075" s="1">
        <v>35788</v>
      </c>
      <c r="B12075">
        <v>932.7</v>
      </c>
      <c r="C12075">
        <f t="shared" si="396"/>
        <v>-6.8467624290566272E-3</v>
      </c>
      <c r="D12075">
        <f t="shared" si="395"/>
        <v>-0.75591928211621939</v>
      </c>
    </row>
    <row r="12076" spans="1:4">
      <c r="A12076" s="1">
        <v>35790</v>
      </c>
      <c r="B12076">
        <v>936.46</v>
      </c>
      <c r="C12076">
        <f t="shared" si="396"/>
        <v>4.0313069582931177E-3</v>
      </c>
      <c r="D12076">
        <f t="shared" si="395"/>
        <v>0.39280114755247009</v>
      </c>
    </row>
    <row r="12077" spans="1:4">
      <c r="A12077" s="1">
        <v>35793</v>
      </c>
      <c r="B12077">
        <v>953.35</v>
      </c>
      <c r="C12077">
        <f t="shared" si="396"/>
        <v>1.8036007944813432E-2</v>
      </c>
      <c r="D12077">
        <f t="shared" si="395"/>
        <v>1.8716928112998525</v>
      </c>
    </row>
    <row r="12078" spans="1:4">
      <c r="A12078" s="1">
        <v>35794</v>
      </c>
      <c r="B12078">
        <v>970.84</v>
      </c>
      <c r="C12078">
        <f t="shared" si="396"/>
        <v>1.8345833114805695E-2</v>
      </c>
      <c r="D12078">
        <f t="shared" si="395"/>
        <v>1.9044102439363433</v>
      </c>
    </row>
    <row r="12079" spans="1:4">
      <c r="A12079" s="1">
        <v>35795</v>
      </c>
      <c r="B12079">
        <v>970.43</v>
      </c>
      <c r="C12079">
        <f t="shared" si="396"/>
        <v>-4.2231469655152427E-4</v>
      </c>
      <c r="D12079">
        <f t="shared" si="395"/>
        <v>-7.7499785339568986E-2</v>
      </c>
    </row>
    <row r="12080" spans="1:4">
      <c r="A12080" s="1">
        <v>35797</v>
      </c>
      <c r="B12080">
        <v>975.04</v>
      </c>
      <c r="C12080">
        <f t="shared" si="396"/>
        <v>4.7504714404954648E-3</v>
      </c>
      <c r="D12080">
        <f t="shared" si="395"/>
        <v>0.4687446724171529</v>
      </c>
    </row>
    <row r="12081" spans="1:4">
      <c r="A12081" s="1">
        <v>35800</v>
      </c>
      <c r="B12081">
        <v>977.07</v>
      </c>
      <c r="C12081">
        <f t="shared" si="396"/>
        <v>2.08196586806704E-3</v>
      </c>
      <c r="D12081">
        <f t="shared" si="395"/>
        <v>0.18695139103782757</v>
      </c>
    </row>
    <row r="12082" spans="1:4">
      <c r="A12082" s="1">
        <v>35801</v>
      </c>
      <c r="B12082">
        <v>966.58</v>
      </c>
      <c r="C12082">
        <f t="shared" si="396"/>
        <v>-1.0736180621654547E-2</v>
      </c>
      <c r="D12082">
        <f t="shared" si="395"/>
        <v>-1.1666405211770796</v>
      </c>
    </row>
    <row r="12083" spans="1:4">
      <c r="A12083" s="1">
        <v>35802</v>
      </c>
      <c r="B12083">
        <v>964</v>
      </c>
      <c r="C12083">
        <f t="shared" si="396"/>
        <v>-2.6692048252602379E-3</v>
      </c>
      <c r="D12083">
        <f t="shared" si="395"/>
        <v>-0.31477061917614546</v>
      </c>
    </row>
    <row r="12084" spans="1:4">
      <c r="A12084" s="1">
        <v>35803</v>
      </c>
      <c r="B12084">
        <v>956.05</v>
      </c>
      <c r="C12084">
        <f t="shared" si="396"/>
        <v>-8.2468879668050263E-3</v>
      </c>
      <c r="D12084">
        <f t="shared" si="395"/>
        <v>-0.90377206297665591</v>
      </c>
    </row>
    <row r="12085" spans="1:4">
      <c r="A12085" s="1">
        <v>35804</v>
      </c>
      <c r="B12085">
        <v>927.69</v>
      </c>
      <c r="C12085">
        <f t="shared" si="396"/>
        <v>-2.9663720516709274E-2</v>
      </c>
      <c r="D12085">
        <f t="shared" si="395"/>
        <v>-3.165382300311447</v>
      </c>
    </row>
    <row r="12086" spans="1:4">
      <c r="A12086" s="1">
        <v>35807</v>
      </c>
      <c r="B12086">
        <v>939.21</v>
      </c>
      <c r="C12086">
        <f t="shared" si="396"/>
        <v>1.2417941338162512E-2</v>
      </c>
      <c r="D12086">
        <f t="shared" si="395"/>
        <v>1.2784268873111413</v>
      </c>
    </row>
    <row r="12087" spans="1:4">
      <c r="A12087" s="1">
        <v>35808</v>
      </c>
      <c r="B12087">
        <v>952.12</v>
      </c>
      <c r="C12087">
        <f t="shared" si="396"/>
        <v>1.3745594701930311E-2</v>
      </c>
      <c r="D12087">
        <f t="shared" si="395"/>
        <v>1.4186266312337155</v>
      </c>
    </row>
    <row r="12088" spans="1:4">
      <c r="A12088" s="1">
        <v>35809</v>
      </c>
      <c r="B12088">
        <v>957.94</v>
      </c>
      <c r="C12088">
        <f t="shared" si="396"/>
        <v>6.1126748729152316E-3</v>
      </c>
      <c r="D12088">
        <f t="shared" si="395"/>
        <v>0.61259289184523591</v>
      </c>
    </row>
    <row r="12089" spans="1:4">
      <c r="A12089" s="1">
        <v>35810</v>
      </c>
      <c r="B12089">
        <v>950.73</v>
      </c>
      <c r="C12089">
        <f t="shared" si="396"/>
        <v>-7.5265674259348556E-3</v>
      </c>
      <c r="D12089">
        <f t="shared" si="395"/>
        <v>-0.82770645870961446</v>
      </c>
    </row>
    <row r="12090" spans="1:4">
      <c r="A12090" s="1">
        <v>35811</v>
      </c>
      <c r="B12090">
        <v>961.51</v>
      </c>
      <c r="C12090">
        <f t="shared" si="396"/>
        <v>1.1338655559412212E-2</v>
      </c>
      <c r="D12090">
        <f t="shared" si="395"/>
        <v>1.164454675942171</v>
      </c>
    </row>
    <row r="12091" spans="1:4">
      <c r="A12091" s="1">
        <v>35815</v>
      </c>
      <c r="B12091">
        <v>978.6</v>
      </c>
      <c r="C12091">
        <f t="shared" si="396"/>
        <v>1.7774126114133013E-2</v>
      </c>
      <c r="D12091">
        <f t="shared" si="395"/>
        <v>1.8440381789979596</v>
      </c>
    </row>
    <row r="12092" spans="1:4">
      <c r="A12092" s="1">
        <v>35816</v>
      </c>
      <c r="B12092">
        <v>970.81</v>
      </c>
      <c r="C12092">
        <f t="shared" si="396"/>
        <v>-7.9603515225833612E-3</v>
      </c>
      <c r="D12092">
        <f t="shared" si="395"/>
        <v>-0.87351391186531779</v>
      </c>
    </row>
    <row r="12093" spans="1:4">
      <c r="A12093" s="1">
        <v>35817</v>
      </c>
      <c r="B12093">
        <v>963.04</v>
      </c>
      <c r="C12093">
        <f t="shared" si="396"/>
        <v>-8.003625838217553E-3</v>
      </c>
      <c r="D12093">
        <f t="shared" si="395"/>
        <v>-0.87808366488663392</v>
      </c>
    </row>
    <row r="12094" spans="1:4">
      <c r="A12094" s="1">
        <v>35818</v>
      </c>
      <c r="B12094">
        <v>957.59</v>
      </c>
      <c r="C12094">
        <f t="shared" si="396"/>
        <v>-5.659162651603186E-3</v>
      </c>
      <c r="D12094">
        <f t="shared" si="395"/>
        <v>-0.63050914930191437</v>
      </c>
    </row>
    <row r="12095" spans="1:4">
      <c r="A12095" s="1">
        <v>35821</v>
      </c>
      <c r="B12095">
        <v>956.95</v>
      </c>
      <c r="C12095">
        <f t="shared" si="396"/>
        <v>-6.6834448981295373E-4</v>
      </c>
      <c r="D12095">
        <f t="shared" si="395"/>
        <v>-0.10348044787838585</v>
      </c>
    </row>
    <row r="12096" spans="1:4">
      <c r="A12096" s="1">
        <v>35822</v>
      </c>
      <c r="B12096">
        <v>969.02</v>
      </c>
      <c r="C12096">
        <f t="shared" si="396"/>
        <v>1.2612989184387831E-2</v>
      </c>
      <c r="D12096">
        <f t="shared" si="395"/>
        <v>1.2990238735725508</v>
      </c>
    </row>
    <row r="12097" spans="1:4">
      <c r="A12097" s="1">
        <v>35823</v>
      </c>
      <c r="B12097">
        <v>977.46</v>
      </c>
      <c r="C12097">
        <f t="shared" si="396"/>
        <v>8.7098305504530911E-3</v>
      </c>
      <c r="D12097">
        <f t="shared" si="395"/>
        <v>0.88685164857712528</v>
      </c>
    </row>
    <row r="12098" spans="1:4">
      <c r="A12098" s="1">
        <v>35824</v>
      </c>
      <c r="B12098">
        <v>985.49</v>
      </c>
      <c r="C12098">
        <f t="shared" si="396"/>
        <v>8.2151699302272958E-3</v>
      </c>
      <c r="D12098">
        <f t="shared" si="395"/>
        <v>0.8346156552245958</v>
      </c>
    </row>
    <row r="12099" spans="1:4">
      <c r="A12099" s="1">
        <v>35825</v>
      </c>
      <c r="B12099">
        <v>980.28</v>
      </c>
      <c r="C12099">
        <f t="shared" si="396"/>
        <v>-5.2867101644867385E-3</v>
      </c>
      <c r="D12099">
        <f t="shared" ref="D12099:D12162" si="397">(C12099-avg)/sd</f>
        <v>-0.59117829326516924</v>
      </c>
    </row>
    <row r="12100" spans="1:4">
      <c r="A12100" s="1">
        <v>35828</v>
      </c>
      <c r="B12100">
        <v>1001.27</v>
      </c>
      <c r="C12100">
        <f t="shared" ref="C12100:C12163" si="398">(B12100-B12099)/B12099</f>
        <v>2.1412249561349829E-2</v>
      </c>
      <c r="D12100">
        <f t="shared" si="397"/>
        <v>2.2282227783658097</v>
      </c>
    </row>
    <row r="12101" spans="1:4">
      <c r="A12101" s="1">
        <v>35829</v>
      </c>
      <c r="B12101">
        <v>1006</v>
      </c>
      <c r="C12101">
        <f t="shared" si="398"/>
        <v>4.724000519340456E-3</v>
      </c>
      <c r="D12101">
        <f t="shared" si="397"/>
        <v>0.46594935214108724</v>
      </c>
    </row>
    <row r="12102" spans="1:4">
      <c r="A12102" s="1">
        <v>35830</v>
      </c>
      <c r="B12102">
        <v>1006.9</v>
      </c>
      <c r="C12102">
        <f t="shared" si="398"/>
        <v>8.946322067594207E-4</v>
      </c>
      <c r="D12102">
        <f t="shared" si="397"/>
        <v>6.1569359998064073E-2</v>
      </c>
    </row>
    <row r="12103" spans="1:4">
      <c r="A12103" s="1">
        <v>35831</v>
      </c>
      <c r="B12103">
        <v>1003.54</v>
      </c>
      <c r="C12103">
        <f t="shared" si="398"/>
        <v>-3.3369748733737348E-3</v>
      </c>
      <c r="D12103">
        <f t="shared" si="397"/>
        <v>-0.38528690927086268</v>
      </c>
    </row>
    <row r="12104" spans="1:4">
      <c r="A12104" s="1">
        <v>35832</v>
      </c>
      <c r="B12104">
        <v>1012.46</v>
      </c>
      <c r="C12104">
        <f t="shared" si="398"/>
        <v>8.88853458756011E-3</v>
      </c>
      <c r="D12104">
        <f t="shared" si="397"/>
        <v>0.90572273415117288</v>
      </c>
    </row>
    <row r="12105" spans="1:4">
      <c r="A12105" s="1">
        <v>35835</v>
      </c>
      <c r="B12105">
        <v>1010.74</v>
      </c>
      <c r="C12105">
        <f t="shared" si="398"/>
        <v>-1.6988325464709986E-3</v>
      </c>
      <c r="D12105">
        <f t="shared" si="397"/>
        <v>-0.21229963638156571</v>
      </c>
    </row>
    <row r="12106" spans="1:4">
      <c r="A12106" s="1">
        <v>35836</v>
      </c>
      <c r="B12106">
        <v>1019.01</v>
      </c>
      <c r="C12106">
        <f t="shared" si="398"/>
        <v>8.1821239883649415E-3</v>
      </c>
      <c r="D12106">
        <f t="shared" si="397"/>
        <v>0.83112601499679262</v>
      </c>
    </row>
    <row r="12107" spans="1:4">
      <c r="A12107" s="1">
        <v>35837</v>
      </c>
      <c r="B12107">
        <v>1020.01</v>
      </c>
      <c r="C12107">
        <f t="shared" si="398"/>
        <v>9.8134463842356801E-4</v>
      </c>
      <c r="D12107">
        <f t="shared" si="397"/>
        <v>7.0726163306810405E-2</v>
      </c>
    </row>
    <row r="12108" spans="1:4">
      <c r="A12108" s="1">
        <v>35838</v>
      </c>
      <c r="B12108">
        <v>1024.1400000000001</v>
      </c>
      <c r="C12108">
        <f t="shared" si="398"/>
        <v>4.0489799119617547E-3</v>
      </c>
      <c r="D12108">
        <f t="shared" si="397"/>
        <v>0.3946674054525493</v>
      </c>
    </row>
    <row r="12109" spans="1:4">
      <c r="A12109" s="1">
        <v>35839</v>
      </c>
      <c r="B12109">
        <v>1020.09</v>
      </c>
      <c r="C12109">
        <f t="shared" si="398"/>
        <v>-3.9545374655809437E-3</v>
      </c>
      <c r="D12109">
        <f t="shared" si="397"/>
        <v>-0.45050130908821939</v>
      </c>
    </row>
    <row r="12110" spans="1:4">
      <c r="A12110" s="1">
        <v>35843</v>
      </c>
      <c r="B12110">
        <v>1022.76</v>
      </c>
      <c r="C12110">
        <f t="shared" si="398"/>
        <v>2.6174161103431647E-3</v>
      </c>
      <c r="D12110">
        <f t="shared" si="397"/>
        <v>0.24349475461380565</v>
      </c>
    </row>
    <row r="12111" spans="1:4">
      <c r="A12111" s="1">
        <v>35844</v>
      </c>
      <c r="B12111">
        <v>1032.08</v>
      </c>
      <c r="C12111">
        <f t="shared" si="398"/>
        <v>9.1125972857756827E-3</v>
      </c>
      <c r="D12111">
        <f t="shared" si="397"/>
        <v>0.92938367892012563</v>
      </c>
    </row>
    <row r="12112" spans="1:4">
      <c r="A12112" s="1">
        <v>35845</v>
      </c>
      <c r="B12112">
        <v>1028.28</v>
      </c>
      <c r="C12112">
        <f t="shared" si="398"/>
        <v>-3.6818851251840504E-3</v>
      </c>
      <c r="D12112">
        <f t="shared" si="397"/>
        <v>-0.42170931462134098</v>
      </c>
    </row>
    <row r="12113" spans="1:4">
      <c r="A12113" s="1">
        <v>35846</v>
      </c>
      <c r="B12113">
        <v>1034.21</v>
      </c>
      <c r="C12113">
        <f t="shared" si="398"/>
        <v>5.7669117361030687E-3</v>
      </c>
      <c r="D12113">
        <f t="shared" si="397"/>
        <v>0.57608042212847221</v>
      </c>
    </row>
    <row r="12114" spans="1:4">
      <c r="A12114" s="1">
        <v>35849</v>
      </c>
      <c r="B12114">
        <v>1038.1400000000001</v>
      </c>
      <c r="C12114">
        <f t="shared" si="398"/>
        <v>3.8000019338432847E-3</v>
      </c>
      <c r="D12114">
        <f t="shared" si="397"/>
        <v>0.36837541559496567</v>
      </c>
    </row>
    <row r="12115" spans="1:4">
      <c r="A12115" s="1">
        <v>35850</v>
      </c>
      <c r="B12115">
        <v>1030.56</v>
      </c>
      <c r="C12115">
        <f t="shared" si="398"/>
        <v>-7.3015200262008537E-3</v>
      </c>
      <c r="D12115">
        <f t="shared" si="397"/>
        <v>-0.80394152979503186</v>
      </c>
    </row>
    <row r="12116" spans="1:4">
      <c r="A12116" s="1">
        <v>35851</v>
      </c>
      <c r="B12116">
        <v>1042.9000000000001</v>
      </c>
      <c r="C12116">
        <f t="shared" si="398"/>
        <v>1.1974072349014269E-2</v>
      </c>
      <c r="D12116">
        <f t="shared" si="397"/>
        <v>1.2315544729354873</v>
      </c>
    </row>
    <row r="12117" spans="1:4">
      <c r="A12117" s="1">
        <v>35852</v>
      </c>
      <c r="B12117">
        <v>1048.67</v>
      </c>
      <c r="C12117">
        <f t="shared" si="398"/>
        <v>5.5326493431776596E-3</v>
      </c>
      <c r="D12117">
        <f t="shared" si="397"/>
        <v>0.55134239306520538</v>
      </c>
    </row>
    <row r="12118" spans="1:4">
      <c r="A12118" s="1">
        <v>35853</v>
      </c>
      <c r="B12118">
        <v>1049.3399999999999</v>
      </c>
      <c r="C12118">
        <f t="shared" si="398"/>
        <v>6.3890451715014761E-4</v>
      </c>
      <c r="D12118">
        <f t="shared" si="397"/>
        <v>3.456460290139006E-2</v>
      </c>
    </row>
    <row r="12119" spans="1:4">
      <c r="A12119" s="1">
        <v>35856</v>
      </c>
      <c r="B12119">
        <v>1047.7</v>
      </c>
      <c r="C12119">
        <f t="shared" si="398"/>
        <v>-1.5628871481120255E-3</v>
      </c>
      <c r="D12119">
        <f t="shared" si="397"/>
        <v>-0.19794384852494426</v>
      </c>
    </row>
    <row r="12120" spans="1:4">
      <c r="A12120" s="1">
        <v>35857</v>
      </c>
      <c r="B12120">
        <v>1052.02</v>
      </c>
      <c r="C12120">
        <f t="shared" si="398"/>
        <v>4.1233177436288404E-3</v>
      </c>
      <c r="D12120">
        <f t="shared" si="397"/>
        <v>0.40251745520793686</v>
      </c>
    </row>
    <row r="12121" spans="1:4">
      <c r="A12121" s="1">
        <v>35858</v>
      </c>
      <c r="B12121">
        <v>1047.33</v>
      </c>
      <c r="C12121">
        <f t="shared" si="398"/>
        <v>-4.4580901503774211E-3</v>
      </c>
      <c r="D12121">
        <f t="shared" si="397"/>
        <v>-0.50367630143685338</v>
      </c>
    </row>
    <row r="12122" spans="1:4">
      <c r="A12122" s="1">
        <v>35859</v>
      </c>
      <c r="B12122">
        <v>1035.05</v>
      </c>
      <c r="C12122">
        <f t="shared" si="398"/>
        <v>-1.1725053230595871E-2</v>
      </c>
      <c r="D12122">
        <f t="shared" si="397"/>
        <v>-1.2710651325471518</v>
      </c>
    </row>
    <row r="12123" spans="1:4">
      <c r="A12123" s="1">
        <v>35860</v>
      </c>
      <c r="B12123">
        <v>1055.69</v>
      </c>
      <c r="C12123">
        <f t="shared" si="398"/>
        <v>1.9941065649002561E-2</v>
      </c>
      <c r="D12123">
        <f t="shared" si="397"/>
        <v>2.0728662573016474</v>
      </c>
    </row>
    <row r="12124" spans="1:4">
      <c r="A12124" s="1">
        <v>35863</v>
      </c>
      <c r="B12124">
        <v>1052.31</v>
      </c>
      <c r="C12124">
        <f t="shared" si="398"/>
        <v>-3.2016974680068098E-3</v>
      </c>
      <c r="D12124">
        <f t="shared" si="397"/>
        <v>-0.37100166124713968</v>
      </c>
    </row>
    <row r="12125" spans="1:4">
      <c r="A12125" s="1">
        <v>35864</v>
      </c>
      <c r="B12125">
        <v>1064.25</v>
      </c>
      <c r="C12125">
        <f t="shared" si="398"/>
        <v>1.1346466345468592E-2</v>
      </c>
      <c r="D12125">
        <f t="shared" si="397"/>
        <v>1.1652794922947096</v>
      </c>
    </row>
    <row r="12126" spans="1:4">
      <c r="A12126" s="1">
        <v>35865</v>
      </c>
      <c r="B12126">
        <v>1068.47</v>
      </c>
      <c r="C12126">
        <f t="shared" si="398"/>
        <v>3.9652337326756184E-3</v>
      </c>
      <c r="D12126">
        <f t="shared" si="397"/>
        <v>0.38582383738664278</v>
      </c>
    </row>
    <row r="12127" spans="1:4">
      <c r="A12127" s="1">
        <v>35866</v>
      </c>
      <c r="B12127">
        <v>1069.92</v>
      </c>
      <c r="C12127">
        <f t="shared" si="398"/>
        <v>1.3570806854661763E-3</v>
      </c>
      <c r="D12127">
        <f t="shared" si="397"/>
        <v>0.11040376215562191</v>
      </c>
    </row>
    <row r="12128" spans="1:4">
      <c r="A12128" s="1">
        <v>35867</v>
      </c>
      <c r="B12128">
        <v>1068.6099999999999</v>
      </c>
      <c r="C12128">
        <f t="shared" si="398"/>
        <v>-1.2243906086437982E-3</v>
      </c>
      <c r="D12128">
        <f t="shared" si="397"/>
        <v>-0.16219872901766375</v>
      </c>
    </row>
    <row r="12129" spans="1:4">
      <c r="A12129" s="1">
        <v>35870</v>
      </c>
      <c r="B12129">
        <v>1079.27</v>
      </c>
      <c r="C12129">
        <f t="shared" si="398"/>
        <v>9.9755757479343104E-3</v>
      </c>
      <c r="D12129">
        <f t="shared" si="397"/>
        <v>1.0205139111834447</v>
      </c>
    </row>
    <row r="12130" spans="1:4">
      <c r="A12130" s="1">
        <v>35871</v>
      </c>
      <c r="B12130">
        <v>1080.45</v>
      </c>
      <c r="C12130">
        <f t="shared" si="398"/>
        <v>1.0933316037692734E-3</v>
      </c>
      <c r="D12130">
        <f t="shared" si="397"/>
        <v>8.2551948781097825E-2</v>
      </c>
    </row>
    <row r="12131" spans="1:4">
      <c r="A12131" s="1">
        <v>35872</v>
      </c>
      <c r="B12131">
        <v>1085.52</v>
      </c>
      <c r="C12131">
        <f t="shared" si="398"/>
        <v>4.6924892405941377E-3</v>
      </c>
      <c r="D12131">
        <f t="shared" si="397"/>
        <v>0.46262177181668013</v>
      </c>
    </row>
    <row r="12132" spans="1:4">
      <c r="A12132" s="1">
        <v>35873</v>
      </c>
      <c r="B12132">
        <v>1089.74</v>
      </c>
      <c r="C12132">
        <f t="shared" si="398"/>
        <v>3.887537769916747E-3</v>
      </c>
      <c r="D12132">
        <f t="shared" si="397"/>
        <v>0.3776191701294469</v>
      </c>
    </row>
    <row r="12133" spans="1:4">
      <c r="A12133" s="1">
        <v>35874</v>
      </c>
      <c r="B12133">
        <v>1099.1600000000001</v>
      </c>
      <c r="C12133">
        <f t="shared" si="398"/>
        <v>8.6442637693395427E-3</v>
      </c>
      <c r="D12133">
        <f t="shared" si="397"/>
        <v>0.87992781877876636</v>
      </c>
    </row>
    <row r="12134" spans="1:4">
      <c r="A12134" s="1">
        <v>35877</v>
      </c>
      <c r="B12134">
        <v>1095.55</v>
      </c>
      <c r="C12134">
        <f t="shared" si="398"/>
        <v>-3.284326212744393E-3</v>
      </c>
      <c r="D12134">
        <f t="shared" si="397"/>
        <v>-0.37972722860455344</v>
      </c>
    </row>
    <row r="12135" spans="1:4">
      <c r="A12135" s="1">
        <v>35878</v>
      </c>
      <c r="B12135">
        <v>1105.6500000000001</v>
      </c>
      <c r="C12135">
        <f t="shared" si="398"/>
        <v>9.2191136871892076E-3</v>
      </c>
      <c r="D12135">
        <f t="shared" si="397"/>
        <v>0.94063177470270987</v>
      </c>
    </row>
    <row r="12136" spans="1:4">
      <c r="A12136" s="1">
        <v>35879</v>
      </c>
      <c r="B12136">
        <v>1101.93</v>
      </c>
      <c r="C12136">
        <f t="shared" si="398"/>
        <v>-3.3645366978700556E-3</v>
      </c>
      <c r="D12136">
        <f t="shared" si="397"/>
        <v>-0.38819742856895478</v>
      </c>
    </row>
    <row r="12137" spans="1:4">
      <c r="A12137" s="1">
        <v>35880</v>
      </c>
      <c r="B12137">
        <v>1100.8</v>
      </c>
      <c r="C12137">
        <f t="shared" si="398"/>
        <v>-1.025473487426705E-3</v>
      </c>
      <c r="D12137">
        <f t="shared" si="397"/>
        <v>-0.14119314863235347</v>
      </c>
    </row>
    <row r="12138" spans="1:4">
      <c r="A12138" s="1">
        <v>35881</v>
      </c>
      <c r="B12138">
        <v>1095.44</v>
      </c>
      <c r="C12138">
        <f t="shared" si="398"/>
        <v>-4.869186046511537E-3</v>
      </c>
      <c r="D12138">
        <f t="shared" si="397"/>
        <v>-0.5470878883303314</v>
      </c>
    </row>
    <row r="12139" spans="1:4">
      <c r="A12139" s="1">
        <v>35884</v>
      </c>
      <c r="B12139">
        <v>1093.5999999999999</v>
      </c>
      <c r="C12139">
        <f t="shared" si="398"/>
        <v>-1.6796903527351069E-3</v>
      </c>
      <c r="D12139">
        <f t="shared" si="397"/>
        <v>-0.21027822722980333</v>
      </c>
    </row>
    <row r="12140" spans="1:4">
      <c r="A12140" s="1">
        <v>35885</v>
      </c>
      <c r="B12140">
        <v>1101.75</v>
      </c>
      <c r="C12140">
        <f t="shared" si="398"/>
        <v>7.452450621799645E-3</v>
      </c>
      <c r="D12140">
        <f t="shared" si="397"/>
        <v>0.75407275551552555</v>
      </c>
    </row>
    <row r="12141" spans="1:4">
      <c r="A12141" s="1">
        <v>35886</v>
      </c>
      <c r="B12141">
        <v>1108.1500000000001</v>
      </c>
      <c r="C12141">
        <f t="shared" si="398"/>
        <v>5.8089403222147413E-3</v>
      </c>
      <c r="D12141">
        <f t="shared" si="397"/>
        <v>0.58051862653565423</v>
      </c>
    </row>
    <row r="12142" spans="1:4">
      <c r="A12142" s="1">
        <v>35887</v>
      </c>
      <c r="B12142">
        <v>1120.01</v>
      </c>
      <c r="C12142">
        <f t="shared" si="398"/>
        <v>1.0702522221720795E-2</v>
      </c>
      <c r="D12142">
        <f t="shared" si="397"/>
        <v>1.0972792117141852</v>
      </c>
    </row>
    <row r="12143" spans="1:4">
      <c r="A12143" s="1">
        <v>35888</v>
      </c>
      <c r="B12143">
        <v>1122.7</v>
      </c>
      <c r="C12143">
        <f t="shared" si="398"/>
        <v>2.4017642699619242E-3</v>
      </c>
      <c r="D12143">
        <f t="shared" si="397"/>
        <v>0.22072199357316882</v>
      </c>
    </row>
    <row r="12144" spans="1:4">
      <c r="A12144" s="1">
        <v>35891</v>
      </c>
      <c r="B12144">
        <v>1121.3800000000001</v>
      </c>
      <c r="C12144">
        <f t="shared" si="398"/>
        <v>-1.175737062438707E-3</v>
      </c>
      <c r="D12144">
        <f t="shared" si="397"/>
        <v>-0.15706093107655003</v>
      </c>
    </row>
    <row r="12145" spans="1:4">
      <c r="A12145" s="1">
        <v>35892</v>
      </c>
      <c r="B12145">
        <v>1109.55</v>
      </c>
      <c r="C12145">
        <f t="shared" si="398"/>
        <v>-1.0549501507071781E-2</v>
      </c>
      <c r="D12145">
        <f t="shared" si="397"/>
        <v>-1.1469272701324538</v>
      </c>
    </row>
    <row r="12146" spans="1:4">
      <c r="A12146" s="1">
        <v>35893</v>
      </c>
      <c r="B12146">
        <v>1101.6500000000001</v>
      </c>
      <c r="C12146">
        <f t="shared" si="398"/>
        <v>-7.1200036050649935E-3</v>
      </c>
      <c r="D12146">
        <f t="shared" si="397"/>
        <v>-0.78477345742351434</v>
      </c>
    </row>
    <row r="12147" spans="1:4">
      <c r="A12147" s="1">
        <v>35894</v>
      </c>
      <c r="B12147">
        <v>1110.67</v>
      </c>
      <c r="C12147">
        <f t="shared" si="398"/>
        <v>8.1877184223664336E-3</v>
      </c>
      <c r="D12147">
        <f t="shared" si="397"/>
        <v>0.83171678532570958</v>
      </c>
    </row>
    <row r="12148" spans="1:4">
      <c r="A12148" s="1">
        <v>35898</v>
      </c>
      <c r="B12148">
        <v>1109.69</v>
      </c>
      <c r="C12148">
        <f t="shared" si="398"/>
        <v>-8.8235029306636366E-4</v>
      </c>
      <c r="D12148">
        <f t="shared" si="397"/>
        <v>-0.12607938795783896</v>
      </c>
    </row>
    <row r="12149" spans="1:4">
      <c r="A12149" s="1">
        <v>35899</v>
      </c>
      <c r="B12149">
        <v>1115.75</v>
      </c>
      <c r="C12149">
        <f t="shared" si="398"/>
        <v>5.4609845993024587E-3</v>
      </c>
      <c r="D12149">
        <f t="shared" si="397"/>
        <v>0.54377462047201419</v>
      </c>
    </row>
    <row r="12150" spans="1:4">
      <c r="A12150" s="1">
        <v>35900</v>
      </c>
      <c r="B12150">
        <v>1119.32</v>
      </c>
      <c r="C12150">
        <f t="shared" si="398"/>
        <v>3.1996414967510071E-3</v>
      </c>
      <c r="D12150">
        <f t="shared" si="397"/>
        <v>0.30497755751044914</v>
      </c>
    </row>
    <row r="12151" spans="1:4">
      <c r="A12151" s="1">
        <v>35901</v>
      </c>
      <c r="B12151">
        <v>1108.17</v>
      </c>
      <c r="C12151">
        <f t="shared" si="398"/>
        <v>-9.9614051388341712E-3</v>
      </c>
      <c r="D12151">
        <f t="shared" si="397"/>
        <v>-1.0848244935502305</v>
      </c>
    </row>
    <row r="12152" spans="1:4">
      <c r="A12152" s="1">
        <v>35902</v>
      </c>
      <c r="B12152">
        <v>1122.72</v>
      </c>
      <c r="C12152">
        <f t="shared" si="398"/>
        <v>1.3129754460055727E-2</v>
      </c>
      <c r="D12152">
        <f t="shared" si="397"/>
        <v>1.3535941110260286</v>
      </c>
    </row>
    <row r="12153" spans="1:4">
      <c r="A12153" s="1">
        <v>35905</v>
      </c>
      <c r="B12153">
        <v>1123.6500000000001</v>
      </c>
      <c r="C12153">
        <f t="shared" si="398"/>
        <v>8.283454467721815E-4</v>
      </c>
      <c r="D12153">
        <f t="shared" si="397"/>
        <v>5.4569500675376109E-2</v>
      </c>
    </row>
    <row r="12154" spans="1:4">
      <c r="A12154" s="1">
        <v>35906</v>
      </c>
      <c r="B12154">
        <v>1126.67</v>
      </c>
      <c r="C12154">
        <f t="shared" si="398"/>
        <v>2.6876696480220546E-3</v>
      </c>
      <c r="D12154">
        <f t="shared" si="397"/>
        <v>0.2509135043123587</v>
      </c>
    </row>
    <row r="12155" spans="1:4">
      <c r="A12155" s="1">
        <v>35907</v>
      </c>
      <c r="B12155">
        <v>1130.54</v>
      </c>
      <c r="C12155">
        <f t="shared" si="398"/>
        <v>3.434901080174222E-3</v>
      </c>
      <c r="D12155">
        <f t="shared" si="397"/>
        <v>0.32982088955132272</v>
      </c>
    </row>
    <row r="12156" spans="1:4">
      <c r="A12156" s="1">
        <v>35908</v>
      </c>
      <c r="B12156">
        <v>1119.58</v>
      </c>
      <c r="C12156">
        <f t="shared" si="398"/>
        <v>-9.6944822828029416E-3</v>
      </c>
      <c r="D12156">
        <f t="shared" si="397"/>
        <v>-1.0566375306848197</v>
      </c>
    </row>
    <row r="12157" spans="1:4">
      <c r="A12157" s="1">
        <v>35909</v>
      </c>
      <c r="B12157">
        <v>1107.9000000000001</v>
      </c>
      <c r="C12157">
        <f t="shared" si="398"/>
        <v>-1.0432483609925006E-2</v>
      </c>
      <c r="D12157">
        <f t="shared" si="397"/>
        <v>-1.13457021997007</v>
      </c>
    </row>
    <row r="12158" spans="1:4">
      <c r="A12158" s="1">
        <v>35912</v>
      </c>
      <c r="B12158">
        <v>1086.54</v>
      </c>
      <c r="C12158">
        <f t="shared" si="398"/>
        <v>-1.9279718386136045E-2</v>
      </c>
      <c r="D12158">
        <f t="shared" si="397"/>
        <v>-2.0688352050167373</v>
      </c>
    </row>
    <row r="12159" spans="1:4">
      <c r="A12159" s="1">
        <v>35913</v>
      </c>
      <c r="B12159">
        <v>1085.1099999999999</v>
      </c>
      <c r="C12159">
        <f t="shared" si="398"/>
        <v>-1.3161043311797668E-3</v>
      </c>
      <c r="D12159">
        <f t="shared" si="397"/>
        <v>-0.17188366694245302</v>
      </c>
    </row>
    <row r="12160" spans="1:4">
      <c r="A12160" s="1">
        <v>35914</v>
      </c>
      <c r="B12160">
        <v>1094.6199999999999</v>
      </c>
      <c r="C12160">
        <f t="shared" si="398"/>
        <v>8.7640884334307043E-3</v>
      </c>
      <c r="D12160">
        <f t="shared" si="397"/>
        <v>0.89258126257641068</v>
      </c>
    </row>
    <row r="12161" spans="1:4">
      <c r="A12161" s="1">
        <v>35915</v>
      </c>
      <c r="B12161">
        <v>1111.75</v>
      </c>
      <c r="C12161">
        <f t="shared" si="398"/>
        <v>1.5649266412088313E-2</v>
      </c>
      <c r="D12161">
        <f t="shared" si="397"/>
        <v>1.6196537167369458</v>
      </c>
    </row>
    <row r="12162" spans="1:4">
      <c r="A12162" s="1">
        <v>35916</v>
      </c>
      <c r="B12162">
        <v>1121</v>
      </c>
      <c r="C12162">
        <f t="shared" si="398"/>
        <v>8.3202158758713743E-3</v>
      </c>
      <c r="D12162">
        <f t="shared" si="397"/>
        <v>0.84570847137775862</v>
      </c>
    </row>
    <row r="12163" spans="1:4">
      <c r="A12163" s="1">
        <v>35919</v>
      </c>
      <c r="B12163">
        <v>1122.07</v>
      </c>
      <c r="C12163">
        <f t="shared" si="398"/>
        <v>9.5450490633357385E-4</v>
      </c>
      <c r="D12163">
        <f t="shared" ref="D12163:D12226" si="399">(C12163-avg)/sd</f>
        <v>6.7891896721375231E-2</v>
      </c>
    </row>
    <row r="12164" spans="1:4">
      <c r="A12164" s="1">
        <v>35920</v>
      </c>
      <c r="B12164">
        <v>1115.5</v>
      </c>
      <c r="C12164">
        <f t="shared" ref="C12164:C12227" si="400">(B12164-B12163)/B12163</f>
        <v>-5.8552496724802701E-3</v>
      </c>
      <c r="D12164">
        <f t="shared" si="399"/>
        <v>-0.65121587205331755</v>
      </c>
    </row>
    <row r="12165" spans="1:4">
      <c r="A12165" s="1">
        <v>35921</v>
      </c>
      <c r="B12165">
        <v>1104.92</v>
      </c>
      <c r="C12165">
        <f t="shared" si="400"/>
        <v>-9.4845360824741612E-3</v>
      </c>
      <c r="D12165">
        <f t="shared" si="399"/>
        <v>-1.0344672832942814</v>
      </c>
    </row>
    <row r="12166" spans="1:4">
      <c r="A12166" s="1">
        <v>35922</v>
      </c>
      <c r="B12166">
        <v>1095.1400000000001</v>
      </c>
      <c r="C12166">
        <f t="shared" si="400"/>
        <v>-8.8513195525467651E-3</v>
      </c>
      <c r="D12166">
        <f t="shared" si="399"/>
        <v>-0.96759983297470498</v>
      </c>
    </row>
    <row r="12167" spans="1:4">
      <c r="A12167" s="1">
        <v>35923</v>
      </c>
      <c r="B12167">
        <v>1108.1400000000001</v>
      </c>
      <c r="C12167">
        <f t="shared" si="400"/>
        <v>1.1870628412805668E-2</v>
      </c>
      <c r="D12167">
        <f t="shared" si="399"/>
        <v>1.2206308284341612</v>
      </c>
    </row>
    <row r="12168" spans="1:4">
      <c r="A12168" s="1">
        <v>35926</v>
      </c>
      <c r="B12168">
        <v>1106.6400000000001</v>
      </c>
      <c r="C12168">
        <f t="shared" si="400"/>
        <v>-1.3536195787535871E-3</v>
      </c>
      <c r="D12168">
        <f t="shared" si="399"/>
        <v>-0.1758452643341962</v>
      </c>
    </row>
    <row r="12169" spans="1:4">
      <c r="A12169" s="1">
        <v>35927</v>
      </c>
      <c r="B12169">
        <v>1115.79</v>
      </c>
      <c r="C12169">
        <f t="shared" si="400"/>
        <v>8.2682715246149268E-3</v>
      </c>
      <c r="D12169">
        <f t="shared" si="399"/>
        <v>0.84022316554182064</v>
      </c>
    </row>
    <row r="12170" spans="1:4">
      <c r="A12170" s="1">
        <v>35928</v>
      </c>
      <c r="B12170">
        <v>1118.8599999999999</v>
      </c>
      <c r="C12170">
        <f t="shared" si="400"/>
        <v>2.7514137965028692E-3</v>
      </c>
      <c r="D12170">
        <f t="shared" si="399"/>
        <v>0.25764486472424386</v>
      </c>
    </row>
    <row r="12171" spans="1:4">
      <c r="A12171" s="1">
        <v>35929</v>
      </c>
      <c r="B12171">
        <v>1117.3699999999999</v>
      </c>
      <c r="C12171">
        <f t="shared" si="400"/>
        <v>-1.3317126360760142E-3</v>
      </c>
      <c r="D12171">
        <f t="shared" si="399"/>
        <v>-0.17353189863397614</v>
      </c>
    </row>
    <row r="12172" spans="1:4">
      <c r="A12172" s="1">
        <v>35930</v>
      </c>
      <c r="B12172">
        <v>1108.73</v>
      </c>
      <c r="C12172">
        <f t="shared" si="400"/>
        <v>-7.7324431477486183E-3</v>
      </c>
      <c r="D12172">
        <f t="shared" si="399"/>
        <v>-0.84944686495258981</v>
      </c>
    </row>
    <row r="12173" spans="1:4">
      <c r="A12173" s="1">
        <v>35933</v>
      </c>
      <c r="B12173">
        <v>1105.82</v>
      </c>
      <c r="C12173">
        <f t="shared" si="400"/>
        <v>-2.6246245704545576E-3</v>
      </c>
      <c r="D12173">
        <f t="shared" si="399"/>
        <v>-0.3100629594222305</v>
      </c>
    </row>
    <row r="12174" spans="1:4">
      <c r="A12174" s="1">
        <v>35934</v>
      </c>
      <c r="B12174">
        <v>1109.52</v>
      </c>
      <c r="C12174">
        <f t="shared" si="400"/>
        <v>3.3459333345391162E-3</v>
      </c>
      <c r="D12174">
        <f t="shared" si="399"/>
        <v>0.32042592585386165</v>
      </c>
    </row>
    <row r="12175" spans="1:4">
      <c r="A12175" s="1">
        <v>35935</v>
      </c>
      <c r="B12175">
        <v>1119.06</v>
      </c>
      <c r="C12175">
        <f t="shared" si="400"/>
        <v>8.5983127839065216E-3</v>
      </c>
      <c r="D12175">
        <f t="shared" si="399"/>
        <v>0.87507541033653824</v>
      </c>
    </row>
    <row r="12176" spans="1:4">
      <c r="A12176" s="1">
        <v>35936</v>
      </c>
      <c r="B12176">
        <v>1114.6400000000001</v>
      </c>
      <c r="C12176">
        <f t="shared" si="400"/>
        <v>-3.9497435347522437E-3</v>
      </c>
      <c r="D12176">
        <f t="shared" si="399"/>
        <v>-0.44999507162224495</v>
      </c>
    </row>
    <row r="12177" spans="1:4">
      <c r="A12177" s="1">
        <v>35937</v>
      </c>
      <c r="B12177">
        <v>1110.47</v>
      </c>
      <c r="C12177">
        <f t="shared" si="400"/>
        <v>-3.741118208569648E-3</v>
      </c>
      <c r="D12177">
        <f t="shared" si="399"/>
        <v>-0.42796430809255676</v>
      </c>
    </row>
    <row r="12178" spans="1:4">
      <c r="A12178" s="1">
        <v>35941</v>
      </c>
      <c r="B12178">
        <v>1094.02</v>
      </c>
      <c r="C12178">
        <f t="shared" si="400"/>
        <v>-1.4813547416859569E-2</v>
      </c>
      <c r="D12178">
        <f t="shared" si="399"/>
        <v>-1.5972090687864158</v>
      </c>
    </row>
    <row r="12179" spans="1:4">
      <c r="A12179" s="1">
        <v>35942</v>
      </c>
      <c r="B12179">
        <v>1092.23</v>
      </c>
      <c r="C12179">
        <f t="shared" si="400"/>
        <v>-1.636167528929968E-3</v>
      </c>
      <c r="D12179">
        <f t="shared" si="399"/>
        <v>-0.20568223183010728</v>
      </c>
    </row>
    <row r="12180" spans="1:4">
      <c r="A12180" s="1">
        <v>35943</v>
      </c>
      <c r="B12180">
        <v>1097.5999999999999</v>
      </c>
      <c r="C12180">
        <f t="shared" si="400"/>
        <v>4.9165468811513055E-3</v>
      </c>
      <c r="D12180">
        <f t="shared" si="399"/>
        <v>0.48628218249862454</v>
      </c>
    </row>
    <row r="12181" spans="1:4">
      <c r="A12181" s="1">
        <v>35944</v>
      </c>
      <c r="B12181">
        <v>1090.82</v>
      </c>
      <c r="C12181">
        <f t="shared" si="400"/>
        <v>-6.1771137026238824E-3</v>
      </c>
      <c r="D12181">
        <f t="shared" si="399"/>
        <v>-0.6852046042295834</v>
      </c>
    </row>
    <row r="12182" spans="1:4">
      <c r="A12182" s="1">
        <v>35947</v>
      </c>
      <c r="B12182">
        <v>1090.98</v>
      </c>
      <c r="C12182">
        <f t="shared" si="400"/>
        <v>1.4667864542278457E-4</v>
      </c>
      <c r="D12182">
        <f t="shared" si="399"/>
        <v>-1.7414281837316227E-2</v>
      </c>
    </row>
    <row r="12183" spans="1:4">
      <c r="A12183" s="1">
        <v>35948</v>
      </c>
      <c r="B12183">
        <v>1093.22</v>
      </c>
      <c r="C12183">
        <f t="shared" si="400"/>
        <v>2.0531998753414446E-3</v>
      </c>
      <c r="D12183">
        <f t="shared" si="399"/>
        <v>0.18391371198404072</v>
      </c>
    </row>
    <row r="12184" spans="1:4">
      <c r="A12184" s="1">
        <v>35949</v>
      </c>
      <c r="B12184">
        <v>1082.73</v>
      </c>
      <c r="C12184">
        <f t="shared" si="400"/>
        <v>-9.5955068513199626E-3</v>
      </c>
      <c r="D12184">
        <f t="shared" si="399"/>
        <v>-1.046185758763601</v>
      </c>
    </row>
    <row r="12185" spans="1:4">
      <c r="A12185" s="1">
        <v>35950</v>
      </c>
      <c r="B12185">
        <v>1094.83</v>
      </c>
      <c r="C12185">
        <f t="shared" si="400"/>
        <v>1.117545463781359E-2</v>
      </c>
      <c r="D12185">
        <f t="shared" si="399"/>
        <v>1.1472207140960451</v>
      </c>
    </row>
    <row r="12186" spans="1:4">
      <c r="A12186" s="1">
        <v>35951</v>
      </c>
      <c r="B12186">
        <v>1113.8599999999999</v>
      </c>
      <c r="C12186">
        <f t="shared" si="400"/>
        <v>1.738169396161959E-2</v>
      </c>
      <c r="D12186">
        <f t="shared" si="399"/>
        <v>1.8025974770867121</v>
      </c>
    </row>
    <row r="12187" spans="1:4">
      <c r="A12187" s="1">
        <v>35954</v>
      </c>
      <c r="B12187">
        <v>1115.72</v>
      </c>
      <c r="C12187">
        <f t="shared" si="400"/>
        <v>1.6698687447256634E-3</v>
      </c>
      <c r="D12187">
        <f t="shared" si="399"/>
        <v>0.14343407489159649</v>
      </c>
    </row>
    <row r="12188" spans="1:4">
      <c r="A12188" s="1">
        <v>35955</v>
      </c>
      <c r="B12188">
        <v>1118.4100000000001</v>
      </c>
      <c r="C12188">
        <f t="shared" si="400"/>
        <v>2.4109991754204052E-3</v>
      </c>
      <c r="D12188">
        <f t="shared" si="399"/>
        <v>0.22169719645048755</v>
      </c>
    </row>
    <row r="12189" spans="1:4">
      <c r="A12189" s="1">
        <v>35956</v>
      </c>
      <c r="B12189">
        <v>1112.28</v>
      </c>
      <c r="C12189">
        <f t="shared" si="400"/>
        <v>-5.4809953416011204E-3</v>
      </c>
      <c r="D12189">
        <f t="shared" si="399"/>
        <v>-0.61169474192770756</v>
      </c>
    </row>
    <row r="12190" spans="1:4">
      <c r="A12190" s="1">
        <v>35957</v>
      </c>
      <c r="B12190">
        <v>1094.58</v>
      </c>
      <c r="C12190">
        <f t="shared" si="400"/>
        <v>-1.5913259251267707E-2</v>
      </c>
      <c r="D12190">
        <f t="shared" si="399"/>
        <v>-1.7133382646897002</v>
      </c>
    </row>
    <row r="12191" spans="1:4">
      <c r="A12191" s="1">
        <v>35958</v>
      </c>
      <c r="B12191">
        <v>1098.8399999999999</v>
      </c>
      <c r="C12191">
        <f t="shared" si="400"/>
        <v>3.8919037439017626E-3</v>
      </c>
      <c r="D12191">
        <f t="shared" si="399"/>
        <v>0.37808021549819792</v>
      </c>
    </row>
    <row r="12192" spans="1:4">
      <c r="A12192" s="1">
        <v>35961</v>
      </c>
      <c r="B12192">
        <v>1077.01</v>
      </c>
      <c r="C12192">
        <f t="shared" si="400"/>
        <v>-1.9866404572094144E-2</v>
      </c>
      <c r="D12192">
        <f t="shared" si="399"/>
        <v>-2.1307890668295886</v>
      </c>
    </row>
    <row r="12193" spans="1:4">
      <c r="A12193" s="1">
        <v>35962</v>
      </c>
      <c r="B12193">
        <v>1087.5899999999999</v>
      </c>
      <c r="C12193">
        <f t="shared" si="400"/>
        <v>9.8234928180796158E-3</v>
      </c>
      <c r="D12193">
        <f t="shared" si="399"/>
        <v>1.0044540054862887</v>
      </c>
    </row>
    <row r="12194" spans="1:4">
      <c r="A12194" s="1">
        <v>35963</v>
      </c>
      <c r="B12194">
        <v>1107.1099999999999</v>
      </c>
      <c r="C12194">
        <f t="shared" si="400"/>
        <v>1.7947939940602602E-2</v>
      </c>
      <c r="D12194">
        <f t="shared" si="399"/>
        <v>1.862392859990958</v>
      </c>
    </row>
    <row r="12195" spans="1:4">
      <c r="A12195" s="1">
        <v>35964</v>
      </c>
      <c r="B12195">
        <v>1106.3699999999999</v>
      </c>
      <c r="C12195">
        <f t="shared" si="400"/>
        <v>-6.6840693336706308E-4</v>
      </c>
      <c r="D12195">
        <f t="shared" si="399"/>
        <v>-0.10348704189647422</v>
      </c>
    </row>
    <row r="12196" spans="1:4">
      <c r="A12196" s="1">
        <v>35965</v>
      </c>
      <c r="B12196">
        <v>1100.6500000000001</v>
      </c>
      <c r="C12196">
        <f t="shared" si="400"/>
        <v>-5.1700606487882E-3</v>
      </c>
      <c r="D12196">
        <f t="shared" si="399"/>
        <v>-0.5788601440585005</v>
      </c>
    </row>
    <row r="12197" spans="1:4">
      <c r="A12197" s="1">
        <v>35968</v>
      </c>
      <c r="B12197">
        <v>1103.21</v>
      </c>
      <c r="C12197">
        <f t="shared" si="400"/>
        <v>2.3258983328032939E-3</v>
      </c>
      <c r="D12197">
        <f t="shared" si="399"/>
        <v>0.21271057639730251</v>
      </c>
    </row>
    <row r="12198" spans="1:4">
      <c r="A12198" s="1">
        <v>35969</v>
      </c>
      <c r="B12198">
        <v>1119.49</v>
      </c>
      <c r="C12198">
        <f t="shared" si="400"/>
        <v>1.4756936575991853E-2</v>
      </c>
      <c r="D12198">
        <f t="shared" si="399"/>
        <v>1.5254239893628083</v>
      </c>
    </row>
    <row r="12199" spans="1:4">
      <c r="A12199" s="1">
        <v>35970</v>
      </c>
      <c r="B12199">
        <v>1132.8800000000001</v>
      </c>
      <c r="C12199">
        <f t="shared" si="400"/>
        <v>1.1960803580201788E-2</v>
      </c>
      <c r="D12199">
        <f t="shared" si="399"/>
        <v>1.2301532954591627</v>
      </c>
    </row>
    <row r="12200" spans="1:4">
      <c r="A12200" s="1">
        <v>35971</v>
      </c>
      <c r="B12200">
        <v>1129.28</v>
      </c>
      <c r="C12200">
        <f t="shared" si="400"/>
        <v>-3.1777416849093779E-3</v>
      </c>
      <c r="D12200">
        <f t="shared" si="399"/>
        <v>-0.36847193869501721</v>
      </c>
    </row>
    <row r="12201" spans="1:4">
      <c r="A12201" s="1">
        <v>35972</v>
      </c>
      <c r="B12201">
        <v>1133.2</v>
      </c>
      <c r="C12201">
        <f t="shared" si="400"/>
        <v>3.4712383111363638E-3</v>
      </c>
      <c r="D12201">
        <f t="shared" si="399"/>
        <v>0.33365808878929998</v>
      </c>
    </row>
    <row r="12202" spans="1:4">
      <c r="A12202" s="1">
        <v>35975</v>
      </c>
      <c r="B12202">
        <v>1138.49</v>
      </c>
      <c r="C12202">
        <f t="shared" si="400"/>
        <v>4.6681962583833073E-3</v>
      </c>
      <c r="D12202">
        <f t="shared" si="399"/>
        <v>0.46005644115280231</v>
      </c>
    </row>
    <row r="12203" spans="1:4">
      <c r="A12203" s="1">
        <v>35976</v>
      </c>
      <c r="B12203">
        <v>1133.8399999999999</v>
      </c>
      <c r="C12203">
        <f t="shared" si="400"/>
        <v>-4.0843573505257762E-3</v>
      </c>
      <c r="D12203">
        <f t="shared" si="399"/>
        <v>-0.4642102448104708</v>
      </c>
    </row>
    <row r="12204" spans="1:4">
      <c r="A12204" s="1">
        <v>35977</v>
      </c>
      <c r="B12204">
        <v>1148.56</v>
      </c>
      <c r="C12204">
        <f t="shared" si="400"/>
        <v>1.2982431383616761E-2</v>
      </c>
      <c r="D12204">
        <f t="shared" si="399"/>
        <v>1.3380368442316206</v>
      </c>
    </row>
    <row r="12205" spans="1:4">
      <c r="A12205" s="1">
        <v>35978</v>
      </c>
      <c r="B12205">
        <v>1146.42</v>
      </c>
      <c r="C12205">
        <f t="shared" si="400"/>
        <v>-1.8632026189314209E-3</v>
      </c>
      <c r="D12205">
        <f t="shared" si="399"/>
        <v>-0.22965706016128398</v>
      </c>
    </row>
    <row r="12206" spans="1:4">
      <c r="A12206" s="1">
        <v>35982</v>
      </c>
      <c r="B12206">
        <v>1157.33</v>
      </c>
      <c r="C12206">
        <f t="shared" si="400"/>
        <v>9.516582055442032E-3</v>
      </c>
      <c r="D12206">
        <f t="shared" si="399"/>
        <v>0.97204433327579687</v>
      </c>
    </row>
    <row r="12207" spans="1:4">
      <c r="A12207" s="1">
        <v>35983</v>
      </c>
      <c r="B12207">
        <v>1154.6600000000001</v>
      </c>
      <c r="C12207">
        <f t="shared" si="400"/>
        <v>-2.3070342944534797E-3</v>
      </c>
      <c r="D12207">
        <f t="shared" si="399"/>
        <v>-0.2765255342306967</v>
      </c>
    </row>
    <row r="12208" spans="1:4">
      <c r="A12208" s="1">
        <v>35984</v>
      </c>
      <c r="B12208">
        <v>1166.3800000000001</v>
      </c>
      <c r="C12208">
        <f t="shared" si="400"/>
        <v>1.0150174077217558E-2</v>
      </c>
      <c r="D12208">
        <f t="shared" si="399"/>
        <v>1.0389514354069</v>
      </c>
    </row>
    <row r="12209" spans="1:4">
      <c r="A12209" s="1">
        <v>35985</v>
      </c>
      <c r="B12209">
        <v>1158.56</v>
      </c>
      <c r="C12209">
        <f t="shared" si="400"/>
        <v>-6.7045045354002667E-3</v>
      </c>
      <c r="D12209">
        <f t="shared" si="399"/>
        <v>-0.74089689690191529</v>
      </c>
    </row>
    <row r="12210" spans="1:4">
      <c r="A12210" s="1">
        <v>35986</v>
      </c>
      <c r="B12210">
        <v>1164.33</v>
      </c>
      <c r="C12210">
        <f t="shared" si="400"/>
        <v>4.9803203977351043E-3</v>
      </c>
      <c r="D12210">
        <f t="shared" si="399"/>
        <v>0.49301664417220215</v>
      </c>
    </row>
    <row r="12211" spans="1:4">
      <c r="A12211" s="1">
        <v>35989</v>
      </c>
      <c r="B12211">
        <v>1165.19</v>
      </c>
      <c r="C12211">
        <f t="shared" si="400"/>
        <v>7.386222119159752E-4</v>
      </c>
      <c r="D12211">
        <f t="shared" si="399"/>
        <v>4.5094757572970094E-2</v>
      </c>
    </row>
    <row r="12212" spans="1:4">
      <c r="A12212" s="1">
        <v>35990</v>
      </c>
      <c r="B12212">
        <v>1177.58</v>
      </c>
      <c r="C12212">
        <f t="shared" si="400"/>
        <v>1.0633458920862583E-2</v>
      </c>
      <c r="D12212">
        <f t="shared" si="399"/>
        <v>1.0899861506193145</v>
      </c>
    </row>
    <row r="12213" spans="1:4">
      <c r="A12213" s="1">
        <v>35991</v>
      </c>
      <c r="B12213">
        <v>1174.81</v>
      </c>
      <c r="C12213">
        <f t="shared" si="400"/>
        <v>-2.3522817982642216E-3</v>
      </c>
      <c r="D12213">
        <f t="shared" si="399"/>
        <v>-0.28130365525273721</v>
      </c>
    </row>
    <row r="12214" spans="1:4">
      <c r="A12214" s="1">
        <v>35992</v>
      </c>
      <c r="B12214">
        <v>1183.99</v>
      </c>
      <c r="C12214">
        <f t="shared" si="400"/>
        <v>7.8140295026430349E-3</v>
      </c>
      <c r="D12214">
        <f t="shared" si="399"/>
        <v>0.79225536242595418</v>
      </c>
    </row>
    <row r="12215" spans="1:4">
      <c r="A12215" s="1">
        <v>35993</v>
      </c>
      <c r="B12215">
        <v>1186.75</v>
      </c>
      <c r="C12215">
        <f t="shared" si="400"/>
        <v>2.3311007694321664E-3</v>
      </c>
      <c r="D12215">
        <f t="shared" si="399"/>
        <v>0.2132599519369173</v>
      </c>
    </row>
    <row r="12216" spans="1:4">
      <c r="A12216" s="1">
        <v>35996</v>
      </c>
      <c r="B12216">
        <v>1184.0999999999999</v>
      </c>
      <c r="C12216">
        <f t="shared" si="400"/>
        <v>-2.2329892563725225E-3</v>
      </c>
      <c r="D12216">
        <f t="shared" si="399"/>
        <v>-0.26870640337847895</v>
      </c>
    </row>
    <row r="12217" spans="1:4">
      <c r="A12217" s="1">
        <v>35997</v>
      </c>
      <c r="B12217">
        <v>1165.07</v>
      </c>
      <c r="C12217">
        <f t="shared" si="400"/>
        <v>-1.6071277763702367E-2</v>
      </c>
      <c r="D12217">
        <f t="shared" si="399"/>
        <v>-1.7300249658896982</v>
      </c>
    </row>
    <row r="12218" spans="1:4">
      <c r="A12218" s="1">
        <v>35998</v>
      </c>
      <c r="B12218">
        <v>1164.08</v>
      </c>
      <c r="C12218">
        <f t="shared" si="400"/>
        <v>-8.4973435072571528E-4</v>
      </c>
      <c r="D12218">
        <f t="shared" si="399"/>
        <v>-0.12263515553336397</v>
      </c>
    </row>
    <row r="12219" spans="1:4">
      <c r="A12219" s="1">
        <v>35999</v>
      </c>
      <c r="B12219">
        <v>1139.75</v>
      </c>
      <c r="C12219">
        <f t="shared" si="400"/>
        <v>-2.0900625386571309E-2</v>
      </c>
      <c r="D12219">
        <f t="shared" si="399"/>
        <v>-2.2400024332896411</v>
      </c>
    </row>
    <row r="12220" spans="1:4">
      <c r="A12220" s="1">
        <v>36000</v>
      </c>
      <c r="B12220">
        <v>1140.8</v>
      </c>
      <c r="C12220">
        <f t="shared" si="400"/>
        <v>9.2125466110985267E-4</v>
      </c>
      <c r="D12220">
        <f t="shared" si="399"/>
        <v>6.4380682128057781E-2</v>
      </c>
    </row>
    <row r="12221" spans="1:4">
      <c r="A12221" s="1">
        <v>36003</v>
      </c>
      <c r="B12221">
        <v>1147.27</v>
      </c>
      <c r="C12221">
        <f t="shared" si="400"/>
        <v>5.6714586255259712E-3</v>
      </c>
      <c r="D12221">
        <f t="shared" si="399"/>
        <v>0.56600060609761949</v>
      </c>
    </row>
    <row r="12222" spans="1:4">
      <c r="A12222" s="1">
        <v>36004</v>
      </c>
      <c r="B12222">
        <v>1130.24</v>
      </c>
      <c r="C12222">
        <f t="shared" si="400"/>
        <v>-1.4843933860381579E-2</v>
      </c>
      <c r="D12222">
        <f t="shared" si="399"/>
        <v>-1.6004178668934859</v>
      </c>
    </row>
    <row r="12223" spans="1:4">
      <c r="A12223" s="1">
        <v>36005</v>
      </c>
      <c r="B12223">
        <v>1125.21</v>
      </c>
      <c r="C12223">
        <f t="shared" si="400"/>
        <v>-4.4503822197055247E-3</v>
      </c>
      <c r="D12223">
        <f t="shared" si="399"/>
        <v>-0.50286234657795403</v>
      </c>
    </row>
    <row r="12224" spans="1:4">
      <c r="A12224" s="1">
        <v>36006</v>
      </c>
      <c r="B12224">
        <v>1142.95</v>
      </c>
      <c r="C12224">
        <f t="shared" si="400"/>
        <v>1.5765945912318596E-2</v>
      </c>
      <c r="D12224">
        <f t="shared" si="399"/>
        <v>1.6319750322999744</v>
      </c>
    </row>
    <row r="12225" spans="1:4">
      <c r="A12225" s="1">
        <v>36007</v>
      </c>
      <c r="B12225">
        <v>1120.67</v>
      </c>
      <c r="C12225">
        <f t="shared" si="400"/>
        <v>-1.949341615993698E-2</v>
      </c>
      <c r="D12225">
        <f t="shared" si="399"/>
        <v>-2.0914016172907135</v>
      </c>
    </row>
    <row r="12226" spans="1:4">
      <c r="A12226" s="1">
        <v>36010</v>
      </c>
      <c r="B12226">
        <v>1112.44</v>
      </c>
      <c r="C12226">
        <f t="shared" si="400"/>
        <v>-7.3438211070163545E-3</v>
      </c>
      <c r="D12226">
        <f t="shared" si="399"/>
        <v>-0.80840850955031274</v>
      </c>
    </row>
    <row r="12227" spans="1:4">
      <c r="A12227" s="1">
        <v>36011</v>
      </c>
      <c r="B12227">
        <v>1072.1199999999999</v>
      </c>
      <c r="C12227">
        <f t="shared" si="400"/>
        <v>-3.6244651396929416E-2</v>
      </c>
      <c r="D12227">
        <f t="shared" ref="D12227:D12290" si="401">(C12227-avg)/sd</f>
        <v>-3.8603263642955987</v>
      </c>
    </row>
    <row r="12228" spans="1:4">
      <c r="A12228" s="1">
        <v>36012</v>
      </c>
      <c r="B12228">
        <v>1081.43</v>
      </c>
      <c r="C12228">
        <f t="shared" ref="C12228:C12291" si="402">(B12228-B12227)/B12227</f>
        <v>8.6837294332725561E-3</v>
      </c>
      <c r="D12228">
        <f t="shared" si="401"/>
        <v>0.88409537947506156</v>
      </c>
    </row>
    <row r="12229" spans="1:4">
      <c r="A12229" s="1">
        <v>36013</v>
      </c>
      <c r="B12229">
        <v>1089.6300000000001</v>
      </c>
      <c r="C12229">
        <f t="shared" si="402"/>
        <v>7.5825527311060769E-3</v>
      </c>
      <c r="D12229">
        <f t="shared" si="401"/>
        <v>0.76781149403442905</v>
      </c>
    </row>
    <row r="12230" spans="1:4">
      <c r="A12230" s="1">
        <v>36014</v>
      </c>
      <c r="B12230">
        <v>1089.45</v>
      </c>
      <c r="C12230">
        <f t="shared" si="402"/>
        <v>-1.6519368960111566E-4</v>
      </c>
      <c r="D12230">
        <f t="shared" si="401"/>
        <v>-5.0347894405282624E-2</v>
      </c>
    </row>
    <row r="12231" spans="1:4">
      <c r="A12231" s="1">
        <v>36017</v>
      </c>
      <c r="B12231">
        <v>1083.1400000000001</v>
      </c>
      <c r="C12231">
        <f t="shared" si="402"/>
        <v>-5.791913350773276E-3</v>
      </c>
      <c r="D12231">
        <f t="shared" si="401"/>
        <v>-0.64452757801012084</v>
      </c>
    </row>
    <row r="12232" spans="1:4">
      <c r="A12232" s="1">
        <v>36018</v>
      </c>
      <c r="B12232">
        <v>1068.98</v>
      </c>
      <c r="C12232">
        <f t="shared" si="402"/>
        <v>-1.3073102276714073E-2</v>
      </c>
      <c r="D12232">
        <f t="shared" si="401"/>
        <v>-1.413418653593099</v>
      </c>
    </row>
    <row r="12233" spans="1:4">
      <c r="A12233" s="1">
        <v>36019</v>
      </c>
      <c r="B12233">
        <v>1084.22</v>
      </c>
      <c r="C12233">
        <f t="shared" si="402"/>
        <v>1.4256581039869791E-2</v>
      </c>
      <c r="D12233">
        <f t="shared" si="401"/>
        <v>1.4725866148274289</v>
      </c>
    </row>
    <row r="12234" spans="1:4">
      <c r="A12234" s="1">
        <v>36020</v>
      </c>
      <c r="B12234">
        <v>1074.9100000000001</v>
      </c>
      <c r="C12234">
        <f t="shared" si="402"/>
        <v>-8.5868181734333852E-3</v>
      </c>
      <c r="D12234">
        <f t="shared" si="401"/>
        <v>-0.93966857724871922</v>
      </c>
    </row>
    <row r="12235" spans="1:4">
      <c r="A12235" s="1">
        <v>36021</v>
      </c>
      <c r="B12235">
        <v>1062.75</v>
      </c>
      <c r="C12235">
        <f t="shared" si="402"/>
        <v>-1.1312575006279671E-2</v>
      </c>
      <c r="D12235">
        <f t="shared" si="401"/>
        <v>-1.2275075722675217</v>
      </c>
    </row>
    <row r="12236" spans="1:4">
      <c r="A12236" s="1">
        <v>36024</v>
      </c>
      <c r="B12236">
        <v>1083.67</v>
      </c>
      <c r="C12236">
        <f t="shared" si="402"/>
        <v>1.9684780051752598E-2</v>
      </c>
      <c r="D12236">
        <f t="shared" si="401"/>
        <v>2.0458025853477588</v>
      </c>
    </row>
    <row r="12237" spans="1:4">
      <c r="A12237" s="1">
        <v>36025</v>
      </c>
      <c r="B12237">
        <v>1101.2</v>
      </c>
      <c r="C12237">
        <f t="shared" si="402"/>
        <v>1.6176511299565339E-2</v>
      </c>
      <c r="D12237">
        <f t="shared" si="401"/>
        <v>1.6753305976352744</v>
      </c>
    </row>
    <row r="12238" spans="1:4">
      <c r="A12238" s="1">
        <v>36026</v>
      </c>
      <c r="B12238">
        <v>1098.06</v>
      </c>
      <c r="C12238">
        <f t="shared" si="402"/>
        <v>-2.8514347984018341E-3</v>
      </c>
      <c r="D12238">
        <f t="shared" si="401"/>
        <v>-0.33401404239692045</v>
      </c>
    </row>
    <row r="12239" spans="1:4">
      <c r="A12239" s="1">
        <v>36027</v>
      </c>
      <c r="B12239">
        <v>1091.5999999999999</v>
      </c>
      <c r="C12239">
        <f t="shared" si="402"/>
        <v>-5.8831029269803443E-3</v>
      </c>
      <c r="D12239">
        <f t="shared" si="401"/>
        <v>-0.65415716626074416</v>
      </c>
    </row>
    <row r="12240" spans="1:4">
      <c r="A12240" s="1">
        <v>36028</v>
      </c>
      <c r="B12240">
        <v>1081.24</v>
      </c>
      <c r="C12240">
        <f t="shared" si="402"/>
        <v>-9.4906559179185612E-3</v>
      </c>
      <c r="D12240">
        <f t="shared" si="401"/>
        <v>-1.035113535836977</v>
      </c>
    </row>
    <row r="12241" spans="1:4">
      <c r="A12241" s="1">
        <v>36031</v>
      </c>
      <c r="B12241">
        <v>1088.1400000000001</v>
      </c>
      <c r="C12241">
        <f t="shared" si="402"/>
        <v>6.3815619103992551E-3</v>
      </c>
      <c r="D12241">
        <f t="shared" si="401"/>
        <v>0.64098727160440383</v>
      </c>
    </row>
    <row r="12242" spans="1:4">
      <c r="A12242" s="1">
        <v>36032</v>
      </c>
      <c r="B12242">
        <v>1092.8499999999999</v>
      </c>
      <c r="C12242">
        <f t="shared" si="402"/>
        <v>4.3284871431983098E-3</v>
      </c>
      <c r="D12242">
        <f t="shared" si="401"/>
        <v>0.42418327406200534</v>
      </c>
    </row>
    <row r="12243" spans="1:4">
      <c r="A12243" s="1">
        <v>36033</v>
      </c>
      <c r="B12243">
        <v>1084.19</v>
      </c>
      <c r="C12243">
        <f t="shared" si="402"/>
        <v>-7.9242347989201215E-3</v>
      </c>
      <c r="D12243">
        <f t="shared" si="401"/>
        <v>-0.86969999812315057</v>
      </c>
    </row>
    <row r="12244" spans="1:4">
      <c r="A12244" s="1">
        <v>36034</v>
      </c>
      <c r="B12244">
        <v>1042.5899999999999</v>
      </c>
      <c r="C12244">
        <f t="shared" si="402"/>
        <v>-3.8369658454699022E-2</v>
      </c>
      <c r="D12244">
        <f t="shared" si="401"/>
        <v>-4.0847263872710746</v>
      </c>
    </row>
    <row r="12245" spans="1:4">
      <c r="A12245" s="1">
        <v>36035</v>
      </c>
      <c r="B12245">
        <v>1027.1400000000001</v>
      </c>
      <c r="C12245">
        <f t="shared" si="402"/>
        <v>-1.4818864558455212E-2</v>
      </c>
      <c r="D12245">
        <f t="shared" si="401"/>
        <v>-1.5977705571315313</v>
      </c>
    </row>
    <row r="12246" spans="1:4">
      <c r="A12246" s="1">
        <v>36038</v>
      </c>
      <c r="B12246">
        <v>957.28</v>
      </c>
      <c r="C12246">
        <f t="shared" si="402"/>
        <v>-6.8014097396654913E-2</v>
      </c>
      <c r="D12246">
        <f t="shared" si="401"/>
        <v>-7.215169062907222</v>
      </c>
    </row>
    <row r="12247" spans="1:4">
      <c r="A12247" s="1">
        <v>36039</v>
      </c>
      <c r="B12247">
        <v>994.26</v>
      </c>
      <c r="C12247">
        <f t="shared" si="402"/>
        <v>3.863028580979444E-2</v>
      </c>
      <c r="D12247">
        <f t="shared" si="401"/>
        <v>4.0464415535066722</v>
      </c>
    </row>
    <row r="12248" spans="1:4">
      <c r="A12248" s="1">
        <v>36040</v>
      </c>
      <c r="B12248">
        <v>990.48</v>
      </c>
      <c r="C12248">
        <f t="shared" si="402"/>
        <v>-3.8018224609256863E-3</v>
      </c>
      <c r="D12248">
        <f t="shared" si="401"/>
        <v>-0.43437465650697654</v>
      </c>
    </row>
    <row r="12249" spans="1:4">
      <c r="A12249" s="1">
        <v>36041</v>
      </c>
      <c r="B12249">
        <v>982.26</v>
      </c>
      <c r="C12249">
        <f t="shared" si="402"/>
        <v>-8.2990065422825568E-3</v>
      </c>
      <c r="D12249">
        <f t="shared" si="401"/>
        <v>-0.90927576683111855</v>
      </c>
    </row>
    <row r="12250" spans="1:4">
      <c r="A12250" s="1">
        <v>36042</v>
      </c>
      <c r="B12250">
        <v>973.89</v>
      </c>
      <c r="C12250">
        <f t="shared" si="402"/>
        <v>-8.521165475536014E-3</v>
      </c>
      <c r="D12250">
        <f t="shared" si="401"/>
        <v>-0.93273567466719309</v>
      </c>
    </row>
    <row r="12251" spans="1:4">
      <c r="A12251" s="1">
        <v>36046</v>
      </c>
      <c r="B12251">
        <v>1023.46</v>
      </c>
      <c r="C12251">
        <f t="shared" si="402"/>
        <v>5.0898972163180699E-2</v>
      </c>
      <c r="D12251">
        <f t="shared" si="401"/>
        <v>5.3420106620951442</v>
      </c>
    </row>
    <row r="12252" spans="1:4">
      <c r="A12252" s="1">
        <v>36047</v>
      </c>
      <c r="B12252">
        <v>1006.2</v>
      </c>
      <c r="C12252">
        <f t="shared" si="402"/>
        <v>-1.6864362065933197E-2</v>
      </c>
      <c r="D12252">
        <f t="shared" si="401"/>
        <v>-1.8137743986228212</v>
      </c>
    </row>
    <row r="12253" spans="1:4">
      <c r="A12253" s="1">
        <v>36048</v>
      </c>
      <c r="B12253">
        <v>980.19</v>
      </c>
      <c r="C12253">
        <f t="shared" si="402"/>
        <v>-2.5849731663685142E-2</v>
      </c>
      <c r="D12253">
        <f t="shared" si="401"/>
        <v>-2.7626263738699008</v>
      </c>
    </row>
    <row r="12254" spans="1:4">
      <c r="A12254" s="1">
        <v>36049</v>
      </c>
      <c r="B12254">
        <v>1009.06</v>
      </c>
      <c r="C12254">
        <f t="shared" si="402"/>
        <v>2.9453473306195625E-2</v>
      </c>
      <c r="D12254">
        <f t="shared" si="401"/>
        <v>3.0773732724767684</v>
      </c>
    </row>
    <row r="12255" spans="1:4">
      <c r="A12255" s="1">
        <v>36052</v>
      </c>
      <c r="B12255">
        <v>1029.72</v>
      </c>
      <c r="C12255">
        <f t="shared" si="402"/>
        <v>2.0474501020752069E-2</v>
      </c>
      <c r="D12255">
        <f t="shared" si="401"/>
        <v>2.1291968512349029</v>
      </c>
    </row>
    <row r="12256" spans="1:4">
      <c r="A12256" s="1">
        <v>36053</v>
      </c>
      <c r="B12256">
        <v>1037.68</v>
      </c>
      <c r="C12256">
        <f t="shared" si="402"/>
        <v>7.7302567688303965E-3</v>
      </c>
      <c r="D12256">
        <f t="shared" si="401"/>
        <v>0.78340899021107535</v>
      </c>
    </row>
    <row r="12257" spans="1:4">
      <c r="A12257" s="1">
        <v>36054</v>
      </c>
      <c r="B12257">
        <v>1045.48</v>
      </c>
      <c r="C12257">
        <f t="shared" si="402"/>
        <v>7.5167681751599283E-3</v>
      </c>
      <c r="D12257">
        <f t="shared" si="401"/>
        <v>0.7608646672877728</v>
      </c>
    </row>
    <row r="12258" spans="1:4">
      <c r="A12258" s="1">
        <v>36055</v>
      </c>
      <c r="B12258">
        <v>1018.87</v>
      </c>
      <c r="C12258">
        <f t="shared" si="402"/>
        <v>-2.5452423767073511E-2</v>
      </c>
      <c r="D12258">
        <f t="shared" si="401"/>
        <v>-2.7206707950392284</v>
      </c>
    </row>
    <row r="12259" spans="1:4">
      <c r="A12259" s="1">
        <v>36056</v>
      </c>
      <c r="B12259">
        <v>1020.09</v>
      </c>
      <c r="C12259">
        <f t="shared" si="402"/>
        <v>1.1974049682491655E-3</v>
      </c>
      <c r="D12259">
        <f t="shared" si="401"/>
        <v>9.3542060693919002E-2</v>
      </c>
    </row>
    <row r="12260" spans="1:4">
      <c r="A12260" s="1">
        <v>36059</v>
      </c>
      <c r="B12260">
        <v>1023.89</v>
      </c>
      <c r="C12260">
        <f t="shared" si="402"/>
        <v>3.7251615053573257E-3</v>
      </c>
      <c r="D12260">
        <f t="shared" si="401"/>
        <v>0.3604722917863461</v>
      </c>
    </row>
    <row r="12261" spans="1:4">
      <c r="A12261" s="1">
        <v>36060</v>
      </c>
      <c r="B12261">
        <v>1029.6300000000001</v>
      </c>
      <c r="C12261">
        <f t="shared" si="402"/>
        <v>5.6060709646545259E-3</v>
      </c>
      <c r="D12261">
        <f t="shared" si="401"/>
        <v>0.55909569133594061</v>
      </c>
    </row>
    <row r="12262" spans="1:4">
      <c r="A12262" s="1">
        <v>36061</v>
      </c>
      <c r="B12262">
        <v>1066.0899999999999</v>
      </c>
      <c r="C12262">
        <f t="shared" si="402"/>
        <v>3.5410778629216134E-2</v>
      </c>
      <c r="D12262">
        <f t="shared" si="401"/>
        <v>3.706462689601266</v>
      </c>
    </row>
    <row r="12263" spans="1:4">
      <c r="A12263" s="1">
        <v>36062</v>
      </c>
      <c r="B12263">
        <v>1042.72</v>
      </c>
      <c r="C12263">
        <f t="shared" si="402"/>
        <v>-2.1921226162894214E-2</v>
      </c>
      <c r="D12263">
        <f t="shared" si="401"/>
        <v>-2.3477775283502802</v>
      </c>
    </row>
    <row r="12264" spans="1:4">
      <c r="A12264" s="1">
        <v>36063</v>
      </c>
      <c r="B12264">
        <v>1044.75</v>
      </c>
      <c r="C12264">
        <f t="shared" si="402"/>
        <v>1.946831364124571E-3</v>
      </c>
      <c r="D12264">
        <f t="shared" si="401"/>
        <v>0.17268123335595256</v>
      </c>
    </row>
    <row r="12265" spans="1:4">
      <c r="A12265" s="1">
        <v>36066</v>
      </c>
      <c r="B12265">
        <v>1048.69</v>
      </c>
      <c r="C12265">
        <f t="shared" si="402"/>
        <v>3.771237138071361E-3</v>
      </c>
      <c r="D12265">
        <f t="shared" si="401"/>
        <v>0.36533786293907972</v>
      </c>
    </row>
    <row r="12266" spans="1:4">
      <c r="A12266" s="1">
        <v>36067</v>
      </c>
      <c r="B12266">
        <v>1049.02</v>
      </c>
      <c r="C12266">
        <f t="shared" si="402"/>
        <v>3.1467831294274494E-4</v>
      </c>
      <c r="D12266">
        <f t="shared" si="401"/>
        <v>3.2642594692996866E-4</v>
      </c>
    </row>
    <row r="12267" spans="1:4">
      <c r="A12267" s="1">
        <v>36068</v>
      </c>
      <c r="B12267">
        <v>1017.01</v>
      </c>
      <c r="C12267">
        <f t="shared" si="402"/>
        <v>-3.0514194200301225E-2</v>
      </c>
      <c r="D12267">
        <f t="shared" si="401"/>
        <v>-3.255192032208706</v>
      </c>
    </row>
    <row r="12268" spans="1:4">
      <c r="A12268" s="1">
        <v>36069</v>
      </c>
      <c r="B12268">
        <v>986.39</v>
      </c>
      <c r="C12268">
        <f t="shared" si="402"/>
        <v>-3.0107865212731445E-2</v>
      </c>
      <c r="D12268">
        <f t="shared" si="401"/>
        <v>-3.2122838292392708</v>
      </c>
    </row>
    <row r="12269" spans="1:4">
      <c r="A12269" s="1">
        <v>36070</v>
      </c>
      <c r="B12269">
        <v>1002.6</v>
      </c>
      <c r="C12269">
        <f t="shared" si="402"/>
        <v>1.6433662141749242E-2</v>
      </c>
      <c r="D12269">
        <f t="shared" si="401"/>
        <v>1.7024856391600764</v>
      </c>
    </row>
    <row r="12270" spans="1:4">
      <c r="A12270" s="1">
        <v>36073</v>
      </c>
      <c r="B12270">
        <v>988.56</v>
      </c>
      <c r="C12270">
        <f t="shared" si="402"/>
        <v>-1.4003590664272968E-2</v>
      </c>
      <c r="D12270">
        <f t="shared" si="401"/>
        <v>-1.5116779110309477</v>
      </c>
    </row>
    <row r="12271" spans="1:4">
      <c r="A12271" s="1">
        <v>36074</v>
      </c>
      <c r="B12271">
        <v>984.59</v>
      </c>
      <c r="C12271">
        <f t="shared" si="402"/>
        <v>-4.0159423808366857E-3</v>
      </c>
      <c r="D12271">
        <f t="shared" si="401"/>
        <v>-0.45698564726668095</v>
      </c>
    </row>
    <row r="12272" spans="1:4">
      <c r="A12272" s="1">
        <v>36075</v>
      </c>
      <c r="B12272">
        <v>970.68</v>
      </c>
      <c r="C12272">
        <f t="shared" si="402"/>
        <v>-1.4127707979971441E-2</v>
      </c>
      <c r="D12272">
        <f t="shared" si="401"/>
        <v>-1.524784657379181</v>
      </c>
    </row>
    <row r="12273" spans="1:4">
      <c r="A12273" s="1">
        <v>36076</v>
      </c>
      <c r="B12273">
        <v>959.44</v>
      </c>
      <c r="C12273">
        <f t="shared" si="402"/>
        <v>-1.1579511270449474E-2</v>
      </c>
      <c r="D12273">
        <f t="shared" si="401"/>
        <v>-1.2556959510278081</v>
      </c>
    </row>
    <row r="12274" spans="1:4">
      <c r="A12274" s="1">
        <v>36077</v>
      </c>
      <c r="B12274">
        <v>984.39</v>
      </c>
      <c r="C12274">
        <f t="shared" si="402"/>
        <v>2.6004752772450523E-2</v>
      </c>
      <c r="D12274">
        <f t="shared" si="401"/>
        <v>2.7131895563903532</v>
      </c>
    </row>
    <row r="12275" spans="1:4">
      <c r="A12275" s="1">
        <v>36080</v>
      </c>
      <c r="B12275">
        <v>997.71</v>
      </c>
      <c r="C12275">
        <f t="shared" si="402"/>
        <v>1.3531222381373288E-2</v>
      </c>
      <c r="D12275">
        <f t="shared" si="401"/>
        <v>1.395988987051586</v>
      </c>
    </row>
    <row r="12276" spans="1:4">
      <c r="A12276" s="1">
        <v>36081</v>
      </c>
      <c r="B12276">
        <v>994.8</v>
      </c>
      <c r="C12276">
        <f t="shared" si="402"/>
        <v>-2.9166791953574504E-3</v>
      </c>
      <c r="D12276">
        <f t="shared" si="401"/>
        <v>-0.3409038285377855</v>
      </c>
    </row>
    <row r="12277" spans="1:4">
      <c r="A12277" s="1">
        <v>36082</v>
      </c>
      <c r="B12277">
        <v>1005.53</v>
      </c>
      <c r="C12277">
        <f t="shared" si="402"/>
        <v>1.0786087655810232E-2</v>
      </c>
      <c r="D12277">
        <f t="shared" si="401"/>
        <v>1.1061036931487584</v>
      </c>
    </row>
    <row r="12278" spans="1:4">
      <c r="A12278" s="1">
        <v>36083</v>
      </c>
      <c r="B12278">
        <v>1047.49</v>
      </c>
      <c r="C12278">
        <f t="shared" si="402"/>
        <v>4.1729237317633526E-2</v>
      </c>
      <c r="D12278">
        <f t="shared" si="401"/>
        <v>4.3736897793496805</v>
      </c>
    </row>
    <row r="12279" spans="1:4">
      <c r="A12279" s="1">
        <v>36084</v>
      </c>
      <c r="B12279">
        <v>1056.42</v>
      </c>
      <c r="C12279">
        <f t="shared" si="402"/>
        <v>8.5251410514659461E-3</v>
      </c>
      <c r="D12279">
        <f t="shared" si="401"/>
        <v>0.86734850026309374</v>
      </c>
    </row>
    <row r="12280" spans="1:4">
      <c r="A12280" s="1">
        <v>36087</v>
      </c>
      <c r="B12280">
        <v>1062.3900000000001</v>
      </c>
      <c r="C12280">
        <f t="shared" si="402"/>
        <v>5.6511614698699633E-3</v>
      </c>
      <c r="D12280">
        <f t="shared" si="401"/>
        <v>0.56385723335968341</v>
      </c>
    </row>
    <row r="12281" spans="1:4">
      <c r="A12281" s="1">
        <v>36088</v>
      </c>
      <c r="B12281">
        <v>1063.93</v>
      </c>
      <c r="C12281">
        <f t="shared" si="402"/>
        <v>1.4495618369901482E-3</v>
      </c>
      <c r="D12281">
        <f t="shared" si="401"/>
        <v>0.12016974032068255</v>
      </c>
    </row>
    <row r="12282" spans="1:4">
      <c r="A12282" s="1">
        <v>36089</v>
      </c>
      <c r="B12282">
        <v>1069.92</v>
      </c>
      <c r="C12282">
        <f t="shared" si="402"/>
        <v>5.6300696474392191E-3</v>
      </c>
      <c r="D12282">
        <f t="shared" si="401"/>
        <v>0.56162994408045563</v>
      </c>
    </row>
    <row r="12283" spans="1:4">
      <c r="A12283" s="1">
        <v>36090</v>
      </c>
      <c r="B12283">
        <v>1078.48</v>
      </c>
      <c r="C12283">
        <f t="shared" si="402"/>
        <v>8.0005981755644773E-3</v>
      </c>
      <c r="D12283">
        <f t="shared" si="401"/>
        <v>0.81195695086868525</v>
      </c>
    </row>
    <row r="12284" spans="1:4">
      <c r="A12284" s="1">
        <v>36091</v>
      </c>
      <c r="B12284">
        <v>1070.67</v>
      </c>
      <c r="C12284">
        <f t="shared" si="402"/>
        <v>-7.2416734663600119E-3</v>
      </c>
      <c r="D12284">
        <f t="shared" si="401"/>
        <v>-0.79762175341867303</v>
      </c>
    </row>
    <row r="12285" spans="1:4">
      <c r="A12285" s="1">
        <v>36094</v>
      </c>
      <c r="B12285">
        <v>1072.32</v>
      </c>
      <c r="C12285">
        <f t="shared" si="402"/>
        <v>1.5410910924933579E-3</v>
      </c>
      <c r="D12285">
        <f t="shared" si="401"/>
        <v>0.12983519858951587</v>
      </c>
    </row>
    <row r="12286" spans="1:4">
      <c r="A12286" s="1">
        <v>36095</v>
      </c>
      <c r="B12286">
        <v>1065.3399999999999</v>
      </c>
      <c r="C12286">
        <f t="shared" si="402"/>
        <v>-6.5092509698597605E-3</v>
      </c>
      <c r="D12286">
        <f t="shared" si="401"/>
        <v>-0.72027818675074951</v>
      </c>
    </row>
    <row r="12287" spans="1:4">
      <c r="A12287" s="1">
        <v>36096</v>
      </c>
      <c r="B12287">
        <v>1068.0899999999999</v>
      </c>
      <c r="C12287">
        <f t="shared" si="402"/>
        <v>2.5813355360729908E-3</v>
      </c>
      <c r="D12287">
        <f t="shared" si="401"/>
        <v>0.23968465823525839</v>
      </c>
    </row>
    <row r="12288" spans="1:4">
      <c r="A12288" s="1">
        <v>36097</v>
      </c>
      <c r="B12288">
        <v>1085.93</v>
      </c>
      <c r="C12288">
        <f t="shared" si="402"/>
        <v>1.6702712318250473E-2</v>
      </c>
      <c r="D12288">
        <f t="shared" si="401"/>
        <v>1.7308972463440078</v>
      </c>
    </row>
    <row r="12289" spans="1:4">
      <c r="A12289" s="1">
        <v>36098</v>
      </c>
      <c r="B12289">
        <v>1098.67</v>
      </c>
      <c r="C12289">
        <f t="shared" si="402"/>
        <v>1.1731879587082049E-2</v>
      </c>
      <c r="D12289">
        <f t="shared" si="401"/>
        <v>1.2059789996007644</v>
      </c>
    </row>
    <row r="12290" spans="1:4">
      <c r="A12290" s="1">
        <v>36101</v>
      </c>
      <c r="B12290">
        <v>1111.5999999999999</v>
      </c>
      <c r="C12290">
        <f t="shared" si="402"/>
        <v>1.1768774973376752E-2</v>
      </c>
      <c r="D12290">
        <f t="shared" si="401"/>
        <v>1.2098751398521339</v>
      </c>
    </row>
    <row r="12291" spans="1:4">
      <c r="A12291" s="1">
        <v>36102</v>
      </c>
      <c r="B12291">
        <v>1110.8399999999999</v>
      </c>
      <c r="C12291">
        <f t="shared" si="402"/>
        <v>-6.8369917236415167E-4</v>
      </c>
      <c r="D12291">
        <f t="shared" ref="D12291:D12354" si="403">(C12291-avg)/sd</f>
        <v>-0.10510189713648216</v>
      </c>
    </row>
    <row r="12292" spans="1:4">
      <c r="A12292" s="1">
        <v>36103</v>
      </c>
      <c r="B12292">
        <v>1118.67</v>
      </c>
      <c r="C12292">
        <f t="shared" ref="C12292:C12355" si="404">(B12292-B12291)/B12291</f>
        <v>7.0487198876527267E-3</v>
      </c>
      <c r="D12292">
        <f t="shared" si="403"/>
        <v>0.71143892722435542</v>
      </c>
    </row>
    <row r="12293" spans="1:4">
      <c r="A12293" s="1">
        <v>36104</v>
      </c>
      <c r="B12293">
        <v>1133.8499999999999</v>
      </c>
      <c r="C12293">
        <f t="shared" si="404"/>
        <v>1.356968543001943E-2</v>
      </c>
      <c r="D12293">
        <f t="shared" si="403"/>
        <v>1.4000506719143933</v>
      </c>
    </row>
    <row r="12294" spans="1:4">
      <c r="A12294" s="1">
        <v>36105</v>
      </c>
      <c r="B12294">
        <v>1141.01</v>
      </c>
      <c r="C12294">
        <f t="shared" si="404"/>
        <v>6.314768267407578E-3</v>
      </c>
      <c r="D12294">
        <f t="shared" si="403"/>
        <v>0.63393388560874508</v>
      </c>
    </row>
    <row r="12295" spans="1:4">
      <c r="A12295" s="1">
        <v>36108</v>
      </c>
      <c r="B12295">
        <v>1130.2</v>
      </c>
      <c r="C12295">
        <f t="shared" si="404"/>
        <v>-9.4740624534403253E-3</v>
      </c>
      <c r="D12295">
        <f t="shared" si="403"/>
        <v>-1.0333612716284679</v>
      </c>
    </row>
    <row r="12296" spans="1:4">
      <c r="A12296" s="1">
        <v>36109</v>
      </c>
      <c r="B12296">
        <v>1128.26</v>
      </c>
      <c r="C12296">
        <f t="shared" si="404"/>
        <v>-1.7165103521501102E-3</v>
      </c>
      <c r="D12296">
        <f t="shared" si="403"/>
        <v>-0.2141664066523018</v>
      </c>
    </row>
    <row r="12297" spans="1:4">
      <c r="A12297" s="1">
        <v>36110</v>
      </c>
      <c r="B12297">
        <v>1120.97</v>
      </c>
      <c r="C12297">
        <f t="shared" si="404"/>
        <v>-6.4612766560898762E-3</v>
      </c>
      <c r="D12297">
        <f t="shared" si="403"/>
        <v>-0.71521211552391128</v>
      </c>
    </row>
    <row r="12298" spans="1:4">
      <c r="A12298" s="1">
        <v>36111</v>
      </c>
      <c r="B12298">
        <v>1117.69</v>
      </c>
      <c r="C12298">
        <f t="shared" si="404"/>
        <v>-2.9260372712918031E-3</v>
      </c>
      <c r="D12298">
        <f t="shared" si="403"/>
        <v>-0.34189203817548858</v>
      </c>
    </row>
    <row r="12299" spans="1:4">
      <c r="A12299" s="1">
        <v>36112</v>
      </c>
      <c r="B12299">
        <v>1125.72</v>
      </c>
      <c r="C12299">
        <f t="shared" si="404"/>
        <v>7.1844608075584213E-3</v>
      </c>
      <c r="D12299">
        <f t="shared" si="403"/>
        <v>0.72577312222581625</v>
      </c>
    </row>
    <row r="12300" spans="1:4">
      <c r="A12300" s="1">
        <v>36115</v>
      </c>
      <c r="B12300">
        <v>1135.8699999999999</v>
      </c>
      <c r="C12300">
        <f t="shared" si="404"/>
        <v>9.0164516931384928E-3</v>
      </c>
      <c r="D12300">
        <f t="shared" si="403"/>
        <v>0.91923073701911329</v>
      </c>
    </row>
    <row r="12301" spans="1:4">
      <c r="A12301" s="1">
        <v>36116</v>
      </c>
      <c r="B12301">
        <v>1139.32</v>
      </c>
      <c r="C12301">
        <f t="shared" si="404"/>
        <v>3.0373194115524186E-3</v>
      </c>
      <c r="D12301">
        <f t="shared" si="403"/>
        <v>0.28783640048943576</v>
      </c>
    </row>
    <row r="12302" spans="1:4">
      <c r="A12302" s="1">
        <v>36117</v>
      </c>
      <c r="B12302">
        <v>1144.48</v>
      </c>
      <c r="C12302">
        <f t="shared" si="404"/>
        <v>4.5290173085700963E-3</v>
      </c>
      <c r="D12302">
        <f t="shared" si="403"/>
        <v>0.44535919136175089</v>
      </c>
    </row>
    <row r="12303" spans="1:4">
      <c r="A12303" s="1">
        <v>36118</v>
      </c>
      <c r="B12303">
        <v>1152.6099999999999</v>
      </c>
      <c r="C12303">
        <f t="shared" si="404"/>
        <v>7.103662798825564E-3</v>
      </c>
      <c r="D12303">
        <f t="shared" si="403"/>
        <v>0.71724087996820407</v>
      </c>
    </row>
    <row r="12304" spans="1:4">
      <c r="A12304" s="1">
        <v>36119</v>
      </c>
      <c r="B12304">
        <v>1163.55</v>
      </c>
      <c r="C12304">
        <f t="shared" si="404"/>
        <v>9.4915018956976387E-3</v>
      </c>
      <c r="D12304">
        <f t="shared" si="403"/>
        <v>0.9693958769319494</v>
      </c>
    </row>
    <row r="12305" spans="1:4">
      <c r="A12305" s="1">
        <v>36122</v>
      </c>
      <c r="B12305">
        <v>1188.21</v>
      </c>
      <c r="C12305">
        <f t="shared" si="404"/>
        <v>2.1193760474410281E-2</v>
      </c>
      <c r="D12305">
        <f t="shared" si="403"/>
        <v>2.2051504050530424</v>
      </c>
    </row>
    <row r="12306" spans="1:4">
      <c r="A12306" s="1">
        <v>36123</v>
      </c>
      <c r="B12306">
        <v>1182.99</v>
      </c>
      <c r="C12306">
        <f t="shared" si="404"/>
        <v>-4.3931628247532231E-3</v>
      </c>
      <c r="D12306">
        <f t="shared" si="403"/>
        <v>-0.49681999792080833</v>
      </c>
    </row>
    <row r="12307" spans="1:4">
      <c r="A12307" s="1">
        <v>36124</v>
      </c>
      <c r="B12307">
        <v>1186.8699999999999</v>
      </c>
      <c r="C12307">
        <f t="shared" si="404"/>
        <v>3.2798248505903531E-3</v>
      </c>
      <c r="D12307">
        <f t="shared" si="403"/>
        <v>0.31344489242023782</v>
      </c>
    </row>
    <row r="12308" spans="1:4">
      <c r="A12308" s="1">
        <v>36126</v>
      </c>
      <c r="B12308">
        <v>1192.33</v>
      </c>
      <c r="C12308">
        <f t="shared" si="404"/>
        <v>4.6003353357992344E-3</v>
      </c>
      <c r="D12308">
        <f t="shared" si="403"/>
        <v>0.45289035079497253</v>
      </c>
    </row>
    <row r="12309" spans="1:4">
      <c r="A12309" s="1">
        <v>36129</v>
      </c>
      <c r="B12309">
        <v>1163.6300000000001</v>
      </c>
      <c r="C12309">
        <f t="shared" si="404"/>
        <v>-2.4070517390319644E-2</v>
      </c>
      <c r="D12309">
        <f t="shared" si="403"/>
        <v>-2.5747419513868204</v>
      </c>
    </row>
    <row r="12310" spans="1:4">
      <c r="A12310" s="1">
        <v>36130</v>
      </c>
      <c r="B12310">
        <v>1175.28</v>
      </c>
      <c r="C12310">
        <f t="shared" si="404"/>
        <v>1.001177350188622E-2</v>
      </c>
      <c r="D12310">
        <f t="shared" si="403"/>
        <v>1.0243363816965521</v>
      </c>
    </row>
    <row r="12311" spans="1:4">
      <c r="A12311" s="1">
        <v>36131</v>
      </c>
      <c r="B12311">
        <v>1171.25</v>
      </c>
      <c r="C12311">
        <f t="shared" si="404"/>
        <v>-3.4289701177591492E-3</v>
      </c>
      <c r="D12311">
        <f t="shared" si="403"/>
        <v>-0.39500157580725948</v>
      </c>
    </row>
    <row r="12312" spans="1:4">
      <c r="A12312" s="1">
        <v>36132</v>
      </c>
      <c r="B12312">
        <v>1150.1400000000001</v>
      </c>
      <c r="C12312">
        <f t="shared" si="404"/>
        <v>-1.8023479188900661E-2</v>
      </c>
      <c r="D12312">
        <f t="shared" si="403"/>
        <v>-1.9361767728051316</v>
      </c>
    </row>
    <row r="12313" spans="1:4">
      <c r="A12313" s="1">
        <v>36133</v>
      </c>
      <c r="B12313">
        <v>1176.74</v>
      </c>
      <c r="C12313">
        <f t="shared" si="404"/>
        <v>2.3127619246352538E-2</v>
      </c>
      <c r="D12313">
        <f t="shared" si="403"/>
        <v>2.4093652340196092</v>
      </c>
    </row>
    <row r="12314" spans="1:4">
      <c r="A12314" s="1">
        <v>36136</v>
      </c>
      <c r="B12314">
        <v>1187.7</v>
      </c>
      <c r="C12314">
        <f t="shared" si="404"/>
        <v>9.3138671244285369E-3</v>
      </c>
      <c r="D12314">
        <f t="shared" si="403"/>
        <v>0.95063770546692483</v>
      </c>
    </row>
    <row r="12315" spans="1:4">
      <c r="A12315" s="1">
        <v>36137</v>
      </c>
      <c r="B12315">
        <v>1181.3800000000001</v>
      </c>
      <c r="C12315">
        <f t="shared" si="404"/>
        <v>-5.3212090595267623E-3</v>
      </c>
      <c r="D12315">
        <f t="shared" si="403"/>
        <v>-0.59482136485465154</v>
      </c>
    </row>
    <row r="12316" spans="1:4">
      <c r="A12316" s="1">
        <v>36138</v>
      </c>
      <c r="B12316">
        <v>1183.49</v>
      </c>
      <c r="C12316">
        <f t="shared" si="404"/>
        <v>1.7860468265925441E-3</v>
      </c>
      <c r="D12316">
        <f t="shared" si="403"/>
        <v>0.1557024408458903</v>
      </c>
    </row>
    <row r="12317" spans="1:4">
      <c r="A12317" s="1">
        <v>36139</v>
      </c>
      <c r="B12317">
        <v>1165.02</v>
      </c>
      <c r="C12317">
        <f t="shared" si="404"/>
        <v>-1.5606384506839963E-2</v>
      </c>
      <c r="D12317">
        <f t="shared" si="403"/>
        <v>-1.6809323959899243</v>
      </c>
    </row>
    <row r="12318" spans="1:4">
      <c r="A12318" s="1">
        <v>36140</v>
      </c>
      <c r="B12318">
        <v>1166.46</v>
      </c>
      <c r="C12318">
        <f t="shared" si="404"/>
        <v>1.2360302827419741E-3</v>
      </c>
      <c r="D12318">
        <f t="shared" si="403"/>
        <v>9.762088077497727E-2</v>
      </c>
    </row>
    <row r="12319" spans="1:4">
      <c r="A12319" s="1">
        <v>36143</v>
      </c>
      <c r="B12319">
        <v>1141.2</v>
      </c>
      <c r="C12319">
        <f t="shared" si="404"/>
        <v>-2.1655264646880296E-2</v>
      </c>
      <c r="D12319">
        <f t="shared" si="403"/>
        <v>-2.3196920826639222</v>
      </c>
    </row>
    <row r="12320" spans="1:4">
      <c r="A12320" s="1">
        <v>36144</v>
      </c>
      <c r="B12320">
        <v>1162.83</v>
      </c>
      <c r="C12320">
        <f t="shared" si="404"/>
        <v>1.8953732912723346E-2</v>
      </c>
      <c r="D12320">
        <f t="shared" si="403"/>
        <v>1.968604255961266</v>
      </c>
    </row>
    <row r="12321" spans="1:4">
      <c r="A12321" s="1">
        <v>36145</v>
      </c>
      <c r="B12321">
        <v>1161.94</v>
      </c>
      <c r="C12321">
        <f t="shared" si="404"/>
        <v>-7.6537413035428453E-4</v>
      </c>
      <c r="D12321">
        <f t="shared" si="403"/>
        <v>-0.11372674493757305</v>
      </c>
    </row>
    <row r="12322" spans="1:4">
      <c r="A12322" s="1">
        <v>36146</v>
      </c>
      <c r="B12322">
        <v>1179.98</v>
      </c>
      <c r="C12322">
        <f t="shared" si="404"/>
        <v>1.5525758645024668E-2</v>
      </c>
      <c r="D12322">
        <f t="shared" si="403"/>
        <v>1.6066113385173546</v>
      </c>
    </row>
    <row r="12323" spans="1:4">
      <c r="A12323" s="1">
        <v>36147</v>
      </c>
      <c r="B12323">
        <v>1188.03</v>
      </c>
      <c r="C12323">
        <f t="shared" si="404"/>
        <v>6.8221495279580623E-3</v>
      </c>
      <c r="D12323">
        <f t="shared" si="403"/>
        <v>0.6875131742556061</v>
      </c>
    </row>
    <row r="12324" spans="1:4">
      <c r="A12324" s="1">
        <v>36150</v>
      </c>
      <c r="B12324">
        <v>1202.8399999999999</v>
      </c>
      <c r="C12324">
        <f t="shared" si="404"/>
        <v>1.2466015167967094E-2</v>
      </c>
      <c r="D12324">
        <f t="shared" si="403"/>
        <v>1.2835034673974164</v>
      </c>
    </row>
    <row r="12325" spans="1:4">
      <c r="A12325" s="1">
        <v>36151</v>
      </c>
      <c r="B12325">
        <v>1203.57</v>
      </c>
      <c r="C12325">
        <f t="shared" si="404"/>
        <v>6.0689701040871459E-4</v>
      </c>
      <c r="D12325">
        <f t="shared" si="403"/>
        <v>3.1184621069374901E-2</v>
      </c>
    </row>
    <row r="12326" spans="1:4">
      <c r="A12326" s="1">
        <v>36152</v>
      </c>
      <c r="B12326">
        <v>1228.54</v>
      </c>
      <c r="C12326">
        <f t="shared" si="404"/>
        <v>2.0746612162150957E-2</v>
      </c>
      <c r="D12326">
        <f t="shared" si="403"/>
        <v>2.1579316952715542</v>
      </c>
    </row>
    <row r="12327" spans="1:4">
      <c r="A12327" s="1">
        <v>36153</v>
      </c>
      <c r="B12327">
        <v>1226.27</v>
      </c>
      <c r="C12327">
        <f t="shared" si="404"/>
        <v>-1.8477216859035782E-3</v>
      </c>
      <c r="D12327">
        <f t="shared" si="403"/>
        <v>-0.22802227889576862</v>
      </c>
    </row>
    <row r="12328" spans="1:4">
      <c r="A12328" s="1">
        <v>36157</v>
      </c>
      <c r="B12328">
        <v>1225.49</v>
      </c>
      <c r="C12328">
        <f t="shared" si="404"/>
        <v>-6.3607525259524631E-4</v>
      </c>
      <c r="D12328">
        <f t="shared" si="403"/>
        <v>-0.10007282739704264</v>
      </c>
    </row>
    <row r="12329" spans="1:4">
      <c r="A12329" s="1">
        <v>36158</v>
      </c>
      <c r="B12329">
        <v>1241.81</v>
      </c>
      <c r="C12329">
        <f t="shared" si="404"/>
        <v>1.3317122130739489E-2</v>
      </c>
      <c r="D12329">
        <f t="shared" si="403"/>
        <v>1.3733800733608681</v>
      </c>
    </row>
    <row r="12330" spans="1:4">
      <c r="A12330" s="1">
        <v>36159</v>
      </c>
      <c r="B12330">
        <v>1231.93</v>
      </c>
      <c r="C12330">
        <f t="shared" si="404"/>
        <v>-7.9561285542875983E-3</v>
      </c>
      <c r="D12330">
        <f t="shared" si="403"/>
        <v>-0.87306796784874197</v>
      </c>
    </row>
    <row r="12331" spans="1:4">
      <c r="A12331" s="1">
        <v>36160</v>
      </c>
      <c r="B12331">
        <v>1229.23</v>
      </c>
      <c r="C12331">
        <f t="shared" si="404"/>
        <v>-2.1916829689998989E-3</v>
      </c>
      <c r="D12331">
        <f t="shared" si="403"/>
        <v>-0.26434447347261919</v>
      </c>
    </row>
    <row r="12332" spans="1:4">
      <c r="A12332" s="1">
        <v>36164</v>
      </c>
      <c r="B12332">
        <v>1228.0999999999999</v>
      </c>
      <c r="C12332">
        <f t="shared" si="404"/>
        <v>-9.1927466788160807E-4</v>
      </c>
      <c r="D12332">
        <f t="shared" si="403"/>
        <v>-0.12997858938712395</v>
      </c>
    </row>
    <row r="12333" spans="1:4">
      <c r="A12333" s="1">
        <v>36165</v>
      </c>
      <c r="B12333">
        <v>1244.78</v>
      </c>
      <c r="C12333">
        <f t="shared" si="404"/>
        <v>1.3581955866786144E-2</v>
      </c>
      <c r="D12333">
        <f t="shared" si="403"/>
        <v>1.4013464258660342</v>
      </c>
    </row>
    <row r="12334" spans="1:4">
      <c r="A12334" s="1">
        <v>36166</v>
      </c>
      <c r="B12334">
        <v>1272.3399999999999</v>
      </c>
      <c r="C12334">
        <f t="shared" si="404"/>
        <v>2.2140458554925326E-2</v>
      </c>
      <c r="D12334">
        <f t="shared" si="403"/>
        <v>2.3051214005571183</v>
      </c>
    </row>
    <row r="12335" spans="1:4">
      <c r="A12335" s="1">
        <v>36167</v>
      </c>
      <c r="B12335">
        <v>1269.73</v>
      </c>
      <c r="C12335">
        <f t="shared" si="404"/>
        <v>-2.0513384787084429E-3</v>
      </c>
      <c r="D12335">
        <f t="shared" si="403"/>
        <v>-0.24952414300325157</v>
      </c>
    </row>
    <row r="12336" spans="1:4">
      <c r="A12336" s="1">
        <v>36168</v>
      </c>
      <c r="B12336">
        <v>1275.0899999999999</v>
      </c>
      <c r="C12336">
        <f t="shared" si="404"/>
        <v>4.221369897537193E-3</v>
      </c>
      <c r="D12336">
        <f t="shared" si="403"/>
        <v>0.41287172933111232</v>
      </c>
    </row>
    <row r="12337" spans="1:4">
      <c r="A12337" s="1">
        <v>36171</v>
      </c>
      <c r="B12337">
        <v>1263.8800000000001</v>
      </c>
      <c r="C12337">
        <f t="shared" si="404"/>
        <v>-8.791536283713158E-3</v>
      </c>
      <c r="D12337">
        <f t="shared" si="403"/>
        <v>-0.9612867401071965</v>
      </c>
    </row>
    <row r="12338" spans="1:4">
      <c r="A12338" s="1">
        <v>36172</v>
      </c>
      <c r="B12338">
        <v>1239.51</v>
      </c>
      <c r="C12338">
        <f t="shared" si="404"/>
        <v>-1.928189385068212E-2</v>
      </c>
      <c r="D12338">
        <f t="shared" si="403"/>
        <v>-2.0690649333333266</v>
      </c>
    </row>
    <row r="12339" spans="1:4">
      <c r="A12339" s="1">
        <v>36173</v>
      </c>
      <c r="B12339">
        <v>1234.4000000000001</v>
      </c>
      <c r="C12339">
        <f t="shared" si="404"/>
        <v>-4.1225968326192609E-3</v>
      </c>
      <c r="D12339">
        <f t="shared" si="403"/>
        <v>-0.46824832112131126</v>
      </c>
    </row>
    <row r="12340" spans="1:4">
      <c r="A12340" s="1">
        <v>36174</v>
      </c>
      <c r="B12340">
        <v>1212.19</v>
      </c>
      <c r="C12340">
        <f t="shared" si="404"/>
        <v>-1.7992546986390176E-2</v>
      </c>
      <c r="D12340">
        <f t="shared" si="403"/>
        <v>-1.9329103427343908</v>
      </c>
    </row>
    <row r="12341" spans="1:4">
      <c r="A12341" s="1">
        <v>36175</v>
      </c>
      <c r="B12341">
        <v>1243.26</v>
      </c>
      <c r="C12341">
        <f t="shared" si="404"/>
        <v>2.5631295423984634E-2</v>
      </c>
      <c r="D12341">
        <f t="shared" si="403"/>
        <v>2.6737525873366756</v>
      </c>
    </row>
    <row r="12342" spans="1:4">
      <c r="A12342" s="1">
        <v>36179</v>
      </c>
      <c r="B12342">
        <v>1252</v>
      </c>
      <c r="C12342">
        <f t="shared" si="404"/>
        <v>7.0299052491031716E-3</v>
      </c>
      <c r="D12342">
        <f t="shared" si="403"/>
        <v>0.70945210778892875</v>
      </c>
    </row>
    <row r="12343" spans="1:4">
      <c r="A12343" s="1">
        <v>36180</v>
      </c>
      <c r="B12343">
        <v>1256.6199999999999</v>
      </c>
      <c r="C12343">
        <f t="shared" si="404"/>
        <v>3.6900958466452804E-3</v>
      </c>
      <c r="D12343">
        <f t="shared" si="403"/>
        <v>0.35676937014575066</v>
      </c>
    </row>
    <row r="12344" spans="1:4">
      <c r="A12344" s="1">
        <v>36181</v>
      </c>
      <c r="B12344">
        <v>1235.1600000000001</v>
      </c>
      <c r="C12344">
        <f t="shared" si="404"/>
        <v>-1.7077557256768006E-2</v>
      </c>
      <c r="D12344">
        <f t="shared" si="403"/>
        <v>-1.8362877383064105</v>
      </c>
    </row>
    <row r="12345" spans="1:4">
      <c r="A12345" s="1">
        <v>36182</v>
      </c>
      <c r="B12345">
        <v>1225.19</v>
      </c>
      <c r="C12345">
        <f t="shared" si="404"/>
        <v>-8.0718287509310756E-3</v>
      </c>
      <c r="D12345">
        <f t="shared" si="403"/>
        <v>-0.88528586928588548</v>
      </c>
    </row>
    <row r="12346" spans="1:4">
      <c r="A12346" s="1">
        <v>36185</v>
      </c>
      <c r="B12346">
        <v>1233.98</v>
      </c>
      <c r="C12346">
        <f t="shared" si="404"/>
        <v>7.1743974403969697E-3</v>
      </c>
      <c r="D12346">
        <f t="shared" si="403"/>
        <v>0.7247104340742716</v>
      </c>
    </row>
    <row r="12347" spans="1:4">
      <c r="A12347" s="1">
        <v>36186</v>
      </c>
      <c r="B12347">
        <v>1252.31</v>
      </c>
      <c r="C12347">
        <f t="shared" si="404"/>
        <v>1.4854373652733373E-2</v>
      </c>
      <c r="D12347">
        <f t="shared" si="403"/>
        <v>1.5357133115462411</v>
      </c>
    </row>
    <row r="12348" spans="1:4">
      <c r="A12348" s="1">
        <v>36187</v>
      </c>
      <c r="B12348">
        <v>1243.17</v>
      </c>
      <c r="C12348">
        <f t="shared" si="404"/>
        <v>-7.2985123491786166E-3</v>
      </c>
      <c r="D12348">
        <f t="shared" si="403"/>
        <v>-0.80362392012384265</v>
      </c>
    </row>
    <row r="12349" spans="1:4">
      <c r="A12349" s="1">
        <v>36188</v>
      </c>
      <c r="B12349">
        <v>1265.3699999999999</v>
      </c>
      <c r="C12349">
        <f t="shared" si="404"/>
        <v>1.785757378315099E-2</v>
      </c>
      <c r="D12349">
        <f t="shared" si="403"/>
        <v>1.8528502244810172</v>
      </c>
    </row>
    <row r="12350" spans="1:4">
      <c r="A12350" s="1">
        <v>36189</v>
      </c>
      <c r="B12350">
        <v>1279.6400000000001</v>
      </c>
      <c r="C12350">
        <f t="shared" si="404"/>
        <v>1.1277333902337032E-2</v>
      </c>
      <c r="D12350">
        <f t="shared" si="403"/>
        <v>1.1579791297992761</v>
      </c>
    </row>
    <row r="12351" spans="1:4">
      <c r="A12351" s="1">
        <v>36192</v>
      </c>
      <c r="B12351">
        <v>1273</v>
      </c>
      <c r="C12351">
        <f t="shared" si="404"/>
        <v>-5.1889593948298736E-3</v>
      </c>
      <c r="D12351">
        <f t="shared" si="403"/>
        <v>-0.58085584521650535</v>
      </c>
    </row>
    <row r="12352" spans="1:4">
      <c r="A12352" s="1">
        <v>36193</v>
      </c>
      <c r="B12352">
        <v>1261.99</v>
      </c>
      <c r="C12352">
        <f t="shared" si="404"/>
        <v>-8.6488609583660579E-3</v>
      </c>
      <c r="D12352">
        <f t="shared" si="403"/>
        <v>-0.94622027424824218</v>
      </c>
    </row>
    <row r="12353" spans="1:4">
      <c r="A12353" s="1">
        <v>36194</v>
      </c>
      <c r="B12353">
        <v>1272.07</v>
      </c>
      <c r="C12353">
        <f t="shared" si="404"/>
        <v>7.9873850030506791E-3</v>
      </c>
      <c r="D12353">
        <f t="shared" si="403"/>
        <v>0.81056164434260369</v>
      </c>
    </row>
    <row r="12354" spans="1:4">
      <c r="A12354" s="1">
        <v>36195</v>
      </c>
      <c r="B12354">
        <v>1248.49</v>
      </c>
      <c r="C12354">
        <f t="shared" si="404"/>
        <v>-1.8536715746774884E-2</v>
      </c>
      <c r="D12354">
        <f t="shared" si="403"/>
        <v>-1.9903743788590671</v>
      </c>
    </row>
    <row r="12355" spans="1:4">
      <c r="A12355" s="1">
        <v>36196</v>
      </c>
      <c r="B12355">
        <v>1239.4000000000001</v>
      </c>
      <c r="C12355">
        <f t="shared" si="404"/>
        <v>-7.2807952006022619E-3</v>
      </c>
      <c r="D12355">
        <f t="shared" ref="D12355:D12418" si="405">(C12355-avg)/sd</f>
        <v>-0.80175299525653099</v>
      </c>
    </row>
    <row r="12356" spans="1:4">
      <c r="A12356" s="1">
        <v>36199</v>
      </c>
      <c r="B12356">
        <v>1243.77</v>
      </c>
      <c r="C12356">
        <f t="shared" ref="C12356:C12419" si="406">(B12356-B12355)/B12355</f>
        <v>3.5258996288525823E-3</v>
      </c>
      <c r="D12356">
        <f t="shared" si="405"/>
        <v>0.33943030535984797</v>
      </c>
    </row>
    <row r="12357" spans="1:4">
      <c r="A12357" s="1">
        <v>36200</v>
      </c>
      <c r="B12357">
        <v>1216.1400000000001</v>
      </c>
      <c r="C12357">
        <f t="shared" si="406"/>
        <v>-2.2214718155285852E-2</v>
      </c>
      <c r="D12357">
        <f t="shared" si="405"/>
        <v>-2.378770182984062</v>
      </c>
    </row>
    <row r="12358" spans="1:4">
      <c r="A12358" s="1">
        <v>36201</v>
      </c>
      <c r="B12358">
        <v>1223.55</v>
      </c>
      <c r="C12358">
        <f t="shared" si="406"/>
        <v>6.0930484977057362E-3</v>
      </c>
      <c r="D12358">
        <f t="shared" si="405"/>
        <v>0.61052035329444221</v>
      </c>
    </row>
    <row r="12359" spans="1:4">
      <c r="A12359" s="1">
        <v>36202</v>
      </c>
      <c r="B12359">
        <v>1254.04</v>
      </c>
      <c r="C12359">
        <f t="shared" si="406"/>
        <v>2.4919292223448172E-2</v>
      </c>
      <c r="D12359">
        <f t="shared" si="405"/>
        <v>2.5985652913816724</v>
      </c>
    </row>
    <row r="12360" spans="1:4">
      <c r="A12360" s="1">
        <v>36203</v>
      </c>
      <c r="B12360">
        <v>1230.1300000000001</v>
      </c>
      <c r="C12360">
        <f t="shared" si="406"/>
        <v>-1.9066377468023234E-2</v>
      </c>
      <c r="D12360">
        <f t="shared" si="405"/>
        <v>-2.0463064765821262</v>
      </c>
    </row>
    <row r="12361" spans="1:4">
      <c r="A12361" s="1">
        <v>36207</v>
      </c>
      <c r="B12361">
        <v>1241.8699999999999</v>
      </c>
      <c r="C12361">
        <f t="shared" si="406"/>
        <v>9.5437067626996993E-3</v>
      </c>
      <c r="D12361">
        <f t="shared" si="405"/>
        <v>0.97490869314207051</v>
      </c>
    </row>
    <row r="12362" spans="1:4">
      <c r="A12362" s="1">
        <v>36208</v>
      </c>
      <c r="B12362">
        <v>1224.03</v>
      </c>
      <c r="C12362">
        <f t="shared" si="406"/>
        <v>-1.4365432774767021E-2</v>
      </c>
      <c r="D12362">
        <f t="shared" si="405"/>
        <v>-1.5498883149030103</v>
      </c>
    </row>
    <row r="12363" spans="1:4">
      <c r="A12363" s="1">
        <v>36209</v>
      </c>
      <c r="B12363">
        <v>1237.28</v>
      </c>
      <c r="C12363">
        <f t="shared" si="406"/>
        <v>1.0824898082563336E-2</v>
      </c>
      <c r="D12363">
        <f t="shared" si="405"/>
        <v>1.1102020610215813</v>
      </c>
    </row>
    <row r="12364" spans="1:4">
      <c r="A12364" s="1">
        <v>36210</v>
      </c>
      <c r="B12364">
        <v>1239.22</v>
      </c>
      <c r="C12364">
        <f t="shared" si="406"/>
        <v>1.5679555153239805E-3</v>
      </c>
      <c r="D12364">
        <f t="shared" si="405"/>
        <v>0.13267207250876861</v>
      </c>
    </row>
    <row r="12365" spans="1:4">
      <c r="A12365" s="1">
        <v>36213</v>
      </c>
      <c r="B12365">
        <v>1272.1400000000001</v>
      </c>
      <c r="C12365">
        <f t="shared" si="406"/>
        <v>2.6565097399977464E-2</v>
      </c>
      <c r="D12365">
        <f t="shared" si="405"/>
        <v>2.7723617585868046</v>
      </c>
    </row>
    <row r="12366" spans="1:4">
      <c r="A12366" s="1">
        <v>36214</v>
      </c>
      <c r="B12366">
        <v>1271.18</v>
      </c>
      <c r="C12366">
        <f t="shared" si="406"/>
        <v>-7.5463392393921767E-4</v>
      </c>
      <c r="D12366">
        <f t="shared" si="405"/>
        <v>-0.11259258279091552</v>
      </c>
    </row>
    <row r="12367" spans="1:4">
      <c r="A12367" s="1">
        <v>36215</v>
      </c>
      <c r="B12367">
        <v>1253.4100000000001</v>
      </c>
      <c r="C12367">
        <f t="shared" si="406"/>
        <v>-1.3979137494296624E-2</v>
      </c>
      <c r="D12367">
        <f t="shared" si="405"/>
        <v>-1.5090956645934821</v>
      </c>
    </row>
    <row r="12368" spans="1:4">
      <c r="A12368" s="1">
        <v>36216</v>
      </c>
      <c r="B12368">
        <v>1245.02</v>
      </c>
      <c r="C12368">
        <f t="shared" si="406"/>
        <v>-6.6937394787021801E-3</v>
      </c>
      <c r="D12368">
        <f t="shared" si="405"/>
        <v>-0.73976011057381785</v>
      </c>
    </row>
    <row r="12369" spans="1:4">
      <c r="A12369" s="1">
        <v>36217</v>
      </c>
      <c r="B12369">
        <v>1238.33</v>
      </c>
      <c r="C12369">
        <f t="shared" si="406"/>
        <v>-5.3734076561019542E-3</v>
      </c>
      <c r="D12369">
        <f t="shared" si="405"/>
        <v>-0.60033351890982678</v>
      </c>
    </row>
    <row r="12370" spans="1:4">
      <c r="A12370" s="1">
        <v>36220</v>
      </c>
      <c r="B12370">
        <v>1236.1600000000001</v>
      </c>
      <c r="C12370">
        <f t="shared" si="406"/>
        <v>-1.7523600332704898E-3</v>
      </c>
      <c r="D12370">
        <f t="shared" si="405"/>
        <v>-0.21795212079271517</v>
      </c>
    </row>
    <row r="12371" spans="1:4">
      <c r="A12371" s="1">
        <v>36221</v>
      </c>
      <c r="B12371">
        <v>1225.5</v>
      </c>
      <c r="C12371">
        <f t="shared" si="406"/>
        <v>-8.623479161273687E-3</v>
      </c>
      <c r="D12371">
        <f t="shared" si="405"/>
        <v>-0.94353996510297988</v>
      </c>
    </row>
    <row r="12372" spans="1:4">
      <c r="A12372" s="1">
        <v>36222</v>
      </c>
      <c r="B12372">
        <v>1227.7</v>
      </c>
      <c r="C12372">
        <f t="shared" si="406"/>
        <v>1.795185638514929E-3</v>
      </c>
      <c r="D12372">
        <f t="shared" si="405"/>
        <v>0.15666749627846105</v>
      </c>
    </row>
    <row r="12373" spans="1:4">
      <c r="A12373" s="1">
        <v>36223</v>
      </c>
      <c r="B12373">
        <v>1246.6400000000001</v>
      </c>
      <c r="C12373">
        <f t="shared" si="406"/>
        <v>1.5427221633949707E-2</v>
      </c>
      <c r="D12373">
        <f t="shared" si="405"/>
        <v>1.5962058636421963</v>
      </c>
    </row>
    <row r="12374" spans="1:4">
      <c r="A12374" s="1">
        <v>36224</v>
      </c>
      <c r="B12374">
        <v>1275.47</v>
      </c>
      <c r="C12374">
        <f t="shared" si="406"/>
        <v>2.3126163126483929E-2</v>
      </c>
      <c r="D12374">
        <f t="shared" si="405"/>
        <v>2.4092114682564434</v>
      </c>
    </row>
    <row r="12375" spans="1:4">
      <c r="A12375" s="1">
        <v>36227</v>
      </c>
      <c r="B12375">
        <v>1282.73</v>
      </c>
      <c r="C12375">
        <f t="shared" si="406"/>
        <v>5.6920194124518734E-3</v>
      </c>
      <c r="D12375">
        <f t="shared" si="405"/>
        <v>0.56817181820804363</v>
      </c>
    </row>
    <row r="12376" spans="1:4">
      <c r="A12376" s="1">
        <v>36228</v>
      </c>
      <c r="B12376">
        <v>1279.8399999999999</v>
      </c>
      <c r="C12376">
        <f t="shared" si="406"/>
        <v>-2.2530072579577151E-3</v>
      </c>
      <c r="D12376">
        <f t="shared" si="405"/>
        <v>-0.27082029754142595</v>
      </c>
    </row>
    <row r="12377" spans="1:4">
      <c r="A12377" s="1">
        <v>36229</v>
      </c>
      <c r="B12377">
        <v>1286.8399999999999</v>
      </c>
      <c r="C12377">
        <f t="shared" si="406"/>
        <v>5.469433679209902E-3</v>
      </c>
      <c r="D12377">
        <f t="shared" si="405"/>
        <v>0.5446668404382583</v>
      </c>
    </row>
    <row r="12378" spans="1:4">
      <c r="A12378" s="1">
        <v>36230</v>
      </c>
      <c r="B12378">
        <v>1297.68</v>
      </c>
      <c r="C12378">
        <f t="shared" si="406"/>
        <v>8.4237356625533454E-3</v>
      </c>
      <c r="D12378">
        <f t="shared" si="405"/>
        <v>0.85664012566328962</v>
      </c>
    </row>
    <row r="12379" spans="1:4">
      <c r="A12379" s="1">
        <v>36231</v>
      </c>
      <c r="B12379">
        <v>1294.5899999999999</v>
      </c>
      <c r="C12379">
        <f t="shared" si="406"/>
        <v>-2.3811725540966535E-3</v>
      </c>
      <c r="D12379">
        <f t="shared" si="405"/>
        <v>-0.28435450924819694</v>
      </c>
    </row>
    <row r="12380" spans="1:4">
      <c r="A12380" s="1">
        <v>36234</v>
      </c>
      <c r="B12380">
        <v>1307.26</v>
      </c>
      <c r="C12380">
        <f t="shared" si="406"/>
        <v>9.7868823334029097E-3</v>
      </c>
      <c r="D12380">
        <f t="shared" si="405"/>
        <v>1.0005879507489368</v>
      </c>
    </row>
    <row r="12381" spans="1:4">
      <c r="A12381" s="1">
        <v>36235</v>
      </c>
      <c r="B12381">
        <v>1306.3800000000001</v>
      </c>
      <c r="C12381">
        <f t="shared" si="406"/>
        <v>-6.7316371647559148E-4</v>
      </c>
      <c r="D12381">
        <f t="shared" si="405"/>
        <v>-0.10398935657582567</v>
      </c>
    </row>
    <row r="12382" spans="1:4">
      <c r="A12382" s="1">
        <v>36236</v>
      </c>
      <c r="B12382">
        <v>1297.82</v>
      </c>
      <c r="C12382">
        <f t="shared" si="406"/>
        <v>-6.5524579372006403E-3</v>
      </c>
      <c r="D12382">
        <f t="shared" si="405"/>
        <v>-0.72484082781518466</v>
      </c>
    </row>
    <row r="12383" spans="1:4">
      <c r="A12383" s="1">
        <v>36237</v>
      </c>
      <c r="B12383">
        <v>1316.55</v>
      </c>
      <c r="C12383">
        <f t="shared" si="406"/>
        <v>1.4431893482917523E-2</v>
      </c>
      <c r="D12383">
        <f t="shared" si="405"/>
        <v>1.4910995492216748</v>
      </c>
    </row>
    <row r="12384" spans="1:4">
      <c r="A12384" s="1">
        <v>36238</v>
      </c>
      <c r="B12384">
        <v>1299.29</v>
      </c>
      <c r="C12384">
        <f t="shared" si="406"/>
        <v>-1.311002240704872E-2</v>
      </c>
      <c r="D12384">
        <f t="shared" si="405"/>
        <v>-1.4173174068066756</v>
      </c>
    </row>
    <row r="12385" spans="1:4">
      <c r="A12385" s="1">
        <v>36241</v>
      </c>
      <c r="B12385">
        <v>1297.01</v>
      </c>
      <c r="C12385">
        <f t="shared" si="406"/>
        <v>-1.7548045470987793E-3</v>
      </c>
      <c r="D12385">
        <f t="shared" si="405"/>
        <v>-0.21821026062205193</v>
      </c>
    </row>
    <row r="12386" spans="1:4">
      <c r="A12386" s="1">
        <v>36242</v>
      </c>
      <c r="B12386">
        <v>1262.1400000000001</v>
      </c>
      <c r="C12386">
        <f t="shared" si="406"/>
        <v>-2.6884912221185567E-2</v>
      </c>
      <c r="D12386">
        <f t="shared" si="405"/>
        <v>-2.8719410888669774</v>
      </c>
    </row>
    <row r="12387" spans="1:4">
      <c r="A12387" s="1">
        <v>36243</v>
      </c>
      <c r="B12387">
        <v>1268.5899999999999</v>
      </c>
      <c r="C12387">
        <f t="shared" si="406"/>
        <v>5.1103681049644396E-3</v>
      </c>
      <c r="D12387">
        <f t="shared" si="405"/>
        <v>0.5067496378502564</v>
      </c>
    </row>
    <row r="12388" spans="1:4">
      <c r="A12388" s="1">
        <v>36244</v>
      </c>
      <c r="B12388">
        <v>1289.99</v>
      </c>
      <c r="C12388">
        <f t="shared" si="406"/>
        <v>1.6869122411496303E-2</v>
      </c>
      <c r="D12388">
        <f t="shared" si="405"/>
        <v>1.7484700956252284</v>
      </c>
    </row>
    <row r="12389" spans="1:4">
      <c r="A12389" s="1">
        <v>36245</v>
      </c>
      <c r="B12389">
        <v>1282.8</v>
      </c>
      <c r="C12389">
        <f t="shared" si="406"/>
        <v>-5.5736866177257607E-3</v>
      </c>
      <c r="D12389">
        <f t="shared" si="405"/>
        <v>-0.62148290917917393</v>
      </c>
    </row>
    <row r="12390" spans="1:4">
      <c r="A12390" s="1">
        <v>36248</v>
      </c>
      <c r="B12390">
        <v>1310.17</v>
      </c>
      <c r="C12390">
        <f t="shared" si="406"/>
        <v>2.1336139694418551E-2</v>
      </c>
      <c r="D12390">
        <f t="shared" si="405"/>
        <v>2.2201856022888675</v>
      </c>
    </row>
    <row r="12391" spans="1:4">
      <c r="A12391" s="1">
        <v>36249</v>
      </c>
      <c r="B12391">
        <v>1300.75</v>
      </c>
      <c r="C12391">
        <f t="shared" si="406"/>
        <v>-7.1899066533351189E-3</v>
      </c>
      <c r="D12391">
        <f t="shared" si="405"/>
        <v>-0.79215519555963898</v>
      </c>
    </row>
    <row r="12392" spans="1:4">
      <c r="A12392" s="1">
        <v>36250</v>
      </c>
      <c r="B12392">
        <v>1286.3699999999999</v>
      </c>
      <c r="C12392">
        <f t="shared" si="406"/>
        <v>-1.1055160484336043E-2</v>
      </c>
      <c r="D12392">
        <f t="shared" si="405"/>
        <v>-1.2003246862497221</v>
      </c>
    </row>
    <row r="12393" spans="1:4">
      <c r="A12393" s="1">
        <v>36251</v>
      </c>
      <c r="B12393">
        <v>1293.72</v>
      </c>
      <c r="C12393">
        <f t="shared" si="406"/>
        <v>5.7137526528138385E-3</v>
      </c>
      <c r="D12393">
        <f t="shared" si="405"/>
        <v>0.57046684100277978</v>
      </c>
    </row>
    <row r="12394" spans="1:4">
      <c r="A12394" s="1">
        <v>36255</v>
      </c>
      <c r="B12394">
        <v>1321.12</v>
      </c>
      <c r="C12394">
        <f t="shared" si="406"/>
        <v>2.117923507404992E-2</v>
      </c>
      <c r="D12394">
        <f t="shared" si="405"/>
        <v>2.2036165277124118</v>
      </c>
    </row>
    <row r="12395" spans="1:4">
      <c r="A12395" s="1">
        <v>36256</v>
      </c>
      <c r="B12395">
        <v>1317.89</v>
      </c>
      <c r="C12395">
        <f t="shared" si="406"/>
        <v>-2.4448952404019248E-3</v>
      </c>
      <c r="D12395">
        <f t="shared" si="405"/>
        <v>-0.29108360326164012</v>
      </c>
    </row>
    <row r="12396" spans="1:4">
      <c r="A12396" s="1">
        <v>36257</v>
      </c>
      <c r="B12396">
        <v>1326.89</v>
      </c>
      <c r="C12396">
        <f t="shared" si="406"/>
        <v>6.8290980279082465E-3</v>
      </c>
      <c r="D12396">
        <f t="shared" si="405"/>
        <v>0.68824693348843557</v>
      </c>
    </row>
    <row r="12397" spans="1:4">
      <c r="A12397" s="1">
        <v>36258</v>
      </c>
      <c r="B12397">
        <v>1343.98</v>
      </c>
      <c r="C12397">
        <f t="shared" si="406"/>
        <v>1.2879741350074171E-2</v>
      </c>
      <c r="D12397">
        <f t="shared" si="405"/>
        <v>1.3271928115955616</v>
      </c>
    </row>
    <row r="12398" spans="1:4">
      <c r="A12398" s="1">
        <v>36259</v>
      </c>
      <c r="B12398">
        <v>1348.35</v>
      </c>
      <c r="C12398">
        <f t="shared" si="406"/>
        <v>3.2515364811975555E-3</v>
      </c>
      <c r="D12398">
        <f t="shared" si="405"/>
        <v>0.31045765022804234</v>
      </c>
    </row>
    <row r="12399" spans="1:4">
      <c r="A12399" s="1">
        <v>36262</v>
      </c>
      <c r="B12399">
        <v>1358.63</v>
      </c>
      <c r="C12399">
        <f t="shared" si="406"/>
        <v>7.6241331998369863E-3</v>
      </c>
      <c r="D12399">
        <f t="shared" si="405"/>
        <v>0.77220237739852504</v>
      </c>
    </row>
    <row r="12400" spans="1:4">
      <c r="A12400" s="1">
        <v>36263</v>
      </c>
      <c r="B12400">
        <v>1349.82</v>
      </c>
      <c r="C12400">
        <f t="shared" si="406"/>
        <v>-6.4844733297514199E-3</v>
      </c>
      <c r="D12400">
        <f t="shared" si="405"/>
        <v>-0.71766167637763778</v>
      </c>
    </row>
    <row r="12401" spans="1:4">
      <c r="A12401" s="1">
        <v>36264</v>
      </c>
      <c r="B12401">
        <v>1328.44</v>
      </c>
      <c r="C12401">
        <f t="shared" si="406"/>
        <v>-1.583914892356009E-2</v>
      </c>
      <c r="D12401">
        <f t="shared" si="405"/>
        <v>-1.7055122392751003</v>
      </c>
    </row>
    <row r="12402" spans="1:4">
      <c r="A12402" s="1">
        <v>36265</v>
      </c>
      <c r="B12402">
        <v>1322.85</v>
      </c>
      <c r="C12402">
        <f t="shared" si="406"/>
        <v>-4.207943151365621E-3</v>
      </c>
      <c r="D12402">
        <f t="shared" si="405"/>
        <v>-0.47726086337030355</v>
      </c>
    </row>
    <row r="12403" spans="1:4">
      <c r="A12403" s="1">
        <v>36266</v>
      </c>
      <c r="B12403">
        <v>1319</v>
      </c>
      <c r="C12403">
        <f t="shared" si="406"/>
        <v>-2.910382885436678E-3</v>
      </c>
      <c r="D12403">
        <f t="shared" si="405"/>
        <v>-0.34023894035037161</v>
      </c>
    </row>
    <row r="12404" spans="1:4">
      <c r="A12404" s="1">
        <v>36269</v>
      </c>
      <c r="B12404">
        <v>1289.48</v>
      </c>
      <c r="C12404">
        <f t="shared" si="406"/>
        <v>-2.238059135708869E-2</v>
      </c>
      <c r="D12404">
        <f t="shared" si="405"/>
        <v>-2.3962863367114009</v>
      </c>
    </row>
    <row r="12405" spans="1:4">
      <c r="A12405" s="1">
        <v>36270</v>
      </c>
      <c r="B12405">
        <v>1306.17</v>
      </c>
      <c r="C12405">
        <f t="shared" si="406"/>
        <v>1.2943201910847826E-2</v>
      </c>
      <c r="D12405">
        <f t="shared" si="405"/>
        <v>1.3338942252419668</v>
      </c>
    </row>
    <row r="12406" spans="1:4">
      <c r="A12406" s="1">
        <v>36271</v>
      </c>
      <c r="B12406">
        <v>1336.12</v>
      </c>
      <c r="C12406">
        <f t="shared" si="406"/>
        <v>2.2929633968013213E-2</v>
      </c>
      <c r="D12406">
        <f t="shared" si="405"/>
        <v>2.3884580559254425</v>
      </c>
    </row>
    <row r="12407" spans="1:4">
      <c r="A12407" s="1">
        <v>36272</v>
      </c>
      <c r="B12407">
        <v>1358.82</v>
      </c>
      <c r="C12407">
        <f t="shared" si="406"/>
        <v>1.6989491961799875E-2</v>
      </c>
      <c r="D12407">
        <f t="shared" si="405"/>
        <v>1.7611810792216873</v>
      </c>
    </row>
    <row r="12408" spans="1:4">
      <c r="A12408" s="1">
        <v>36273</v>
      </c>
      <c r="B12408">
        <v>1356.85</v>
      </c>
      <c r="C12408">
        <f t="shared" si="406"/>
        <v>-1.4497873154649089E-3</v>
      </c>
      <c r="D12408">
        <f t="shared" si="405"/>
        <v>-0.18600054464190979</v>
      </c>
    </row>
    <row r="12409" spans="1:4">
      <c r="A12409" s="1">
        <v>36276</v>
      </c>
      <c r="B12409">
        <v>1360.04</v>
      </c>
      <c r="C12409">
        <f t="shared" si="406"/>
        <v>2.3510336441021889E-3</v>
      </c>
      <c r="D12409">
        <f t="shared" si="405"/>
        <v>0.21536485672655836</v>
      </c>
    </row>
    <row r="12410" spans="1:4">
      <c r="A12410" s="1">
        <v>36277</v>
      </c>
      <c r="B12410">
        <v>1362.8</v>
      </c>
      <c r="C12410">
        <f t="shared" si="406"/>
        <v>2.0293520778800556E-3</v>
      </c>
      <c r="D12410">
        <f t="shared" si="405"/>
        <v>0.18139539267837826</v>
      </c>
    </row>
    <row r="12411" spans="1:4">
      <c r="A12411" s="1">
        <v>36278</v>
      </c>
      <c r="B12411">
        <v>1350.91</v>
      </c>
      <c r="C12411">
        <f t="shared" si="406"/>
        <v>-8.7246844731434341E-3</v>
      </c>
      <c r="D12411">
        <f t="shared" si="405"/>
        <v>-0.95422721163506818</v>
      </c>
    </row>
    <row r="12412" spans="1:4">
      <c r="A12412" s="1">
        <v>36279</v>
      </c>
      <c r="B12412">
        <v>1342.83</v>
      </c>
      <c r="C12412">
        <f t="shared" si="406"/>
        <v>-5.9811534447151583E-3</v>
      </c>
      <c r="D12412">
        <f t="shared" si="405"/>
        <v>-0.66451126760455015</v>
      </c>
    </row>
    <row r="12413" spans="1:4">
      <c r="A12413" s="1">
        <v>36280</v>
      </c>
      <c r="B12413">
        <v>1335.18</v>
      </c>
      <c r="C12413">
        <f t="shared" si="406"/>
        <v>-5.6969236612228382E-3</v>
      </c>
      <c r="D12413">
        <f t="shared" si="405"/>
        <v>-0.63449669908215889</v>
      </c>
    </row>
    <row r="12414" spans="1:4">
      <c r="A12414" s="1">
        <v>36283</v>
      </c>
      <c r="B12414">
        <v>1354.63</v>
      </c>
      <c r="C12414">
        <f t="shared" si="406"/>
        <v>1.4567324255905604E-2</v>
      </c>
      <c r="D12414">
        <f t="shared" si="405"/>
        <v>1.5054009928140595</v>
      </c>
    </row>
    <row r="12415" spans="1:4">
      <c r="A12415" s="1">
        <v>36284</v>
      </c>
      <c r="B12415">
        <v>1332</v>
      </c>
      <c r="C12415">
        <f t="shared" si="406"/>
        <v>-1.6705668706584166E-2</v>
      </c>
      <c r="D12415">
        <f t="shared" si="405"/>
        <v>-1.7970164338180572</v>
      </c>
    </row>
    <row r="12416" spans="1:4">
      <c r="A12416" s="1">
        <v>36285</v>
      </c>
      <c r="B12416">
        <v>1347.31</v>
      </c>
      <c r="C12416">
        <f t="shared" si="406"/>
        <v>1.1493993993993952E-2</v>
      </c>
      <c r="D12416">
        <f t="shared" si="405"/>
        <v>1.1808583618319033</v>
      </c>
    </row>
    <row r="12417" spans="1:4">
      <c r="A12417" s="1">
        <v>36286</v>
      </c>
      <c r="B12417">
        <v>1332.05</v>
      </c>
      <c r="C12417">
        <f t="shared" si="406"/>
        <v>-1.1326272350090174E-2</v>
      </c>
      <c r="D12417">
        <f t="shared" si="405"/>
        <v>-1.2289540071179574</v>
      </c>
    </row>
    <row r="12418" spans="1:4">
      <c r="A12418" s="1">
        <v>36287</v>
      </c>
      <c r="B12418">
        <v>1345</v>
      </c>
      <c r="C12418">
        <f t="shared" si="406"/>
        <v>9.7218572876393867E-3</v>
      </c>
      <c r="D12418">
        <f t="shared" si="405"/>
        <v>0.99372132801939583</v>
      </c>
    </row>
    <row r="12419" spans="1:4">
      <c r="A12419" s="1">
        <v>36290</v>
      </c>
      <c r="B12419">
        <v>1340.3</v>
      </c>
      <c r="C12419">
        <f t="shared" si="406"/>
        <v>-3.4944237918215952E-3</v>
      </c>
      <c r="D12419">
        <f t="shared" ref="D12419:D12482" si="407">(C12419-avg)/sd</f>
        <v>-0.401913461539469</v>
      </c>
    </row>
    <row r="12420" spans="1:4">
      <c r="A12420" s="1">
        <v>36291</v>
      </c>
      <c r="B12420">
        <v>1355.61</v>
      </c>
      <c r="C12420">
        <f t="shared" ref="C12420:C12483" si="408">(B12420-B12419)/B12419</f>
        <v>1.1422815787510218E-2</v>
      </c>
      <c r="D12420">
        <f t="shared" si="407"/>
        <v>1.173341967421869</v>
      </c>
    </row>
    <row r="12421" spans="1:4">
      <c r="A12421" s="1">
        <v>36292</v>
      </c>
      <c r="B12421">
        <v>1364</v>
      </c>
      <c r="C12421">
        <f t="shared" si="408"/>
        <v>6.1890956838619518E-3</v>
      </c>
      <c r="D12421">
        <f t="shared" si="407"/>
        <v>0.6206629035045137</v>
      </c>
    </row>
    <row r="12422" spans="1:4">
      <c r="A12422" s="1">
        <v>36293</v>
      </c>
      <c r="B12422">
        <v>1367.56</v>
      </c>
      <c r="C12422">
        <f t="shared" si="408"/>
        <v>2.6099706744867634E-3</v>
      </c>
      <c r="D12422">
        <f t="shared" si="407"/>
        <v>0.2427085191181963</v>
      </c>
    </row>
    <row r="12423" spans="1:4">
      <c r="A12423" s="1">
        <v>36294</v>
      </c>
      <c r="B12423">
        <v>1337.8</v>
      </c>
      <c r="C12423">
        <f t="shared" si="408"/>
        <v>-2.1761385240866939E-2</v>
      </c>
      <c r="D12423">
        <f t="shared" si="407"/>
        <v>-2.3308983813167692</v>
      </c>
    </row>
    <row r="12424" spans="1:4">
      <c r="A12424" s="1">
        <v>36297</v>
      </c>
      <c r="B12424">
        <v>1339.49</v>
      </c>
      <c r="C12424">
        <f t="shared" si="408"/>
        <v>1.2632680520257547E-3</v>
      </c>
      <c r="D12424">
        <f t="shared" si="407"/>
        <v>0.10049717995277688</v>
      </c>
    </row>
    <row r="12425" spans="1:4">
      <c r="A12425" s="1">
        <v>36298</v>
      </c>
      <c r="B12425">
        <v>1333.32</v>
      </c>
      <c r="C12425">
        <f t="shared" si="408"/>
        <v>-4.606230729606098E-3</v>
      </c>
      <c r="D12425">
        <f t="shared" si="407"/>
        <v>-0.51931989624797215</v>
      </c>
    </row>
    <row r="12426" spans="1:4">
      <c r="A12426" s="1">
        <v>36299</v>
      </c>
      <c r="B12426">
        <v>1344.23</v>
      </c>
      <c r="C12426">
        <f t="shared" si="408"/>
        <v>8.1825818258183195E-3</v>
      </c>
      <c r="D12426">
        <f t="shared" si="407"/>
        <v>0.83117436247624277</v>
      </c>
    </row>
    <row r="12427" spans="1:4">
      <c r="A12427" s="1">
        <v>36300</v>
      </c>
      <c r="B12427">
        <v>1338.83</v>
      </c>
      <c r="C12427">
        <f t="shared" si="408"/>
        <v>-4.0171696807838617E-3</v>
      </c>
      <c r="D12427">
        <f t="shared" si="407"/>
        <v>-0.4571152497239232</v>
      </c>
    </row>
    <row r="12428" spans="1:4">
      <c r="A12428" s="1">
        <v>36301</v>
      </c>
      <c r="B12428">
        <v>1330.29</v>
      </c>
      <c r="C12428">
        <f t="shared" si="408"/>
        <v>-6.3787037936108128E-3</v>
      </c>
      <c r="D12428">
        <f t="shared" si="407"/>
        <v>-0.7064924493140019</v>
      </c>
    </row>
    <row r="12429" spans="1:4">
      <c r="A12429" s="1">
        <v>36304</v>
      </c>
      <c r="B12429">
        <v>1306.6500000000001</v>
      </c>
      <c r="C12429">
        <f t="shared" si="408"/>
        <v>-1.7770561306181265E-2</v>
      </c>
      <c r="D12429">
        <f t="shared" si="407"/>
        <v>-1.9094687303609288</v>
      </c>
    </row>
    <row r="12430" spans="1:4">
      <c r="A12430" s="1">
        <v>36305</v>
      </c>
      <c r="B12430">
        <v>1284.4000000000001</v>
      </c>
      <c r="C12430">
        <f t="shared" si="408"/>
        <v>-1.7028278421918647E-2</v>
      </c>
      <c r="D12430">
        <f t="shared" si="407"/>
        <v>-1.831083910097008</v>
      </c>
    </row>
    <row r="12431" spans="1:4">
      <c r="A12431" s="1">
        <v>36306</v>
      </c>
      <c r="B12431">
        <v>1304.76</v>
      </c>
      <c r="C12431">
        <f t="shared" si="408"/>
        <v>1.5851759576455855E-2</v>
      </c>
      <c r="D12431">
        <f t="shared" si="407"/>
        <v>1.6410369260633872</v>
      </c>
    </row>
    <row r="12432" spans="1:4">
      <c r="A12432" s="1">
        <v>36307</v>
      </c>
      <c r="B12432">
        <v>1281.4100000000001</v>
      </c>
      <c r="C12432">
        <f t="shared" si="408"/>
        <v>-1.7896011527024056E-2</v>
      </c>
      <c r="D12432">
        <f t="shared" si="407"/>
        <v>-1.9227162310393255</v>
      </c>
    </row>
    <row r="12433" spans="1:4">
      <c r="A12433" s="1">
        <v>36308</v>
      </c>
      <c r="B12433">
        <v>1301.8399999999999</v>
      </c>
      <c r="C12433">
        <f t="shared" si="408"/>
        <v>1.5943374876112904E-2</v>
      </c>
      <c r="D12433">
        <f t="shared" si="407"/>
        <v>1.6507114705656181</v>
      </c>
    </row>
    <row r="12434" spans="1:4">
      <c r="A12434" s="1">
        <v>36312</v>
      </c>
      <c r="B12434">
        <v>1294.26</v>
      </c>
      <c r="C12434">
        <f t="shared" si="408"/>
        <v>-5.8225281140538987E-3</v>
      </c>
      <c r="D12434">
        <f t="shared" si="407"/>
        <v>-0.64776048660609087</v>
      </c>
    </row>
    <row r="12435" spans="1:4">
      <c r="A12435" s="1">
        <v>36313</v>
      </c>
      <c r="B12435">
        <v>1294.81</v>
      </c>
      <c r="C12435">
        <f t="shared" si="408"/>
        <v>4.2495325514189925E-4</v>
      </c>
      <c r="D12435">
        <f t="shared" si="407"/>
        <v>1.1971422358886543E-2</v>
      </c>
    </row>
    <row r="12436" spans="1:4">
      <c r="A12436" s="1">
        <v>36314</v>
      </c>
      <c r="B12436">
        <v>1299.54</v>
      </c>
      <c r="C12436">
        <f t="shared" si="408"/>
        <v>3.6530456205929969E-3</v>
      </c>
      <c r="D12436">
        <f t="shared" si="407"/>
        <v>0.35285687886861328</v>
      </c>
    </row>
    <row r="12437" spans="1:4">
      <c r="A12437" s="1">
        <v>36315</v>
      </c>
      <c r="B12437">
        <v>1327.75</v>
      </c>
      <c r="C12437">
        <f t="shared" si="408"/>
        <v>2.1707681179494311E-2</v>
      </c>
      <c r="D12437">
        <f t="shared" si="407"/>
        <v>2.2594202568197805</v>
      </c>
    </row>
    <row r="12438" spans="1:4">
      <c r="A12438" s="1">
        <v>36318</v>
      </c>
      <c r="B12438">
        <v>1334.52</v>
      </c>
      <c r="C12438">
        <f t="shared" si="408"/>
        <v>5.0988514404066891E-3</v>
      </c>
      <c r="D12438">
        <f t="shared" si="407"/>
        <v>0.50553348198766246</v>
      </c>
    </row>
    <row r="12439" spans="1:4">
      <c r="A12439" s="1">
        <v>36319</v>
      </c>
      <c r="B12439">
        <v>1317.33</v>
      </c>
      <c r="C12439">
        <f t="shared" si="408"/>
        <v>-1.288103587806856E-2</v>
      </c>
      <c r="D12439">
        <f t="shared" si="407"/>
        <v>-1.3931365071826738</v>
      </c>
    </row>
    <row r="12440" spans="1:4">
      <c r="A12440" s="1">
        <v>36320</v>
      </c>
      <c r="B12440">
        <v>1318.64</v>
      </c>
      <c r="C12440">
        <f t="shared" si="408"/>
        <v>9.9443571466540119E-4</v>
      </c>
      <c r="D12440">
        <f t="shared" si="407"/>
        <v>7.2108576508074965E-2</v>
      </c>
    </row>
    <row r="12441" spans="1:4">
      <c r="A12441" s="1">
        <v>36321</v>
      </c>
      <c r="B12441">
        <v>1302.82</v>
      </c>
      <c r="C12441">
        <f t="shared" si="408"/>
        <v>-1.1997209245889828E-2</v>
      </c>
      <c r="D12441">
        <f t="shared" si="407"/>
        <v>-1.299804715251869</v>
      </c>
    </row>
    <row r="12442" spans="1:4">
      <c r="A12442" s="1">
        <v>36322</v>
      </c>
      <c r="B12442">
        <v>1293.6400000000001</v>
      </c>
      <c r="C12442">
        <f t="shared" si="408"/>
        <v>-7.0462535116131448E-3</v>
      </c>
      <c r="D12442">
        <f t="shared" si="407"/>
        <v>-0.77698547262387396</v>
      </c>
    </row>
    <row r="12443" spans="1:4">
      <c r="A12443" s="1">
        <v>36325</v>
      </c>
      <c r="B12443">
        <v>1294</v>
      </c>
      <c r="C12443">
        <f t="shared" si="408"/>
        <v>2.7828453047207871E-4</v>
      </c>
      <c r="D12443">
        <f t="shared" si="407"/>
        <v>-3.5167451111246559E-3</v>
      </c>
    </row>
    <row r="12444" spans="1:4">
      <c r="A12444" s="1">
        <v>36326</v>
      </c>
      <c r="B12444">
        <v>1301.1600000000001</v>
      </c>
      <c r="C12444">
        <f t="shared" si="408"/>
        <v>5.5332302936631234E-3</v>
      </c>
      <c r="D12444">
        <f t="shared" si="407"/>
        <v>0.5514037412389956</v>
      </c>
    </row>
    <row r="12445" spans="1:4">
      <c r="A12445" s="1">
        <v>36327</v>
      </c>
      <c r="B12445">
        <v>1330.41</v>
      </c>
      <c r="C12445">
        <f t="shared" si="408"/>
        <v>2.2479940975744718E-2</v>
      </c>
      <c r="D12445">
        <f t="shared" si="407"/>
        <v>2.3409706287999645</v>
      </c>
    </row>
    <row r="12446" spans="1:4">
      <c r="A12446" s="1">
        <v>36328</v>
      </c>
      <c r="B12446">
        <v>1339.9</v>
      </c>
      <c r="C12446">
        <f t="shared" si="408"/>
        <v>7.1331394081523801E-3</v>
      </c>
      <c r="D12446">
        <f t="shared" si="407"/>
        <v>0.72035359989352954</v>
      </c>
    </row>
    <row r="12447" spans="1:4">
      <c r="A12447" s="1">
        <v>36329</v>
      </c>
      <c r="B12447">
        <v>1342.84</v>
      </c>
      <c r="C12447">
        <f t="shared" si="408"/>
        <v>2.1941935965369259E-3</v>
      </c>
      <c r="D12447">
        <f t="shared" si="407"/>
        <v>0.1988026010161891</v>
      </c>
    </row>
    <row r="12448" spans="1:4">
      <c r="A12448" s="1">
        <v>36332</v>
      </c>
      <c r="B12448">
        <v>1349</v>
      </c>
      <c r="C12448">
        <f t="shared" si="408"/>
        <v>4.5872926037354277E-3</v>
      </c>
      <c r="D12448">
        <f t="shared" si="407"/>
        <v>0.45151304272247461</v>
      </c>
    </row>
    <row r="12449" spans="1:4">
      <c r="A12449" s="1">
        <v>36333</v>
      </c>
      <c r="B12449">
        <v>1335.88</v>
      </c>
      <c r="C12449">
        <f t="shared" si="408"/>
        <v>-9.7257227575981396E-3</v>
      </c>
      <c r="D12449">
        <f t="shared" si="407"/>
        <v>-1.0599365142040393</v>
      </c>
    </row>
    <row r="12450" spans="1:4">
      <c r="A12450" s="1">
        <v>36334</v>
      </c>
      <c r="B12450">
        <v>1333.06</v>
      </c>
      <c r="C12450">
        <f t="shared" si="408"/>
        <v>-2.1109680510226691E-3</v>
      </c>
      <c r="D12450">
        <f t="shared" si="407"/>
        <v>-0.25582100557055742</v>
      </c>
    </row>
    <row r="12451" spans="1:4">
      <c r="A12451" s="1">
        <v>36335</v>
      </c>
      <c r="B12451">
        <v>1315.78</v>
      </c>
      <c r="C12451">
        <f t="shared" si="408"/>
        <v>-1.2962657344755655E-2</v>
      </c>
      <c r="D12451">
        <f t="shared" si="407"/>
        <v>-1.4017557063203465</v>
      </c>
    </row>
    <row r="12452" spans="1:4">
      <c r="A12452" s="1">
        <v>36336</v>
      </c>
      <c r="B12452">
        <v>1315.31</v>
      </c>
      <c r="C12452">
        <f t="shared" si="408"/>
        <v>-3.572025718585381E-4</v>
      </c>
      <c r="D12452">
        <f t="shared" si="407"/>
        <v>-7.0623967104676208E-2</v>
      </c>
    </row>
    <row r="12453" spans="1:4">
      <c r="A12453" s="1">
        <v>36339</v>
      </c>
      <c r="B12453">
        <v>1331.35</v>
      </c>
      <c r="C12453">
        <f t="shared" si="408"/>
        <v>1.2194843801081087E-2</v>
      </c>
      <c r="D12453">
        <f t="shared" si="407"/>
        <v>1.2548678632298804</v>
      </c>
    </row>
    <row r="12454" spans="1:4">
      <c r="A12454" s="1">
        <v>36340</v>
      </c>
      <c r="B12454">
        <v>1351.45</v>
      </c>
      <c r="C12454">
        <f t="shared" si="408"/>
        <v>1.509745746798373E-2</v>
      </c>
      <c r="D12454">
        <f t="shared" si="407"/>
        <v>1.5613828798084755</v>
      </c>
    </row>
    <row r="12455" spans="1:4">
      <c r="A12455" s="1">
        <v>36341</v>
      </c>
      <c r="B12455">
        <v>1372.71</v>
      </c>
      <c r="C12455">
        <f t="shared" si="408"/>
        <v>1.5731251618631831E-2</v>
      </c>
      <c r="D12455">
        <f t="shared" si="407"/>
        <v>1.6283113266798155</v>
      </c>
    </row>
    <row r="12456" spans="1:4">
      <c r="A12456" s="1">
        <v>36342</v>
      </c>
      <c r="B12456">
        <v>1380.96</v>
      </c>
      <c r="C12456">
        <f t="shared" si="408"/>
        <v>6.0100093974692391E-3</v>
      </c>
      <c r="D12456">
        <f t="shared" si="407"/>
        <v>0.60175145253582973</v>
      </c>
    </row>
    <row r="12457" spans="1:4">
      <c r="A12457" s="1">
        <v>36343</v>
      </c>
      <c r="B12457">
        <v>1391.22</v>
      </c>
      <c r="C12457">
        <f t="shared" si="408"/>
        <v>7.4296141814389925E-3</v>
      </c>
      <c r="D12457">
        <f t="shared" si="407"/>
        <v>0.75166123517592387</v>
      </c>
    </row>
    <row r="12458" spans="1:4">
      <c r="A12458" s="1">
        <v>36347</v>
      </c>
      <c r="B12458">
        <v>1388.12</v>
      </c>
      <c r="C12458">
        <f t="shared" si="408"/>
        <v>-2.2282600882679491E-3</v>
      </c>
      <c r="D12458">
        <f t="shared" si="407"/>
        <v>-0.26820700483415838</v>
      </c>
    </row>
    <row r="12459" spans="1:4">
      <c r="A12459" s="1">
        <v>36348</v>
      </c>
      <c r="B12459">
        <v>1395.86</v>
      </c>
      <c r="C12459">
        <f t="shared" si="408"/>
        <v>5.5758868109385424E-3</v>
      </c>
      <c r="D12459">
        <f t="shared" si="407"/>
        <v>0.55590825496362517</v>
      </c>
    </row>
    <row r="12460" spans="1:4">
      <c r="A12460" s="1">
        <v>36349</v>
      </c>
      <c r="B12460">
        <v>1394.42</v>
      </c>
      <c r="C12460">
        <f t="shared" si="408"/>
        <v>-1.0316220824436743E-3</v>
      </c>
      <c r="D12460">
        <f t="shared" si="407"/>
        <v>-0.14184243817613643</v>
      </c>
    </row>
    <row r="12461" spans="1:4">
      <c r="A12461" s="1">
        <v>36350</v>
      </c>
      <c r="B12461">
        <v>1403.28</v>
      </c>
      <c r="C12461">
        <f t="shared" si="408"/>
        <v>6.353896243599417E-3</v>
      </c>
      <c r="D12461">
        <f t="shared" si="407"/>
        <v>0.63806578659435798</v>
      </c>
    </row>
    <row r="12462" spans="1:4">
      <c r="A12462" s="1">
        <v>36353</v>
      </c>
      <c r="B12462">
        <v>1399.1</v>
      </c>
      <c r="C12462">
        <f t="shared" si="408"/>
        <v>-2.97873553389207E-3</v>
      </c>
      <c r="D12462">
        <f t="shared" si="407"/>
        <v>-0.34745695679306693</v>
      </c>
    </row>
    <row r="12463" spans="1:4">
      <c r="A12463" s="1">
        <v>36354</v>
      </c>
      <c r="B12463">
        <v>1393.56</v>
      </c>
      <c r="C12463">
        <f t="shared" si="408"/>
        <v>-3.9596883710956788E-3</v>
      </c>
      <c r="D12463">
        <f t="shared" si="407"/>
        <v>-0.45104524295969756</v>
      </c>
    </row>
    <row r="12464" spans="1:4">
      <c r="A12464" s="1">
        <v>36355</v>
      </c>
      <c r="B12464">
        <v>1398.17</v>
      </c>
      <c r="C12464">
        <f t="shared" si="408"/>
        <v>3.3080742845662385E-3</v>
      </c>
      <c r="D12464">
        <f t="shared" si="407"/>
        <v>0.3164280230456421</v>
      </c>
    </row>
    <row r="12465" spans="1:4">
      <c r="A12465" s="1">
        <v>36356</v>
      </c>
      <c r="B12465">
        <v>1409.62</v>
      </c>
      <c r="C12465">
        <f t="shared" si="408"/>
        <v>8.189275982176572E-3</v>
      </c>
      <c r="D12465">
        <f t="shared" si="407"/>
        <v>0.83188126311221999</v>
      </c>
    </row>
    <row r="12466" spans="1:4">
      <c r="A12466" s="1">
        <v>36357</v>
      </c>
      <c r="B12466">
        <v>1418.78</v>
      </c>
      <c r="C12466">
        <f t="shared" si="408"/>
        <v>6.4982051900512776E-3</v>
      </c>
      <c r="D12466">
        <f t="shared" si="407"/>
        <v>0.65330476228668022</v>
      </c>
    </row>
    <row r="12467" spans="1:4">
      <c r="A12467" s="1">
        <v>36360</v>
      </c>
      <c r="B12467">
        <v>1407.65</v>
      </c>
      <c r="C12467">
        <f t="shared" si="408"/>
        <v>-7.8447680401470855E-3</v>
      </c>
      <c r="D12467">
        <f t="shared" si="407"/>
        <v>-0.86130833540878171</v>
      </c>
    </row>
    <row r="12468" spans="1:4">
      <c r="A12468" s="1">
        <v>36361</v>
      </c>
      <c r="B12468">
        <v>1377.1</v>
      </c>
      <c r="C12468">
        <f t="shared" si="408"/>
        <v>-2.1702838063439193E-2</v>
      </c>
      <c r="D12468">
        <f t="shared" si="407"/>
        <v>-2.3247158192815518</v>
      </c>
    </row>
    <row r="12469" spans="1:4">
      <c r="A12469" s="1">
        <v>36362</v>
      </c>
      <c r="B12469">
        <v>1379.29</v>
      </c>
      <c r="C12469">
        <f t="shared" si="408"/>
        <v>1.5902984532714071E-3</v>
      </c>
      <c r="D12469">
        <f t="shared" si="407"/>
        <v>0.13503147916128325</v>
      </c>
    </row>
    <row r="12470" spans="1:4">
      <c r="A12470" s="1">
        <v>36363</v>
      </c>
      <c r="B12470">
        <v>1360.97</v>
      </c>
      <c r="C12470">
        <f t="shared" si="408"/>
        <v>-1.3282195912389662E-2</v>
      </c>
      <c r="D12470">
        <f t="shared" si="407"/>
        <v>-1.4354988704460612</v>
      </c>
    </row>
    <row r="12471" spans="1:4">
      <c r="A12471" s="1">
        <v>36364</v>
      </c>
      <c r="B12471">
        <v>1356.94</v>
      </c>
      <c r="C12471">
        <f t="shared" si="408"/>
        <v>-2.9611233164580945E-3</v>
      </c>
      <c r="D12471">
        <f t="shared" si="407"/>
        <v>-0.34559711261872272</v>
      </c>
    </row>
    <row r="12472" spans="1:4">
      <c r="A12472" s="1">
        <v>36367</v>
      </c>
      <c r="B12472">
        <v>1347.76</v>
      </c>
      <c r="C12472">
        <f t="shared" si="408"/>
        <v>-6.765221748935151E-3</v>
      </c>
      <c r="D12472">
        <f t="shared" si="407"/>
        <v>-0.74730861401241544</v>
      </c>
    </row>
    <row r="12473" spans="1:4">
      <c r="A12473" s="1">
        <v>36368</v>
      </c>
      <c r="B12473">
        <v>1362.84</v>
      </c>
      <c r="C12473">
        <f t="shared" si="408"/>
        <v>1.1188935715557612E-2</v>
      </c>
      <c r="D12473">
        <f t="shared" si="407"/>
        <v>1.1486443113233729</v>
      </c>
    </row>
    <row r="12474" spans="1:4">
      <c r="A12474" s="1">
        <v>36369</v>
      </c>
      <c r="B12474">
        <v>1365.4</v>
      </c>
      <c r="C12474">
        <f t="shared" si="408"/>
        <v>1.8784303366500639E-3</v>
      </c>
      <c r="D12474">
        <f t="shared" si="407"/>
        <v>0.16545810810528355</v>
      </c>
    </row>
    <row r="12475" spans="1:4">
      <c r="A12475" s="1">
        <v>36370</v>
      </c>
      <c r="B12475">
        <v>1341.03</v>
      </c>
      <c r="C12475">
        <f t="shared" si="408"/>
        <v>-1.7848249597187723E-2</v>
      </c>
      <c r="D12475">
        <f t="shared" si="407"/>
        <v>-1.9176725874836775</v>
      </c>
    </row>
    <row r="12476" spans="1:4">
      <c r="A12476" s="1">
        <v>36371</v>
      </c>
      <c r="B12476">
        <v>1328.72</v>
      </c>
      <c r="C12476">
        <f t="shared" si="408"/>
        <v>-9.1795112711870325E-3</v>
      </c>
      <c r="D12476">
        <f t="shared" si="407"/>
        <v>-1.0022567669053317</v>
      </c>
    </row>
    <row r="12477" spans="1:4">
      <c r="A12477" s="1">
        <v>36374</v>
      </c>
      <c r="B12477">
        <v>1328.05</v>
      </c>
      <c r="C12477">
        <f t="shared" si="408"/>
        <v>-5.0424468661574499E-4</v>
      </c>
      <c r="D12477">
        <f t="shared" si="407"/>
        <v>-8.6151564440993936E-2</v>
      </c>
    </row>
    <row r="12478" spans="1:4">
      <c r="A12478" s="1">
        <v>36375</v>
      </c>
      <c r="B12478">
        <v>1322.18</v>
      </c>
      <c r="C12478">
        <f t="shared" si="408"/>
        <v>-4.4200143066901783E-3</v>
      </c>
      <c r="D12478">
        <f t="shared" si="407"/>
        <v>-0.49965550528608865</v>
      </c>
    </row>
    <row r="12479" spans="1:4">
      <c r="A12479" s="1">
        <v>36376</v>
      </c>
      <c r="B12479">
        <v>1305.33</v>
      </c>
      <c r="C12479">
        <f t="shared" si="408"/>
        <v>-1.2744104433587058E-2</v>
      </c>
      <c r="D12479">
        <f t="shared" si="407"/>
        <v>-1.3786765931906868</v>
      </c>
    </row>
    <row r="12480" spans="1:4">
      <c r="A12480" s="1">
        <v>36377</v>
      </c>
      <c r="B12480">
        <v>1313.71</v>
      </c>
      <c r="C12480">
        <f t="shared" si="408"/>
        <v>6.4198325327695753E-3</v>
      </c>
      <c r="D12480">
        <f t="shared" si="407"/>
        <v>0.64502863631789309</v>
      </c>
    </row>
    <row r="12481" spans="1:4">
      <c r="A12481" s="1">
        <v>36378</v>
      </c>
      <c r="B12481">
        <v>1300.29</v>
      </c>
      <c r="C12481">
        <f t="shared" si="408"/>
        <v>-1.021534433017947E-2</v>
      </c>
      <c r="D12481">
        <f t="shared" si="407"/>
        <v>-1.1116403858381689</v>
      </c>
    </row>
    <row r="12482" spans="1:4">
      <c r="A12482" s="1">
        <v>36381</v>
      </c>
      <c r="B12482">
        <v>1297.8</v>
      </c>
      <c r="C12482">
        <f t="shared" si="408"/>
        <v>-1.9149574325727408E-3</v>
      </c>
      <c r="D12482">
        <f t="shared" si="407"/>
        <v>-0.23512235088949143</v>
      </c>
    </row>
    <row r="12483" spans="1:4">
      <c r="A12483" s="1">
        <v>36382</v>
      </c>
      <c r="B12483">
        <v>1281.43</v>
      </c>
      <c r="C12483">
        <f t="shared" si="408"/>
        <v>-1.2613653875789714E-2</v>
      </c>
      <c r="D12483">
        <f t="shared" ref="D12483:D12546" si="409">(C12483-avg)/sd</f>
        <v>-1.3649010586295864</v>
      </c>
    </row>
    <row r="12484" spans="1:4">
      <c r="A12484" s="1">
        <v>36383</v>
      </c>
      <c r="B12484">
        <v>1301.93</v>
      </c>
      <c r="C12484">
        <f t="shared" ref="C12484:C12547" si="410">(B12484-B12483)/B12483</f>
        <v>1.5997752510866766E-2</v>
      </c>
      <c r="D12484">
        <f t="shared" si="409"/>
        <v>1.6564537303117697</v>
      </c>
    </row>
    <row r="12485" spans="1:4">
      <c r="A12485" s="1">
        <v>36384</v>
      </c>
      <c r="B12485">
        <v>1298.1600000000001</v>
      </c>
      <c r="C12485">
        <f t="shared" si="410"/>
        <v>-2.8957009977494809E-3</v>
      </c>
      <c r="D12485">
        <f t="shared" si="409"/>
        <v>-0.33868853800121973</v>
      </c>
    </row>
    <row r="12486" spans="1:4">
      <c r="A12486" s="1">
        <v>36385</v>
      </c>
      <c r="B12486">
        <v>1327.68</v>
      </c>
      <c r="C12486">
        <f t="shared" si="410"/>
        <v>2.2739877981142523E-2</v>
      </c>
      <c r="D12486">
        <f t="shared" si="409"/>
        <v>2.3684198882130914</v>
      </c>
    </row>
    <row r="12487" spans="1:4">
      <c r="A12487" s="1">
        <v>36388</v>
      </c>
      <c r="B12487">
        <v>1330.77</v>
      </c>
      <c r="C12487">
        <f t="shared" si="410"/>
        <v>2.3273680404916229E-3</v>
      </c>
      <c r="D12487">
        <f t="shared" si="409"/>
        <v>0.21286577702961212</v>
      </c>
    </row>
    <row r="12488" spans="1:4">
      <c r="A12488" s="1">
        <v>36389</v>
      </c>
      <c r="B12488">
        <v>1344.16</v>
      </c>
      <c r="C12488">
        <f t="shared" si="410"/>
        <v>1.0061843894887998E-2</v>
      </c>
      <c r="D12488">
        <f t="shared" si="409"/>
        <v>1.0296237981777863</v>
      </c>
    </row>
    <row r="12489" spans="1:4">
      <c r="A12489" s="1">
        <v>36390</v>
      </c>
      <c r="B12489">
        <v>1332.84</v>
      </c>
      <c r="C12489">
        <f t="shared" si="410"/>
        <v>-8.4216164742293795E-3</v>
      </c>
      <c r="D12489">
        <f t="shared" si="409"/>
        <v>-0.92222333396756218</v>
      </c>
    </row>
    <row r="12490" spans="1:4">
      <c r="A12490" s="1">
        <v>36391</v>
      </c>
      <c r="B12490">
        <v>1323.59</v>
      </c>
      <c r="C12490">
        <f t="shared" si="410"/>
        <v>-6.9400678250952858E-3</v>
      </c>
      <c r="D12490">
        <f t="shared" si="409"/>
        <v>-0.76577230022185661</v>
      </c>
    </row>
    <row r="12491" spans="1:4">
      <c r="A12491" s="1">
        <v>36392</v>
      </c>
      <c r="B12491">
        <v>1336.61</v>
      </c>
      <c r="C12491">
        <f t="shared" si="410"/>
        <v>9.8368830226882812E-3</v>
      </c>
      <c r="D12491">
        <f t="shared" si="409"/>
        <v>1.0058680065414121</v>
      </c>
    </row>
    <row r="12492" spans="1:4">
      <c r="A12492" s="1">
        <v>36395</v>
      </c>
      <c r="B12492">
        <v>1360.22</v>
      </c>
      <c r="C12492">
        <f t="shared" si="410"/>
        <v>1.7664090497602241E-2</v>
      </c>
      <c r="D12492">
        <f t="shared" si="409"/>
        <v>1.8324184552952334</v>
      </c>
    </row>
    <row r="12493" spans="1:4">
      <c r="A12493" s="1">
        <v>36396</v>
      </c>
      <c r="B12493">
        <v>1363.5</v>
      </c>
      <c r="C12493">
        <f t="shared" si="410"/>
        <v>2.4113746305744459E-3</v>
      </c>
      <c r="D12493">
        <f t="shared" si="409"/>
        <v>0.22173684438713084</v>
      </c>
    </row>
    <row r="12494" spans="1:4">
      <c r="A12494" s="1">
        <v>36397</v>
      </c>
      <c r="B12494">
        <v>1381.79</v>
      </c>
      <c r="C12494">
        <f t="shared" si="410"/>
        <v>1.3414008067473388E-2</v>
      </c>
      <c r="D12494">
        <f t="shared" si="409"/>
        <v>1.3836111953468377</v>
      </c>
    </row>
    <row r="12495" spans="1:4">
      <c r="A12495" s="1">
        <v>36398</v>
      </c>
      <c r="B12495">
        <v>1362.01</v>
      </c>
      <c r="C12495">
        <f t="shared" si="410"/>
        <v>-1.4314765630088488E-2</v>
      </c>
      <c r="D12495">
        <f t="shared" si="409"/>
        <v>-1.5445378816475566</v>
      </c>
    </row>
    <row r="12496" spans="1:4">
      <c r="A12496" s="1">
        <v>36399</v>
      </c>
      <c r="B12496">
        <v>1348.27</v>
      </c>
      <c r="C12496">
        <f t="shared" si="410"/>
        <v>-1.0088031659092084E-2</v>
      </c>
      <c r="D12496">
        <f t="shared" si="409"/>
        <v>-1.0981962110470205</v>
      </c>
    </row>
    <row r="12497" spans="1:4">
      <c r="A12497" s="1">
        <v>36402</v>
      </c>
      <c r="B12497">
        <v>1324.02</v>
      </c>
      <c r="C12497">
        <f t="shared" si="410"/>
        <v>-1.7986011703887205E-2</v>
      </c>
      <c r="D12497">
        <f t="shared" si="409"/>
        <v>-1.9322202191235276</v>
      </c>
    </row>
    <row r="12498" spans="1:4">
      <c r="A12498" s="1">
        <v>36403</v>
      </c>
      <c r="B12498">
        <v>1320.41</v>
      </c>
      <c r="C12498">
        <f t="shared" si="410"/>
        <v>-2.7265449162398605E-3</v>
      </c>
      <c r="D12498">
        <f t="shared" si="409"/>
        <v>-0.32082571329274967</v>
      </c>
    </row>
    <row r="12499" spans="1:4">
      <c r="A12499" s="1">
        <v>36404</v>
      </c>
      <c r="B12499">
        <v>1331.07</v>
      </c>
      <c r="C12499">
        <f t="shared" si="410"/>
        <v>8.0732499753863231E-3</v>
      </c>
      <c r="D12499">
        <f t="shared" si="409"/>
        <v>0.81962895623432552</v>
      </c>
    </row>
    <row r="12500" spans="1:4">
      <c r="A12500" s="1">
        <v>36405</v>
      </c>
      <c r="B12500">
        <v>1319.11</v>
      </c>
      <c r="C12500">
        <f t="shared" si="410"/>
        <v>-8.9852524660611662E-3</v>
      </c>
      <c r="D12500">
        <f t="shared" si="409"/>
        <v>-0.98174310311581636</v>
      </c>
    </row>
    <row r="12501" spans="1:4">
      <c r="A12501" s="1">
        <v>36406</v>
      </c>
      <c r="B12501">
        <v>1357.24</v>
      </c>
      <c r="C12501">
        <f t="shared" si="410"/>
        <v>2.8905853188892595E-2</v>
      </c>
      <c r="D12501">
        <f t="shared" si="409"/>
        <v>3.0195447742346904</v>
      </c>
    </row>
    <row r="12502" spans="1:4">
      <c r="A12502" s="1">
        <v>36410</v>
      </c>
      <c r="B12502">
        <v>1350.45</v>
      </c>
      <c r="C12502">
        <f t="shared" si="410"/>
        <v>-5.0027997995932653E-3</v>
      </c>
      <c r="D12502">
        <f t="shared" si="409"/>
        <v>-0.56119745523824049</v>
      </c>
    </row>
    <row r="12503" spans="1:4">
      <c r="A12503" s="1">
        <v>36411</v>
      </c>
      <c r="B12503">
        <v>1344.15</v>
      </c>
      <c r="C12503">
        <f t="shared" si="410"/>
        <v>-4.6651116294568135E-3</v>
      </c>
      <c r="D12503">
        <f t="shared" si="409"/>
        <v>-0.52553769925761729</v>
      </c>
    </row>
    <row r="12504" spans="1:4">
      <c r="A12504" s="1">
        <v>36412</v>
      </c>
      <c r="B12504">
        <v>1347.66</v>
      </c>
      <c r="C12504">
        <f t="shared" si="410"/>
        <v>2.6113157013726079E-3</v>
      </c>
      <c r="D12504">
        <f t="shared" si="409"/>
        <v>0.24285055350014462</v>
      </c>
    </row>
    <row r="12505" spans="1:4">
      <c r="A12505" s="1">
        <v>36413</v>
      </c>
      <c r="B12505">
        <v>1351.66</v>
      </c>
      <c r="C12505">
        <f t="shared" si="410"/>
        <v>2.9681076829467371E-3</v>
      </c>
      <c r="D12505">
        <f t="shared" si="409"/>
        <v>0.28052766547488545</v>
      </c>
    </row>
    <row r="12506" spans="1:4">
      <c r="A12506" s="1">
        <v>36416</v>
      </c>
      <c r="B12506">
        <v>1344.13</v>
      </c>
      <c r="C12506">
        <f t="shared" si="410"/>
        <v>-5.5709276001361082E-3</v>
      </c>
      <c r="D12506">
        <f t="shared" si="409"/>
        <v>-0.62119155785954228</v>
      </c>
    </row>
    <row r="12507" spans="1:4">
      <c r="A12507" s="1">
        <v>36417</v>
      </c>
      <c r="B12507">
        <v>1336.29</v>
      </c>
      <c r="C12507">
        <f t="shared" si="410"/>
        <v>-5.8327691517934613E-3</v>
      </c>
      <c r="D12507">
        <f t="shared" si="409"/>
        <v>-0.64884193671029078</v>
      </c>
    </row>
    <row r="12508" spans="1:4">
      <c r="A12508" s="1">
        <v>36418</v>
      </c>
      <c r="B12508">
        <v>1317.97</v>
      </c>
      <c r="C12508">
        <f t="shared" si="410"/>
        <v>-1.3709598964296625E-2</v>
      </c>
      <c r="D12508">
        <f t="shared" si="409"/>
        <v>-1.4806324874460803</v>
      </c>
    </row>
    <row r="12509" spans="1:4">
      <c r="A12509" s="1">
        <v>36419</v>
      </c>
      <c r="B12509">
        <v>1318.48</v>
      </c>
      <c r="C12509">
        <f t="shared" si="410"/>
        <v>3.8695873198934036E-4</v>
      </c>
      <c r="D12509">
        <f t="shared" si="409"/>
        <v>7.9592136289422487E-3</v>
      </c>
    </row>
    <row r="12510" spans="1:4">
      <c r="A12510" s="1">
        <v>36420</v>
      </c>
      <c r="B12510">
        <v>1335.42</v>
      </c>
      <c r="C12510">
        <f t="shared" si="410"/>
        <v>1.2848128147563902E-2</v>
      </c>
      <c r="D12510">
        <f t="shared" si="409"/>
        <v>1.3238544681563269</v>
      </c>
    </row>
    <row r="12511" spans="1:4">
      <c r="A12511" s="1">
        <v>36423</v>
      </c>
      <c r="B12511">
        <v>1335.53</v>
      </c>
      <c r="C12511">
        <f t="shared" si="410"/>
        <v>8.2371089245256138E-5</v>
      </c>
      <c r="D12511">
        <f t="shared" si="409"/>
        <v>-2.42051379104628E-2</v>
      </c>
    </row>
    <row r="12512" spans="1:4">
      <c r="A12512" s="1">
        <v>36424</v>
      </c>
      <c r="B12512">
        <v>1307.58</v>
      </c>
      <c r="C12512">
        <f t="shared" si="410"/>
        <v>-2.0928021085262066E-2</v>
      </c>
      <c r="D12512">
        <f t="shared" si="409"/>
        <v>-2.2428954097591349</v>
      </c>
    </row>
    <row r="12513" spans="1:4">
      <c r="A12513" s="1">
        <v>36425</v>
      </c>
      <c r="B12513">
        <v>1310.51</v>
      </c>
      <c r="C12513">
        <f t="shared" si="410"/>
        <v>2.2407806788112879E-3</v>
      </c>
      <c r="D12513">
        <f t="shared" si="409"/>
        <v>0.20372218106864304</v>
      </c>
    </row>
    <row r="12514" spans="1:4">
      <c r="A12514" s="1">
        <v>36426</v>
      </c>
      <c r="B12514">
        <v>1280.4100000000001</v>
      </c>
      <c r="C12514">
        <f t="shared" si="410"/>
        <v>-2.2968157434891692E-2</v>
      </c>
      <c r="D12514">
        <f t="shared" si="409"/>
        <v>-2.4583331148039838</v>
      </c>
    </row>
    <row r="12515" spans="1:4">
      <c r="A12515" s="1">
        <v>36427</v>
      </c>
      <c r="B12515">
        <v>1277.3599999999999</v>
      </c>
      <c r="C12515">
        <f t="shared" si="410"/>
        <v>-2.3820494997697471E-3</v>
      </c>
      <c r="D12515">
        <f t="shared" si="409"/>
        <v>-0.28444711441318732</v>
      </c>
    </row>
    <row r="12516" spans="1:4">
      <c r="A12516" s="1">
        <v>36430</v>
      </c>
      <c r="B12516">
        <v>1283.31</v>
      </c>
      <c r="C12516">
        <f t="shared" si="410"/>
        <v>4.6580447172293211E-3</v>
      </c>
      <c r="D12516">
        <f t="shared" si="409"/>
        <v>0.45898444185761783</v>
      </c>
    </row>
    <row r="12517" spans="1:4">
      <c r="A12517" s="1">
        <v>36431</v>
      </c>
      <c r="B12517">
        <v>1282.2</v>
      </c>
      <c r="C12517">
        <f t="shared" si="410"/>
        <v>-8.6495079131301085E-4</v>
      </c>
      <c r="D12517">
        <f t="shared" si="409"/>
        <v>-0.12424200648706292</v>
      </c>
    </row>
    <row r="12518" spans="1:4">
      <c r="A12518" s="1">
        <v>36432</v>
      </c>
      <c r="B12518">
        <v>1268.3699999999999</v>
      </c>
      <c r="C12518">
        <f t="shared" si="410"/>
        <v>-1.0786148806738538E-2</v>
      </c>
      <c r="D12518">
        <f t="shared" si="409"/>
        <v>-1.1719171445369376</v>
      </c>
    </row>
    <row r="12519" spans="1:4">
      <c r="A12519" s="1">
        <v>36433</v>
      </c>
      <c r="B12519">
        <v>1282.71</v>
      </c>
      <c r="C12519">
        <f t="shared" si="410"/>
        <v>1.1305849239575318E-2</v>
      </c>
      <c r="D12519">
        <f t="shared" si="409"/>
        <v>1.1609903397188048</v>
      </c>
    </row>
    <row r="12520" spans="1:4">
      <c r="A12520" s="1">
        <v>36434</v>
      </c>
      <c r="B12520">
        <v>1282.81</v>
      </c>
      <c r="C12520">
        <f t="shared" si="410"/>
        <v>7.7959944180609067E-5</v>
      </c>
      <c r="D12520">
        <f t="shared" si="409"/>
        <v>-2.4670953329868468E-2</v>
      </c>
    </row>
    <row r="12521" spans="1:4">
      <c r="A12521" s="1">
        <v>36437</v>
      </c>
      <c r="B12521">
        <v>1304.5999999999999</v>
      </c>
      <c r="C12521">
        <f t="shared" si="410"/>
        <v>1.6986147597851563E-2</v>
      </c>
      <c r="D12521">
        <f t="shared" si="409"/>
        <v>1.7608279155255502</v>
      </c>
    </row>
    <row r="12522" spans="1:4">
      <c r="A12522" s="1">
        <v>36438</v>
      </c>
      <c r="B12522">
        <v>1301.3499999999999</v>
      </c>
      <c r="C12522">
        <f t="shared" si="410"/>
        <v>-2.4911850375594052E-3</v>
      </c>
      <c r="D12522">
        <f t="shared" si="409"/>
        <v>-0.29597179010680347</v>
      </c>
    </row>
    <row r="12523" spans="1:4">
      <c r="A12523" s="1">
        <v>36439</v>
      </c>
      <c r="B12523">
        <v>1325.4</v>
      </c>
      <c r="C12523">
        <f t="shared" si="410"/>
        <v>1.8480808391286112E-2</v>
      </c>
      <c r="D12523">
        <f t="shared" si="409"/>
        <v>1.9186635872523496</v>
      </c>
    </row>
    <row r="12524" spans="1:4">
      <c r="A12524" s="1">
        <v>36440</v>
      </c>
      <c r="B12524">
        <v>1317.64</v>
      </c>
      <c r="C12524">
        <f t="shared" si="410"/>
        <v>-5.8548362758412478E-3</v>
      </c>
      <c r="D12524">
        <f t="shared" si="409"/>
        <v>-0.6511722175087572</v>
      </c>
    </row>
    <row r="12525" spans="1:4">
      <c r="A12525" s="1">
        <v>36441</v>
      </c>
      <c r="B12525">
        <v>1336.02</v>
      </c>
      <c r="C12525">
        <f t="shared" si="410"/>
        <v>1.3949181870617073E-2</v>
      </c>
      <c r="D12525">
        <f t="shared" si="409"/>
        <v>1.4401253670443965</v>
      </c>
    </row>
    <row r="12526" spans="1:4">
      <c r="A12526" s="1">
        <v>36444</v>
      </c>
      <c r="B12526">
        <v>1335.21</v>
      </c>
      <c r="C12526">
        <f t="shared" si="410"/>
        <v>-6.062783491264693E-4</v>
      </c>
      <c r="D12526">
        <f t="shared" si="409"/>
        <v>-9.6926284519199379E-2</v>
      </c>
    </row>
    <row r="12527" spans="1:4">
      <c r="A12527" s="1">
        <v>36445</v>
      </c>
      <c r="B12527">
        <v>1313.04</v>
      </c>
      <c r="C12527">
        <f t="shared" si="410"/>
        <v>-1.6604129687464948E-2</v>
      </c>
      <c r="D12527">
        <f t="shared" si="409"/>
        <v>-1.7862939479138573</v>
      </c>
    </row>
    <row r="12528" spans="1:4">
      <c r="A12528" s="1">
        <v>36446</v>
      </c>
      <c r="B12528">
        <v>1285.55</v>
      </c>
      <c r="C12528">
        <f t="shared" si="410"/>
        <v>-2.0936148175226963E-2</v>
      </c>
      <c r="D12528">
        <f t="shared" si="409"/>
        <v>-2.2437536276968957</v>
      </c>
    </row>
    <row r="12529" spans="1:4">
      <c r="A12529" s="1">
        <v>36447</v>
      </c>
      <c r="B12529">
        <v>1283.42</v>
      </c>
      <c r="C12529">
        <f t="shared" si="410"/>
        <v>-1.6568783789038791E-3</v>
      </c>
      <c r="D12529">
        <f t="shared" si="409"/>
        <v>-0.20786929054739237</v>
      </c>
    </row>
    <row r="12530" spans="1:4">
      <c r="A12530" s="1">
        <v>36448</v>
      </c>
      <c r="B12530">
        <v>1247.4100000000001</v>
      </c>
      <c r="C12530">
        <f t="shared" si="410"/>
        <v>-2.8057845444203759E-2</v>
      </c>
      <c r="D12530">
        <f t="shared" si="409"/>
        <v>-2.9958024385183242</v>
      </c>
    </row>
    <row r="12531" spans="1:4">
      <c r="A12531" s="1">
        <v>36451</v>
      </c>
      <c r="B12531">
        <v>1254.1300000000001</v>
      </c>
      <c r="C12531">
        <f t="shared" si="410"/>
        <v>5.3871622000785839E-3</v>
      </c>
      <c r="D12531">
        <f t="shared" si="409"/>
        <v>0.53597900020742573</v>
      </c>
    </row>
    <row r="12532" spans="1:4">
      <c r="A12532" s="1">
        <v>36452</v>
      </c>
      <c r="B12532">
        <v>1261.32</v>
      </c>
      <c r="C12532">
        <f t="shared" si="410"/>
        <v>5.7330579764456845E-3</v>
      </c>
      <c r="D12532">
        <f t="shared" si="409"/>
        <v>0.5725054766161044</v>
      </c>
    </row>
    <row r="12533" spans="1:4">
      <c r="A12533" s="1">
        <v>36453</v>
      </c>
      <c r="B12533">
        <v>1289.43</v>
      </c>
      <c r="C12533">
        <f t="shared" si="410"/>
        <v>2.2286176386642667E-2</v>
      </c>
      <c r="D12533">
        <f t="shared" si="409"/>
        <v>2.3205091540545717</v>
      </c>
    </row>
    <row r="12534" spans="1:4">
      <c r="A12534" s="1">
        <v>36454</v>
      </c>
      <c r="B12534">
        <v>1283.6099999999999</v>
      </c>
      <c r="C12534">
        <f t="shared" si="410"/>
        <v>-4.513622298224924E-3</v>
      </c>
      <c r="D12534">
        <f t="shared" si="409"/>
        <v>-0.50954047737325547</v>
      </c>
    </row>
    <row r="12535" spans="1:4">
      <c r="A12535" s="1">
        <v>36455</v>
      </c>
      <c r="B12535">
        <v>1301.6500000000001</v>
      </c>
      <c r="C12535">
        <f t="shared" si="410"/>
        <v>1.4054113009403317E-2</v>
      </c>
      <c r="D12535">
        <f t="shared" si="409"/>
        <v>1.4512060596323968</v>
      </c>
    </row>
    <row r="12536" spans="1:4">
      <c r="A12536" s="1">
        <v>36458</v>
      </c>
      <c r="B12536">
        <v>1293.6300000000001</v>
      </c>
      <c r="C12536">
        <f t="shared" si="410"/>
        <v>-6.1614105174201831E-3</v>
      </c>
      <c r="D12536">
        <f t="shared" si="409"/>
        <v>-0.68354635320984469</v>
      </c>
    </row>
    <row r="12537" spans="1:4">
      <c r="A12537" s="1">
        <v>36459</v>
      </c>
      <c r="B12537">
        <v>1281.9100000000001</v>
      </c>
      <c r="C12537">
        <f t="shared" si="410"/>
        <v>-9.0597775252584025E-3</v>
      </c>
      <c r="D12537">
        <f t="shared" si="409"/>
        <v>-0.9896129240347461</v>
      </c>
    </row>
    <row r="12538" spans="1:4">
      <c r="A12538" s="1">
        <v>36460</v>
      </c>
      <c r="B12538">
        <v>1296.71</v>
      </c>
      <c r="C12538">
        <f t="shared" si="410"/>
        <v>1.1545272289006212E-2</v>
      </c>
      <c r="D12538">
        <f t="shared" si="409"/>
        <v>1.1862733323548587</v>
      </c>
    </row>
    <row r="12539" spans="1:4">
      <c r="A12539" s="1">
        <v>36461</v>
      </c>
      <c r="B12539">
        <v>1342.44</v>
      </c>
      <c r="C12539">
        <f t="shared" si="410"/>
        <v>3.5266173624017717E-2</v>
      </c>
      <c r="D12539">
        <f t="shared" si="409"/>
        <v>3.6911924502059428</v>
      </c>
    </row>
    <row r="12540" spans="1:4">
      <c r="A12540" s="1">
        <v>36462</v>
      </c>
      <c r="B12540">
        <v>1362.93</v>
      </c>
      <c r="C12540">
        <f t="shared" si="410"/>
        <v>1.5263251988915712E-2</v>
      </c>
      <c r="D12540">
        <f t="shared" si="409"/>
        <v>1.5788907248625967</v>
      </c>
    </row>
    <row r="12541" spans="1:4">
      <c r="A12541" s="1">
        <v>36465</v>
      </c>
      <c r="B12541">
        <v>1354.12</v>
      </c>
      <c r="C12541">
        <f t="shared" si="410"/>
        <v>-6.4640150264504946E-3</v>
      </c>
      <c r="D12541">
        <f t="shared" si="409"/>
        <v>-0.71550128650317524</v>
      </c>
    </row>
    <row r="12542" spans="1:4">
      <c r="A12542" s="1">
        <v>36466</v>
      </c>
      <c r="B12542">
        <v>1347.74</v>
      </c>
      <c r="C12542">
        <f t="shared" si="410"/>
        <v>-4.7115469825420803E-3</v>
      </c>
      <c r="D12542">
        <f t="shared" si="409"/>
        <v>-0.53044125675927811</v>
      </c>
    </row>
    <row r="12543" spans="1:4">
      <c r="A12543" s="1">
        <v>36467</v>
      </c>
      <c r="B12543">
        <v>1354.93</v>
      </c>
      <c r="C12543">
        <f t="shared" si="410"/>
        <v>5.3348568715034465E-3</v>
      </c>
      <c r="D12543">
        <f t="shared" si="409"/>
        <v>0.53045557528933618</v>
      </c>
    </row>
    <row r="12544" spans="1:4">
      <c r="A12544" s="1">
        <v>36468</v>
      </c>
      <c r="B12544">
        <v>1362.64</v>
      </c>
      <c r="C12544">
        <f t="shared" si="410"/>
        <v>5.6903308658012115E-3</v>
      </c>
      <c r="D12544">
        <f t="shared" si="409"/>
        <v>0.56799350825569861</v>
      </c>
    </row>
    <row r="12545" spans="1:4">
      <c r="A12545" s="1">
        <v>36469</v>
      </c>
      <c r="B12545">
        <v>1370.23</v>
      </c>
      <c r="C12545">
        <f t="shared" si="410"/>
        <v>5.5700698643808468E-3</v>
      </c>
      <c r="D12545">
        <f t="shared" si="409"/>
        <v>0.55529398738440872</v>
      </c>
    </row>
    <row r="12546" spans="1:4">
      <c r="A12546" s="1">
        <v>36472</v>
      </c>
      <c r="B12546">
        <v>1377.01</v>
      </c>
      <c r="C12546">
        <f t="shared" si="410"/>
        <v>4.948074410865309E-3</v>
      </c>
      <c r="D12546">
        <f t="shared" si="409"/>
        <v>0.48961147891969525</v>
      </c>
    </row>
    <row r="12547" spans="1:4">
      <c r="A12547" s="1">
        <v>36473</v>
      </c>
      <c r="B12547">
        <v>1365.28</v>
      </c>
      <c r="C12547">
        <f t="shared" si="410"/>
        <v>-8.5184566560882035E-3</v>
      </c>
      <c r="D12547">
        <f t="shared" ref="D12547:D12610" si="411">(C12547-avg)/sd</f>
        <v>-0.9324496242542768</v>
      </c>
    </row>
    <row r="12548" spans="1:4">
      <c r="A12548" s="1">
        <v>36474</v>
      </c>
      <c r="B12548">
        <v>1373.46</v>
      </c>
      <c r="C12548">
        <f t="shared" ref="C12548:C12611" si="412">(B12548-B12547)/B12547</f>
        <v>5.9914449783195125E-3</v>
      </c>
      <c r="D12548">
        <f t="shared" si="411"/>
        <v>0.59979105618397133</v>
      </c>
    </row>
    <row r="12549" spans="1:4">
      <c r="A12549" s="1">
        <v>36475</v>
      </c>
      <c r="B12549">
        <v>1381.46</v>
      </c>
      <c r="C12549">
        <f t="shared" si="412"/>
        <v>5.8247054883287458E-3</v>
      </c>
      <c r="D12549">
        <f t="shared" si="411"/>
        <v>0.5821834227184528</v>
      </c>
    </row>
    <row r="12550" spans="1:4">
      <c r="A12550" s="1">
        <v>36476</v>
      </c>
      <c r="B12550">
        <v>1396.06</v>
      </c>
      <c r="C12550">
        <f t="shared" si="412"/>
        <v>1.0568528947635044E-2</v>
      </c>
      <c r="D12550">
        <f t="shared" si="411"/>
        <v>1.0831295675172565</v>
      </c>
    </row>
    <row r="12551" spans="1:4">
      <c r="A12551" s="1">
        <v>36479</v>
      </c>
      <c r="B12551">
        <v>1394.39</v>
      </c>
      <c r="C12551">
        <f t="shared" si="412"/>
        <v>-1.1962236580088574E-3</v>
      </c>
      <c r="D12551">
        <f t="shared" si="411"/>
        <v>-0.15922430860502571</v>
      </c>
    </row>
    <row r="12552" spans="1:4">
      <c r="A12552" s="1">
        <v>36480</v>
      </c>
      <c r="B12552">
        <v>1420.07</v>
      </c>
      <c r="C12552">
        <f t="shared" si="412"/>
        <v>1.8416655311641533E-2</v>
      </c>
      <c r="D12552">
        <f t="shared" si="411"/>
        <v>1.9118890438485732</v>
      </c>
    </row>
    <row r="12553" spans="1:4">
      <c r="A12553" s="1">
        <v>36481</v>
      </c>
      <c r="B12553">
        <v>1410.71</v>
      </c>
      <c r="C12553">
        <f t="shared" si="412"/>
        <v>-6.5912243762630716E-3</v>
      </c>
      <c r="D12553">
        <f t="shared" si="411"/>
        <v>-0.72893455060282442</v>
      </c>
    </row>
    <row r="12554" spans="1:4">
      <c r="A12554" s="1">
        <v>36482</v>
      </c>
      <c r="B12554">
        <v>1424.94</v>
      </c>
      <c r="C12554">
        <f t="shared" si="412"/>
        <v>1.0087119252007866E-2</v>
      </c>
      <c r="D12554">
        <f t="shared" si="411"/>
        <v>1.0322928672981331</v>
      </c>
    </row>
    <row r="12555" spans="1:4">
      <c r="A12555" s="1">
        <v>36483</v>
      </c>
      <c r="B12555">
        <v>1422</v>
      </c>
      <c r="C12555">
        <f t="shared" si="412"/>
        <v>-2.0632447682008047E-3</v>
      </c>
      <c r="D12555">
        <f t="shared" si="411"/>
        <v>-0.25078144312650053</v>
      </c>
    </row>
    <row r="12556" spans="1:4">
      <c r="A12556" s="1">
        <v>36486</v>
      </c>
      <c r="B12556">
        <v>1420.94</v>
      </c>
      <c r="C12556">
        <f t="shared" si="412"/>
        <v>-7.4542897327703613E-4</v>
      </c>
      <c r="D12556">
        <f t="shared" si="411"/>
        <v>-0.11162054312990392</v>
      </c>
    </row>
    <row r="12557" spans="1:4">
      <c r="A12557" s="1">
        <v>36487</v>
      </c>
      <c r="B12557">
        <v>1404.64</v>
      </c>
      <c r="C12557">
        <f t="shared" si="412"/>
        <v>-1.1471279575492247E-2</v>
      </c>
      <c r="D12557">
        <f t="shared" si="411"/>
        <v>-1.2442667208300655</v>
      </c>
    </row>
    <row r="12558" spans="1:4">
      <c r="A12558" s="1">
        <v>36488</v>
      </c>
      <c r="B12558">
        <v>1417.08</v>
      </c>
      <c r="C12558">
        <f t="shared" si="412"/>
        <v>8.8563617724113121E-3</v>
      </c>
      <c r="D12558">
        <f t="shared" si="411"/>
        <v>0.90232529580753107</v>
      </c>
    </row>
    <row r="12559" spans="1:4">
      <c r="A12559" s="1">
        <v>36490</v>
      </c>
      <c r="B12559">
        <v>1416.62</v>
      </c>
      <c r="C12559">
        <f t="shared" si="412"/>
        <v>-3.2461117226976344E-4</v>
      </c>
      <c r="D12559">
        <f t="shared" si="411"/>
        <v>-6.7182326386456589E-2</v>
      </c>
    </row>
    <row r="12560" spans="1:4">
      <c r="A12560" s="1">
        <v>36493</v>
      </c>
      <c r="B12560">
        <v>1407.83</v>
      </c>
      <c r="C12560">
        <f t="shared" si="412"/>
        <v>-6.2049102793974142E-3</v>
      </c>
      <c r="D12560">
        <f t="shared" si="411"/>
        <v>-0.68813991328835278</v>
      </c>
    </row>
    <row r="12561" spans="1:4">
      <c r="A12561" s="1">
        <v>36494</v>
      </c>
      <c r="B12561">
        <v>1388.91</v>
      </c>
      <c r="C12561">
        <f t="shared" si="412"/>
        <v>-1.3439122621339115E-2</v>
      </c>
      <c r="D12561">
        <f t="shared" si="411"/>
        <v>-1.4520702775691432</v>
      </c>
    </row>
    <row r="12562" spans="1:4">
      <c r="A12562" s="1">
        <v>36495</v>
      </c>
      <c r="B12562">
        <v>1397.72</v>
      </c>
      <c r="C12562">
        <f t="shared" si="412"/>
        <v>6.3431035848254711E-3</v>
      </c>
      <c r="D12562">
        <f t="shared" si="411"/>
        <v>0.63692608549643226</v>
      </c>
    </row>
    <row r="12563" spans="1:4">
      <c r="A12563" s="1">
        <v>36496</v>
      </c>
      <c r="B12563">
        <v>1409.04</v>
      </c>
      <c r="C12563">
        <f t="shared" si="412"/>
        <v>8.0989039292561713E-3</v>
      </c>
      <c r="D12563">
        <f t="shared" si="411"/>
        <v>0.82233800504277887</v>
      </c>
    </row>
    <row r="12564" spans="1:4">
      <c r="A12564" s="1">
        <v>36497</v>
      </c>
      <c r="B12564">
        <v>1433.3</v>
      </c>
      <c r="C12564">
        <f t="shared" si="412"/>
        <v>1.7217396241412587E-2</v>
      </c>
      <c r="D12564">
        <f t="shared" si="411"/>
        <v>1.7852476936803612</v>
      </c>
    </row>
    <row r="12565" spans="1:4">
      <c r="A12565" s="1">
        <v>36500</v>
      </c>
      <c r="B12565">
        <v>1423.33</v>
      </c>
      <c r="C12565">
        <f t="shared" si="412"/>
        <v>-6.9559757203656088E-3</v>
      </c>
      <c r="D12565">
        <f t="shared" si="411"/>
        <v>-0.76745216855504639</v>
      </c>
    </row>
    <row r="12566" spans="1:4">
      <c r="A12566" s="1">
        <v>36501</v>
      </c>
      <c r="B12566">
        <v>1409.17</v>
      </c>
      <c r="C12566">
        <f t="shared" si="412"/>
        <v>-9.9485010503536468E-3</v>
      </c>
      <c r="D12566">
        <f t="shared" si="411"/>
        <v>-1.0834618261929998</v>
      </c>
    </row>
    <row r="12567" spans="1:4">
      <c r="A12567" s="1">
        <v>36502</v>
      </c>
      <c r="B12567">
        <v>1403.88</v>
      </c>
      <c r="C12567">
        <f t="shared" si="412"/>
        <v>-3.7539828409630942E-3</v>
      </c>
      <c r="D12567">
        <f t="shared" si="411"/>
        <v>-0.42932280890040364</v>
      </c>
    </row>
    <row r="12568" spans="1:4">
      <c r="A12568" s="1">
        <v>36503</v>
      </c>
      <c r="B12568">
        <v>1408.11</v>
      </c>
      <c r="C12568">
        <f t="shared" si="412"/>
        <v>3.0130780408580437E-3</v>
      </c>
      <c r="D12568">
        <f t="shared" si="411"/>
        <v>0.28527651998415204</v>
      </c>
    </row>
    <row r="12569" spans="1:4">
      <c r="A12569" s="1">
        <v>36504</v>
      </c>
      <c r="B12569">
        <v>1417.04</v>
      </c>
      <c r="C12569">
        <f t="shared" si="412"/>
        <v>6.3418340896663362E-3</v>
      </c>
      <c r="D12569">
        <f t="shared" si="411"/>
        <v>0.63679202723914996</v>
      </c>
    </row>
    <row r="12570" spans="1:4">
      <c r="A12570" s="1">
        <v>36507</v>
      </c>
      <c r="B12570">
        <v>1415.22</v>
      </c>
      <c r="C12570">
        <f t="shared" si="412"/>
        <v>-1.2843674137638574E-3</v>
      </c>
      <c r="D12570">
        <f t="shared" si="411"/>
        <v>-0.16853225925123538</v>
      </c>
    </row>
    <row r="12571" spans="1:4">
      <c r="A12571" s="1">
        <v>36508</v>
      </c>
      <c r="B12571">
        <v>1403.17</v>
      </c>
      <c r="C12571">
        <f t="shared" si="412"/>
        <v>-8.5145772388744885E-3</v>
      </c>
      <c r="D12571">
        <f t="shared" si="411"/>
        <v>-0.93203995911518644</v>
      </c>
    </row>
    <row r="12572" spans="1:4">
      <c r="A12572" s="1">
        <v>36509</v>
      </c>
      <c r="B12572">
        <v>1413.33</v>
      </c>
      <c r="C12572">
        <f t="shared" si="412"/>
        <v>7.2407477354845488E-3</v>
      </c>
      <c r="D12572">
        <f t="shared" si="411"/>
        <v>0.73171700268195883</v>
      </c>
    </row>
    <row r="12573" spans="1:4">
      <c r="A12573" s="1">
        <v>36510</v>
      </c>
      <c r="B12573">
        <v>1418.78</v>
      </c>
      <c r="C12573">
        <f t="shared" si="412"/>
        <v>3.8561411701443014E-3</v>
      </c>
      <c r="D12573">
        <f t="shared" si="411"/>
        <v>0.37430369986569945</v>
      </c>
    </row>
    <row r="12574" spans="1:4">
      <c r="A12574" s="1">
        <v>36511</v>
      </c>
      <c r="B12574">
        <v>1421.03</v>
      </c>
      <c r="C12574">
        <f t="shared" si="412"/>
        <v>1.5858695498949802E-3</v>
      </c>
      <c r="D12574">
        <f t="shared" si="411"/>
        <v>0.13456378847018996</v>
      </c>
    </row>
    <row r="12575" spans="1:4">
      <c r="A12575" s="1">
        <v>36514</v>
      </c>
      <c r="B12575">
        <v>1418.09</v>
      </c>
      <c r="C12575">
        <f t="shared" si="412"/>
        <v>-2.068921838384872E-3</v>
      </c>
      <c r="D12575">
        <f t="shared" si="411"/>
        <v>-0.25138093980820814</v>
      </c>
    </row>
    <row r="12576" spans="1:4">
      <c r="A12576" s="1">
        <v>36515</v>
      </c>
      <c r="B12576">
        <v>1433.43</v>
      </c>
      <c r="C12576">
        <f t="shared" si="412"/>
        <v>1.0817367021839337E-2</v>
      </c>
      <c r="D12576">
        <f t="shared" si="411"/>
        <v>1.1094067835690589</v>
      </c>
    </row>
    <row r="12577" spans="1:4">
      <c r="A12577" s="1">
        <v>36516</v>
      </c>
      <c r="B12577">
        <v>1436.13</v>
      </c>
      <c r="C12577">
        <f t="shared" si="412"/>
        <v>1.8835938971558048E-3</v>
      </c>
      <c r="D12577">
        <f t="shared" si="411"/>
        <v>0.16600337833951029</v>
      </c>
    </row>
    <row r="12578" spans="1:4">
      <c r="A12578" s="1">
        <v>36517</v>
      </c>
      <c r="B12578">
        <v>1458.34</v>
      </c>
      <c r="C12578">
        <f t="shared" si="412"/>
        <v>1.5465173765606044E-2</v>
      </c>
      <c r="D12578">
        <f t="shared" si="411"/>
        <v>1.6002135958445491</v>
      </c>
    </row>
    <row r="12579" spans="1:4">
      <c r="A12579" s="1">
        <v>36521</v>
      </c>
      <c r="B12579">
        <v>1457.1</v>
      </c>
      <c r="C12579">
        <f t="shared" si="412"/>
        <v>-8.502818272830816E-4</v>
      </c>
      <c r="D12579">
        <f t="shared" si="411"/>
        <v>-0.12269296887172554</v>
      </c>
    </row>
    <row r="12580" spans="1:4">
      <c r="A12580" s="1">
        <v>36522</v>
      </c>
      <c r="B12580">
        <v>1457.66</v>
      </c>
      <c r="C12580">
        <f t="shared" si="412"/>
        <v>3.8432502916764316E-4</v>
      </c>
      <c r="D12580">
        <f t="shared" si="411"/>
        <v>7.6810955062101118E-3</v>
      </c>
    </row>
    <row r="12581" spans="1:4">
      <c r="A12581" s="1">
        <v>36523</v>
      </c>
      <c r="B12581">
        <v>1463.46</v>
      </c>
      <c r="C12581">
        <f t="shared" si="412"/>
        <v>3.9789800090555784E-3</v>
      </c>
      <c r="D12581">
        <f t="shared" si="411"/>
        <v>0.38727543949978022</v>
      </c>
    </row>
    <row r="12582" spans="1:4">
      <c r="A12582" s="1">
        <v>36524</v>
      </c>
      <c r="B12582">
        <v>1464.47</v>
      </c>
      <c r="C12582">
        <f t="shared" si="412"/>
        <v>6.9014527216322335E-4</v>
      </c>
      <c r="D12582">
        <f t="shared" si="411"/>
        <v>3.9975609213191952E-2</v>
      </c>
    </row>
    <row r="12583" spans="1:4">
      <c r="A12583" s="1">
        <v>36525</v>
      </c>
      <c r="B12583">
        <v>1469.25</v>
      </c>
      <c r="C12583">
        <f t="shared" si="412"/>
        <v>3.2639794601459727E-3</v>
      </c>
      <c r="D12583">
        <f t="shared" si="411"/>
        <v>0.31177162457542112</v>
      </c>
    </row>
    <row r="12584" spans="1:4">
      <c r="A12584" s="1">
        <v>36528</v>
      </c>
      <c r="B12584">
        <v>1455.22</v>
      </c>
      <c r="C12584">
        <f t="shared" si="412"/>
        <v>-9.5490896716011377E-3</v>
      </c>
      <c r="D12584">
        <f t="shared" si="411"/>
        <v>-1.041284120363259</v>
      </c>
    </row>
    <row r="12585" spans="1:4">
      <c r="A12585" s="1">
        <v>36529</v>
      </c>
      <c r="B12585">
        <v>1399.42</v>
      </c>
      <c r="C12585">
        <f t="shared" si="412"/>
        <v>-3.834471763719572E-2</v>
      </c>
      <c r="D12585">
        <f t="shared" si="411"/>
        <v>-4.0820926454205217</v>
      </c>
    </row>
    <row r="12586" spans="1:4">
      <c r="A12586" s="1">
        <v>36530</v>
      </c>
      <c r="B12586">
        <v>1402.11</v>
      </c>
      <c r="C12586">
        <f t="shared" si="412"/>
        <v>1.9222249217531742E-3</v>
      </c>
      <c r="D12586">
        <f t="shared" si="411"/>
        <v>0.17008280140566923</v>
      </c>
    </row>
    <row r="12587" spans="1:4">
      <c r="A12587" s="1">
        <v>36531</v>
      </c>
      <c r="B12587">
        <v>1403.45</v>
      </c>
      <c r="C12587">
        <f t="shared" si="412"/>
        <v>9.5570247698122514E-4</v>
      </c>
      <c r="D12587">
        <f t="shared" si="411"/>
        <v>6.8018359774693157E-2</v>
      </c>
    </row>
    <row r="12588" spans="1:4">
      <c r="A12588" s="1">
        <v>36532</v>
      </c>
      <c r="B12588">
        <v>1441.47</v>
      </c>
      <c r="C12588">
        <f t="shared" si="412"/>
        <v>2.7090384409847148E-2</v>
      </c>
      <c r="D12588">
        <f t="shared" si="411"/>
        <v>2.8278318882753131</v>
      </c>
    </row>
    <row r="12589" spans="1:4">
      <c r="A12589" s="1">
        <v>36535</v>
      </c>
      <c r="B12589">
        <v>1457.6</v>
      </c>
      <c r="C12589">
        <f t="shared" si="412"/>
        <v>1.1189965798802529E-2</v>
      </c>
      <c r="D12589">
        <f t="shared" si="411"/>
        <v>1.1487530877638938</v>
      </c>
    </row>
    <row r="12590" spans="1:4">
      <c r="A12590" s="1">
        <v>36536</v>
      </c>
      <c r="B12590">
        <v>1438.56</v>
      </c>
      <c r="C12590">
        <f t="shared" si="412"/>
        <v>-1.3062568605927529E-2</v>
      </c>
      <c r="D12590">
        <f t="shared" si="411"/>
        <v>-1.4123063015386086</v>
      </c>
    </row>
    <row r="12591" spans="1:4">
      <c r="A12591" s="1">
        <v>36537</v>
      </c>
      <c r="B12591">
        <v>1432.25</v>
      </c>
      <c r="C12591">
        <f t="shared" si="412"/>
        <v>-4.3863307752196263E-3</v>
      </c>
      <c r="D12591">
        <f t="shared" si="411"/>
        <v>-0.496098535812387</v>
      </c>
    </row>
    <row r="12592" spans="1:4">
      <c r="A12592" s="1">
        <v>36538</v>
      </c>
      <c r="B12592">
        <v>1449.68</v>
      </c>
      <c r="C12592">
        <f t="shared" si="412"/>
        <v>1.2169663117472553E-2</v>
      </c>
      <c r="D12592">
        <f t="shared" si="411"/>
        <v>1.2522087916001494</v>
      </c>
    </row>
    <row r="12593" spans="1:4">
      <c r="A12593" s="1">
        <v>36539</v>
      </c>
      <c r="B12593">
        <v>1465.15</v>
      </c>
      <c r="C12593">
        <f t="shared" si="412"/>
        <v>1.0671320567297629E-2</v>
      </c>
      <c r="D12593">
        <f t="shared" si="411"/>
        <v>1.0939843276130563</v>
      </c>
    </row>
    <row r="12594" spans="1:4">
      <c r="A12594" s="1">
        <v>36543</v>
      </c>
      <c r="B12594">
        <v>1455.14</v>
      </c>
      <c r="C12594">
        <f t="shared" si="412"/>
        <v>-6.8320649762822856E-3</v>
      </c>
      <c r="D12594">
        <f t="shared" si="411"/>
        <v>-0.7543672360991559</v>
      </c>
    </row>
    <row r="12595" spans="1:4">
      <c r="A12595" s="1">
        <v>36544</v>
      </c>
      <c r="B12595">
        <v>1455.9</v>
      </c>
      <c r="C12595">
        <f t="shared" si="412"/>
        <v>5.222865153868293E-4</v>
      </c>
      <c r="D12595">
        <f t="shared" si="411"/>
        <v>2.2249781555568473E-2</v>
      </c>
    </row>
    <row r="12596" spans="1:4">
      <c r="A12596" s="1">
        <v>36545</v>
      </c>
      <c r="B12596">
        <v>1445.57</v>
      </c>
      <c r="C12596">
        <f t="shared" si="412"/>
        <v>-7.0952675321108273E-3</v>
      </c>
      <c r="D12596">
        <f t="shared" si="411"/>
        <v>-0.78216133652775421</v>
      </c>
    </row>
    <row r="12597" spans="1:4">
      <c r="A12597" s="1">
        <v>36546</v>
      </c>
      <c r="B12597">
        <v>1441.36</v>
      </c>
      <c r="C12597">
        <f t="shared" si="412"/>
        <v>-2.9123459950054558E-3</v>
      </c>
      <c r="D12597">
        <f t="shared" si="411"/>
        <v>-0.34044624405354124</v>
      </c>
    </row>
    <row r="12598" spans="1:4">
      <c r="A12598" s="1">
        <v>36549</v>
      </c>
      <c r="B12598">
        <v>1401.53</v>
      </c>
      <c r="C12598">
        <f t="shared" si="412"/>
        <v>-2.7633623799744638E-2</v>
      </c>
      <c r="D12598">
        <f t="shared" si="411"/>
        <v>-2.951004777063384</v>
      </c>
    </row>
    <row r="12599" spans="1:4">
      <c r="A12599" s="1">
        <v>36550</v>
      </c>
      <c r="B12599">
        <v>1410.03</v>
      </c>
      <c r="C12599">
        <f t="shared" si="412"/>
        <v>6.0648006107610966E-3</v>
      </c>
      <c r="D12599">
        <f t="shared" si="411"/>
        <v>0.60753738603501162</v>
      </c>
    </row>
    <row r="12600" spans="1:4">
      <c r="A12600" s="1">
        <v>36551</v>
      </c>
      <c r="B12600">
        <v>1404.09</v>
      </c>
      <c r="C12600">
        <f t="shared" si="412"/>
        <v>-4.2126763260356553E-3</v>
      </c>
      <c r="D12600">
        <f t="shared" si="411"/>
        <v>-0.47776068500657493</v>
      </c>
    </row>
    <row r="12601" spans="1:4">
      <c r="A12601" s="1">
        <v>36552</v>
      </c>
      <c r="B12601">
        <v>1398.56</v>
      </c>
      <c r="C12601">
        <f t="shared" si="412"/>
        <v>-3.9384939711841638E-3</v>
      </c>
      <c r="D12601">
        <f t="shared" si="411"/>
        <v>-0.44880712153336816</v>
      </c>
    </row>
    <row r="12602" spans="1:4">
      <c r="A12602" s="1">
        <v>36553</v>
      </c>
      <c r="B12602">
        <v>1360.16</v>
      </c>
      <c r="C12602">
        <f t="shared" si="412"/>
        <v>-2.7456812721656464E-2</v>
      </c>
      <c r="D12602">
        <f t="shared" si="411"/>
        <v>-2.9323335873182788</v>
      </c>
    </row>
    <row r="12603" spans="1:4">
      <c r="A12603" s="1">
        <v>36556</v>
      </c>
      <c r="B12603">
        <v>1394.46</v>
      </c>
      <c r="C12603">
        <f t="shared" si="412"/>
        <v>2.5217621456299223E-2</v>
      </c>
      <c r="D12603">
        <f t="shared" si="411"/>
        <v>2.63006875696371</v>
      </c>
    </row>
    <row r="12604" spans="1:4">
      <c r="A12604" s="1">
        <v>36557</v>
      </c>
      <c r="B12604">
        <v>1409.28</v>
      </c>
      <c r="C12604">
        <f t="shared" si="412"/>
        <v>1.0627769889419514E-2</v>
      </c>
      <c r="D12604">
        <f t="shared" si="411"/>
        <v>1.0893853908327222</v>
      </c>
    </row>
    <row r="12605" spans="1:4">
      <c r="A12605" s="1">
        <v>36558</v>
      </c>
      <c r="B12605">
        <v>1409.12</v>
      </c>
      <c r="C12605">
        <f t="shared" si="412"/>
        <v>-1.1353315168034873E-4</v>
      </c>
      <c r="D12605">
        <f t="shared" si="411"/>
        <v>-4.4892559161119693E-2</v>
      </c>
    </row>
    <row r="12606" spans="1:4">
      <c r="A12606" s="1">
        <v>36559</v>
      </c>
      <c r="B12606">
        <v>1424.97</v>
      </c>
      <c r="C12606">
        <f t="shared" si="412"/>
        <v>1.1248154876802641E-2</v>
      </c>
      <c r="D12606">
        <f t="shared" si="411"/>
        <v>1.154897834621277</v>
      </c>
    </row>
    <row r="12607" spans="1:4">
      <c r="A12607" s="1">
        <v>36560</v>
      </c>
      <c r="B12607">
        <v>1424.37</v>
      </c>
      <c r="C12607">
        <f t="shared" si="412"/>
        <v>-4.2106149603159115E-4</v>
      </c>
      <c r="D12607">
        <f t="shared" si="411"/>
        <v>-7.7367447790647595E-2</v>
      </c>
    </row>
    <row r="12608" spans="1:4">
      <c r="A12608" s="1">
        <v>36563</v>
      </c>
      <c r="B12608">
        <v>1424.24</v>
      </c>
      <c r="C12608">
        <f t="shared" si="412"/>
        <v>-9.1268420424385363E-5</v>
      </c>
      <c r="D12608">
        <f t="shared" si="411"/>
        <v>-4.2541411108639834E-2</v>
      </c>
    </row>
    <row r="12609" spans="1:4">
      <c r="A12609" s="1">
        <v>36564</v>
      </c>
      <c r="B12609">
        <v>1441.72</v>
      </c>
      <c r="C12609">
        <f t="shared" si="412"/>
        <v>1.2273212379935979E-2</v>
      </c>
      <c r="D12609">
        <f t="shared" si="411"/>
        <v>1.2631435585181827</v>
      </c>
    </row>
    <row r="12610" spans="1:4">
      <c r="A12610" s="1">
        <v>36565</v>
      </c>
      <c r="B12610">
        <v>1411.71</v>
      </c>
      <c r="C12610">
        <f t="shared" si="412"/>
        <v>-2.0815414921066498E-2</v>
      </c>
      <c r="D12610">
        <f t="shared" si="411"/>
        <v>-2.2310042370967778</v>
      </c>
    </row>
    <row r="12611" spans="1:4">
      <c r="A12611" s="1">
        <v>36566</v>
      </c>
      <c r="B12611">
        <v>1416.83</v>
      </c>
      <c r="C12611">
        <f t="shared" si="412"/>
        <v>3.6268072054458003E-3</v>
      </c>
      <c r="D12611">
        <f t="shared" ref="D12611:D12674" si="413">(C12611-avg)/sd</f>
        <v>0.35008611114793997</v>
      </c>
    </row>
    <row r="12612" spans="1:4">
      <c r="A12612" s="1">
        <v>36567</v>
      </c>
      <c r="B12612">
        <v>1387.12</v>
      </c>
      <c r="C12612">
        <f t="shared" ref="C12612:C12675" si="414">(B12612-B12611)/B12611</f>
        <v>-2.0969347063515057E-2</v>
      </c>
      <c r="D12612">
        <f t="shared" si="413"/>
        <v>-2.2472594190152684</v>
      </c>
    </row>
    <row r="12613" spans="1:4">
      <c r="A12613" s="1">
        <v>36570</v>
      </c>
      <c r="B12613">
        <v>1389.94</v>
      </c>
      <c r="C12613">
        <f t="shared" si="414"/>
        <v>2.032989215064424E-3</v>
      </c>
      <c r="D12613">
        <f t="shared" si="413"/>
        <v>0.18177947312872456</v>
      </c>
    </row>
    <row r="12614" spans="1:4">
      <c r="A12614" s="1">
        <v>36571</v>
      </c>
      <c r="B12614">
        <v>1402.05</v>
      </c>
      <c r="C12614">
        <f t="shared" si="414"/>
        <v>8.7126062995524257E-3</v>
      </c>
      <c r="D12614">
        <f t="shared" si="413"/>
        <v>0.88714476673849207</v>
      </c>
    </row>
    <row r="12615" spans="1:4">
      <c r="A12615" s="1">
        <v>36572</v>
      </c>
      <c r="B12615">
        <v>1387.67</v>
      </c>
      <c r="C12615">
        <f t="shared" si="414"/>
        <v>-1.0256410256410173E-2</v>
      </c>
      <c r="D12615">
        <f t="shared" si="413"/>
        <v>-1.1159769336891445</v>
      </c>
    </row>
    <row r="12616" spans="1:4">
      <c r="A12616" s="1">
        <v>36573</v>
      </c>
      <c r="B12616">
        <v>1388.26</v>
      </c>
      <c r="C12616">
        <f t="shared" si="414"/>
        <v>4.2517313194053206E-4</v>
      </c>
      <c r="D12616">
        <f t="shared" si="413"/>
        <v>1.1994641274082412E-2</v>
      </c>
    </row>
    <row r="12617" spans="1:4">
      <c r="A12617" s="1">
        <v>36574</v>
      </c>
      <c r="B12617">
        <v>1346.09</v>
      </c>
      <c r="C12617">
        <f t="shared" si="414"/>
        <v>-3.0376154322677359E-2</v>
      </c>
      <c r="D12617">
        <f t="shared" si="413"/>
        <v>-3.2406150680536601</v>
      </c>
    </row>
    <row r="12618" spans="1:4">
      <c r="A12618" s="1">
        <v>36578</v>
      </c>
      <c r="B12618">
        <v>1352.17</v>
      </c>
      <c r="C12618">
        <f t="shared" si="414"/>
        <v>4.5167856532625271E-3</v>
      </c>
      <c r="D12618">
        <f t="shared" si="413"/>
        <v>0.44406753271901322</v>
      </c>
    </row>
    <row r="12619" spans="1:4">
      <c r="A12619" s="1">
        <v>36579</v>
      </c>
      <c r="B12619">
        <v>1360.69</v>
      </c>
      <c r="C12619">
        <f t="shared" si="414"/>
        <v>6.3009828645806234E-3</v>
      </c>
      <c r="D12619">
        <f t="shared" si="413"/>
        <v>0.63247815175610478</v>
      </c>
    </row>
    <row r="12620" spans="1:4">
      <c r="A12620" s="1">
        <v>36580</v>
      </c>
      <c r="B12620">
        <v>1353.43</v>
      </c>
      <c r="C12620">
        <f t="shared" si="414"/>
        <v>-5.3355282981428472E-3</v>
      </c>
      <c r="D12620">
        <f t="shared" si="413"/>
        <v>-0.59633347158516437</v>
      </c>
    </row>
    <row r="12621" spans="1:4">
      <c r="A12621" s="1">
        <v>36581</v>
      </c>
      <c r="B12621">
        <v>1333.36</v>
      </c>
      <c r="C12621">
        <f t="shared" si="414"/>
        <v>-1.4828990047509042E-2</v>
      </c>
      <c r="D12621">
        <f t="shared" si="413"/>
        <v>-1.5988398053337949</v>
      </c>
    </row>
    <row r="12622" spans="1:4">
      <c r="A12622" s="1">
        <v>36584</v>
      </c>
      <c r="B12622">
        <v>1348.05</v>
      </c>
      <c r="C12622">
        <f t="shared" si="414"/>
        <v>1.1017279654406954E-2</v>
      </c>
      <c r="D12622">
        <f t="shared" si="413"/>
        <v>1.1305174896145935</v>
      </c>
    </row>
    <row r="12623" spans="1:4">
      <c r="A12623" s="1">
        <v>36585</v>
      </c>
      <c r="B12623">
        <v>1366.42</v>
      </c>
      <c r="C12623">
        <f t="shared" si="414"/>
        <v>1.3627090983272222E-2</v>
      </c>
      <c r="D12623">
        <f t="shared" si="413"/>
        <v>1.4061126788247924</v>
      </c>
    </row>
    <row r="12624" spans="1:4">
      <c r="A12624" s="1">
        <v>36586</v>
      </c>
      <c r="B12624">
        <v>1379.19</v>
      </c>
      <c r="C12624">
        <f t="shared" si="414"/>
        <v>9.3455892039050817E-3</v>
      </c>
      <c r="D12624">
        <f t="shared" si="413"/>
        <v>0.95398754627678917</v>
      </c>
    </row>
    <row r="12625" spans="1:4">
      <c r="A12625" s="1">
        <v>36587</v>
      </c>
      <c r="B12625">
        <v>1381.76</v>
      </c>
      <c r="C12625">
        <f t="shared" si="414"/>
        <v>1.8634125827477984E-3</v>
      </c>
      <c r="D12625">
        <f t="shared" si="413"/>
        <v>0.1638722383979869</v>
      </c>
    </row>
    <row r="12626" spans="1:4">
      <c r="A12626" s="1">
        <v>36588</v>
      </c>
      <c r="B12626">
        <v>1409.17</v>
      </c>
      <c r="C12626">
        <f t="shared" si="414"/>
        <v>1.9837019453450733E-2</v>
      </c>
      <c r="D12626">
        <f t="shared" si="413"/>
        <v>2.0618790144183947</v>
      </c>
    </row>
    <row r="12627" spans="1:4">
      <c r="A12627" s="1">
        <v>36591</v>
      </c>
      <c r="B12627">
        <v>1391.28</v>
      </c>
      <c r="C12627">
        <f t="shared" si="414"/>
        <v>-1.2695416450818637E-2</v>
      </c>
      <c r="D12627">
        <f t="shared" si="413"/>
        <v>-1.3735351587601909</v>
      </c>
    </row>
    <row r="12628" spans="1:4">
      <c r="A12628" s="1">
        <v>36592</v>
      </c>
      <c r="B12628">
        <v>1355.62</v>
      </c>
      <c r="C12628">
        <f t="shared" si="414"/>
        <v>-2.5631073543787075E-2</v>
      </c>
      <c r="D12628">
        <f t="shared" si="413"/>
        <v>-2.7395361507341711</v>
      </c>
    </row>
    <row r="12629" spans="1:4">
      <c r="A12629" s="1">
        <v>36593</v>
      </c>
      <c r="B12629">
        <v>1366.7</v>
      </c>
      <c r="C12629">
        <f t="shared" si="414"/>
        <v>8.1733819211874687E-3</v>
      </c>
      <c r="D12629">
        <f t="shared" si="413"/>
        <v>0.83020285567442442</v>
      </c>
    </row>
    <row r="12630" spans="1:4">
      <c r="A12630" s="1">
        <v>36594</v>
      </c>
      <c r="B12630">
        <v>1401.69</v>
      </c>
      <c r="C12630">
        <f t="shared" si="414"/>
        <v>2.5601814589888056E-2</v>
      </c>
      <c r="D12630">
        <f t="shared" si="413"/>
        <v>2.6706394212770994</v>
      </c>
    </row>
    <row r="12631" spans="1:4">
      <c r="A12631" s="1">
        <v>36595</v>
      </c>
      <c r="B12631">
        <v>1395.07</v>
      </c>
      <c r="C12631">
        <f t="shared" si="414"/>
        <v>-4.7228702494846349E-3</v>
      </c>
      <c r="D12631">
        <f t="shared" si="413"/>
        <v>-0.53163698989944641</v>
      </c>
    </row>
    <row r="12632" spans="1:4">
      <c r="A12632" s="1">
        <v>36598</v>
      </c>
      <c r="B12632">
        <v>1383.62</v>
      </c>
      <c r="C12632">
        <f t="shared" si="414"/>
        <v>-8.2074734601131454E-3</v>
      </c>
      <c r="D12632">
        <f t="shared" si="413"/>
        <v>-0.89960990446763511</v>
      </c>
    </row>
    <row r="12633" spans="1:4">
      <c r="A12633" s="1">
        <v>36599</v>
      </c>
      <c r="B12633">
        <v>1359.15</v>
      </c>
      <c r="C12633">
        <f t="shared" si="414"/>
        <v>-1.7685491681241818E-2</v>
      </c>
      <c r="D12633">
        <f t="shared" si="413"/>
        <v>-1.9004854068838937</v>
      </c>
    </row>
    <row r="12634" spans="1:4">
      <c r="A12634" s="1">
        <v>36600</v>
      </c>
      <c r="B12634">
        <v>1392.14</v>
      </c>
      <c r="C12634">
        <f t="shared" si="414"/>
        <v>2.4272523268219114E-2</v>
      </c>
      <c r="D12634">
        <f t="shared" si="413"/>
        <v>2.5302667095569338</v>
      </c>
    </row>
    <row r="12635" spans="1:4">
      <c r="A12635" s="1">
        <v>36601</v>
      </c>
      <c r="B12635">
        <v>1458.47</v>
      </c>
      <c r="C12635">
        <f t="shared" si="414"/>
        <v>4.7646070079158651E-2</v>
      </c>
      <c r="D12635">
        <f t="shared" si="413"/>
        <v>4.9985053077375579</v>
      </c>
    </row>
    <row r="12636" spans="1:4">
      <c r="A12636" s="1">
        <v>36602</v>
      </c>
      <c r="B12636">
        <v>1464.47</v>
      </c>
      <c r="C12636">
        <f t="shared" si="414"/>
        <v>4.1139001830685579E-3</v>
      </c>
      <c r="D12636">
        <f t="shared" si="413"/>
        <v>0.40152296401395537</v>
      </c>
    </row>
    <row r="12637" spans="1:4">
      <c r="A12637" s="1">
        <v>36605</v>
      </c>
      <c r="B12637">
        <v>1456.63</v>
      </c>
      <c r="C12637">
        <f t="shared" si="414"/>
        <v>-5.3534725873523653E-3</v>
      </c>
      <c r="D12637">
        <f t="shared" si="413"/>
        <v>-0.5982283824261293</v>
      </c>
    </row>
    <row r="12638" spans="1:4">
      <c r="A12638" s="1">
        <v>36606</v>
      </c>
      <c r="B12638">
        <v>1493.87</v>
      </c>
      <c r="C12638">
        <f t="shared" si="414"/>
        <v>2.5565860925560905E-2</v>
      </c>
      <c r="D12638">
        <f t="shared" si="413"/>
        <v>2.6668427265453967</v>
      </c>
    </row>
    <row r="12639" spans="1:4">
      <c r="A12639" s="1">
        <v>36607</v>
      </c>
      <c r="B12639">
        <v>1500.64</v>
      </c>
      <c r="C12639">
        <f t="shared" si="414"/>
        <v>4.5318535080028444E-3</v>
      </c>
      <c r="D12639">
        <f t="shared" si="413"/>
        <v>0.44565869305777805</v>
      </c>
    </row>
    <row r="12640" spans="1:4">
      <c r="A12640" s="1">
        <v>36608</v>
      </c>
      <c r="B12640">
        <v>1527.35</v>
      </c>
      <c r="C12640">
        <f t="shared" si="414"/>
        <v>1.7799072395777674E-2</v>
      </c>
      <c r="D12640">
        <f t="shared" si="413"/>
        <v>1.8466724978599827</v>
      </c>
    </row>
    <row r="12641" spans="1:4">
      <c r="A12641" s="1">
        <v>36609</v>
      </c>
      <c r="B12641">
        <v>1527.46</v>
      </c>
      <c r="C12641">
        <f t="shared" si="414"/>
        <v>7.2020165646464351E-5</v>
      </c>
      <c r="D12641">
        <f t="shared" si="413"/>
        <v>-2.5298191924045327E-2</v>
      </c>
    </row>
    <row r="12642" spans="1:4">
      <c r="A12642" s="1">
        <v>36612</v>
      </c>
      <c r="B12642">
        <v>1523.86</v>
      </c>
      <c r="C12642">
        <f t="shared" si="414"/>
        <v>-2.3568538619670146E-3</v>
      </c>
      <c r="D12642">
        <f t="shared" si="413"/>
        <v>-0.2817864636256322</v>
      </c>
    </row>
    <row r="12643" spans="1:4">
      <c r="A12643" s="1">
        <v>36613</v>
      </c>
      <c r="B12643">
        <v>1507.73</v>
      </c>
      <c r="C12643">
        <f t="shared" si="414"/>
        <v>-1.0584961873137875E-2</v>
      </c>
      <c r="D12643">
        <f t="shared" si="413"/>
        <v>-1.150671872735469</v>
      </c>
    </row>
    <row r="12644" spans="1:4">
      <c r="A12644" s="1">
        <v>36614</v>
      </c>
      <c r="B12644">
        <v>1508.52</v>
      </c>
      <c r="C12644">
        <f t="shared" si="414"/>
        <v>5.2396649267439374E-4</v>
      </c>
      <c r="D12644">
        <f t="shared" si="413"/>
        <v>2.2427186586083253E-2</v>
      </c>
    </row>
    <row r="12645" spans="1:4">
      <c r="A12645" s="1">
        <v>36615</v>
      </c>
      <c r="B12645">
        <v>1487.92</v>
      </c>
      <c r="C12645">
        <f t="shared" si="414"/>
        <v>-1.3655768567867784E-2</v>
      </c>
      <c r="D12645">
        <f t="shared" si="413"/>
        <v>-1.4749480158810355</v>
      </c>
    </row>
    <row r="12646" spans="1:4">
      <c r="A12646" s="1">
        <v>36616</v>
      </c>
      <c r="B12646">
        <v>1498.58</v>
      </c>
      <c r="C12646">
        <f t="shared" si="414"/>
        <v>7.1643636754663243E-3</v>
      </c>
      <c r="D12646">
        <f t="shared" si="413"/>
        <v>0.72365087190823785</v>
      </c>
    </row>
    <row r="12647" spans="1:4">
      <c r="A12647" s="1">
        <v>36619</v>
      </c>
      <c r="B12647">
        <v>1505.97</v>
      </c>
      <c r="C12647">
        <f t="shared" si="414"/>
        <v>4.9313349971306843E-3</v>
      </c>
      <c r="D12647">
        <f t="shared" si="413"/>
        <v>0.48784380251932208</v>
      </c>
    </row>
    <row r="12648" spans="1:4">
      <c r="A12648" s="1">
        <v>36620</v>
      </c>
      <c r="B12648">
        <v>1494.73</v>
      </c>
      <c r="C12648">
        <f t="shared" si="414"/>
        <v>-7.4636280935211248E-3</v>
      </c>
      <c r="D12648">
        <f t="shared" si="413"/>
        <v>-0.82106008660084306</v>
      </c>
    </row>
    <row r="12649" spans="1:4">
      <c r="A12649" s="1">
        <v>36621</v>
      </c>
      <c r="B12649">
        <v>1487.37</v>
      </c>
      <c r="C12649">
        <f t="shared" si="414"/>
        <v>-4.9239662012538236E-3</v>
      </c>
      <c r="D12649">
        <f t="shared" si="413"/>
        <v>-0.55287265405043751</v>
      </c>
    </row>
    <row r="12650" spans="1:4">
      <c r="A12650" s="1">
        <v>36622</v>
      </c>
      <c r="B12650">
        <v>1501.34</v>
      </c>
      <c r="C12650">
        <f t="shared" si="414"/>
        <v>9.3924174885872576E-3</v>
      </c>
      <c r="D12650">
        <f t="shared" si="413"/>
        <v>0.95893259722151958</v>
      </c>
    </row>
    <row r="12651" spans="1:4">
      <c r="A12651" s="1">
        <v>36623</v>
      </c>
      <c r="B12651">
        <v>1516.35</v>
      </c>
      <c r="C12651">
        <f t="shared" si="414"/>
        <v>9.9977353564149312E-3</v>
      </c>
      <c r="D12651">
        <f t="shared" si="413"/>
        <v>1.0228539583065814</v>
      </c>
    </row>
    <row r="12652" spans="1:4">
      <c r="A12652" s="1">
        <v>36626</v>
      </c>
      <c r="B12652">
        <v>1504.46</v>
      </c>
      <c r="C12652">
        <f t="shared" si="414"/>
        <v>-7.8411976126882797E-3</v>
      </c>
      <c r="D12652">
        <f t="shared" si="413"/>
        <v>-0.86093129948277913</v>
      </c>
    </row>
    <row r="12653" spans="1:4">
      <c r="A12653" s="1">
        <v>36627</v>
      </c>
      <c r="B12653">
        <v>1500.59</v>
      </c>
      <c r="C12653">
        <f t="shared" si="414"/>
        <v>-2.5723515414169326E-3</v>
      </c>
      <c r="D12653">
        <f t="shared" si="413"/>
        <v>-0.30454294532432319</v>
      </c>
    </row>
    <row r="12654" spans="1:4">
      <c r="A12654" s="1">
        <v>36628</v>
      </c>
      <c r="B12654">
        <v>1467.17</v>
      </c>
      <c r="C12654">
        <f t="shared" si="414"/>
        <v>-2.2271239978941513E-2</v>
      </c>
      <c r="D12654">
        <f t="shared" si="413"/>
        <v>-2.3847388683493982</v>
      </c>
    </row>
    <row r="12655" spans="1:4">
      <c r="A12655" s="1">
        <v>36629</v>
      </c>
      <c r="B12655">
        <v>1440.51</v>
      </c>
      <c r="C12655">
        <f t="shared" si="414"/>
        <v>-1.8171036757839976E-2</v>
      </c>
      <c r="D12655">
        <f t="shared" si="413"/>
        <v>-1.9517588019278687</v>
      </c>
    </row>
    <row r="12656" spans="1:4">
      <c r="A12656" s="1">
        <v>36630</v>
      </c>
      <c r="B12656">
        <v>1356.56</v>
      </c>
      <c r="C12656">
        <f t="shared" si="414"/>
        <v>-5.8277970996383259E-2</v>
      </c>
      <c r="D12656">
        <f t="shared" si="413"/>
        <v>-6.1870374245086976</v>
      </c>
    </row>
    <row r="12657" spans="1:4">
      <c r="A12657" s="1">
        <v>36633</v>
      </c>
      <c r="B12657">
        <v>1401.44</v>
      </c>
      <c r="C12657">
        <f t="shared" si="414"/>
        <v>3.3083682255115966E-2</v>
      </c>
      <c r="D12657">
        <f t="shared" si="413"/>
        <v>3.4607221035147795</v>
      </c>
    </row>
    <row r="12658" spans="1:4">
      <c r="A12658" s="1">
        <v>36634</v>
      </c>
      <c r="B12658">
        <v>1441.61</v>
      </c>
      <c r="C12658">
        <f t="shared" si="414"/>
        <v>2.8663374814476426E-2</v>
      </c>
      <c r="D12658">
        <f t="shared" si="413"/>
        <v>2.9939391403187474</v>
      </c>
    </row>
    <row r="12659" spans="1:4">
      <c r="A12659" s="1">
        <v>36635</v>
      </c>
      <c r="B12659">
        <v>1427.47</v>
      </c>
      <c r="C12659">
        <f t="shared" si="414"/>
        <v>-9.8084780211013193E-3</v>
      </c>
      <c r="D12659">
        <f t="shared" si="413"/>
        <v>-1.0686754419000943</v>
      </c>
    </row>
    <row r="12660" spans="1:4">
      <c r="A12660" s="1">
        <v>36636</v>
      </c>
      <c r="B12660">
        <v>1434.54</v>
      </c>
      <c r="C12660">
        <f t="shared" si="414"/>
        <v>4.9528186231584106E-3</v>
      </c>
      <c r="D12660">
        <f t="shared" si="413"/>
        <v>0.4901124661252107</v>
      </c>
    </row>
    <row r="12661" spans="1:4">
      <c r="A12661" s="1">
        <v>36640</v>
      </c>
      <c r="B12661">
        <v>1429.86</v>
      </c>
      <c r="C12661">
        <f t="shared" si="414"/>
        <v>-3.2623698188966942E-3</v>
      </c>
      <c r="D12661">
        <f t="shared" si="413"/>
        <v>-0.37740864087757736</v>
      </c>
    </row>
    <row r="12662" spans="1:4">
      <c r="A12662" s="1">
        <v>36641</v>
      </c>
      <c r="B12662">
        <v>1477.44</v>
      </c>
      <c r="C12662">
        <f t="shared" si="414"/>
        <v>3.327598506147466E-2</v>
      </c>
      <c r="D12662">
        <f t="shared" si="413"/>
        <v>3.4810292144993578</v>
      </c>
    </row>
    <row r="12663" spans="1:4">
      <c r="A12663" s="1">
        <v>36642</v>
      </c>
      <c r="B12663">
        <v>1460.99</v>
      </c>
      <c r="C12663">
        <f t="shared" si="414"/>
        <v>-1.1134123889971873E-2</v>
      </c>
      <c r="D12663">
        <f t="shared" si="413"/>
        <v>-1.2086631950439</v>
      </c>
    </row>
    <row r="12664" spans="1:4">
      <c r="A12664" s="1">
        <v>36643</v>
      </c>
      <c r="B12664">
        <v>1464.92</v>
      </c>
      <c r="C12664">
        <f t="shared" si="414"/>
        <v>2.6899568101082577E-3</v>
      </c>
      <c r="D12664">
        <f t="shared" si="413"/>
        <v>0.25115502785121757</v>
      </c>
    </row>
    <row r="12665" spans="1:4">
      <c r="A12665" s="1">
        <v>36644</v>
      </c>
      <c r="B12665">
        <v>1452.43</v>
      </c>
      <c r="C12665">
        <f t="shared" si="414"/>
        <v>-8.5260628566747737E-3</v>
      </c>
      <c r="D12665">
        <f t="shared" si="413"/>
        <v>-0.93325283645074542</v>
      </c>
    </row>
    <row r="12666" spans="1:4">
      <c r="A12666" s="1">
        <v>36647</v>
      </c>
      <c r="B12666">
        <v>1468.25</v>
      </c>
      <c r="C12666">
        <f t="shared" si="414"/>
        <v>1.089209118511731E-2</v>
      </c>
      <c r="D12666">
        <f t="shared" si="413"/>
        <v>1.1172976298112356</v>
      </c>
    </row>
    <row r="12667" spans="1:4">
      <c r="A12667" s="1">
        <v>36648</v>
      </c>
      <c r="B12667">
        <v>1446.29</v>
      </c>
      <c r="C12667">
        <f t="shared" si="414"/>
        <v>-1.4956580963732358E-2</v>
      </c>
      <c r="D12667">
        <f t="shared" si="413"/>
        <v>-1.6123133627167172</v>
      </c>
    </row>
    <row r="12668" spans="1:4">
      <c r="A12668" s="1">
        <v>36649</v>
      </c>
      <c r="B12668">
        <v>1415.1</v>
      </c>
      <c r="C12668">
        <f t="shared" si="414"/>
        <v>-2.15655228204579E-2</v>
      </c>
      <c r="D12668">
        <f t="shared" si="413"/>
        <v>-2.3102153762984461</v>
      </c>
    </row>
    <row r="12669" spans="1:4">
      <c r="A12669" s="1">
        <v>36650</v>
      </c>
      <c r="B12669">
        <v>1409.57</v>
      </c>
      <c r="C12669">
        <f t="shared" si="414"/>
        <v>-3.9078510352625068E-3</v>
      </c>
      <c r="D12669">
        <f t="shared" si="413"/>
        <v>-0.44557123791608122</v>
      </c>
    </row>
    <row r="12670" spans="1:4">
      <c r="A12670" s="1">
        <v>36651</v>
      </c>
      <c r="B12670">
        <v>1432.63</v>
      </c>
      <c r="C12670">
        <f t="shared" si="414"/>
        <v>1.635959902665364E-2</v>
      </c>
      <c r="D12670">
        <f t="shared" si="413"/>
        <v>1.6946645993812568</v>
      </c>
    </row>
    <row r="12671" spans="1:4">
      <c r="A12671" s="1">
        <v>36654</v>
      </c>
      <c r="B12671">
        <v>1424.17</v>
      </c>
      <c r="C12671">
        <f t="shared" si="414"/>
        <v>-5.9052232607163298E-3</v>
      </c>
      <c r="D12671">
        <f t="shared" si="413"/>
        <v>-0.65649306598419754</v>
      </c>
    </row>
    <row r="12672" spans="1:4">
      <c r="A12672" s="1">
        <v>36655</v>
      </c>
      <c r="B12672">
        <v>1412.14</v>
      </c>
      <c r="C12672">
        <f t="shared" si="414"/>
        <v>-8.4470252849027667E-3</v>
      </c>
      <c r="D12672">
        <f t="shared" si="413"/>
        <v>-0.92490649573779748</v>
      </c>
    </row>
    <row r="12673" spans="1:4">
      <c r="A12673" s="1">
        <v>36656</v>
      </c>
      <c r="B12673">
        <v>1383.05</v>
      </c>
      <c r="C12673">
        <f t="shared" si="414"/>
        <v>-2.059994051581298E-2</v>
      </c>
      <c r="D12673">
        <f t="shared" si="413"/>
        <v>-2.2082502131453152</v>
      </c>
    </row>
    <row r="12674" spans="1:4">
      <c r="A12674" s="1">
        <v>36657</v>
      </c>
      <c r="B12674">
        <v>1407.81</v>
      </c>
      <c r="C12674">
        <f t="shared" si="414"/>
        <v>1.7902461950037953E-2</v>
      </c>
      <c r="D12674">
        <f t="shared" si="413"/>
        <v>1.857590399646051</v>
      </c>
    </row>
    <row r="12675" spans="1:4">
      <c r="A12675" s="1">
        <v>36658</v>
      </c>
      <c r="B12675">
        <v>1420.96</v>
      </c>
      <c r="C12675">
        <f t="shared" si="414"/>
        <v>9.3407491067687334E-3</v>
      </c>
      <c r="D12675">
        <f t="shared" ref="D12675:D12738" si="415">(C12675-avg)/sd</f>
        <v>0.95347643366441981</v>
      </c>
    </row>
    <row r="12676" spans="1:4">
      <c r="A12676" s="1">
        <v>36661</v>
      </c>
      <c r="B12676">
        <v>1452.36</v>
      </c>
      <c r="C12676">
        <f t="shared" ref="C12676:C12739" si="416">(B12676-B12675)/B12675</f>
        <v>2.209773674135786E-2</v>
      </c>
      <c r="D12676">
        <f t="shared" si="415"/>
        <v>2.3006099915662439</v>
      </c>
    </row>
    <row r="12677" spans="1:4">
      <c r="A12677" s="1">
        <v>36662</v>
      </c>
      <c r="B12677">
        <v>1466.04</v>
      </c>
      <c r="C12677">
        <f t="shared" si="416"/>
        <v>9.4191522762951778E-3</v>
      </c>
      <c r="D12677">
        <f t="shared" si="415"/>
        <v>0.96175578171588005</v>
      </c>
    </row>
    <row r="12678" spans="1:4">
      <c r="A12678" s="1">
        <v>36663</v>
      </c>
      <c r="B12678">
        <v>1447.8</v>
      </c>
      <c r="C12678">
        <f t="shared" si="416"/>
        <v>-1.2441679626749618E-2</v>
      </c>
      <c r="D12678">
        <f t="shared" si="415"/>
        <v>-1.3467406363878398</v>
      </c>
    </row>
    <row r="12679" spans="1:4">
      <c r="A12679" s="1">
        <v>36664</v>
      </c>
      <c r="B12679">
        <v>1437.21</v>
      </c>
      <c r="C12679">
        <f t="shared" si="416"/>
        <v>-7.3145462080397286E-3</v>
      </c>
      <c r="D12679">
        <f t="shared" si="415"/>
        <v>-0.80531709016940267</v>
      </c>
    </row>
    <row r="12680" spans="1:4">
      <c r="A12680" s="1">
        <v>36665</v>
      </c>
      <c r="B12680">
        <v>1406.95</v>
      </c>
      <c r="C12680">
        <f t="shared" si="416"/>
        <v>-2.1054682335914718E-2</v>
      </c>
      <c r="D12680">
        <f t="shared" si="415"/>
        <v>-2.2562707947738039</v>
      </c>
    </row>
    <row r="12681" spans="1:4">
      <c r="A12681" s="1">
        <v>36668</v>
      </c>
      <c r="B12681">
        <v>1400.72</v>
      </c>
      <c r="C12681">
        <f t="shared" si="416"/>
        <v>-4.4280180532357358E-3</v>
      </c>
      <c r="D12681">
        <f t="shared" si="415"/>
        <v>-0.50050069820069387</v>
      </c>
    </row>
    <row r="12682" spans="1:4">
      <c r="A12682" s="1">
        <v>36669</v>
      </c>
      <c r="B12682">
        <v>1373.86</v>
      </c>
      <c r="C12682">
        <f t="shared" si="416"/>
        <v>-1.9175852418756158E-2</v>
      </c>
      <c r="D12682">
        <f t="shared" si="415"/>
        <v>-2.057866994167179</v>
      </c>
    </row>
    <row r="12683" spans="1:4">
      <c r="A12683" s="1">
        <v>36670</v>
      </c>
      <c r="B12683">
        <v>1399.05</v>
      </c>
      <c r="C12683">
        <f t="shared" si="416"/>
        <v>1.8335201548920602E-2</v>
      </c>
      <c r="D12683">
        <f t="shared" si="415"/>
        <v>1.9032875541927223</v>
      </c>
    </row>
    <row r="12684" spans="1:4">
      <c r="A12684" s="1">
        <v>36671</v>
      </c>
      <c r="B12684">
        <v>1381.52</v>
      </c>
      <c r="C12684">
        <f t="shared" si="416"/>
        <v>-1.2529931024623834E-2</v>
      </c>
      <c r="D12684">
        <f t="shared" si="415"/>
        <v>-1.3560599540052491</v>
      </c>
    </row>
    <row r="12685" spans="1:4">
      <c r="A12685" s="1">
        <v>36672</v>
      </c>
      <c r="B12685">
        <v>1378.02</v>
      </c>
      <c r="C12685">
        <f t="shared" si="416"/>
        <v>-2.5334414268342116E-3</v>
      </c>
      <c r="D12685">
        <f t="shared" si="415"/>
        <v>-0.30043405045057842</v>
      </c>
    </row>
    <row r="12686" spans="1:4">
      <c r="A12686" s="1">
        <v>36676</v>
      </c>
      <c r="B12686">
        <v>1422.45</v>
      </c>
      <c r="C12686">
        <f t="shared" si="416"/>
        <v>3.224191230896508E-2</v>
      </c>
      <c r="D12686">
        <f t="shared" si="415"/>
        <v>3.3718314833327532</v>
      </c>
    </row>
    <row r="12687" spans="1:4">
      <c r="A12687" s="1">
        <v>36677</v>
      </c>
      <c r="B12687">
        <v>1420.6</v>
      </c>
      <c r="C12687">
        <f t="shared" si="416"/>
        <v>-1.3005729551127537E-3</v>
      </c>
      <c r="D12687">
        <f t="shared" si="415"/>
        <v>-0.17024355890914766</v>
      </c>
    </row>
    <row r="12688" spans="1:4">
      <c r="A12688" s="1">
        <v>36678</v>
      </c>
      <c r="B12688">
        <v>1448.81</v>
      </c>
      <c r="C12688">
        <f t="shared" si="416"/>
        <v>1.9857806560608222E-2</v>
      </c>
      <c r="D12688">
        <f t="shared" si="415"/>
        <v>2.0640741258683444</v>
      </c>
    </row>
    <row r="12689" spans="1:4">
      <c r="A12689" s="1">
        <v>36679</v>
      </c>
      <c r="B12689">
        <v>1477.26</v>
      </c>
      <c r="C12689">
        <f t="shared" si="416"/>
        <v>1.9636805378206973E-2</v>
      </c>
      <c r="D12689">
        <f t="shared" si="415"/>
        <v>2.0407364761287243</v>
      </c>
    </row>
    <row r="12690" spans="1:4">
      <c r="A12690" s="1">
        <v>36682</v>
      </c>
      <c r="B12690">
        <v>1467.63</v>
      </c>
      <c r="C12690">
        <f t="shared" si="416"/>
        <v>-6.5188253929571519E-3</v>
      </c>
      <c r="D12690">
        <f t="shared" si="415"/>
        <v>-0.72128924257532945</v>
      </c>
    </row>
    <row r="12691" spans="1:4">
      <c r="A12691" s="1">
        <v>36683</v>
      </c>
      <c r="B12691">
        <v>1457.84</v>
      </c>
      <c r="C12691">
        <f t="shared" si="416"/>
        <v>-6.6706186164088976E-3</v>
      </c>
      <c r="D12691">
        <f t="shared" si="415"/>
        <v>-0.73731855537481017</v>
      </c>
    </row>
    <row r="12692" spans="1:4">
      <c r="A12692" s="1">
        <v>36684</v>
      </c>
      <c r="B12692">
        <v>1471.36</v>
      </c>
      <c r="C12692">
        <f t="shared" si="416"/>
        <v>9.2739944026779229E-3</v>
      </c>
      <c r="D12692">
        <f t="shared" si="415"/>
        <v>0.94642715960345658</v>
      </c>
    </row>
    <row r="12693" spans="1:4">
      <c r="A12693" s="1">
        <v>36685</v>
      </c>
      <c r="B12693">
        <v>1461.67</v>
      </c>
      <c r="C12693">
        <f t="shared" si="416"/>
        <v>-6.5857438016527752E-3</v>
      </c>
      <c r="D12693">
        <f t="shared" si="415"/>
        <v>-0.728355803786915</v>
      </c>
    </row>
    <row r="12694" spans="1:4">
      <c r="A12694" s="1">
        <v>36686</v>
      </c>
      <c r="B12694">
        <v>1456.95</v>
      </c>
      <c r="C12694">
        <f t="shared" si="416"/>
        <v>-3.2291830577353487E-3</v>
      </c>
      <c r="D12694">
        <f t="shared" si="415"/>
        <v>-0.3739041301796675</v>
      </c>
    </row>
    <row r="12695" spans="1:4">
      <c r="A12695" s="1">
        <v>36689</v>
      </c>
      <c r="B12695">
        <v>1446</v>
      </c>
      <c r="C12695">
        <f t="shared" si="416"/>
        <v>-7.5157006074333677E-3</v>
      </c>
      <c r="D12695">
        <f t="shared" si="415"/>
        <v>-0.82655892636966832</v>
      </c>
    </row>
    <row r="12696" spans="1:4">
      <c r="A12696" s="1">
        <v>36690</v>
      </c>
      <c r="B12696">
        <v>1469.44</v>
      </c>
      <c r="C12696">
        <f t="shared" si="416"/>
        <v>1.6210235131396994E-2</v>
      </c>
      <c r="D12696">
        <f t="shared" si="415"/>
        <v>1.6788918228134098</v>
      </c>
    </row>
    <row r="12697" spans="1:4">
      <c r="A12697" s="1">
        <v>36691</v>
      </c>
      <c r="B12697">
        <v>1470.54</v>
      </c>
      <c r="C12697">
        <f t="shared" si="416"/>
        <v>7.4858449477345729E-4</v>
      </c>
      <c r="D12697">
        <f t="shared" si="415"/>
        <v>4.6146771256375729E-2</v>
      </c>
    </row>
    <row r="12698" spans="1:4">
      <c r="A12698" s="1">
        <v>36692</v>
      </c>
      <c r="B12698">
        <v>1478.73</v>
      </c>
      <c r="C12698">
        <f t="shared" si="416"/>
        <v>5.5693826757518021E-3</v>
      </c>
      <c r="D12698">
        <f t="shared" si="415"/>
        <v>0.55522142049876833</v>
      </c>
    </row>
    <row r="12699" spans="1:4">
      <c r="A12699" s="1">
        <v>36693</v>
      </c>
      <c r="B12699">
        <v>1464.46</v>
      </c>
      <c r="C12699">
        <f t="shared" si="416"/>
        <v>-9.6501727834019616E-3</v>
      </c>
      <c r="D12699">
        <f t="shared" si="415"/>
        <v>-1.051958462609607</v>
      </c>
    </row>
    <row r="12700" spans="1:4">
      <c r="A12700" s="1">
        <v>36696</v>
      </c>
      <c r="B12700">
        <v>1486</v>
      </c>
      <c r="C12700">
        <f t="shared" si="416"/>
        <v>1.4708493233000535E-2</v>
      </c>
      <c r="D12700">
        <f t="shared" si="415"/>
        <v>1.5203083888096176</v>
      </c>
    </row>
    <row r="12701" spans="1:4">
      <c r="A12701" s="1">
        <v>36697</v>
      </c>
      <c r="B12701">
        <v>1475.95</v>
      </c>
      <c r="C12701">
        <f t="shared" si="416"/>
        <v>-6.7631224764468064E-3</v>
      </c>
      <c r="D12701">
        <f t="shared" si="415"/>
        <v>-0.74708693155122363</v>
      </c>
    </row>
    <row r="12702" spans="1:4">
      <c r="A12702" s="1">
        <v>36698</v>
      </c>
      <c r="B12702">
        <v>1479.13</v>
      </c>
      <c r="C12702">
        <f t="shared" si="416"/>
        <v>2.1545445306413251E-3</v>
      </c>
      <c r="D12702">
        <f t="shared" si="415"/>
        <v>0.19461567313498598</v>
      </c>
    </row>
    <row r="12703" spans="1:4">
      <c r="A12703" s="1">
        <v>36699</v>
      </c>
      <c r="B12703">
        <v>1452.18</v>
      </c>
      <c r="C12703">
        <f t="shared" si="416"/>
        <v>-1.8220169964776621E-2</v>
      </c>
      <c r="D12703">
        <f t="shared" si="415"/>
        <v>-1.9569472518791897</v>
      </c>
    </row>
    <row r="12704" spans="1:4">
      <c r="A12704" s="1">
        <v>36700</v>
      </c>
      <c r="B12704">
        <v>1441.48</v>
      </c>
      <c r="C12704">
        <f t="shared" si="416"/>
        <v>-7.3682325882466673E-3</v>
      </c>
      <c r="D12704">
        <f t="shared" si="415"/>
        <v>-0.81098635367036809</v>
      </c>
    </row>
    <row r="12705" spans="1:4">
      <c r="A12705" s="1">
        <v>36703</v>
      </c>
      <c r="B12705">
        <v>1455.31</v>
      </c>
      <c r="C12705">
        <f t="shared" si="416"/>
        <v>9.594305852318399E-3</v>
      </c>
      <c r="D12705">
        <f t="shared" si="415"/>
        <v>0.98025193980633896</v>
      </c>
    </row>
    <row r="12706" spans="1:4">
      <c r="A12706" s="1">
        <v>36704</v>
      </c>
      <c r="B12706">
        <v>1450.55</v>
      </c>
      <c r="C12706">
        <f t="shared" si="416"/>
        <v>-3.2707807958441784E-3</v>
      </c>
      <c r="D12706">
        <f t="shared" si="415"/>
        <v>-0.37829683718420171</v>
      </c>
    </row>
    <row r="12707" spans="1:4">
      <c r="A12707" s="1">
        <v>36705</v>
      </c>
      <c r="B12707">
        <v>1454.82</v>
      </c>
      <c r="C12707">
        <f t="shared" si="416"/>
        <v>2.9437110061700609E-3</v>
      </c>
      <c r="D12707">
        <f t="shared" si="415"/>
        <v>0.27795138470010183</v>
      </c>
    </row>
    <row r="12708" spans="1:4">
      <c r="A12708" s="1">
        <v>36706</v>
      </c>
      <c r="B12708">
        <v>1442.39</v>
      </c>
      <c r="C12708">
        <f t="shared" si="416"/>
        <v>-8.5440123176749264E-3</v>
      </c>
      <c r="D12708">
        <f t="shared" si="415"/>
        <v>-0.93514829343104333</v>
      </c>
    </row>
    <row r="12709" spans="1:4">
      <c r="A12709" s="1">
        <v>36707</v>
      </c>
      <c r="B12709">
        <v>1454.6</v>
      </c>
      <c r="C12709">
        <f t="shared" si="416"/>
        <v>8.4651169239940705E-3</v>
      </c>
      <c r="D12709">
        <f t="shared" si="415"/>
        <v>0.86100997280525593</v>
      </c>
    </row>
    <row r="12710" spans="1:4">
      <c r="A12710" s="1">
        <v>36710</v>
      </c>
      <c r="B12710">
        <v>1469.54</v>
      </c>
      <c r="C12710">
        <f t="shared" si="416"/>
        <v>1.0270864842568441E-2</v>
      </c>
      <c r="D12710">
        <f t="shared" si="415"/>
        <v>1.0516963392031689</v>
      </c>
    </row>
    <row r="12711" spans="1:4">
      <c r="A12711" s="1">
        <v>36712</v>
      </c>
      <c r="B12711">
        <v>1446.23</v>
      </c>
      <c r="C12711">
        <f t="shared" si="416"/>
        <v>-1.5862106509519948E-2</v>
      </c>
      <c r="D12711">
        <f t="shared" si="415"/>
        <v>-1.7079365525487986</v>
      </c>
    </row>
    <row r="12712" spans="1:4">
      <c r="A12712" s="1">
        <v>36713</v>
      </c>
      <c r="B12712">
        <v>1456.67</v>
      </c>
      <c r="C12712">
        <f t="shared" si="416"/>
        <v>7.2187687988771176E-3</v>
      </c>
      <c r="D12712">
        <f t="shared" si="415"/>
        <v>0.72939603444721768</v>
      </c>
    </row>
    <row r="12713" spans="1:4">
      <c r="A12713" s="1">
        <v>36714</v>
      </c>
      <c r="B12713">
        <v>1478.9</v>
      </c>
      <c r="C12713">
        <f t="shared" si="416"/>
        <v>1.5260834643398996E-2</v>
      </c>
      <c r="D12713">
        <f t="shared" si="415"/>
        <v>1.5786354539977274</v>
      </c>
    </row>
    <row r="12714" spans="1:4">
      <c r="A12714" s="1">
        <v>36717</v>
      </c>
      <c r="B12714">
        <v>1475.62</v>
      </c>
      <c r="C12714">
        <f t="shared" si="416"/>
        <v>-2.2178646291163701E-3</v>
      </c>
      <c r="D12714">
        <f t="shared" si="415"/>
        <v>-0.26710924788133988</v>
      </c>
    </row>
    <row r="12715" spans="1:4">
      <c r="A12715" s="1">
        <v>36718</v>
      </c>
      <c r="B12715">
        <v>1480.88</v>
      </c>
      <c r="C12715">
        <f t="shared" si="416"/>
        <v>3.5646033531669527E-3</v>
      </c>
      <c r="D12715">
        <f t="shared" si="415"/>
        <v>0.34351740549141035</v>
      </c>
    </row>
    <row r="12716" spans="1:4">
      <c r="A12716" s="1">
        <v>36719</v>
      </c>
      <c r="B12716">
        <v>1492.92</v>
      </c>
      <c r="C12716">
        <f t="shared" si="416"/>
        <v>8.1303009021662549E-3</v>
      </c>
      <c r="D12716">
        <f t="shared" si="415"/>
        <v>0.82565351470973414</v>
      </c>
    </row>
    <row r="12717" spans="1:4">
      <c r="A12717" s="1">
        <v>36720</v>
      </c>
      <c r="B12717">
        <v>1495.84</v>
      </c>
      <c r="C12717">
        <f t="shared" si="416"/>
        <v>1.9558985076225418E-3</v>
      </c>
      <c r="D12717">
        <f t="shared" si="415"/>
        <v>0.17363872062726646</v>
      </c>
    </row>
    <row r="12718" spans="1:4">
      <c r="A12718" s="1">
        <v>36721</v>
      </c>
      <c r="B12718">
        <v>1509.98</v>
      </c>
      <c r="C12718">
        <f t="shared" si="416"/>
        <v>9.4528826612472593E-3</v>
      </c>
      <c r="D12718">
        <f t="shared" si="415"/>
        <v>0.96531769890130492</v>
      </c>
    </row>
    <row r="12719" spans="1:4">
      <c r="A12719" s="1">
        <v>36724</v>
      </c>
      <c r="B12719">
        <v>1510.49</v>
      </c>
      <c r="C12719">
        <f t="shared" si="416"/>
        <v>3.3775281791811212E-4</v>
      </c>
      <c r="D12719">
        <f t="shared" si="415"/>
        <v>2.7630858289234097E-3</v>
      </c>
    </row>
    <row r="12720" spans="1:4">
      <c r="A12720" s="1">
        <v>36725</v>
      </c>
      <c r="B12720">
        <v>1493.74</v>
      </c>
      <c r="C12720">
        <f t="shared" si="416"/>
        <v>-1.1089116776675118E-2</v>
      </c>
      <c r="D12720">
        <f t="shared" si="415"/>
        <v>-1.2039104591784238</v>
      </c>
    </row>
    <row r="12721" spans="1:4">
      <c r="A12721" s="1">
        <v>36726</v>
      </c>
      <c r="B12721">
        <v>1481.96</v>
      </c>
      <c r="C12721">
        <f t="shared" si="416"/>
        <v>-7.8862452635665992E-3</v>
      </c>
      <c r="D12721">
        <f t="shared" si="415"/>
        <v>-0.86568831610308916</v>
      </c>
    </row>
    <row r="12722" spans="1:4">
      <c r="A12722" s="1">
        <v>36727</v>
      </c>
      <c r="B12722">
        <v>1495.57</v>
      </c>
      <c r="C12722">
        <f t="shared" si="416"/>
        <v>9.1837836378848951E-3</v>
      </c>
      <c r="D12722">
        <f t="shared" si="415"/>
        <v>0.93690093350544168</v>
      </c>
    </row>
    <row r="12723" spans="1:4">
      <c r="A12723" s="1">
        <v>36728</v>
      </c>
      <c r="B12723">
        <v>1480.19</v>
      </c>
      <c r="C12723">
        <f t="shared" si="416"/>
        <v>-1.0283704540743585E-2</v>
      </c>
      <c r="D12723">
        <f t="shared" si="415"/>
        <v>-1.1188592008369749</v>
      </c>
    </row>
    <row r="12724" spans="1:4">
      <c r="A12724" s="1">
        <v>36731</v>
      </c>
      <c r="B12724">
        <v>1464.29</v>
      </c>
      <c r="C12724">
        <f t="shared" si="416"/>
        <v>-1.0741864220133963E-2</v>
      </c>
      <c r="D12724">
        <f t="shared" si="415"/>
        <v>-1.167240707244557</v>
      </c>
    </row>
    <row r="12725" spans="1:4">
      <c r="A12725" s="1">
        <v>36732</v>
      </c>
      <c r="B12725">
        <v>1474.47</v>
      </c>
      <c r="C12725">
        <f t="shared" si="416"/>
        <v>6.9521747741226559E-3</v>
      </c>
      <c r="D12725">
        <f t="shared" si="415"/>
        <v>0.70124379605285847</v>
      </c>
    </row>
    <row r="12726" spans="1:4">
      <c r="A12726" s="1">
        <v>36733</v>
      </c>
      <c r="B12726">
        <v>1452.42</v>
      </c>
      <c r="C12726">
        <f t="shared" si="416"/>
        <v>-1.4954526033083042E-2</v>
      </c>
      <c r="D12726">
        <f t="shared" si="415"/>
        <v>-1.6120963627386544</v>
      </c>
    </row>
    <row r="12727" spans="1:4">
      <c r="A12727" s="1">
        <v>36734</v>
      </c>
      <c r="B12727">
        <v>1449.62</v>
      </c>
      <c r="C12727">
        <f t="shared" si="416"/>
        <v>-1.9278170226244349E-3</v>
      </c>
      <c r="D12727">
        <f t="shared" si="415"/>
        <v>-0.2364803192277633</v>
      </c>
    </row>
    <row r="12728" spans="1:4">
      <c r="A12728" s="1">
        <v>36735</v>
      </c>
      <c r="B12728">
        <v>1419.89</v>
      </c>
      <c r="C12728">
        <f t="shared" si="416"/>
        <v>-2.0508823001890008E-2</v>
      </c>
      <c r="D12728">
        <f t="shared" si="415"/>
        <v>-2.1986282346473973</v>
      </c>
    </row>
    <row r="12729" spans="1:4">
      <c r="A12729" s="1">
        <v>36738</v>
      </c>
      <c r="B12729">
        <v>1430.83</v>
      </c>
      <c r="C12729">
        <f t="shared" si="416"/>
        <v>7.7048222045368493E-3</v>
      </c>
      <c r="D12729">
        <f t="shared" si="415"/>
        <v>0.78072310886730523</v>
      </c>
    </row>
    <row r="12730" spans="1:4">
      <c r="A12730" s="1">
        <v>36739</v>
      </c>
      <c r="B12730">
        <v>1438.1</v>
      </c>
      <c r="C12730">
        <f t="shared" si="416"/>
        <v>5.0809669911869209E-3</v>
      </c>
      <c r="D12730">
        <f t="shared" si="415"/>
        <v>0.50364489022927461</v>
      </c>
    </row>
    <row r="12731" spans="1:4">
      <c r="A12731" s="1">
        <v>36740</v>
      </c>
      <c r="B12731">
        <v>1438.7</v>
      </c>
      <c r="C12731">
        <f t="shared" si="416"/>
        <v>4.172171615326726E-4</v>
      </c>
      <c r="D12731">
        <f t="shared" si="415"/>
        <v>1.1154493503378193E-2</v>
      </c>
    </row>
    <row r="12732" spans="1:4">
      <c r="A12732" s="1">
        <v>36741</v>
      </c>
      <c r="B12732">
        <v>1452.56</v>
      </c>
      <c r="C12732">
        <f t="shared" si="416"/>
        <v>9.6336970876485014E-3</v>
      </c>
      <c r="D12732">
        <f t="shared" si="415"/>
        <v>0.98441164086746635</v>
      </c>
    </row>
    <row r="12733" spans="1:4">
      <c r="A12733" s="1">
        <v>36742</v>
      </c>
      <c r="B12733">
        <v>1462.93</v>
      </c>
      <c r="C12733">
        <f t="shared" si="416"/>
        <v>7.1391198986617546E-3</v>
      </c>
      <c r="D12733">
        <f t="shared" si="415"/>
        <v>0.72098513765845196</v>
      </c>
    </row>
    <row r="12734" spans="1:4">
      <c r="A12734" s="1">
        <v>36745</v>
      </c>
      <c r="B12734">
        <v>1479.32</v>
      </c>
      <c r="C12734">
        <f t="shared" si="416"/>
        <v>1.1203543573513341E-2</v>
      </c>
      <c r="D12734">
        <f t="shared" si="415"/>
        <v>1.1501868961580457</v>
      </c>
    </row>
    <row r="12735" spans="1:4">
      <c r="A12735" s="1">
        <v>36746</v>
      </c>
      <c r="B12735">
        <v>1482.8</v>
      </c>
      <c r="C12735">
        <f t="shared" si="416"/>
        <v>2.3524321985777374E-3</v>
      </c>
      <c r="D12735">
        <f t="shared" si="415"/>
        <v>0.21551254360378452</v>
      </c>
    </row>
    <row r="12736" spans="1:4">
      <c r="A12736" s="1">
        <v>36747</v>
      </c>
      <c r="B12736">
        <v>1472.87</v>
      </c>
      <c r="C12736">
        <f t="shared" si="416"/>
        <v>-6.6967898570272893E-3</v>
      </c>
      <c r="D12736">
        <f t="shared" si="415"/>
        <v>-0.74008222948807545</v>
      </c>
    </row>
    <row r="12737" spans="1:4">
      <c r="A12737" s="1">
        <v>36748</v>
      </c>
      <c r="B12737">
        <v>1460.25</v>
      </c>
      <c r="C12737">
        <f t="shared" si="416"/>
        <v>-8.5683054173144209E-3</v>
      </c>
      <c r="D12737">
        <f t="shared" si="415"/>
        <v>-0.93771363649534811</v>
      </c>
    </row>
    <row r="12738" spans="1:4">
      <c r="A12738" s="1">
        <v>36749</v>
      </c>
      <c r="B12738">
        <v>1471.84</v>
      </c>
      <c r="C12738">
        <f t="shared" si="416"/>
        <v>7.9369970895394066E-3</v>
      </c>
      <c r="D12738">
        <f t="shared" si="415"/>
        <v>0.80524069780349739</v>
      </c>
    </row>
    <row r="12739" spans="1:4">
      <c r="A12739" s="1">
        <v>36752</v>
      </c>
      <c r="B12739">
        <v>1491.56</v>
      </c>
      <c r="C12739">
        <f t="shared" si="416"/>
        <v>1.3398195456027849E-2</v>
      </c>
      <c r="D12739">
        <f t="shared" ref="D12739:D12802" si="417">(C12739-avg)/sd</f>
        <v>1.3819413889531567</v>
      </c>
    </row>
    <row r="12740" spans="1:4">
      <c r="A12740" s="1">
        <v>36753</v>
      </c>
      <c r="B12740">
        <v>1484.43</v>
      </c>
      <c r="C12740">
        <f t="shared" ref="C12740:C12803" si="418">(B12740-B12739)/B12739</f>
        <v>-4.7802300946659078E-3</v>
      </c>
      <c r="D12740">
        <f t="shared" si="417"/>
        <v>-0.53769417005303011</v>
      </c>
    </row>
    <row r="12741" spans="1:4">
      <c r="A12741" s="1">
        <v>36754</v>
      </c>
      <c r="B12741">
        <v>1479.85</v>
      </c>
      <c r="C12741">
        <f t="shared" si="418"/>
        <v>-3.0853593635268451E-3</v>
      </c>
      <c r="D12741">
        <f t="shared" si="417"/>
        <v>-0.35871639695929852</v>
      </c>
    </row>
    <row r="12742" spans="1:4">
      <c r="A12742" s="1">
        <v>36755</v>
      </c>
      <c r="B12742">
        <v>1496.07</v>
      </c>
      <c r="C12742">
        <f t="shared" si="418"/>
        <v>1.0960570328073811E-2</v>
      </c>
      <c r="D12742">
        <f t="shared" si="417"/>
        <v>1.1245290040302502</v>
      </c>
    </row>
    <row r="12743" spans="1:4">
      <c r="A12743" s="1">
        <v>36756</v>
      </c>
      <c r="B12743">
        <v>1491.72</v>
      </c>
      <c r="C12743">
        <f t="shared" si="418"/>
        <v>-2.9076179590526575E-3</v>
      </c>
      <c r="D12743">
        <f t="shared" si="417"/>
        <v>-0.33994696506406324</v>
      </c>
    </row>
    <row r="12744" spans="1:4">
      <c r="A12744" s="1">
        <v>36759</v>
      </c>
      <c r="B12744">
        <v>1499.48</v>
      </c>
      <c r="C12744">
        <f t="shared" si="418"/>
        <v>5.2020486418362637E-3</v>
      </c>
      <c r="D12744">
        <f t="shared" si="417"/>
        <v>0.5164310713801924</v>
      </c>
    </row>
    <row r="12745" spans="1:4">
      <c r="A12745" s="1">
        <v>36760</v>
      </c>
      <c r="B12745">
        <v>1498.13</v>
      </c>
      <c r="C12745">
        <f t="shared" si="418"/>
        <v>-9.0031210819744776E-4</v>
      </c>
      <c r="D12745">
        <f t="shared" si="417"/>
        <v>-0.12797614953016384</v>
      </c>
    </row>
    <row r="12746" spans="1:4">
      <c r="A12746" s="1">
        <v>36761</v>
      </c>
      <c r="B12746">
        <v>1505.97</v>
      </c>
      <c r="C12746">
        <f t="shared" si="418"/>
        <v>5.2331907110864332E-3</v>
      </c>
      <c r="D12746">
        <f t="shared" si="417"/>
        <v>0.51971966330730668</v>
      </c>
    </row>
    <row r="12747" spans="1:4">
      <c r="A12747" s="1">
        <v>36762</v>
      </c>
      <c r="B12747">
        <v>1508.31</v>
      </c>
      <c r="C12747">
        <f t="shared" si="418"/>
        <v>1.5538158130639509E-3</v>
      </c>
      <c r="D12747">
        <f t="shared" si="417"/>
        <v>0.13117892475642781</v>
      </c>
    </row>
    <row r="12748" spans="1:4">
      <c r="A12748" s="1">
        <v>36763</v>
      </c>
      <c r="B12748">
        <v>1506.45</v>
      </c>
      <c r="C12748">
        <f t="shared" si="418"/>
        <v>-1.2331682479065312E-3</v>
      </c>
      <c r="D12748">
        <f t="shared" si="417"/>
        <v>-0.16312564474014379</v>
      </c>
    </row>
    <row r="12749" spans="1:4">
      <c r="A12749" s="1">
        <v>36766</v>
      </c>
      <c r="B12749">
        <v>1514.09</v>
      </c>
      <c r="C12749">
        <f t="shared" si="418"/>
        <v>5.0715257725114492E-3</v>
      </c>
      <c r="D12749">
        <f t="shared" si="417"/>
        <v>0.502647900746371</v>
      </c>
    </row>
    <row r="12750" spans="1:4">
      <c r="A12750" s="1">
        <v>36767</v>
      </c>
      <c r="B12750">
        <v>1509.84</v>
      </c>
      <c r="C12750">
        <f t="shared" si="418"/>
        <v>-2.8069665607724772E-3</v>
      </c>
      <c r="D12750">
        <f t="shared" si="417"/>
        <v>-0.3293182116187488</v>
      </c>
    </row>
    <row r="12751" spans="1:4">
      <c r="A12751" s="1">
        <v>36768</v>
      </c>
      <c r="B12751">
        <v>1502.59</v>
      </c>
      <c r="C12751">
        <f t="shared" si="418"/>
        <v>-4.8018333068404603E-3</v>
      </c>
      <c r="D12751">
        <f t="shared" si="417"/>
        <v>-0.53997546191537427</v>
      </c>
    </row>
    <row r="12752" spans="1:4">
      <c r="A12752" s="1">
        <v>36769</v>
      </c>
      <c r="B12752">
        <v>1517.68</v>
      </c>
      <c r="C12752">
        <f t="shared" si="418"/>
        <v>1.0042659674295814E-2</v>
      </c>
      <c r="D12752">
        <f t="shared" si="417"/>
        <v>1.027597951004285</v>
      </c>
    </row>
    <row r="12753" spans="1:4">
      <c r="A12753" s="1">
        <v>36770</v>
      </c>
      <c r="B12753">
        <v>1520.77</v>
      </c>
      <c r="C12753">
        <f t="shared" si="418"/>
        <v>2.036002319329449E-3</v>
      </c>
      <c r="D12753">
        <f t="shared" si="417"/>
        <v>0.18209765591490729</v>
      </c>
    </row>
    <row r="12754" spans="1:4">
      <c r="A12754" s="1">
        <v>36774</v>
      </c>
      <c r="B12754">
        <v>1507.08</v>
      </c>
      <c r="C12754">
        <f t="shared" si="418"/>
        <v>-9.0020187142040246E-3</v>
      </c>
      <c r="D12754">
        <f t="shared" si="417"/>
        <v>-0.98351361322057762</v>
      </c>
    </row>
    <row r="12755" spans="1:4">
      <c r="A12755" s="1">
        <v>36775</v>
      </c>
      <c r="B12755">
        <v>1492.25</v>
      </c>
      <c r="C12755">
        <f t="shared" si="418"/>
        <v>-9.8402208243755663E-3</v>
      </c>
      <c r="D12755">
        <f t="shared" si="417"/>
        <v>-1.0720274711359516</v>
      </c>
    </row>
    <row r="12756" spans="1:4">
      <c r="A12756" s="1">
        <v>36776</v>
      </c>
      <c r="B12756">
        <v>1502.51</v>
      </c>
      <c r="C12756">
        <f t="shared" si="418"/>
        <v>6.875523538281113E-3</v>
      </c>
      <c r="D12756">
        <f t="shared" si="417"/>
        <v>0.69314945160301256</v>
      </c>
    </row>
    <row r="12757" spans="1:4">
      <c r="A12757" s="1">
        <v>36777</v>
      </c>
      <c r="B12757">
        <v>1494.5</v>
      </c>
      <c r="C12757">
        <f t="shared" si="418"/>
        <v>-5.331079327259047E-3</v>
      </c>
      <c r="D12757">
        <f t="shared" si="417"/>
        <v>-0.59586366177211381</v>
      </c>
    </row>
    <row r="12758" spans="1:4">
      <c r="A12758" s="1">
        <v>36780</v>
      </c>
      <c r="B12758">
        <v>1489.26</v>
      </c>
      <c r="C12758">
        <f t="shared" si="418"/>
        <v>-3.5061893609903039E-3</v>
      </c>
      <c r="D12758">
        <f t="shared" si="417"/>
        <v>-0.40315590164437332</v>
      </c>
    </row>
    <row r="12759" spans="1:4">
      <c r="A12759" s="1">
        <v>36781</v>
      </c>
      <c r="B12759">
        <v>1481.99</v>
      </c>
      <c r="C12759">
        <f t="shared" si="418"/>
        <v>-4.8816190591300258E-3</v>
      </c>
      <c r="D12759">
        <f t="shared" si="417"/>
        <v>-0.54840081023665743</v>
      </c>
    </row>
    <row r="12760" spans="1:4">
      <c r="A12760" s="1">
        <v>36782</v>
      </c>
      <c r="B12760">
        <v>1484.91</v>
      </c>
      <c r="C12760">
        <f t="shared" si="418"/>
        <v>1.9703236863946941E-3</v>
      </c>
      <c r="D12760">
        <f t="shared" si="417"/>
        <v>0.17516201460224923</v>
      </c>
    </row>
    <row r="12761" spans="1:4">
      <c r="A12761" s="1">
        <v>36783</v>
      </c>
      <c r="B12761">
        <v>1480.87</v>
      </c>
      <c r="C12761">
        <f t="shared" si="418"/>
        <v>-2.7207036116668288E-3</v>
      </c>
      <c r="D12761">
        <f t="shared" si="417"/>
        <v>-0.3202088735153934</v>
      </c>
    </row>
    <row r="12762" spans="1:4">
      <c r="A12762" s="1">
        <v>36784</v>
      </c>
      <c r="B12762">
        <v>1465.81</v>
      </c>
      <c r="C12762">
        <f t="shared" si="418"/>
        <v>-1.0169697542660698E-2</v>
      </c>
      <c r="D12762">
        <f t="shared" si="417"/>
        <v>-1.1068201005922835</v>
      </c>
    </row>
    <row r="12763" spans="1:4">
      <c r="A12763" s="1">
        <v>36787</v>
      </c>
      <c r="B12763">
        <v>1444.51</v>
      </c>
      <c r="C12763">
        <f t="shared" si="418"/>
        <v>-1.4531214823203523E-2</v>
      </c>
      <c r="D12763">
        <f t="shared" si="417"/>
        <v>-1.5673948428658486</v>
      </c>
    </row>
    <row r="12764" spans="1:4">
      <c r="A12764" s="1">
        <v>36788</v>
      </c>
      <c r="B12764">
        <v>1459.9</v>
      </c>
      <c r="C12764">
        <f t="shared" si="418"/>
        <v>1.0654131850939143E-2</v>
      </c>
      <c r="D12764">
        <f t="shared" si="417"/>
        <v>1.0921692050083289</v>
      </c>
    </row>
    <row r="12765" spans="1:4">
      <c r="A12765" s="1">
        <v>36789</v>
      </c>
      <c r="B12765">
        <v>1451.34</v>
      </c>
      <c r="C12765">
        <f t="shared" si="418"/>
        <v>-5.8634153024180917E-3</v>
      </c>
      <c r="D12765">
        <f t="shared" si="417"/>
        <v>-0.65207815979911909</v>
      </c>
    </row>
    <row r="12766" spans="1:4">
      <c r="A12766" s="1">
        <v>36790</v>
      </c>
      <c r="B12766">
        <v>1449.05</v>
      </c>
      <c r="C12766">
        <f t="shared" si="418"/>
        <v>-1.577852191767583E-3</v>
      </c>
      <c r="D12766">
        <f t="shared" si="417"/>
        <v>-0.19952415204810564</v>
      </c>
    </row>
    <row r="12767" spans="1:4">
      <c r="A12767" s="1">
        <v>36791</v>
      </c>
      <c r="B12767">
        <v>1448.72</v>
      </c>
      <c r="C12767">
        <f t="shared" si="418"/>
        <v>-2.27735412856649E-4</v>
      </c>
      <c r="D12767">
        <f t="shared" si="417"/>
        <v>-5.6952279122102288E-2</v>
      </c>
    </row>
    <row r="12768" spans="1:4">
      <c r="A12768" s="1">
        <v>36794</v>
      </c>
      <c r="B12768">
        <v>1439.03</v>
      </c>
      <c r="C12768">
        <f t="shared" si="418"/>
        <v>-6.6886630956983087E-3</v>
      </c>
      <c r="D12768">
        <f t="shared" si="417"/>
        <v>-0.7392240462541555</v>
      </c>
    </row>
    <row r="12769" spans="1:4">
      <c r="A12769" s="1">
        <v>36795</v>
      </c>
      <c r="B12769">
        <v>1427.21</v>
      </c>
      <c r="C12769">
        <f t="shared" si="418"/>
        <v>-8.2138662849279981E-3</v>
      </c>
      <c r="D12769">
        <f t="shared" si="417"/>
        <v>-0.90028498459505679</v>
      </c>
    </row>
    <row r="12770" spans="1:4">
      <c r="A12770" s="1">
        <v>36796</v>
      </c>
      <c r="B12770">
        <v>1426.57</v>
      </c>
      <c r="C12770">
        <f t="shared" si="418"/>
        <v>-4.4842735126582637E-4</v>
      </c>
      <c r="D12770">
        <f t="shared" si="417"/>
        <v>-8.0257272801276688E-2</v>
      </c>
    </row>
    <row r="12771" spans="1:4">
      <c r="A12771" s="1">
        <v>36797</v>
      </c>
      <c r="B12771">
        <v>1458.29</v>
      </c>
      <c r="C12771">
        <f t="shared" si="418"/>
        <v>2.2235151447177515E-2</v>
      </c>
      <c r="D12771">
        <f t="shared" si="417"/>
        <v>2.3151209377912716</v>
      </c>
    </row>
    <row r="12772" spans="1:4">
      <c r="A12772" s="1">
        <v>36798</v>
      </c>
      <c r="B12772">
        <v>1436.51</v>
      </c>
      <c r="C12772">
        <f t="shared" si="418"/>
        <v>-1.4935300934656325E-2</v>
      </c>
      <c r="D12772">
        <f t="shared" si="417"/>
        <v>-1.6100661988797216</v>
      </c>
    </row>
    <row r="12773" spans="1:4">
      <c r="A12773" s="1">
        <v>36801</v>
      </c>
      <c r="B12773">
        <v>1436.23</v>
      </c>
      <c r="C12773">
        <f t="shared" si="418"/>
        <v>-1.9491684708075315E-4</v>
      </c>
      <c r="D12773">
        <f t="shared" si="417"/>
        <v>-5.3486649731740228E-2</v>
      </c>
    </row>
    <row r="12774" spans="1:4">
      <c r="A12774" s="1">
        <v>36802</v>
      </c>
      <c r="B12774">
        <v>1426.46</v>
      </c>
      <c r="C12774">
        <f t="shared" si="418"/>
        <v>-6.8025316279425874E-3</v>
      </c>
      <c r="D12774">
        <f t="shared" si="417"/>
        <v>-0.75124852455335656</v>
      </c>
    </row>
    <row r="12775" spans="1:4">
      <c r="A12775" s="1">
        <v>36803</v>
      </c>
      <c r="B12775">
        <v>1434.32</v>
      </c>
      <c r="C12775">
        <f t="shared" si="418"/>
        <v>5.5101439928213194E-3</v>
      </c>
      <c r="D12775">
        <f t="shared" si="417"/>
        <v>0.54896583571751612</v>
      </c>
    </row>
    <row r="12776" spans="1:4">
      <c r="A12776" s="1">
        <v>36804</v>
      </c>
      <c r="B12776">
        <v>1436.28</v>
      </c>
      <c r="C12776">
        <f t="shared" si="418"/>
        <v>1.3665011991745471E-3</v>
      </c>
      <c r="D12776">
        <f t="shared" si="417"/>
        <v>0.11139856520103766</v>
      </c>
    </row>
    <row r="12777" spans="1:4">
      <c r="A12777" s="1">
        <v>36805</v>
      </c>
      <c r="B12777">
        <v>1408.99</v>
      </c>
      <c r="C12777">
        <f t="shared" si="418"/>
        <v>-1.9000473445289195E-2</v>
      </c>
      <c r="D12777">
        <f t="shared" si="417"/>
        <v>-2.0393470341832773</v>
      </c>
    </row>
    <row r="12778" spans="1:4">
      <c r="A12778" s="1">
        <v>36808</v>
      </c>
      <c r="B12778">
        <v>1402.03</v>
      </c>
      <c r="C12778">
        <f t="shared" si="418"/>
        <v>-4.939708585582606E-3</v>
      </c>
      <c r="D12778">
        <f t="shared" si="417"/>
        <v>-0.55453504448446045</v>
      </c>
    </row>
    <row r="12779" spans="1:4">
      <c r="A12779" s="1">
        <v>36809</v>
      </c>
      <c r="B12779">
        <v>1387.02</v>
      </c>
      <c r="C12779">
        <f t="shared" si="418"/>
        <v>-1.0705905009165276E-2</v>
      </c>
      <c r="D12779">
        <f t="shared" si="417"/>
        <v>-1.1634434267893932</v>
      </c>
    </row>
    <row r="12780" spans="1:4">
      <c r="A12780" s="1">
        <v>36810</v>
      </c>
      <c r="B12780">
        <v>1364.59</v>
      </c>
      <c r="C12780">
        <f t="shared" si="418"/>
        <v>-1.6171360182261296E-2</v>
      </c>
      <c r="D12780">
        <f t="shared" si="417"/>
        <v>-1.7405936352698539</v>
      </c>
    </row>
    <row r="12781" spans="1:4">
      <c r="A12781" s="1">
        <v>36811</v>
      </c>
      <c r="B12781">
        <v>1329.78</v>
      </c>
      <c r="C12781">
        <f t="shared" si="418"/>
        <v>-2.5509493694076572E-2</v>
      </c>
      <c r="D12781">
        <f t="shared" si="417"/>
        <v>-2.7266973599317406</v>
      </c>
    </row>
    <row r="12782" spans="1:4">
      <c r="A12782" s="1">
        <v>36812</v>
      </c>
      <c r="B12782">
        <v>1374.17</v>
      </c>
      <c r="C12782">
        <f t="shared" si="418"/>
        <v>3.3381461595151152E-2</v>
      </c>
      <c r="D12782">
        <f t="shared" si="417"/>
        <v>3.4921675006023793</v>
      </c>
    </row>
    <row r="12783" spans="1:4">
      <c r="A12783" s="1">
        <v>36815</v>
      </c>
      <c r="B12783">
        <v>1374.62</v>
      </c>
      <c r="C12783">
        <f t="shared" si="418"/>
        <v>3.2747040031423918E-4</v>
      </c>
      <c r="D12783">
        <f t="shared" si="417"/>
        <v>1.6772660251179916E-3</v>
      </c>
    </row>
    <row r="12784" spans="1:4">
      <c r="A12784" s="1">
        <v>36816</v>
      </c>
      <c r="B12784">
        <v>1349.97</v>
      </c>
      <c r="C12784">
        <f t="shared" si="418"/>
        <v>-1.793222854316092E-2</v>
      </c>
      <c r="D12784">
        <f t="shared" si="417"/>
        <v>-1.9265407356326165</v>
      </c>
    </row>
    <row r="12785" spans="1:4">
      <c r="A12785" s="1">
        <v>36817</v>
      </c>
      <c r="B12785">
        <v>1342.13</v>
      </c>
      <c r="C12785">
        <f t="shared" si="418"/>
        <v>-5.8075364637732085E-3</v>
      </c>
      <c r="D12785">
        <f t="shared" si="417"/>
        <v>-0.64617737343235948</v>
      </c>
    </row>
    <row r="12786" spans="1:4">
      <c r="A12786" s="1">
        <v>36818</v>
      </c>
      <c r="B12786">
        <v>1388.76</v>
      </c>
      <c r="C12786">
        <f t="shared" si="418"/>
        <v>3.4743281202267946E-2</v>
      </c>
      <c r="D12786">
        <f t="shared" si="417"/>
        <v>3.6359751882089371</v>
      </c>
    </row>
    <row r="12787" spans="1:4">
      <c r="A12787" s="1">
        <v>36819</v>
      </c>
      <c r="B12787">
        <v>1396.93</v>
      </c>
      <c r="C12787">
        <f t="shared" si="418"/>
        <v>5.8829459373830415E-3</v>
      </c>
      <c r="D12787">
        <f t="shared" si="417"/>
        <v>0.58833359434169585</v>
      </c>
    </row>
    <row r="12788" spans="1:4">
      <c r="A12788" s="1">
        <v>36822</v>
      </c>
      <c r="B12788">
        <v>1395.78</v>
      </c>
      <c r="C12788">
        <f t="shared" si="418"/>
        <v>-8.2323380555939874E-4</v>
      </c>
      <c r="D12788">
        <f t="shared" si="417"/>
        <v>-0.11983670697177391</v>
      </c>
    </row>
    <row r="12789" spans="1:4">
      <c r="A12789" s="1">
        <v>36823</v>
      </c>
      <c r="B12789">
        <v>1398.13</v>
      </c>
      <c r="C12789">
        <f t="shared" si="418"/>
        <v>1.6836464199230083E-3</v>
      </c>
      <c r="D12789">
        <f t="shared" si="417"/>
        <v>0.14488899270917677</v>
      </c>
    </row>
    <row r="12790" spans="1:4">
      <c r="A12790" s="1">
        <v>36824</v>
      </c>
      <c r="B12790">
        <v>1364.9</v>
      </c>
      <c r="C12790">
        <f t="shared" si="418"/>
        <v>-2.3767460822670294E-2</v>
      </c>
      <c r="D12790">
        <f t="shared" si="417"/>
        <v>-2.5427392808569818</v>
      </c>
    </row>
    <row r="12791" spans="1:4">
      <c r="A12791" s="1">
        <v>36825</v>
      </c>
      <c r="B12791">
        <v>1364.44</v>
      </c>
      <c r="C12791">
        <f t="shared" si="418"/>
        <v>-3.370210271815051E-4</v>
      </c>
      <c r="D12791">
        <f t="shared" si="417"/>
        <v>-6.8492802846821868E-2</v>
      </c>
    </row>
    <row r="12792" spans="1:4">
      <c r="A12792" s="1">
        <v>36826</v>
      </c>
      <c r="B12792">
        <v>1379.58</v>
      </c>
      <c r="C12792">
        <f t="shared" si="418"/>
        <v>1.1096127348948926E-2</v>
      </c>
      <c r="D12792">
        <f t="shared" si="417"/>
        <v>1.1388437793565922</v>
      </c>
    </row>
    <row r="12793" spans="1:4">
      <c r="A12793" s="1">
        <v>36829</v>
      </c>
      <c r="B12793">
        <v>1398.66</v>
      </c>
      <c r="C12793">
        <f t="shared" si="418"/>
        <v>1.383029617709749E-2</v>
      </c>
      <c r="D12793">
        <f t="shared" si="417"/>
        <v>1.4275710782199393</v>
      </c>
    </row>
    <row r="12794" spans="1:4">
      <c r="A12794" s="1">
        <v>36830</v>
      </c>
      <c r="B12794">
        <v>1429.4</v>
      </c>
      <c r="C12794">
        <f t="shared" si="418"/>
        <v>2.1978179114295116E-2</v>
      </c>
      <c r="D12794">
        <f t="shared" si="417"/>
        <v>2.2879847467880299</v>
      </c>
    </row>
    <row r="12795" spans="1:4">
      <c r="A12795" s="1">
        <v>36831</v>
      </c>
      <c r="B12795">
        <v>1421.22</v>
      </c>
      <c r="C12795">
        <f t="shared" si="418"/>
        <v>-5.7226808451098805E-3</v>
      </c>
      <c r="D12795">
        <f t="shared" si="417"/>
        <v>-0.63721664894533836</v>
      </c>
    </row>
    <row r="12796" spans="1:4">
      <c r="A12796" s="1">
        <v>36832</v>
      </c>
      <c r="B12796">
        <v>1428.32</v>
      </c>
      <c r="C12796">
        <f t="shared" si="418"/>
        <v>4.9957079129198216E-3</v>
      </c>
      <c r="D12796">
        <f t="shared" si="417"/>
        <v>0.49464156054523772</v>
      </c>
    </row>
    <row r="12797" spans="1:4">
      <c r="A12797" s="1">
        <v>36833</v>
      </c>
      <c r="B12797">
        <v>1426.69</v>
      </c>
      <c r="C12797">
        <f t="shared" si="418"/>
        <v>-1.1412008513497548E-3</v>
      </c>
      <c r="D12797">
        <f t="shared" si="417"/>
        <v>-0.15341391892498521</v>
      </c>
    </row>
    <row r="12798" spans="1:4">
      <c r="A12798" s="1">
        <v>36836</v>
      </c>
      <c r="B12798">
        <v>1432.19</v>
      </c>
      <c r="C12798">
        <f t="shared" si="418"/>
        <v>3.8550771365888875E-3</v>
      </c>
      <c r="D12798">
        <f t="shared" si="417"/>
        <v>0.37419133828393031</v>
      </c>
    </row>
    <row r="12799" spans="1:4">
      <c r="A12799" s="1">
        <v>36837</v>
      </c>
      <c r="B12799">
        <v>1431.87</v>
      </c>
      <c r="C12799">
        <f t="shared" si="418"/>
        <v>-2.2343404157281065E-4</v>
      </c>
      <c r="D12799">
        <f t="shared" si="417"/>
        <v>-5.6498055776636108E-2</v>
      </c>
    </row>
    <row r="12800" spans="1:4">
      <c r="A12800" s="1">
        <v>36838</v>
      </c>
      <c r="B12800">
        <v>1409.28</v>
      </c>
      <c r="C12800">
        <f t="shared" si="418"/>
        <v>-1.5776571895493249E-2</v>
      </c>
      <c r="D12800">
        <f t="shared" si="417"/>
        <v>-1.6989041263822071</v>
      </c>
    </row>
    <row r="12801" spans="1:4">
      <c r="A12801" s="1">
        <v>36839</v>
      </c>
      <c r="B12801">
        <v>1400.14</v>
      </c>
      <c r="C12801">
        <f t="shared" si="418"/>
        <v>-6.4855812897365132E-3</v>
      </c>
      <c r="D12801">
        <f t="shared" si="417"/>
        <v>-0.7177786765754498</v>
      </c>
    </row>
    <row r="12802" spans="1:4">
      <c r="A12802" s="1">
        <v>36840</v>
      </c>
      <c r="B12802">
        <v>1365.98</v>
      </c>
      <c r="C12802">
        <f t="shared" si="418"/>
        <v>-2.4397560243975658E-2</v>
      </c>
      <c r="D12802">
        <f t="shared" si="417"/>
        <v>-2.6092775655656282</v>
      </c>
    </row>
    <row r="12803" spans="1:4">
      <c r="A12803" s="1">
        <v>36843</v>
      </c>
      <c r="B12803">
        <v>1351.26</v>
      </c>
      <c r="C12803">
        <f t="shared" si="418"/>
        <v>-1.0776146063631991E-2</v>
      </c>
      <c r="D12803">
        <f t="shared" ref="D12803:D12866" si="419">(C12803-avg)/sd</f>
        <v>-1.1708608582649838</v>
      </c>
    </row>
    <row r="12804" spans="1:4">
      <c r="A12804" s="1">
        <v>36844</v>
      </c>
      <c r="B12804">
        <v>1382.95</v>
      </c>
      <c r="C12804">
        <f t="shared" ref="C12804:C12867" si="420">(B12804-B12803)/B12803</f>
        <v>2.3452185367730898E-2</v>
      </c>
      <c r="D12804">
        <f t="shared" si="419"/>
        <v>2.4436393061117792</v>
      </c>
    </row>
    <row r="12805" spans="1:4">
      <c r="A12805" s="1">
        <v>36845</v>
      </c>
      <c r="B12805">
        <v>1389.81</v>
      </c>
      <c r="C12805">
        <f t="shared" si="420"/>
        <v>4.9604107162224955E-3</v>
      </c>
      <c r="D12805">
        <f t="shared" si="419"/>
        <v>0.49091418857210023</v>
      </c>
    </row>
    <row r="12806" spans="1:4">
      <c r="A12806" s="1">
        <v>36846</v>
      </c>
      <c r="B12806">
        <v>1372.32</v>
      </c>
      <c r="C12806">
        <f t="shared" si="420"/>
        <v>-1.2584453990113764E-2</v>
      </c>
      <c r="D12806">
        <f t="shared" si="419"/>
        <v>-1.3618175606277294</v>
      </c>
    </row>
    <row r="12807" spans="1:4">
      <c r="A12807" s="1">
        <v>36847</v>
      </c>
      <c r="B12807">
        <v>1367.72</v>
      </c>
      <c r="C12807">
        <f t="shared" si="420"/>
        <v>-3.3519878745481443E-3</v>
      </c>
      <c r="D12807">
        <f t="shared" si="419"/>
        <v>-0.38687227709171329</v>
      </c>
    </row>
    <row r="12808" spans="1:4">
      <c r="A12808" s="1">
        <v>36850</v>
      </c>
      <c r="B12808">
        <v>1342.62</v>
      </c>
      <c r="C12808">
        <f t="shared" si="420"/>
        <v>-1.8351709414207686E-2</v>
      </c>
      <c r="D12808">
        <f t="shared" si="419"/>
        <v>-1.9708377730266788</v>
      </c>
    </row>
    <row r="12809" spans="1:4">
      <c r="A12809" s="1">
        <v>36851</v>
      </c>
      <c r="B12809">
        <v>1347.35</v>
      </c>
      <c r="C12809">
        <f t="shared" si="420"/>
        <v>3.5229625657297067E-3</v>
      </c>
      <c r="D12809">
        <f t="shared" si="419"/>
        <v>0.33912015249242855</v>
      </c>
    </row>
    <row r="12810" spans="1:4">
      <c r="A12810" s="1">
        <v>36852</v>
      </c>
      <c r="B12810">
        <v>1322.36</v>
      </c>
      <c r="C12810">
        <f t="shared" si="420"/>
        <v>-1.8547519204364132E-2</v>
      </c>
      <c r="D12810">
        <f t="shared" si="419"/>
        <v>-1.991515220308218</v>
      </c>
    </row>
    <row r="12811" spans="1:4">
      <c r="A12811" s="1">
        <v>36854</v>
      </c>
      <c r="B12811">
        <v>1341.77</v>
      </c>
      <c r="C12811">
        <f t="shared" si="420"/>
        <v>1.4678302428990656E-2</v>
      </c>
      <c r="D12811">
        <f t="shared" si="419"/>
        <v>1.5171202501685273</v>
      </c>
    </row>
    <row r="12812" spans="1:4">
      <c r="A12812" s="1">
        <v>36857</v>
      </c>
      <c r="B12812">
        <v>1348.97</v>
      </c>
      <c r="C12812">
        <f t="shared" si="420"/>
        <v>5.366046341772469E-3</v>
      </c>
      <c r="D12812">
        <f t="shared" si="419"/>
        <v>0.53374917274792899</v>
      </c>
    </row>
    <row r="12813" spans="1:4">
      <c r="A12813" s="1">
        <v>36858</v>
      </c>
      <c r="B12813">
        <v>1336.09</v>
      </c>
      <c r="C12813">
        <f t="shared" si="420"/>
        <v>-9.5480255305900857E-3</v>
      </c>
      <c r="D12813">
        <f t="shared" si="419"/>
        <v>-1.041171747434211</v>
      </c>
    </row>
    <row r="12814" spans="1:4">
      <c r="A12814" s="1">
        <v>36859</v>
      </c>
      <c r="B12814">
        <v>1341.93</v>
      </c>
      <c r="C12814">
        <f t="shared" si="420"/>
        <v>4.3709630339274644E-3</v>
      </c>
      <c r="D12814">
        <f t="shared" si="419"/>
        <v>0.42866871368474729</v>
      </c>
    </row>
    <row r="12815" spans="1:4">
      <c r="A12815" s="1">
        <v>36860</v>
      </c>
      <c r="B12815">
        <v>1314.95</v>
      </c>
      <c r="C12815">
        <f t="shared" si="420"/>
        <v>-2.0105370622908809E-2</v>
      </c>
      <c r="D12815">
        <f t="shared" si="419"/>
        <v>-2.1560238005671097</v>
      </c>
    </row>
    <row r="12816" spans="1:4">
      <c r="A12816" s="1">
        <v>36861</v>
      </c>
      <c r="B12816">
        <v>1315.23</v>
      </c>
      <c r="C12816">
        <f t="shared" si="420"/>
        <v>2.1293585307424062E-4</v>
      </c>
      <c r="D12816">
        <f t="shared" si="419"/>
        <v>-1.0417543231241631E-2</v>
      </c>
    </row>
    <row r="12817" spans="1:4">
      <c r="A12817" s="1">
        <v>36864</v>
      </c>
      <c r="B12817">
        <v>1324.97</v>
      </c>
      <c r="C12817">
        <f t="shared" si="420"/>
        <v>7.4055488393665056E-3</v>
      </c>
      <c r="D12817">
        <f t="shared" si="419"/>
        <v>0.74911994323327646</v>
      </c>
    </row>
    <row r="12818" spans="1:4">
      <c r="A12818" s="1">
        <v>36865</v>
      </c>
      <c r="B12818">
        <v>1376.54</v>
      </c>
      <c r="C12818">
        <f t="shared" si="420"/>
        <v>3.892163596156889E-2</v>
      </c>
      <c r="D12818">
        <f t="shared" si="419"/>
        <v>4.0772080304993255</v>
      </c>
    </row>
    <row r="12819" spans="1:4">
      <c r="A12819" s="1">
        <v>36866</v>
      </c>
      <c r="B12819">
        <v>1351.46</v>
      </c>
      <c r="C12819">
        <f t="shared" si="420"/>
        <v>-1.8219594054658731E-2</v>
      </c>
      <c r="D12819">
        <f t="shared" si="419"/>
        <v>-1.9568864359665019</v>
      </c>
    </row>
    <row r="12820" spans="1:4">
      <c r="A12820" s="1">
        <v>36867</v>
      </c>
      <c r="B12820">
        <v>1343.55</v>
      </c>
      <c r="C12820">
        <f t="shared" si="420"/>
        <v>-5.8529294244743331E-3</v>
      </c>
      <c r="D12820">
        <f t="shared" si="419"/>
        <v>-0.6509708546525812</v>
      </c>
    </row>
    <row r="12821" spans="1:4">
      <c r="A12821" s="1">
        <v>36868</v>
      </c>
      <c r="B12821">
        <v>1369.89</v>
      </c>
      <c r="C12821">
        <f t="shared" si="420"/>
        <v>1.9604778385620296E-2</v>
      </c>
      <c r="D12821">
        <f t="shared" si="419"/>
        <v>2.0373544365980751</v>
      </c>
    </row>
    <row r="12822" spans="1:4">
      <c r="A12822" s="1">
        <v>36871</v>
      </c>
      <c r="B12822">
        <v>1380.2</v>
      </c>
      <c r="C12822">
        <f t="shared" si="420"/>
        <v>7.5261517348107834E-3</v>
      </c>
      <c r="D12822">
        <f t="shared" si="419"/>
        <v>0.76185556799727616</v>
      </c>
    </row>
    <row r="12823" spans="1:4">
      <c r="A12823" s="1">
        <v>36872</v>
      </c>
      <c r="B12823">
        <v>1371.18</v>
      </c>
      <c r="C12823">
        <f t="shared" si="420"/>
        <v>-6.535284741341821E-3</v>
      </c>
      <c r="D12823">
        <f t="shared" si="419"/>
        <v>-0.72302734416994618</v>
      </c>
    </row>
    <row r="12824" spans="1:4">
      <c r="A12824" s="1">
        <v>36873</v>
      </c>
      <c r="B12824">
        <v>1359.99</v>
      </c>
      <c r="C12824">
        <f t="shared" si="420"/>
        <v>-8.1608541548155999E-3</v>
      </c>
      <c r="D12824">
        <f t="shared" si="419"/>
        <v>-0.89468692167488617</v>
      </c>
    </row>
    <row r="12825" spans="1:4">
      <c r="A12825" s="1">
        <v>36874</v>
      </c>
      <c r="B12825">
        <v>1340.93</v>
      </c>
      <c r="C12825">
        <f t="shared" si="420"/>
        <v>-1.401480893241858E-2</v>
      </c>
      <c r="D12825">
        <f t="shared" si="419"/>
        <v>-1.5128625563338498</v>
      </c>
    </row>
    <row r="12826" spans="1:4">
      <c r="A12826" s="1">
        <v>36875</v>
      </c>
      <c r="B12826">
        <v>1312.15</v>
      </c>
      <c r="C12826">
        <f t="shared" si="420"/>
        <v>-2.1462716174595223E-2</v>
      </c>
      <c r="D12826">
        <f t="shared" si="419"/>
        <v>-2.2993590294410247</v>
      </c>
    </row>
    <row r="12827" spans="1:4">
      <c r="A12827" s="1">
        <v>36878</v>
      </c>
      <c r="B12827">
        <v>1322.74</v>
      </c>
      <c r="C12827">
        <f t="shared" si="420"/>
        <v>8.0707236215371084E-3</v>
      </c>
      <c r="D12827">
        <f t="shared" si="419"/>
        <v>0.81936217412659784</v>
      </c>
    </row>
    <row r="12828" spans="1:4">
      <c r="A12828" s="1">
        <v>36879</v>
      </c>
      <c r="B12828">
        <v>1305.5999999999999</v>
      </c>
      <c r="C12828">
        <f t="shared" si="420"/>
        <v>-1.2957950920059951E-2</v>
      </c>
      <c r="D12828">
        <f t="shared" si="419"/>
        <v>-1.4012587094722717</v>
      </c>
    </row>
    <row r="12829" spans="1:4">
      <c r="A12829" s="1">
        <v>36880</v>
      </c>
      <c r="B12829">
        <v>1264.74</v>
      </c>
      <c r="C12829">
        <f t="shared" si="420"/>
        <v>-3.1295955882352865E-2</v>
      </c>
      <c r="D12829">
        <f t="shared" si="419"/>
        <v>-3.3377458000996518</v>
      </c>
    </row>
    <row r="12830" spans="1:4">
      <c r="A12830" s="1">
        <v>36881</v>
      </c>
      <c r="B12830">
        <v>1274.8599999999999</v>
      </c>
      <c r="C12830">
        <f t="shared" si="420"/>
        <v>8.0016446067965683E-3</v>
      </c>
      <c r="D12830">
        <f t="shared" si="419"/>
        <v>0.81206745365109478</v>
      </c>
    </row>
    <row r="12831" spans="1:4">
      <c r="A12831" s="1">
        <v>36882</v>
      </c>
      <c r="B12831">
        <v>1305.95</v>
      </c>
      <c r="C12831">
        <f t="shared" si="420"/>
        <v>2.4386991512793679E-2</v>
      </c>
      <c r="D12831">
        <f t="shared" si="419"/>
        <v>2.5423545172743611</v>
      </c>
    </row>
    <row r="12832" spans="1:4">
      <c r="A12832" s="1">
        <v>36886</v>
      </c>
      <c r="B12832">
        <v>1315.19</v>
      </c>
      <c r="C12832">
        <f t="shared" si="420"/>
        <v>7.0753091619127906E-3</v>
      </c>
      <c r="D12832">
        <f t="shared" si="419"/>
        <v>0.71424674554808465</v>
      </c>
    </row>
    <row r="12833" spans="1:4">
      <c r="A12833" s="1">
        <v>36887</v>
      </c>
      <c r="B12833">
        <v>1328.92</v>
      </c>
      <c r="C12833">
        <f t="shared" si="420"/>
        <v>1.0439556261832905E-2</v>
      </c>
      <c r="D12833">
        <f t="shared" si="419"/>
        <v>1.0695100957364967</v>
      </c>
    </row>
    <row r="12834" spans="1:4">
      <c r="A12834" s="1">
        <v>36888</v>
      </c>
      <c r="B12834">
        <v>1334.22</v>
      </c>
      <c r="C12834">
        <f t="shared" si="420"/>
        <v>3.9882009451283401E-3</v>
      </c>
      <c r="D12834">
        <f t="shared" si="419"/>
        <v>0.38824916721471536</v>
      </c>
    </row>
    <row r="12835" spans="1:4">
      <c r="A12835" s="1">
        <v>36889</v>
      </c>
      <c r="B12835">
        <v>1320.28</v>
      </c>
      <c r="C12835">
        <f t="shared" si="420"/>
        <v>-1.0448052045389856E-2</v>
      </c>
      <c r="D12835">
        <f t="shared" si="419"/>
        <v>-1.1362142414631899</v>
      </c>
    </row>
    <row r="12836" spans="1:4">
      <c r="A12836" s="1">
        <v>36893</v>
      </c>
      <c r="B12836">
        <v>1283.27</v>
      </c>
      <c r="C12836">
        <f t="shared" si="420"/>
        <v>-2.803193262035325E-2</v>
      </c>
      <c r="D12836">
        <f t="shared" si="419"/>
        <v>-2.9930660531279072</v>
      </c>
    </row>
    <row r="12837" spans="1:4">
      <c r="A12837" s="1">
        <v>36894</v>
      </c>
      <c r="B12837">
        <v>1347.56</v>
      </c>
      <c r="C12837">
        <f t="shared" si="420"/>
        <v>5.0098576293375489E-2</v>
      </c>
      <c r="D12837">
        <f t="shared" si="419"/>
        <v>5.2574891303114892</v>
      </c>
    </row>
    <row r="12838" spans="1:4">
      <c r="A12838" s="1">
        <v>36895</v>
      </c>
      <c r="B12838">
        <v>1333.34</v>
      </c>
      <c r="C12838">
        <f t="shared" si="420"/>
        <v>-1.0552405829796097E-2</v>
      </c>
      <c r="D12838">
        <f t="shared" si="419"/>
        <v>-1.1472339656249142</v>
      </c>
    </row>
    <row r="12839" spans="1:4">
      <c r="A12839" s="1">
        <v>36896</v>
      </c>
      <c r="B12839">
        <v>1298.3499999999999</v>
      </c>
      <c r="C12839">
        <f t="shared" si="420"/>
        <v>-2.6242368788156067E-2</v>
      </c>
      <c r="D12839">
        <f t="shared" si="419"/>
        <v>-2.8040887207501868</v>
      </c>
    </row>
    <row r="12840" spans="1:4">
      <c r="A12840" s="1">
        <v>36899</v>
      </c>
      <c r="B12840">
        <v>1295.8599999999999</v>
      </c>
      <c r="C12840">
        <f t="shared" si="420"/>
        <v>-1.9178187699772861E-3</v>
      </c>
      <c r="D12840">
        <f t="shared" si="419"/>
        <v>-0.23542450714679561</v>
      </c>
    </row>
    <row r="12841" spans="1:4">
      <c r="A12841" s="1">
        <v>36900</v>
      </c>
      <c r="B12841">
        <v>1300.8</v>
      </c>
      <c r="C12841">
        <f t="shared" si="420"/>
        <v>3.8121402003303251E-3</v>
      </c>
      <c r="D12841">
        <f t="shared" si="419"/>
        <v>0.36965721240999994</v>
      </c>
    </row>
    <row r="12842" spans="1:4">
      <c r="A12842" s="1">
        <v>36901</v>
      </c>
      <c r="B12842">
        <v>1313.27</v>
      </c>
      <c r="C12842">
        <f t="shared" si="420"/>
        <v>9.5864083640836619E-3</v>
      </c>
      <c r="D12842">
        <f t="shared" si="419"/>
        <v>0.97941796773323742</v>
      </c>
    </row>
    <row r="12843" spans="1:4">
      <c r="A12843" s="1">
        <v>36902</v>
      </c>
      <c r="B12843">
        <v>1326.82</v>
      </c>
      <c r="C12843">
        <f t="shared" si="420"/>
        <v>1.0317756440031337E-2</v>
      </c>
      <c r="D12843">
        <f t="shared" si="419"/>
        <v>1.0566480759560222</v>
      </c>
    </row>
    <row r="12844" spans="1:4">
      <c r="A12844" s="1">
        <v>36903</v>
      </c>
      <c r="B12844">
        <v>1318.55</v>
      </c>
      <c r="C12844">
        <f t="shared" si="420"/>
        <v>-6.2329479507393483E-3</v>
      </c>
      <c r="D12844">
        <f t="shared" si="419"/>
        <v>-0.69110068185159346</v>
      </c>
    </row>
    <row r="12845" spans="1:4">
      <c r="A12845" s="1">
        <v>36907</v>
      </c>
      <c r="B12845">
        <v>1326.65</v>
      </c>
      <c r="C12845">
        <f t="shared" si="420"/>
        <v>6.1431117515453621E-3</v>
      </c>
      <c r="D12845">
        <f t="shared" si="419"/>
        <v>0.61580701588257991</v>
      </c>
    </row>
    <row r="12846" spans="1:4">
      <c r="A12846" s="1">
        <v>36908</v>
      </c>
      <c r="B12846">
        <v>1329.47</v>
      </c>
      <c r="C12846">
        <f t="shared" si="420"/>
        <v>2.1256548449100636E-3</v>
      </c>
      <c r="D12846">
        <f t="shared" si="419"/>
        <v>0.19156493214184608</v>
      </c>
    </row>
    <row r="12847" spans="1:4">
      <c r="A12847" s="1">
        <v>36909</v>
      </c>
      <c r="B12847">
        <v>1347.97</v>
      </c>
      <c r="C12847">
        <f t="shared" si="420"/>
        <v>1.3915319638652997E-2</v>
      </c>
      <c r="D12847">
        <f t="shared" si="419"/>
        <v>1.436549526859322</v>
      </c>
    </row>
    <row r="12848" spans="1:4">
      <c r="A12848" s="1">
        <v>36910</v>
      </c>
      <c r="B12848">
        <v>1342.54</v>
      </c>
      <c r="C12848">
        <f t="shared" si="420"/>
        <v>-4.0282795611178762E-3</v>
      </c>
      <c r="D12848">
        <f t="shared" si="419"/>
        <v>-0.45828844931076329</v>
      </c>
    </row>
    <row r="12849" spans="1:4">
      <c r="A12849" s="1">
        <v>36913</v>
      </c>
      <c r="B12849">
        <v>1342.9</v>
      </c>
      <c r="C12849">
        <f t="shared" si="420"/>
        <v>2.6814843505603358E-4</v>
      </c>
      <c r="D12849">
        <f t="shared" si="419"/>
        <v>-4.5871133416327849E-3</v>
      </c>
    </row>
    <row r="12850" spans="1:4">
      <c r="A12850" s="1">
        <v>36914</v>
      </c>
      <c r="B12850">
        <v>1360.4</v>
      </c>
      <c r="C12850">
        <f t="shared" si="420"/>
        <v>1.3031498994712934E-2</v>
      </c>
      <c r="D12850">
        <f t="shared" si="419"/>
        <v>1.3432183672844851</v>
      </c>
    </row>
    <row r="12851" spans="1:4">
      <c r="A12851" s="1">
        <v>36915</v>
      </c>
      <c r="B12851">
        <v>1364.3</v>
      </c>
      <c r="C12851">
        <f t="shared" si="420"/>
        <v>2.8668038812113081E-3</v>
      </c>
      <c r="D12851">
        <f t="shared" si="419"/>
        <v>0.26983001844645949</v>
      </c>
    </row>
    <row r="12852" spans="1:4">
      <c r="A12852" s="1">
        <v>36916</v>
      </c>
      <c r="B12852">
        <v>1357.51</v>
      </c>
      <c r="C12852">
        <f t="shared" si="420"/>
        <v>-4.9769112365315284E-3</v>
      </c>
      <c r="D12852">
        <f t="shared" si="419"/>
        <v>-0.55846363177887115</v>
      </c>
    </row>
    <row r="12853" spans="1:4">
      <c r="A12853" s="1">
        <v>36917</v>
      </c>
      <c r="B12853">
        <v>1354.95</v>
      </c>
      <c r="C12853">
        <f t="shared" si="420"/>
        <v>-1.8858056294244207E-3</v>
      </c>
      <c r="D12853">
        <f t="shared" si="419"/>
        <v>-0.23204393038620821</v>
      </c>
    </row>
    <row r="12854" spans="1:4">
      <c r="A12854" s="1">
        <v>36920</v>
      </c>
      <c r="B12854">
        <v>1364.17</v>
      </c>
      <c r="C12854">
        <f t="shared" si="420"/>
        <v>6.8046791394516604E-3</v>
      </c>
      <c r="D12854">
        <f t="shared" si="419"/>
        <v>0.68566830716780358</v>
      </c>
    </row>
    <row r="12855" spans="1:4">
      <c r="A12855" s="1">
        <v>36921</v>
      </c>
      <c r="B12855">
        <v>1373.73</v>
      </c>
      <c r="C12855">
        <f t="shared" si="420"/>
        <v>7.0079242323170463E-3</v>
      </c>
      <c r="D12855">
        <f t="shared" si="419"/>
        <v>0.70713091988802457</v>
      </c>
    </row>
    <row r="12856" spans="1:4">
      <c r="A12856" s="1">
        <v>36922</v>
      </c>
      <c r="B12856">
        <v>1366.01</v>
      </c>
      <c r="C12856">
        <f t="shared" si="420"/>
        <v>-5.6197360471126256E-3</v>
      </c>
      <c r="D12856">
        <f t="shared" si="419"/>
        <v>-0.6263457132694652</v>
      </c>
    </row>
    <row r="12857" spans="1:4">
      <c r="A12857" s="1">
        <v>36923</v>
      </c>
      <c r="B12857">
        <v>1373.47</v>
      </c>
      <c r="C12857">
        <f t="shared" si="420"/>
        <v>5.4611606064377538E-3</v>
      </c>
      <c r="D12857">
        <f t="shared" si="419"/>
        <v>0.54379320676567355</v>
      </c>
    </row>
    <row r="12858" spans="1:4">
      <c r="A12858" s="1">
        <v>36924</v>
      </c>
      <c r="B12858">
        <v>1349.47</v>
      </c>
      <c r="C12858">
        <f t="shared" si="420"/>
        <v>-1.7473989238934961E-2</v>
      </c>
      <c r="D12858">
        <f t="shared" si="419"/>
        <v>-1.8781508208694628</v>
      </c>
    </row>
    <row r="12859" spans="1:4">
      <c r="A12859" s="1">
        <v>36927</v>
      </c>
      <c r="B12859">
        <v>1354.31</v>
      </c>
      <c r="C12859">
        <f t="shared" si="420"/>
        <v>3.586593255129731E-3</v>
      </c>
      <c r="D12859">
        <f t="shared" si="419"/>
        <v>0.34583953166394893</v>
      </c>
    </row>
    <row r="12860" spans="1:4">
      <c r="A12860" s="1">
        <v>36928</v>
      </c>
      <c r="B12860">
        <v>1352.26</v>
      </c>
      <c r="C12860">
        <f t="shared" si="420"/>
        <v>-1.5136859360116626E-3</v>
      </c>
      <c r="D12860">
        <f t="shared" si="419"/>
        <v>-0.19274821725145053</v>
      </c>
    </row>
    <row r="12861" spans="1:4">
      <c r="A12861" s="1">
        <v>36929</v>
      </c>
      <c r="B12861">
        <v>1340.89</v>
      </c>
      <c r="C12861">
        <f t="shared" si="420"/>
        <v>-8.4081463623858505E-3</v>
      </c>
      <c r="D12861">
        <f t="shared" si="419"/>
        <v>-0.92080089473559901</v>
      </c>
    </row>
    <row r="12862" spans="1:4">
      <c r="A12862" s="1">
        <v>36930</v>
      </c>
      <c r="B12862">
        <v>1332.53</v>
      </c>
      <c r="C12862">
        <f t="shared" si="420"/>
        <v>-6.2346650359090807E-3</v>
      </c>
      <c r="D12862">
        <f t="shared" si="419"/>
        <v>-0.69128200546185159</v>
      </c>
    </row>
    <row r="12863" spans="1:4">
      <c r="A12863" s="1">
        <v>36931</v>
      </c>
      <c r="B12863">
        <v>1314.76</v>
      </c>
      <c r="C12863">
        <f t="shared" si="420"/>
        <v>-1.3335534659632416E-2</v>
      </c>
      <c r="D12863">
        <f t="shared" si="419"/>
        <v>-1.4411314240241748</v>
      </c>
    </row>
    <row r="12864" spans="1:4">
      <c r="A12864" s="1">
        <v>36934</v>
      </c>
      <c r="B12864">
        <v>1330.31</v>
      </c>
      <c r="C12864">
        <f t="shared" si="420"/>
        <v>1.1827253643250445E-2</v>
      </c>
      <c r="D12864">
        <f t="shared" si="419"/>
        <v>1.2160504675129302</v>
      </c>
    </row>
    <row r="12865" spans="1:4">
      <c r="A12865" s="1">
        <v>36935</v>
      </c>
      <c r="B12865">
        <v>1318.8</v>
      </c>
      <c r="C12865">
        <f t="shared" si="420"/>
        <v>-8.6521186791048647E-3</v>
      </c>
      <c r="D12865">
        <f t="shared" si="419"/>
        <v>-0.94656428845090712</v>
      </c>
    </row>
    <row r="12866" spans="1:4">
      <c r="A12866" s="1">
        <v>36936</v>
      </c>
      <c r="B12866">
        <v>1315.92</v>
      </c>
      <c r="C12866">
        <f t="shared" si="420"/>
        <v>-2.1838034576887183E-3</v>
      </c>
      <c r="D12866">
        <f t="shared" si="419"/>
        <v>-0.26351239975653457</v>
      </c>
    </row>
    <row r="12867" spans="1:4">
      <c r="A12867" s="1">
        <v>36937</v>
      </c>
      <c r="B12867">
        <v>1326.61</v>
      </c>
      <c r="C12867">
        <f t="shared" si="420"/>
        <v>8.1235941394612338E-3</v>
      </c>
      <c r="D12867">
        <f t="shared" ref="D12867:D12930" si="421">(C12867-avg)/sd</f>
        <v>0.82494528284782331</v>
      </c>
    </row>
    <row r="12868" spans="1:4">
      <c r="A12868" s="1">
        <v>36938</v>
      </c>
      <c r="B12868">
        <v>1301.53</v>
      </c>
      <c r="C12868">
        <f t="shared" ref="C12868:C12931" si="422">(B12868-B12867)/B12867</f>
        <v>-1.8905330127166182E-2</v>
      </c>
      <c r="D12868">
        <f t="shared" si="421"/>
        <v>-2.0292999321302725</v>
      </c>
    </row>
    <row r="12869" spans="1:4">
      <c r="A12869" s="1">
        <v>36942</v>
      </c>
      <c r="B12869">
        <v>1278.94</v>
      </c>
      <c r="C12869">
        <f t="shared" si="422"/>
        <v>-1.7356495816462102E-2</v>
      </c>
      <c r="D12869">
        <f t="shared" si="421"/>
        <v>-1.8657435553942838</v>
      </c>
    </row>
    <row r="12870" spans="1:4">
      <c r="A12870" s="1">
        <v>36943</v>
      </c>
      <c r="B12870">
        <v>1255.27</v>
      </c>
      <c r="C12870">
        <f t="shared" si="422"/>
        <v>-1.8507514035060339E-2</v>
      </c>
      <c r="D12870">
        <f t="shared" si="421"/>
        <v>-1.9872906880281551</v>
      </c>
    </row>
    <row r="12871" spans="1:4">
      <c r="A12871" s="1">
        <v>36944</v>
      </c>
      <c r="B12871">
        <v>1252.82</v>
      </c>
      <c r="C12871">
        <f t="shared" si="422"/>
        <v>-1.9517713320640544E-3</v>
      </c>
      <c r="D12871">
        <f t="shared" si="421"/>
        <v>-0.23900988616212171</v>
      </c>
    </row>
    <row r="12872" spans="1:4">
      <c r="A12872" s="1">
        <v>36945</v>
      </c>
      <c r="B12872">
        <v>1245.8599999999999</v>
      </c>
      <c r="C12872">
        <f t="shared" si="422"/>
        <v>-5.5554668667486444E-3</v>
      </c>
      <c r="D12872">
        <f t="shared" si="421"/>
        <v>-0.6195589096691847</v>
      </c>
    </row>
    <row r="12873" spans="1:4">
      <c r="A12873" s="1">
        <v>36948</v>
      </c>
      <c r="B12873">
        <v>1267.6500000000001</v>
      </c>
      <c r="C12873">
        <f t="shared" si="422"/>
        <v>1.7489926637021969E-2</v>
      </c>
      <c r="D12873">
        <f t="shared" si="421"/>
        <v>1.8140268108191295</v>
      </c>
    </row>
    <row r="12874" spans="1:4">
      <c r="A12874" s="1">
        <v>36949</v>
      </c>
      <c r="B12874">
        <v>1257.94</v>
      </c>
      <c r="C12874">
        <f t="shared" si="422"/>
        <v>-7.6598430166055585E-3</v>
      </c>
      <c r="D12874">
        <f t="shared" si="421"/>
        <v>-0.84178031578186618</v>
      </c>
    </row>
    <row r="12875" spans="1:4">
      <c r="A12875" s="1">
        <v>36950</v>
      </c>
      <c r="B12875">
        <v>1239.94</v>
      </c>
      <c r="C12875">
        <f t="shared" si="422"/>
        <v>-1.4309108542537799E-2</v>
      </c>
      <c r="D12875">
        <f t="shared" si="421"/>
        <v>-1.5439404951251412</v>
      </c>
    </row>
    <row r="12876" spans="1:4">
      <c r="A12876" s="1">
        <v>36951</v>
      </c>
      <c r="B12876">
        <v>1241.23</v>
      </c>
      <c r="C12876">
        <f t="shared" si="422"/>
        <v>1.0403729212703546E-3</v>
      </c>
      <c r="D12876">
        <f t="shared" si="421"/>
        <v>7.6959529910742841E-2</v>
      </c>
    </row>
    <row r="12877" spans="1:4">
      <c r="A12877" s="1">
        <v>36952</v>
      </c>
      <c r="B12877">
        <v>1234.18</v>
      </c>
      <c r="C12877">
        <f t="shared" si="422"/>
        <v>-5.6798498263818586E-3</v>
      </c>
      <c r="D12877">
        <f t="shared" si="421"/>
        <v>-0.63269370792662982</v>
      </c>
    </row>
    <row r="12878" spans="1:4">
      <c r="A12878" s="1">
        <v>36955</v>
      </c>
      <c r="B12878">
        <v>1241.4100000000001</v>
      </c>
      <c r="C12878">
        <f t="shared" si="422"/>
        <v>5.8581406277852643E-3</v>
      </c>
      <c r="D12878">
        <f t="shared" si="421"/>
        <v>0.58571416207990501</v>
      </c>
    </row>
    <row r="12879" spans="1:4">
      <c r="A12879" s="1">
        <v>36956</v>
      </c>
      <c r="B12879">
        <v>1253.8</v>
      </c>
      <c r="C12879">
        <f t="shared" si="422"/>
        <v>9.9805865910536171E-3</v>
      </c>
      <c r="D12879">
        <f t="shared" si="421"/>
        <v>1.0210430545135751</v>
      </c>
    </row>
    <row r="12880" spans="1:4">
      <c r="A12880" s="1">
        <v>36957</v>
      </c>
      <c r="B12880">
        <v>1261.8900000000001</v>
      </c>
      <c r="C12880">
        <f t="shared" si="422"/>
        <v>6.4523847503590252E-3</v>
      </c>
      <c r="D12880">
        <f t="shared" si="421"/>
        <v>0.64846613943030251</v>
      </c>
    </row>
    <row r="12881" spans="1:4">
      <c r="A12881" s="1">
        <v>36958</v>
      </c>
      <c r="B12881">
        <v>1264.74</v>
      </c>
      <c r="C12881">
        <f t="shared" si="422"/>
        <v>2.2585169864250518E-3</v>
      </c>
      <c r="D12881">
        <f t="shared" si="421"/>
        <v>0.20559512912379263</v>
      </c>
    </row>
    <row r="12882" spans="1:4">
      <c r="A12882" s="1">
        <v>36959</v>
      </c>
      <c r="B12882">
        <v>1233.42</v>
      </c>
      <c r="C12882">
        <f t="shared" si="422"/>
        <v>-2.4763983111153229E-2</v>
      </c>
      <c r="D12882">
        <f t="shared" si="421"/>
        <v>-2.6479716957863957</v>
      </c>
    </row>
    <row r="12883" spans="1:4">
      <c r="A12883" s="1">
        <v>36962</v>
      </c>
      <c r="B12883">
        <v>1180.1600000000001</v>
      </c>
      <c r="C12883">
        <f t="shared" si="422"/>
        <v>-4.318074946084869E-2</v>
      </c>
      <c r="D12883">
        <f t="shared" si="421"/>
        <v>-4.5927759621511877</v>
      </c>
    </row>
    <row r="12884" spans="1:4">
      <c r="A12884" s="1">
        <v>36963</v>
      </c>
      <c r="B12884">
        <v>1197.6600000000001</v>
      </c>
      <c r="C12884">
        <f t="shared" si="422"/>
        <v>1.4828497830802602E-2</v>
      </c>
      <c r="D12884">
        <f t="shared" si="421"/>
        <v>1.5329808335459709</v>
      </c>
    </row>
    <row r="12885" spans="1:4">
      <c r="A12885" s="1">
        <v>36964</v>
      </c>
      <c r="B12885">
        <v>1166.71</v>
      </c>
      <c r="C12885">
        <f t="shared" si="422"/>
        <v>-2.5842058681094838E-2</v>
      </c>
      <c r="D12885">
        <f t="shared" si="421"/>
        <v>-2.7618161095165381</v>
      </c>
    </row>
    <row r="12886" spans="1:4">
      <c r="A12886" s="1">
        <v>36965</v>
      </c>
      <c r="B12886">
        <v>1173.56</v>
      </c>
      <c r="C12886">
        <f t="shared" si="422"/>
        <v>5.8712104978957142E-3</v>
      </c>
      <c r="D12886">
        <f t="shared" si="421"/>
        <v>0.58709433592090388</v>
      </c>
    </row>
    <row r="12887" spans="1:4">
      <c r="A12887" s="1">
        <v>36966</v>
      </c>
      <c r="B12887">
        <v>1150.53</v>
      </c>
      <c r="C12887">
        <f t="shared" si="422"/>
        <v>-1.9624049899451219E-2</v>
      </c>
      <c r="D12887">
        <f t="shared" si="421"/>
        <v>-2.1051964957788516</v>
      </c>
    </row>
    <row r="12888" spans="1:4">
      <c r="A12888" s="1">
        <v>36969</v>
      </c>
      <c r="B12888">
        <v>1170.81</v>
      </c>
      <c r="C12888">
        <f t="shared" si="422"/>
        <v>1.762665901801776E-2</v>
      </c>
      <c r="D12888">
        <f t="shared" si="421"/>
        <v>1.8284657037746905</v>
      </c>
    </row>
    <row r="12889" spans="1:4">
      <c r="A12889" s="1">
        <v>36970</v>
      </c>
      <c r="B12889">
        <v>1142.6199999999999</v>
      </c>
      <c r="C12889">
        <f t="shared" si="422"/>
        <v>-2.4077348160675135E-2</v>
      </c>
      <c r="D12889">
        <f t="shared" si="421"/>
        <v>-2.5754632784144689</v>
      </c>
    </row>
    <row r="12890" spans="1:4">
      <c r="A12890" s="1">
        <v>36971</v>
      </c>
      <c r="B12890">
        <v>1122.1400000000001</v>
      </c>
      <c r="C12890">
        <f t="shared" si="422"/>
        <v>-1.7923719171727952E-2</v>
      </c>
      <c r="D12890">
        <f t="shared" si="421"/>
        <v>-1.925642148901771</v>
      </c>
    </row>
    <row r="12891" spans="1:4">
      <c r="A12891" s="1">
        <v>36972</v>
      </c>
      <c r="B12891">
        <v>1117.58</v>
      </c>
      <c r="C12891">
        <f t="shared" si="422"/>
        <v>-4.0636640704369972E-3</v>
      </c>
      <c r="D12891">
        <f t="shared" si="421"/>
        <v>-0.4620250414670834</v>
      </c>
    </row>
    <row r="12892" spans="1:4">
      <c r="A12892" s="1">
        <v>36973</v>
      </c>
      <c r="B12892">
        <v>1139.83</v>
      </c>
      <c r="C12892">
        <f t="shared" si="422"/>
        <v>1.990908928219904E-2</v>
      </c>
      <c r="D12892">
        <f t="shared" si="421"/>
        <v>2.0694895638364907</v>
      </c>
    </row>
    <row r="12893" spans="1:4">
      <c r="A12893" s="1">
        <v>36976</v>
      </c>
      <c r="B12893">
        <v>1152.69</v>
      </c>
      <c r="C12893">
        <f t="shared" si="422"/>
        <v>1.1282384215190096E-2</v>
      </c>
      <c r="D12893">
        <f t="shared" si="421"/>
        <v>1.1585124411198748</v>
      </c>
    </row>
    <row r="12894" spans="1:4">
      <c r="A12894" s="1">
        <v>36977</v>
      </c>
      <c r="B12894">
        <v>1182.17</v>
      </c>
      <c r="C12894">
        <f t="shared" si="422"/>
        <v>2.5574959442694927E-2</v>
      </c>
      <c r="D12894">
        <f t="shared" si="421"/>
        <v>2.6678035268620133</v>
      </c>
    </row>
    <row r="12895" spans="1:4">
      <c r="A12895" s="1">
        <v>36978</v>
      </c>
      <c r="B12895">
        <v>1153.29</v>
      </c>
      <c r="C12895">
        <f t="shared" si="422"/>
        <v>-2.4429650557872478E-2</v>
      </c>
      <c r="D12895">
        <f t="shared" si="421"/>
        <v>-2.6126662918051049</v>
      </c>
    </row>
    <row r="12896" spans="1:4">
      <c r="A12896" s="1">
        <v>36979</v>
      </c>
      <c r="B12896">
        <v>1147.95</v>
      </c>
      <c r="C12896">
        <f t="shared" si="422"/>
        <v>-4.6302317717138953E-3</v>
      </c>
      <c r="D12896">
        <f t="shared" si="421"/>
        <v>-0.52185439813620493</v>
      </c>
    </row>
    <row r="12897" spans="1:4">
      <c r="A12897" s="1">
        <v>36980</v>
      </c>
      <c r="B12897">
        <v>1160.33</v>
      </c>
      <c r="C12897">
        <f t="shared" si="422"/>
        <v>1.07844418310901E-2</v>
      </c>
      <c r="D12897">
        <f t="shared" si="421"/>
        <v>1.1059298946177556</v>
      </c>
    </row>
    <row r="12898" spans="1:4">
      <c r="A12898" s="1">
        <v>36983</v>
      </c>
      <c r="B12898">
        <v>1145.8699999999999</v>
      </c>
      <c r="C12898">
        <f t="shared" si="422"/>
        <v>-1.2461972025199761E-2</v>
      </c>
      <c r="D12898">
        <f t="shared" si="421"/>
        <v>-1.3488835067664533</v>
      </c>
    </row>
    <row r="12899" spans="1:4">
      <c r="A12899" s="1">
        <v>36984</v>
      </c>
      <c r="B12899">
        <v>1106.46</v>
      </c>
      <c r="C12899">
        <f t="shared" si="422"/>
        <v>-3.4393081239582027E-2</v>
      </c>
      <c r="D12899">
        <f t="shared" si="421"/>
        <v>-3.664801185058991</v>
      </c>
    </row>
    <row r="12900" spans="1:4">
      <c r="A12900" s="1">
        <v>36985</v>
      </c>
      <c r="B12900">
        <v>1103.25</v>
      </c>
      <c r="C12900">
        <f t="shared" si="422"/>
        <v>-2.9011441895776045E-3</v>
      </c>
      <c r="D12900">
        <f t="shared" si="421"/>
        <v>-0.33926333720803881</v>
      </c>
    </row>
    <row r="12901" spans="1:4">
      <c r="A12901" s="1">
        <v>36986</v>
      </c>
      <c r="B12901">
        <v>1151.44</v>
      </c>
      <c r="C12901">
        <f t="shared" si="422"/>
        <v>4.3680036256514891E-2</v>
      </c>
      <c r="D12901">
        <f t="shared" si="421"/>
        <v>4.5796934841867749</v>
      </c>
    </row>
    <row r="12902" spans="1:4">
      <c r="A12902" s="1">
        <v>36987</v>
      </c>
      <c r="B12902">
        <v>1128.43</v>
      </c>
      <c r="C12902">
        <f t="shared" si="422"/>
        <v>-1.9983672618634048E-2</v>
      </c>
      <c r="D12902">
        <f t="shared" si="421"/>
        <v>-2.1431725326828563</v>
      </c>
    </row>
    <row r="12903" spans="1:4">
      <c r="A12903" s="1">
        <v>36990</v>
      </c>
      <c r="B12903">
        <v>1137.5899999999999</v>
      </c>
      <c r="C12903">
        <f t="shared" si="422"/>
        <v>8.1174729491415992E-3</v>
      </c>
      <c r="D12903">
        <f t="shared" si="421"/>
        <v>0.8242988872307635</v>
      </c>
    </row>
    <row r="12904" spans="1:4">
      <c r="A12904" s="1">
        <v>36991</v>
      </c>
      <c r="B12904">
        <v>1168.3800000000001</v>
      </c>
      <c r="C12904">
        <f t="shared" si="422"/>
        <v>2.7065990383178643E-2</v>
      </c>
      <c r="D12904">
        <f t="shared" si="421"/>
        <v>2.8252558873510516</v>
      </c>
    </row>
    <row r="12905" spans="1:4">
      <c r="A12905" s="1">
        <v>36992</v>
      </c>
      <c r="B12905">
        <v>1165.8900000000001</v>
      </c>
      <c r="C12905">
        <f t="shared" si="422"/>
        <v>-2.1311559595337207E-3</v>
      </c>
      <c r="D12905">
        <f t="shared" si="421"/>
        <v>-0.25795284184712092</v>
      </c>
    </row>
    <row r="12906" spans="1:4">
      <c r="A12906" s="1">
        <v>36993</v>
      </c>
      <c r="B12906">
        <v>1183.5</v>
      </c>
      <c r="C12906">
        <f t="shared" si="422"/>
        <v>1.510434088979226E-2</v>
      </c>
      <c r="D12906">
        <f t="shared" si="421"/>
        <v>1.5621097668116675</v>
      </c>
    </row>
    <row r="12907" spans="1:4">
      <c r="A12907" s="1">
        <v>36997</v>
      </c>
      <c r="B12907">
        <v>1179.68</v>
      </c>
      <c r="C12907">
        <f t="shared" si="422"/>
        <v>-3.227714406421577E-3</v>
      </c>
      <c r="D12907">
        <f t="shared" si="421"/>
        <v>-0.37374904110015206</v>
      </c>
    </row>
    <row r="12908" spans="1:4">
      <c r="A12908" s="1">
        <v>36998</v>
      </c>
      <c r="B12908">
        <v>1191.81</v>
      </c>
      <c r="C12908">
        <f t="shared" si="422"/>
        <v>1.0282449477824394E-2</v>
      </c>
      <c r="D12908">
        <f t="shared" si="421"/>
        <v>1.0529196727483885</v>
      </c>
    </row>
    <row r="12909" spans="1:4">
      <c r="A12909" s="1">
        <v>36999</v>
      </c>
      <c r="B12909">
        <v>1238.1600000000001</v>
      </c>
      <c r="C12909">
        <f t="shared" si="422"/>
        <v>3.8890427165403994E-2</v>
      </c>
      <c r="D12909">
        <f t="shared" si="421"/>
        <v>4.0739123922326979</v>
      </c>
    </row>
    <row r="12910" spans="1:4">
      <c r="A12910" s="1">
        <v>37000</v>
      </c>
      <c r="B12910">
        <v>1253.69</v>
      </c>
      <c r="C12910">
        <f t="shared" si="422"/>
        <v>1.2542805453253191E-2</v>
      </c>
      <c r="D12910">
        <f t="shared" si="421"/>
        <v>1.2916124954213422</v>
      </c>
    </row>
    <row r="12911" spans="1:4">
      <c r="A12911" s="1">
        <v>37001</v>
      </c>
      <c r="B12911">
        <v>1242.98</v>
      </c>
      <c r="C12911">
        <f t="shared" si="422"/>
        <v>-8.5427817083968405E-3</v>
      </c>
      <c r="D12911">
        <f t="shared" si="421"/>
        <v>-0.93501834150958185</v>
      </c>
    </row>
    <row r="12912" spans="1:4">
      <c r="A12912" s="1">
        <v>37004</v>
      </c>
      <c r="B12912">
        <v>1224.3599999999999</v>
      </c>
      <c r="C12912">
        <f t="shared" si="422"/>
        <v>-1.4980128401100676E-2</v>
      </c>
      <c r="D12912">
        <f t="shared" si="421"/>
        <v>-1.6147999640986488</v>
      </c>
    </row>
    <row r="12913" spans="1:4">
      <c r="A12913" s="1">
        <v>37005</v>
      </c>
      <c r="B12913">
        <v>1209.47</v>
      </c>
      <c r="C12913">
        <f t="shared" si="422"/>
        <v>-1.2161455780979347E-2</v>
      </c>
      <c r="D12913">
        <f t="shared" si="421"/>
        <v>-1.3171490935272123</v>
      </c>
    </row>
    <row r="12914" spans="1:4">
      <c r="A12914" s="1">
        <v>37006</v>
      </c>
      <c r="B12914">
        <v>1228.75</v>
      </c>
      <c r="C12914">
        <f t="shared" si="422"/>
        <v>1.5940866660603382E-2</v>
      </c>
      <c r="D12914">
        <f t="shared" si="421"/>
        <v>1.6504466038603964</v>
      </c>
    </row>
    <row r="12915" spans="1:4">
      <c r="A12915" s="1">
        <v>37007</v>
      </c>
      <c r="B12915">
        <v>1234.52</v>
      </c>
      <c r="C12915">
        <f t="shared" si="422"/>
        <v>4.6958290946083267E-3</v>
      </c>
      <c r="D12915">
        <f t="shared" si="421"/>
        <v>0.46297445926530695</v>
      </c>
    </row>
    <row r="12916" spans="1:4">
      <c r="A12916" s="1">
        <v>37008</v>
      </c>
      <c r="B12916">
        <v>1253.05</v>
      </c>
      <c r="C12916">
        <f t="shared" si="422"/>
        <v>1.5009882383436455E-2</v>
      </c>
      <c r="D12916">
        <f t="shared" si="421"/>
        <v>1.5521349806485008</v>
      </c>
    </row>
    <row r="12917" spans="1:4">
      <c r="A12917" s="1">
        <v>37011</v>
      </c>
      <c r="B12917">
        <v>1249.46</v>
      </c>
      <c r="C12917">
        <f t="shared" si="422"/>
        <v>-2.8650093771197625E-3</v>
      </c>
      <c r="D12917">
        <f t="shared" si="421"/>
        <v>-0.3354475132953102</v>
      </c>
    </row>
    <row r="12918" spans="1:4">
      <c r="A12918" s="1">
        <v>37012</v>
      </c>
      <c r="B12918">
        <v>1266.44</v>
      </c>
      <c r="C12918">
        <f t="shared" si="422"/>
        <v>1.3589870824196068E-2</v>
      </c>
      <c r="D12918">
        <f t="shared" si="421"/>
        <v>1.4021822426780974</v>
      </c>
    </row>
    <row r="12919" spans="1:4">
      <c r="A12919" s="1">
        <v>37013</v>
      </c>
      <c r="B12919">
        <v>1267.43</v>
      </c>
      <c r="C12919">
        <f t="shared" si="422"/>
        <v>7.8171883389659916E-4</v>
      </c>
      <c r="D12919">
        <f t="shared" si="421"/>
        <v>4.9645746204870403E-2</v>
      </c>
    </row>
    <row r="12920" spans="1:4">
      <c r="A12920" s="1">
        <v>37014</v>
      </c>
      <c r="B12920">
        <v>1248.58</v>
      </c>
      <c r="C12920">
        <f t="shared" si="422"/>
        <v>-1.4872616239161245E-2</v>
      </c>
      <c r="D12920">
        <f t="shared" si="421"/>
        <v>-1.6034467163430044</v>
      </c>
    </row>
    <row r="12921" spans="1:4">
      <c r="A12921" s="1">
        <v>37015</v>
      </c>
      <c r="B12921">
        <v>1266.6099999999999</v>
      </c>
      <c r="C12921">
        <f t="shared" si="422"/>
        <v>1.4440404299283966E-2</v>
      </c>
      <c r="D12921">
        <f t="shared" si="421"/>
        <v>1.491998288537004</v>
      </c>
    </row>
    <row r="12922" spans="1:4">
      <c r="A12922" s="1">
        <v>37018</v>
      </c>
      <c r="B12922">
        <v>1263.51</v>
      </c>
      <c r="C12922">
        <f t="shared" si="422"/>
        <v>-2.4474779134855316E-3</v>
      </c>
      <c r="D12922">
        <f t="shared" si="421"/>
        <v>-0.29135633266137573</v>
      </c>
    </row>
    <row r="12923" spans="1:4">
      <c r="A12923" s="1">
        <v>37019</v>
      </c>
      <c r="B12923">
        <v>1261.2</v>
      </c>
      <c r="C12923">
        <f t="shared" si="422"/>
        <v>-1.8282403779945908E-3</v>
      </c>
      <c r="D12923">
        <f t="shared" si="421"/>
        <v>-0.22596505940259787</v>
      </c>
    </row>
    <row r="12924" spans="1:4">
      <c r="A12924" s="1">
        <v>37020</v>
      </c>
      <c r="B12924">
        <v>1255.54</v>
      </c>
      <c r="C12924">
        <f t="shared" si="422"/>
        <v>-4.4877894069141151E-3</v>
      </c>
      <c r="D12924">
        <f t="shared" si="421"/>
        <v>-0.50681253283186045</v>
      </c>
    </row>
    <row r="12925" spans="1:4">
      <c r="A12925" s="1">
        <v>37021</v>
      </c>
      <c r="B12925">
        <v>1255.18</v>
      </c>
      <c r="C12925">
        <f t="shared" si="422"/>
        <v>-2.8672921611410225E-4</v>
      </c>
      <c r="D12925">
        <f t="shared" si="421"/>
        <v>-6.318200469312131E-2</v>
      </c>
    </row>
    <row r="12926" spans="1:4">
      <c r="A12926" s="1">
        <v>37022</v>
      </c>
      <c r="B12926">
        <v>1245.67</v>
      </c>
      <c r="C12926">
        <f t="shared" si="422"/>
        <v>-7.5766025589955148E-3</v>
      </c>
      <c r="D12926">
        <f t="shared" si="421"/>
        <v>-0.83299015175305191</v>
      </c>
    </row>
    <row r="12927" spans="1:4">
      <c r="A12927" s="1">
        <v>37025</v>
      </c>
      <c r="B12927">
        <v>1248.92</v>
      </c>
      <c r="C12927">
        <f t="shared" si="422"/>
        <v>2.6090377066157167E-3</v>
      </c>
      <c r="D12927">
        <f t="shared" si="421"/>
        <v>0.24260999802814495</v>
      </c>
    </row>
    <row r="12928" spans="1:4">
      <c r="A12928" s="1">
        <v>37026</v>
      </c>
      <c r="B12928">
        <v>1249.44</v>
      </c>
      <c r="C12928">
        <f t="shared" si="422"/>
        <v>4.1635973481086199E-4</v>
      </c>
      <c r="D12928">
        <f t="shared" si="421"/>
        <v>1.1063949533008497E-2</v>
      </c>
    </row>
    <row r="12929" spans="1:4">
      <c r="A12929" s="1">
        <v>37027</v>
      </c>
      <c r="B12929">
        <v>1284.99</v>
      </c>
      <c r="C12929">
        <f t="shared" si="422"/>
        <v>2.8452746830580061E-2</v>
      </c>
      <c r="D12929">
        <f t="shared" si="421"/>
        <v>2.9716968968152213</v>
      </c>
    </row>
    <row r="12930" spans="1:4">
      <c r="A12930" s="1">
        <v>37028</v>
      </c>
      <c r="B12930">
        <v>1288.49</v>
      </c>
      <c r="C12930">
        <f t="shared" si="422"/>
        <v>2.7237566051097673E-3</v>
      </c>
      <c r="D12930">
        <f t="shared" si="421"/>
        <v>0.25472427471426845</v>
      </c>
    </row>
    <row r="12931" spans="1:4">
      <c r="A12931" s="1">
        <v>37029</v>
      </c>
      <c r="B12931">
        <v>1291.96</v>
      </c>
      <c r="C12931">
        <f t="shared" si="422"/>
        <v>2.6930748395408793E-3</v>
      </c>
      <c r="D12931">
        <f t="shared" ref="D12931:D12994" si="423">(C12931-avg)/sd</f>
        <v>0.25148429069943268</v>
      </c>
    </row>
    <row r="12932" spans="1:4">
      <c r="A12932" s="1">
        <v>37032</v>
      </c>
      <c r="B12932">
        <v>1312.83</v>
      </c>
      <c r="C12932">
        <f t="shared" ref="C12932:C12995" si="424">(B12932-B12931)/B12931</f>
        <v>1.6153750890120354E-2</v>
      </c>
      <c r="D12932">
        <f t="shared" si="423"/>
        <v>1.672927106134523</v>
      </c>
    </row>
    <row r="12933" spans="1:4">
      <c r="A12933" s="1">
        <v>37033</v>
      </c>
      <c r="B12933">
        <v>1309.3800000000001</v>
      </c>
      <c r="C12933">
        <f t="shared" si="424"/>
        <v>-2.6279106967389671E-3</v>
      </c>
      <c r="D12933">
        <f t="shared" si="423"/>
        <v>-0.31040997324085551</v>
      </c>
    </row>
    <row r="12934" spans="1:4">
      <c r="A12934" s="1">
        <v>37034</v>
      </c>
      <c r="B12934">
        <v>1289.05</v>
      </c>
      <c r="C12934">
        <f t="shared" si="424"/>
        <v>-1.552643235729899E-2</v>
      </c>
      <c r="D12934">
        <f t="shared" si="423"/>
        <v>-1.6724894761754534</v>
      </c>
    </row>
    <row r="12935" spans="1:4">
      <c r="A12935" s="1">
        <v>37035</v>
      </c>
      <c r="B12935">
        <v>1293.17</v>
      </c>
      <c r="C12935">
        <f t="shared" si="424"/>
        <v>3.196152205112384E-3</v>
      </c>
      <c r="D12935">
        <f t="shared" si="423"/>
        <v>0.30460908949947835</v>
      </c>
    </row>
    <row r="12936" spans="1:4">
      <c r="A12936" s="1">
        <v>37036</v>
      </c>
      <c r="B12936">
        <v>1277.8900000000001</v>
      </c>
      <c r="C12936">
        <f t="shared" si="424"/>
        <v>-1.1815925207049322E-2</v>
      </c>
      <c r="D12936">
        <f t="shared" si="423"/>
        <v>-1.2806611823717504</v>
      </c>
    </row>
    <row r="12937" spans="1:4">
      <c r="A12937" s="1">
        <v>37040</v>
      </c>
      <c r="B12937">
        <v>1267.93</v>
      </c>
      <c r="C12937">
        <f t="shared" si="424"/>
        <v>-7.7940980835596455E-3</v>
      </c>
      <c r="D12937">
        <f t="shared" si="423"/>
        <v>-0.85595760521670328</v>
      </c>
    </row>
    <row r="12938" spans="1:4">
      <c r="A12938" s="1">
        <v>37041</v>
      </c>
      <c r="B12938">
        <v>1248.08</v>
      </c>
      <c r="C12938">
        <f t="shared" si="424"/>
        <v>-1.5655438391709429E-2</v>
      </c>
      <c r="D12938">
        <f t="shared" si="423"/>
        <v>-1.6861124695579144</v>
      </c>
    </row>
    <row r="12939" spans="1:4">
      <c r="A12939" s="1">
        <v>37042</v>
      </c>
      <c r="B12939">
        <v>1255.82</v>
      </c>
      <c r="C12939">
        <f t="shared" si="424"/>
        <v>6.2015255432344161E-3</v>
      </c>
      <c r="D12939">
        <f t="shared" si="423"/>
        <v>0.62197549242913142</v>
      </c>
    </row>
    <row r="12940" spans="1:4">
      <c r="A12940" s="1">
        <v>37043</v>
      </c>
      <c r="B12940">
        <v>1260.67</v>
      </c>
      <c r="C12940">
        <f t="shared" si="424"/>
        <v>3.8620184421335356E-3</v>
      </c>
      <c r="D12940">
        <f t="shared" si="423"/>
        <v>0.37492433778998074</v>
      </c>
    </row>
    <row r="12941" spans="1:4">
      <c r="A12941" s="1">
        <v>37046</v>
      </c>
      <c r="B12941">
        <v>1267.1099999999999</v>
      </c>
      <c r="C12941">
        <f t="shared" si="424"/>
        <v>5.1083947424780691E-3</v>
      </c>
      <c r="D12941">
        <f t="shared" si="423"/>
        <v>0.50654125144247419</v>
      </c>
    </row>
    <row r="12942" spans="1:4">
      <c r="A12942" s="1">
        <v>37047</v>
      </c>
      <c r="B12942">
        <v>1283.57</v>
      </c>
      <c r="C12942">
        <f t="shared" si="424"/>
        <v>1.2990190275508864E-2</v>
      </c>
      <c r="D12942">
        <f t="shared" si="423"/>
        <v>1.3388561805780512</v>
      </c>
    </row>
    <row r="12943" spans="1:4">
      <c r="A12943" s="1">
        <v>37048</v>
      </c>
      <c r="B12943">
        <v>1270.03</v>
      </c>
      <c r="C12943">
        <f t="shared" si="424"/>
        <v>-1.054870400523537E-2</v>
      </c>
      <c r="D12943">
        <f t="shared" si="423"/>
        <v>-1.1468430542096126</v>
      </c>
    </row>
    <row r="12944" spans="1:4">
      <c r="A12944" s="1">
        <v>37049</v>
      </c>
      <c r="B12944">
        <v>1276.96</v>
      </c>
      <c r="C12944">
        <f t="shared" si="424"/>
        <v>5.4565640181728492E-3</v>
      </c>
      <c r="D12944">
        <f t="shared" si="423"/>
        <v>0.54330780860735595</v>
      </c>
    </row>
    <row r="12945" spans="1:4">
      <c r="A12945" s="1">
        <v>37050</v>
      </c>
      <c r="B12945">
        <v>1264.96</v>
      </c>
      <c r="C12945">
        <f t="shared" si="424"/>
        <v>-9.3973186317504072E-3</v>
      </c>
      <c r="D12945">
        <f t="shared" si="423"/>
        <v>-1.0252571501445049</v>
      </c>
    </row>
    <row r="12946" spans="1:4">
      <c r="A12946" s="1">
        <v>37053</v>
      </c>
      <c r="B12946">
        <v>1254.3900000000001</v>
      </c>
      <c r="C12946">
        <f t="shared" si="424"/>
        <v>-8.3559954464962807E-3</v>
      </c>
      <c r="D12946">
        <f t="shared" si="423"/>
        <v>-0.91529377574461801</v>
      </c>
    </row>
    <row r="12947" spans="1:4">
      <c r="A12947" s="1">
        <v>37054</v>
      </c>
      <c r="B12947">
        <v>1255.8499999999999</v>
      </c>
      <c r="C12947">
        <f t="shared" si="424"/>
        <v>1.163912339862251E-3</v>
      </c>
      <c r="D12947">
        <f t="shared" si="423"/>
        <v>9.0005250520958369E-2</v>
      </c>
    </row>
    <row r="12948" spans="1:4">
      <c r="A12948" s="1">
        <v>37055</v>
      </c>
      <c r="B12948">
        <v>1241.5999999999999</v>
      </c>
      <c r="C12948">
        <f t="shared" si="424"/>
        <v>-1.1346896524266434E-2</v>
      </c>
      <c r="D12948">
        <f t="shared" si="423"/>
        <v>-1.2311319129004732</v>
      </c>
    </row>
    <row r="12949" spans="1:4">
      <c r="A12949" s="1">
        <v>37056</v>
      </c>
      <c r="B12949">
        <v>1219.8699999999999</v>
      </c>
      <c r="C12949">
        <f t="shared" si="424"/>
        <v>-1.7501610824742286E-2</v>
      </c>
      <c r="D12949">
        <f t="shared" si="423"/>
        <v>-1.881067650941683</v>
      </c>
    </row>
    <row r="12950" spans="1:4">
      <c r="A12950" s="1">
        <v>37057</v>
      </c>
      <c r="B12950">
        <v>1214.3599999999999</v>
      </c>
      <c r="C12950">
        <f t="shared" si="424"/>
        <v>-4.5168747489486511E-3</v>
      </c>
      <c r="D12950">
        <f t="shared" si="423"/>
        <v>-0.50988393506411933</v>
      </c>
    </row>
    <row r="12951" spans="1:4">
      <c r="A12951" s="1">
        <v>37060</v>
      </c>
      <c r="B12951">
        <v>1208.43</v>
      </c>
      <c r="C12951">
        <f t="shared" si="424"/>
        <v>-4.8832306729469322E-3</v>
      </c>
      <c r="D12951">
        <f t="shared" si="423"/>
        <v>-0.5485709961079086</v>
      </c>
    </row>
    <row r="12952" spans="1:4">
      <c r="A12952" s="1">
        <v>37061</v>
      </c>
      <c r="B12952">
        <v>1212.58</v>
      </c>
      <c r="C12952">
        <f t="shared" si="424"/>
        <v>3.4342080219788183E-3</v>
      </c>
      <c r="D12952">
        <f t="shared" si="423"/>
        <v>0.32974770284147004</v>
      </c>
    </row>
    <row r="12953" spans="1:4">
      <c r="A12953" s="1">
        <v>37062</v>
      </c>
      <c r="B12953">
        <v>1223.1400000000001</v>
      </c>
      <c r="C12953">
        <f t="shared" si="424"/>
        <v>8.7087037556286377E-3</v>
      </c>
      <c r="D12953">
        <f t="shared" si="423"/>
        <v>0.88673265942667923</v>
      </c>
    </row>
    <row r="12954" spans="1:4">
      <c r="A12954" s="1">
        <v>37063</v>
      </c>
      <c r="B12954">
        <v>1237.04</v>
      </c>
      <c r="C12954">
        <f t="shared" si="424"/>
        <v>1.1364193796294669E-2</v>
      </c>
      <c r="D12954">
        <f t="shared" si="423"/>
        <v>1.1671515050760899</v>
      </c>
    </row>
    <row r="12955" spans="1:4">
      <c r="A12955" s="1">
        <v>37064</v>
      </c>
      <c r="B12955">
        <v>1225.3499999999999</v>
      </c>
      <c r="C12955">
        <f t="shared" si="424"/>
        <v>-9.449977365323721E-3</v>
      </c>
      <c r="D12955">
        <f t="shared" si="423"/>
        <v>-1.0308178945102737</v>
      </c>
    </row>
    <row r="12956" spans="1:4">
      <c r="A12956" s="1">
        <v>37067</v>
      </c>
      <c r="B12956">
        <v>1218.5999999999999</v>
      </c>
      <c r="C12956">
        <f t="shared" si="424"/>
        <v>-5.5086301872934269E-3</v>
      </c>
      <c r="D12956">
        <f t="shared" si="423"/>
        <v>-0.61461297223927458</v>
      </c>
    </row>
    <row r="12957" spans="1:4">
      <c r="A12957" s="1">
        <v>37068</v>
      </c>
      <c r="B12957">
        <v>1216.76</v>
      </c>
      <c r="C12957">
        <f t="shared" si="424"/>
        <v>-1.5099294272114872E-3</v>
      </c>
      <c r="D12957">
        <f t="shared" si="423"/>
        <v>-0.19235153119905141</v>
      </c>
    </row>
    <row r="12958" spans="1:4">
      <c r="A12958" s="1">
        <v>37069</v>
      </c>
      <c r="B12958">
        <v>1211.07</v>
      </c>
      <c r="C12958">
        <f t="shared" si="424"/>
        <v>-4.6763535947927735E-3</v>
      </c>
      <c r="D12958">
        <f t="shared" si="423"/>
        <v>-0.52672484697576505</v>
      </c>
    </row>
    <row r="12959" spans="1:4">
      <c r="A12959" s="1">
        <v>37070</v>
      </c>
      <c r="B12959">
        <v>1226.2</v>
      </c>
      <c r="C12959">
        <f t="shared" si="424"/>
        <v>1.2493084627643414E-2</v>
      </c>
      <c r="D12959">
        <f t="shared" si="423"/>
        <v>1.2863619931378796</v>
      </c>
    </row>
    <row r="12960" spans="1:4">
      <c r="A12960" s="1">
        <v>37071</v>
      </c>
      <c r="B12960">
        <v>1224.3800000000001</v>
      </c>
      <c r="C12960">
        <f t="shared" si="424"/>
        <v>-1.4842603164246749E-3</v>
      </c>
      <c r="D12960">
        <f t="shared" si="423"/>
        <v>-0.18964088182531871</v>
      </c>
    </row>
    <row r="12961" spans="1:4">
      <c r="A12961" s="1">
        <v>37074</v>
      </c>
      <c r="B12961">
        <v>1236.72</v>
      </c>
      <c r="C12961">
        <f t="shared" si="424"/>
        <v>1.0078570378477203E-2</v>
      </c>
      <c r="D12961">
        <f t="shared" si="423"/>
        <v>1.0313901091591982</v>
      </c>
    </row>
    <row r="12962" spans="1:4">
      <c r="A12962" s="1">
        <v>37075</v>
      </c>
      <c r="B12962">
        <v>1234.45</v>
      </c>
      <c r="C12962">
        <f t="shared" si="424"/>
        <v>-1.8355003557797899E-3</v>
      </c>
      <c r="D12962">
        <f t="shared" si="423"/>
        <v>-0.22673171058892852</v>
      </c>
    </row>
    <row r="12963" spans="1:4">
      <c r="A12963" s="1">
        <v>37077</v>
      </c>
      <c r="B12963">
        <v>1219.24</v>
      </c>
      <c r="C12963">
        <f t="shared" si="424"/>
        <v>-1.2321276681923152E-2</v>
      </c>
      <c r="D12963">
        <f t="shared" si="423"/>
        <v>-1.3340261263411144</v>
      </c>
    </row>
    <row r="12964" spans="1:4">
      <c r="A12964" s="1">
        <v>37078</v>
      </c>
      <c r="B12964">
        <v>1190.5899999999999</v>
      </c>
      <c r="C12964">
        <f t="shared" si="424"/>
        <v>-2.3498244808241274E-2</v>
      </c>
      <c r="D12964">
        <f t="shared" si="423"/>
        <v>-2.5143101612442469</v>
      </c>
    </row>
    <row r="12965" spans="1:4">
      <c r="A12965" s="1">
        <v>37081</v>
      </c>
      <c r="B12965">
        <v>1198.78</v>
      </c>
      <c r="C12965">
        <f t="shared" si="424"/>
        <v>6.8789423731091771E-3</v>
      </c>
      <c r="D12965">
        <f t="shared" si="423"/>
        <v>0.69351047939873778</v>
      </c>
    </row>
    <row r="12966" spans="1:4">
      <c r="A12966" s="1">
        <v>37082</v>
      </c>
      <c r="B12966">
        <v>1181.52</v>
      </c>
      <c r="C12966">
        <f t="shared" si="424"/>
        <v>-1.4397971270791964E-2</v>
      </c>
      <c r="D12966">
        <f t="shared" si="423"/>
        <v>-1.5533243690228722</v>
      </c>
    </row>
    <row r="12967" spans="1:4">
      <c r="A12967" s="1">
        <v>37083</v>
      </c>
      <c r="B12967">
        <v>1180.18</v>
      </c>
      <c r="C12967">
        <f t="shared" si="424"/>
        <v>-1.1341323041505163E-3</v>
      </c>
      <c r="D12967">
        <f t="shared" si="423"/>
        <v>-0.15266748274346156</v>
      </c>
    </row>
    <row r="12968" spans="1:4">
      <c r="A12968" s="1">
        <v>37084</v>
      </c>
      <c r="B12968">
        <v>1208.1400000000001</v>
      </c>
      <c r="C12968">
        <f t="shared" si="424"/>
        <v>2.3691301326916263E-2</v>
      </c>
      <c r="D12968">
        <f t="shared" si="423"/>
        <v>2.4688898701222897</v>
      </c>
    </row>
    <row r="12969" spans="1:4">
      <c r="A12969" s="1">
        <v>37085</v>
      </c>
      <c r="B12969">
        <v>1215.68</v>
      </c>
      <c r="C12969">
        <f t="shared" si="424"/>
        <v>6.2409985597695321E-3</v>
      </c>
      <c r="D12969">
        <f t="shared" si="423"/>
        <v>0.62614382955770942</v>
      </c>
    </row>
    <row r="12970" spans="1:4">
      <c r="A12970" s="1">
        <v>37088</v>
      </c>
      <c r="B12970">
        <v>1202.45</v>
      </c>
      <c r="C12970">
        <f t="shared" si="424"/>
        <v>-1.0882798104764425E-2</v>
      </c>
      <c r="D12970">
        <f t="shared" si="423"/>
        <v>-1.1821232775557786</v>
      </c>
    </row>
    <row r="12971" spans="1:4">
      <c r="A12971" s="1">
        <v>37089</v>
      </c>
      <c r="B12971">
        <v>1214.44</v>
      </c>
      <c r="C12971">
        <f t="shared" si="424"/>
        <v>9.9713085783192726E-3</v>
      </c>
      <c r="D12971">
        <f t="shared" si="423"/>
        <v>1.0200632995225782</v>
      </c>
    </row>
    <row r="12972" spans="1:4">
      <c r="A12972" s="1">
        <v>37090</v>
      </c>
      <c r="B12972">
        <v>1207.71</v>
      </c>
      <c r="C12972">
        <f t="shared" si="424"/>
        <v>-5.5416488257962662E-3</v>
      </c>
      <c r="D12972">
        <f t="shared" si="423"/>
        <v>-0.61809972924159384</v>
      </c>
    </row>
    <row r="12973" spans="1:4">
      <c r="A12973" s="1">
        <v>37091</v>
      </c>
      <c r="B12973">
        <v>1215.02</v>
      </c>
      <c r="C12973">
        <f t="shared" si="424"/>
        <v>6.0527775707743953E-3</v>
      </c>
      <c r="D12973">
        <f t="shared" si="423"/>
        <v>0.60626775709924574</v>
      </c>
    </row>
    <row r="12974" spans="1:4">
      <c r="A12974" s="1">
        <v>37092</v>
      </c>
      <c r="B12974">
        <v>1210.8499999999999</v>
      </c>
      <c r="C12974">
        <f t="shared" si="424"/>
        <v>-3.4320422709091807E-3</v>
      </c>
      <c r="D12974">
        <f t="shared" si="423"/>
        <v>-0.39532599413562725</v>
      </c>
    </row>
    <row r="12975" spans="1:4">
      <c r="A12975" s="1">
        <v>37095</v>
      </c>
      <c r="B12975">
        <v>1191.03</v>
      </c>
      <c r="C12975">
        <f t="shared" si="424"/>
        <v>-1.6368666639137743E-2</v>
      </c>
      <c r="D12975">
        <f t="shared" si="423"/>
        <v>-1.7614291300482834</v>
      </c>
    </row>
    <row r="12976" spans="1:4">
      <c r="A12976" s="1">
        <v>37096</v>
      </c>
      <c r="B12976">
        <v>1171.6500000000001</v>
      </c>
      <c r="C12976">
        <f t="shared" si="424"/>
        <v>-1.6271630437520366E-2</v>
      </c>
      <c r="D12976">
        <f t="shared" si="423"/>
        <v>-1.751182140141696</v>
      </c>
    </row>
    <row r="12977" spans="1:4">
      <c r="A12977" s="1">
        <v>37097</v>
      </c>
      <c r="B12977">
        <v>1190.49</v>
      </c>
      <c r="C12977">
        <f t="shared" si="424"/>
        <v>1.6079887338368896E-2</v>
      </c>
      <c r="D12977">
        <f t="shared" si="423"/>
        <v>1.6651271401770102</v>
      </c>
    </row>
    <row r="12978" spans="1:4">
      <c r="A12978" s="1">
        <v>37098</v>
      </c>
      <c r="B12978">
        <v>1202.93</v>
      </c>
      <c r="C12978">
        <f t="shared" si="424"/>
        <v>1.0449478786046127E-2</v>
      </c>
      <c r="D12978">
        <f t="shared" si="423"/>
        <v>1.0705579109205832</v>
      </c>
    </row>
    <row r="12979" spans="1:4">
      <c r="A12979" s="1">
        <v>37099</v>
      </c>
      <c r="B12979">
        <v>1205.82</v>
      </c>
      <c r="C12979">
        <f t="shared" si="424"/>
        <v>2.4024673089871169E-3</v>
      </c>
      <c r="D12979">
        <f t="shared" si="423"/>
        <v>0.2207962342552546</v>
      </c>
    </row>
    <row r="12980" spans="1:4">
      <c r="A12980" s="1">
        <v>37102</v>
      </c>
      <c r="B12980">
        <v>1204.52</v>
      </c>
      <c r="C12980">
        <f t="shared" si="424"/>
        <v>-1.0781045263803509E-3</v>
      </c>
      <c r="D12980">
        <f t="shared" si="423"/>
        <v>-0.14675096845569907</v>
      </c>
    </row>
    <row r="12981" spans="1:4">
      <c r="A12981" s="1">
        <v>37103</v>
      </c>
      <c r="B12981">
        <v>1211.23</v>
      </c>
      <c r="C12981">
        <f t="shared" si="424"/>
        <v>5.570683757845479E-3</v>
      </c>
      <c r="D12981">
        <f t="shared" si="423"/>
        <v>0.5553588143256013</v>
      </c>
    </row>
    <row r="12982" spans="1:4">
      <c r="A12982" s="1">
        <v>37104</v>
      </c>
      <c r="B12982">
        <v>1215.93</v>
      </c>
      <c r="C12982">
        <f t="shared" si="424"/>
        <v>3.8803530295650254E-3</v>
      </c>
      <c r="D12982">
        <f t="shared" si="423"/>
        <v>0.37686046399051704</v>
      </c>
    </row>
    <row r="12983" spans="1:4">
      <c r="A12983" s="1">
        <v>37105</v>
      </c>
      <c r="B12983">
        <v>1220.75</v>
      </c>
      <c r="C12983">
        <f t="shared" si="424"/>
        <v>3.9640439827950099E-3</v>
      </c>
      <c r="D12983">
        <f t="shared" si="423"/>
        <v>0.38569820020366619</v>
      </c>
    </row>
    <row r="12984" spans="1:4">
      <c r="A12984" s="1">
        <v>37106</v>
      </c>
      <c r="B12984">
        <v>1214.3499999999999</v>
      </c>
      <c r="C12984">
        <f t="shared" si="424"/>
        <v>-5.242678681138719E-3</v>
      </c>
      <c r="D12984">
        <f t="shared" si="423"/>
        <v>-0.58652858359064675</v>
      </c>
    </row>
    <row r="12985" spans="1:4">
      <c r="A12985" s="1">
        <v>37109</v>
      </c>
      <c r="B12985">
        <v>1200.48</v>
      </c>
      <c r="C12985">
        <f t="shared" si="424"/>
        <v>-1.1421748260386127E-2</v>
      </c>
      <c r="D12985">
        <f t="shared" si="423"/>
        <v>-1.2390362307913714</v>
      </c>
    </row>
    <row r="12986" spans="1:4">
      <c r="A12986" s="1">
        <v>37110</v>
      </c>
      <c r="B12986">
        <v>1204.4000000000001</v>
      </c>
      <c r="C12986">
        <f t="shared" si="424"/>
        <v>3.2653605224577443E-3</v>
      </c>
      <c r="D12986">
        <f t="shared" si="423"/>
        <v>0.31191746428609834</v>
      </c>
    </row>
    <row r="12987" spans="1:4">
      <c r="A12987" s="1">
        <v>37111</v>
      </c>
      <c r="B12987">
        <v>1183.53</v>
      </c>
      <c r="C12987">
        <f t="shared" si="424"/>
        <v>-1.7328130189305974E-2</v>
      </c>
      <c r="D12987">
        <f t="shared" si="423"/>
        <v>-1.8627481548085418</v>
      </c>
    </row>
    <row r="12988" spans="1:4">
      <c r="A12988" s="1">
        <v>37112</v>
      </c>
      <c r="B12988">
        <v>1183.43</v>
      </c>
      <c r="C12988">
        <f t="shared" si="424"/>
        <v>-8.4492999754893458E-5</v>
      </c>
      <c r="D12988">
        <f t="shared" si="423"/>
        <v>-4.1825928989018865E-2</v>
      </c>
    </row>
    <row r="12989" spans="1:4">
      <c r="A12989" s="1">
        <v>37113</v>
      </c>
      <c r="B12989">
        <v>1190.1600000000001</v>
      </c>
      <c r="C12989">
        <f t="shared" si="424"/>
        <v>5.6868593833179978E-3</v>
      </c>
      <c r="D12989">
        <f t="shared" si="423"/>
        <v>0.5676269208854855</v>
      </c>
    </row>
    <row r="12990" spans="1:4">
      <c r="A12990" s="1">
        <v>37116</v>
      </c>
      <c r="B12990">
        <v>1191.29</v>
      </c>
      <c r="C12990">
        <f t="shared" si="424"/>
        <v>9.4945217449744713E-4</v>
      </c>
      <c r="D12990">
        <f t="shared" si="423"/>
        <v>6.7358329956987248E-2</v>
      </c>
    </row>
    <row r="12991" spans="1:4">
      <c r="A12991" s="1">
        <v>37117</v>
      </c>
      <c r="B12991">
        <v>1186.73</v>
      </c>
      <c r="C12991">
        <f t="shared" si="424"/>
        <v>-3.8277833273174001E-3</v>
      </c>
      <c r="D12991">
        <f t="shared" si="423"/>
        <v>-0.43711611517341425</v>
      </c>
    </row>
    <row r="12992" spans="1:4">
      <c r="A12992" s="1">
        <v>37118</v>
      </c>
      <c r="B12992">
        <v>1178.02</v>
      </c>
      <c r="C12992">
        <f t="shared" si="424"/>
        <v>-7.3394959257792724E-3</v>
      </c>
      <c r="D12992">
        <f t="shared" si="423"/>
        <v>-0.80795177188187739</v>
      </c>
    </row>
    <row r="12993" spans="1:4">
      <c r="A12993" s="1">
        <v>37119</v>
      </c>
      <c r="B12993">
        <v>1181.6600000000001</v>
      </c>
      <c r="C12993">
        <f t="shared" si="424"/>
        <v>3.0899305614506545E-3</v>
      </c>
      <c r="D12993">
        <f t="shared" si="423"/>
        <v>0.29339212003529075</v>
      </c>
    </row>
    <row r="12994" spans="1:4">
      <c r="A12994" s="1">
        <v>37120</v>
      </c>
      <c r="B12994">
        <v>1161.97</v>
      </c>
      <c r="C12994">
        <f t="shared" si="424"/>
        <v>-1.6662999509165118E-2</v>
      </c>
      <c r="D12994">
        <f t="shared" si="423"/>
        <v>-1.7925105810745705</v>
      </c>
    </row>
    <row r="12995" spans="1:4">
      <c r="A12995" s="1">
        <v>37123</v>
      </c>
      <c r="B12995">
        <v>1171.4100000000001</v>
      </c>
      <c r="C12995">
        <f t="shared" si="424"/>
        <v>8.1241340137869784E-3</v>
      </c>
      <c r="D12995">
        <f t="shared" ref="D12995:D13058" si="425">(C12995-avg)/sd</f>
        <v>0.82500229339310982</v>
      </c>
    </row>
    <row r="12996" spans="1:4">
      <c r="A12996" s="1">
        <v>37124</v>
      </c>
      <c r="B12996">
        <v>1157.26</v>
      </c>
      <c r="C12996">
        <f t="shared" ref="C12996:C13059" si="426">(B12996-B12995)/B12995</f>
        <v>-1.207945979631392E-2</v>
      </c>
      <c r="D12996">
        <f t="shared" si="425"/>
        <v>-1.3084903454183328</v>
      </c>
    </row>
    <row r="12997" spans="1:4">
      <c r="A12997" s="1">
        <v>37125</v>
      </c>
      <c r="B12997">
        <v>1165.31</v>
      </c>
      <c r="C12997">
        <f t="shared" si="426"/>
        <v>6.9560859271036368E-3</v>
      </c>
      <c r="D12997">
        <f t="shared" si="425"/>
        <v>0.70165681247818457</v>
      </c>
    </row>
    <row r="12998" spans="1:4">
      <c r="A12998" s="1">
        <v>37126</v>
      </c>
      <c r="B12998">
        <v>1162.0899999999999</v>
      </c>
      <c r="C12998">
        <f t="shared" si="426"/>
        <v>-2.763213222232734E-3</v>
      </c>
      <c r="D12998">
        <f t="shared" si="425"/>
        <v>-0.32469787394143429</v>
      </c>
    </row>
    <row r="12999" spans="1:4">
      <c r="A12999" s="1">
        <v>37127</v>
      </c>
      <c r="B12999">
        <v>1184.93</v>
      </c>
      <c r="C12999">
        <f t="shared" si="426"/>
        <v>1.9654243647221941E-2</v>
      </c>
      <c r="D12999">
        <f t="shared" si="425"/>
        <v>2.0425779514091493</v>
      </c>
    </row>
    <row r="13000" spans="1:4">
      <c r="A13000" s="1">
        <v>37130</v>
      </c>
      <c r="B13000">
        <v>1179.21</v>
      </c>
      <c r="C13000">
        <f t="shared" si="426"/>
        <v>-4.8272893757437376E-3</v>
      </c>
      <c r="D13000">
        <f t="shared" si="425"/>
        <v>-0.54266361413862207</v>
      </c>
    </row>
    <row r="13001" spans="1:4">
      <c r="A13001" s="1">
        <v>37131</v>
      </c>
      <c r="B13001">
        <v>1161.51</v>
      </c>
      <c r="C13001">
        <f t="shared" si="426"/>
        <v>-1.501004910066913E-2</v>
      </c>
      <c r="D13001">
        <f t="shared" si="425"/>
        <v>-1.6179595798025377</v>
      </c>
    </row>
    <row r="13002" spans="1:4">
      <c r="A13002" s="1">
        <v>37132</v>
      </c>
      <c r="B13002">
        <v>1148.56</v>
      </c>
      <c r="C13002">
        <f t="shared" si="426"/>
        <v>-1.1149279816790252E-2</v>
      </c>
      <c r="D13002">
        <f t="shared" si="425"/>
        <v>-1.2102636557641708</v>
      </c>
    </row>
    <row r="13003" spans="1:4">
      <c r="A13003" s="1">
        <v>37133</v>
      </c>
      <c r="B13003">
        <v>1129.03</v>
      </c>
      <c r="C13003">
        <f t="shared" si="426"/>
        <v>-1.700390053632372E-2</v>
      </c>
      <c r="D13003">
        <f t="shared" si="425"/>
        <v>-1.8285096136646297</v>
      </c>
    </row>
    <row r="13004" spans="1:4">
      <c r="A13004" s="1">
        <v>37134</v>
      </c>
      <c r="B13004">
        <v>1133.58</v>
      </c>
      <c r="C13004">
        <f t="shared" si="426"/>
        <v>4.0300080600160796E-3</v>
      </c>
      <c r="D13004">
        <f t="shared" si="425"/>
        <v>0.39266398433593186</v>
      </c>
    </row>
    <row r="13005" spans="1:4">
      <c r="A13005" s="1">
        <v>37138</v>
      </c>
      <c r="B13005">
        <v>1132.94</v>
      </c>
      <c r="C13005">
        <f t="shared" si="426"/>
        <v>-5.6458300252286799E-4</v>
      </c>
      <c r="D13005">
        <f t="shared" si="425"/>
        <v>-9.2523270090796014E-2</v>
      </c>
    </row>
    <row r="13006" spans="1:4">
      <c r="A13006" s="1">
        <v>37139</v>
      </c>
      <c r="B13006">
        <v>1131.74</v>
      </c>
      <c r="C13006">
        <f t="shared" si="426"/>
        <v>-1.0591911310396361E-3</v>
      </c>
      <c r="D13006">
        <f t="shared" si="425"/>
        <v>-0.14475372033669504</v>
      </c>
    </row>
    <row r="13007" spans="1:4">
      <c r="A13007" s="1">
        <v>37140</v>
      </c>
      <c r="B13007">
        <v>1106.4000000000001</v>
      </c>
      <c r="C13007">
        <f t="shared" si="426"/>
        <v>-2.2390301659391661E-2</v>
      </c>
      <c r="D13007">
        <f t="shared" si="425"/>
        <v>-2.3973117413339025</v>
      </c>
    </row>
    <row r="13008" spans="1:4">
      <c r="A13008" s="1">
        <v>37141</v>
      </c>
      <c r="B13008">
        <v>1085.78</v>
      </c>
      <c r="C13008">
        <f t="shared" si="426"/>
        <v>-1.8637020968908277E-2</v>
      </c>
      <c r="D13008">
        <f t="shared" si="425"/>
        <v>-2.0009665762209519</v>
      </c>
    </row>
    <row r="13009" spans="1:4">
      <c r="A13009" s="1">
        <v>37144</v>
      </c>
      <c r="B13009">
        <v>1092.54</v>
      </c>
      <c r="C13009">
        <f t="shared" si="426"/>
        <v>6.2259389563263197E-3</v>
      </c>
      <c r="D13009">
        <f t="shared" si="425"/>
        <v>0.62455354055311418</v>
      </c>
    </row>
    <row r="13010" spans="1:4">
      <c r="A13010" s="1">
        <v>37151</v>
      </c>
      <c r="B13010">
        <v>1038.77</v>
      </c>
      <c r="C13010">
        <f t="shared" si="426"/>
        <v>-4.9215589360572597E-2</v>
      </c>
      <c r="D13010">
        <f t="shared" si="425"/>
        <v>-5.2300530042202809</v>
      </c>
    </row>
    <row r="13011" spans="1:4">
      <c r="A13011" s="1">
        <v>37152</v>
      </c>
      <c r="B13011">
        <v>1032.74</v>
      </c>
      <c r="C13011">
        <f t="shared" si="426"/>
        <v>-5.8049423837807914E-3</v>
      </c>
      <c r="D13011">
        <f t="shared" si="425"/>
        <v>-0.64590343946693096</v>
      </c>
    </row>
    <row r="13012" spans="1:4">
      <c r="A13012" s="1">
        <v>37153</v>
      </c>
      <c r="B13012">
        <v>1016.1</v>
      </c>
      <c r="C13012">
        <f t="shared" si="426"/>
        <v>-1.6112477487073208E-2</v>
      </c>
      <c r="D13012">
        <f t="shared" si="425"/>
        <v>-1.7343756426731924</v>
      </c>
    </row>
    <row r="13013" spans="1:4">
      <c r="A13013" s="1">
        <v>37154</v>
      </c>
      <c r="B13013">
        <v>984.54</v>
      </c>
      <c r="C13013">
        <f t="shared" si="426"/>
        <v>-3.1059935045763268E-2</v>
      </c>
      <c r="D13013">
        <f t="shared" si="425"/>
        <v>-3.3128220799831709</v>
      </c>
    </row>
    <row r="13014" spans="1:4">
      <c r="A13014" s="1">
        <v>37155</v>
      </c>
      <c r="B13014">
        <v>965.8</v>
      </c>
      <c r="C13014">
        <f t="shared" si="426"/>
        <v>-1.9034269811282437E-2</v>
      </c>
      <c r="D13014">
        <f t="shared" si="425"/>
        <v>-2.0429159189442205</v>
      </c>
    </row>
    <row r="13015" spans="1:4">
      <c r="A13015" s="1">
        <v>37158</v>
      </c>
      <c r="B13015">
        <v>1003.45</v>
      </c>
      <c r="C13015">
        <f t="shared" si="426"/>
        <v>3.8983226340857415E-2</v>
      </c>
      <c r="D13015">
        <f t="shared" si="425"/>
        <v>4.0837119536166071</v>
      </c>
    </row>
    <row r="13016" spans="1:4">
      <c r="A13016" s="1">
        <v>37159</v>
      </c>
      <c r="B13016">
        <v>1012.27</v>
      </c>
      <c r="C13016">
        <f t="shared" si="426"/>
        <v>8.789675619113993E-3</v>
      </c>
      <c r="D13016">
        <f t="shared" si="425"/>
        <v>0.89528326068705899</v>
      </c>
    </row>
    <row r="13017" spans="1:4">
      <c r="A13017" s="1">
        <v>37160</v>
      </c>
      <c r="B13017">
        <v>1007.04</v>
      </c>
      <c r="C13017">
        <f t="shared" si="426"/>
        <v>-5.1666057474784579E-3</v>
      </c>
      <c r="D13017">
        <f t="shared" si="425"/>
        <v>-0.5784953076545698</v>
      </c>
    </row>
    <row r="13018" spans="1:4">
      <c r="A13018" s="1">
        <v>37161</v>
      </c>
      <c r="B13018">
        <v>1018.61</v>
      </c>
      <c r="C13018">
        <f t="shared" si="426"/>
        <v>1.1489116619002274E-2</v>
      </c>
      <c r="D13018">
        <f t="shared" si="425"/>
        <v>1.1803433126906824</v>
      </c>
    </row>
    <row r="13019" spans="1:4">
      <c r="A13019" s="1">
        <v>37162</v>
      </c>
      <c r="B13019">
        <v>1040.94</v>
      </c>
      <c r="C13019">
        <f t="shared" si="426"/>
        <v>2.1922031003033585E-2</v>
      </c>
      <c r="D13019">
        <f t="shared" si="425"/>
        <v>2.2820555253244827</v>
      </c>
    </row>
    <row r="13020" spans="1:4">
      <c r="A13020" s="1">
        <v>37165</v>
      </c>
      <c r="B13020">
        <v>1038.55</v>
      </c>
      <c r="C13020">
        <f t="shared" si="426"/>
        <v>-2.2960016907795839E-3</v>
      </c>
      <c r="D13020">
        <f t="shared" si="425"/>
        <v>-0.2753604950328975</v>
      </c>
    </row>
    <row r="13021" spans="1:4">
      <c r="A13021" s="1">
        <v>37166</v>
      </c>
      <c r="B13021">
        <v>1051.33</v>
      </c>
      <c r="C13021">
        <f t="shared" si="426"/>
        <v>1.2305618410283542E-2</v>
      </c>
      <c r="D13021">
        <f t="shared" si="425"/>
        <v>1.2665656243075405</v>
      </c>
    </row>
    <row r="13022" spans="1:4">
      <c r="A13022" s="1">
        <v>37167</v>
      </c>
      <c r="B13022">
        <v>1072.28</v>
      </c>
      <c r="C13022">
        <f t="shared" si="426"/>
        <v>1.9927139908496903E-2</v>
      </c>
      <c r="D13022">
        <f t="shared" si="425"/>
        <v>2.071395703837839</v>
      </c>
    </row>
    <row r="13023" spans="1:4">
      <c r="A13023" s="1">
        <v>37168</v>
      </c>
      <c r="B13023">
        <v>1069.6300000000001</v>
      </c>
      <c r="C13023">
        <f t="shared" si="426"/>
        <v>-2.471369418435356E-3</v>
      </c>
      <c r="D13023">
        <f t="shared" si="425"/>
        <v>-0.29387926746296006</v>
      </c>
    </row>
    <row r="13024" spans="1:4">
      <c r="A13024" s="1">
        <v>37169</v>
      </c>
      <c r="B13024">
        <v>1071.3800000000001</v>
      </c>
      <c r="C13024">
        <f t="shared" si="426"/>
        <v>1.6360797659003578E-3</v>
      </c>
      <c r="D13024">
        <f t="shared" si="425"/>
        <v>0.13986597021307617</v>
      </c>
    </row>
    <row r="13025" spans="1:4">
      <c r="A13025" s="1">
        <v>37172</v>
      </c>
      <c r="B13025">
        <v>1062.44</v>
      </c>
      <c r="C13025">
        <f t="shared" si="426"/>
        <v>-8.3443782784820078E-3</v>
      </c>
      <c r="D13025">
        <f t="shared" si="425"/>
        <v>-0.91406700675117813</v>
      </c>
    </row>
    <row r="13026" spans="1:4">
      <c r="A13026" s="1">
        <v>37173</v>
      </c>
      <c r="B13026">
        <v>1056.75</v>
      </c>
      <c r="C13026">
        <f t="shared" si="426"/>
        <v>-5.3555965513347147E-3</v>
      </c>
      <c r="D13026">
        <f t="shared" si="425"/>
        <v>-0.59845267230069488</v>
      </c>
    </row>
    <row r="13027" spans="1:4">
      <c r="A13027" s="1">
        <v>37174</v>
      </c>
      <c r="B13027">
        <v>1080.99</v>
      </c>
      <c r="C13027">
        <f t="shared" si="426"/>
        <v>2.2938254080908455E-2</v>
      </c>
      <c r="D13027">
        <f t="shared" si="425"/>
        <v>2.3893683369170611</v>
      </c>
    </row>
    <row r="13028" spans="1:4">
      <c r="A13028" s="1">
        <v>37175</v>
      </c>
      <c r="B13028">
        <v>1097.43</v>
      </c>
      <c r="C13028">
        <f t="shared" si="426"/>
        <v>1.5208281297699381E-2</v>
      </c>
      <c r="D13028">
        <f t="shared" si="425"/>
        <v>1.5730858385555981</v>
      </c>
    </row>
    <row r="13029" spans="1:4">
      <c r="A13029" s="1">
        <v>37176</v>
      </c>
      <c r="B13029">
        <v>1091.6500000000001</v>
      </c>
      <c r="C13029">
        <f t="shared" si="426"/>
        <v>-5.2668507330763444E-3</v>
      </c>
      <c r="D13029">
        <f t="shared" si="425"/>
        <v>-0.58908114405878031</v>
      </c>
    </row>
    <row r="13030" spans="1:4">
      <c r="A13030" s="1">
        <v>37179</v>
      </c>
      <c r="B13030">
        <v>1089.98</v>
      </c>
      <c r="C13030">
        <f t="shared" si="426"/>
        <v>-1.5297943480053796E-3</v>
      </c>
      <c r="D13030">
        <f t="shared" si="425"/>
        <v>-0.19444926008247179</v>
      </c>
    </row>
    <row r="13031" spans="1:4">
      <c r="A13031" s="1">
        <v>37180</v>
      </c>
      <c r="B13031">
        <v>1097.54</v>
      </c>
      <c r="C13031">
        <f t="shared" si="426"/>
        <v>6.9359070808638189E-3</v>
      </c>
      <c r="D13031">
        <f t="shared" si="425"/>
        <v>0.69952593317438294</v>
      </c>
    </row>
    <row r="13032" spans="1:4">
      <c r="A13032" s="1">
        <v>37181</v>
      </c>
      <c r="B13032">
        <v>1077.0899999999999</v>
      </c>
      <c r="C13032">
        <f t="shared" si="426"/>
        <v>-1.8632578311496662E-2</v>
      </c>
      <c r="D13032">
        <f t="shared" si="425"/>
        <v>-2.0004974331084178</v>
      </c>
    </row>
    <row r="13033" spans="1:4">
      <c r="A13033" s="1">
        <v>37182</v>
      </c>
      <c r="B13033">
        <v>1068.6099999999999</v>
      </c>
      <c r="C13033">
        <f t="shared" si="426"/>
        <v>-7.8730653891504136E-3</v>
      </c>
      <c r="D13033">
        <f t="shared" si="425"/>
        <v>-0.86429652584479688</v>
      </c>
    </row>
    <row r="13034" spans="1:4">
      <c r="A13034" s="1">
        <v>37183</v>
      </c>
      <c r="B13034">
        <v>1073.48</v>
      </c>
      <c r="C13034">
        <f t="shared" si="426"/>
        <v>4.5573221287468005E-3</v>
      </c>
      <c r="D13034">
        <f t="shared" si="425"/>
        <v>0.44834817075113498</v>
      </c>
    </row>
    <row r="13035" spans="1:4">
      <c r="A13035" s="1">
        <v>37186</v>
      </c>
      <c r="B13035">
        <v>1089.9000000000001</v>
      </c>
      <c r="C13035">
        <f t="shared" si="426"/>
        <v>1.5296046502962396E-2</v>
      </c>
      <c r="D13035">
        <f t="shared" si="425"/>
        <v>1.5823538143985298</v>
      </c>
    </row>
    <row r="13036" spans="1:4">
      <c r="A13036" s="1">
        <v>37187</v>
      </c>
      <c r="B13036">
        <v>1084.78</v>
      </c>
      <c r="C13036">
        <f t="shared" si="426"/>
        <v>-4.697678686118101E-3</v>
      </c>
      <c r="D13036">
        <f t="shared" si="425"/>
        <v>-0.52897676937096882</v>
      </c>
    </row>
    <row r="13037" spans="1:4">
      <c r="A13037" s="1">
        <v>37188</v>
      </c>
      <c r="B13037">
        <v>1085.2</v>
      </c>
      <c r="C13037">
        <f t="shared" si="426"/>
        <v>3.8717527978029905E-4</v>
      </c>
      <c r="D13037">
        <f t="shared" si="425"/>
        <v>7.9820810020593165E-3</v>
      </c>
    </row>
    <row r="13038" spans="1:4">
      <c r="A13038" s="1">
        <v>37189</v>
      </c>
      <c r="B13038">
        <v>1100.0899999999999</v>
      </c>
      <c r="C13038">
        <f t="shared" si="426"/>
        <v>1.372097309251739E-2</v>
      </c>
      <c r="D13038">
        <f t="shared" si="425"/>
        <v>1.4160265976490027</v>
      </c>
    </row>
    <row r="13039" spans="1:4">
      <c r="A13039" s="1">
        <v>37190</v>
      </c>
      <c r="B13039">
        <v>1104.6099999999999</v>
      </c>
      <c r="C13039">
        <f t="shared" si="426"/>
        <v>4.1087547382486723E-3</v>
      </c>
      <c r="D13039">
        <f t="shared" si="425"/>
        <v>0.40097960678999717</v>
      </c>
    </row>
    <row r="13040" spans="1:4">
      <c r="A13040" s="1">
        <v>37193</v>
      </c>
      <c r="B13040">
        <v>1078.3</v>
      </c>
      <c r="C13040">
        <f t="shared" si="426"/>
        <v>-2.3818361231565846E-2</v>
      </c>
      <c r="D13040">
        <f t="shared" si="425"/>
        <v>-2.5481143467344625</v>
      </c>
    </row>
    <row r="13041" spans="1:4">
      <c r="A13041" s="1">
        <v>37194</v>
      </c>
      <c r="B13041">
        <v>1059.79</v>
      </c>
      <c r="C13041">
        <f t="shared" si="426"/>
        <v>-1.7165909301678561E-2</v>
      </c>
      <c r="D13041">
        <f t="shared" si="425"/>
        <v>-1.8456176842166458</v>
      </c>
    </row>
    <row r="13042" spans="1:4">
      <c r="A13042" s="1">
        <v>37195</v>
      </c>
      <c r="B13042">
        <v>1059.78</v>
      </c>
      <c r="C13042">
        <f t="shared" si="426"/>
        <v>-9.4358316270118652E-6</v>
      </c>
      <c r="D13042">
        <f t="shared" si="425"/>
        <v>-3.3899917547885641E-2</v>
      </c>
    </row>
    <row r="13043" spans="1:4">
      <c r="A13043" s="1">
        <v>37196</v>
      </c>
      <c r="B13043">
        <v>1084.0999999999999</v>
      </c>
      <c r="C13043">
        <f t="shared" si="426"/>
        <v>2.2948159051878633E-2</v>
      </c>
      <c r="D13043">
        <f t="shared" si="425"/>
        <v>2.3904142984846488</v>
      </c>
    </row>
    <row r="13044" spans="1:4">
      <c r="A13044" s="1">
        <v>37197</v>
      </c>
      <c r="B13044">
        <v>1087.2</v>
      </c>
      <c r="C13044">
        <f t="shared" si="426"/>
        <v>2.8595148049074225E-3</v>
      </c>
      <c r="D13044">
        <f t="shared" si="425"/>
        <v>0.26906029446644658</v>
      </c>
    </row>
    <row r="13045" spans="1:4">
      <c r="A13045" s="1">
        <v>37200</v>
      </c>
      <c r="B13045">
        <v>1102.8399999999999</v>
      </c>
      <c r="C13045">
        <f t="shared" si="426"/>
        <v>1.4385577630610626E-2</v>
      </c>
      <c r="D13045">
        <f t="shared" si="425"/>
        <v>1.4862086109615895</v>
      </c>
    </row>
    <row r="13046" spans="1:4">
      <c r="A13046" s="1">
        <v>37201</v>
      </c>
      <c r="B13046">
        <v>1118.8599999999999</v>
      </c>
      <c r="C13046">
        <f t="shared" si="426"/>
        <v>1.4526132530557455E-2</v>
      </c>
      <c r="D13046">
        <f t="shared" si="425"/>
        <v>1.5010511606190429</v>
      </c>
    </row>
    <row r="13047" spans="1:4">
      <c r="A13047" s="1">
        <v>37202</v>
      </c>
      <c r="B13047">
        <v>1115.8</v>
      </c>
      <c r="C13047">
        <f t="shared" si="426"/>
        <v>-2.7349266217399368E-3</v>
      </c>
      <c r="D13047">
        <f t="shared" si="425"/>
        <v>-0.32171081854447758</v>
      </c>
    </row>
    <row r="13048" spans="1:4">
      <c r="A13048" s="1">
        <v>37203</v>
      </c>
      <c r="B13048">
        <v>1118.54</v>
      </c>
      <c r="C13048">
        <f t="shared" si="426"/>
        <v>2.4556372109697162E-3</v>
      </c>
      <c r="D13048">
        <f t="shared" si="425"/>
        <v>0.22641095783128928</v>
      </c>
    </row>
    <row r="13049" spans="1:4">
      <c r="A13049" s="1">
        <v>37204</v>
      </c>
      <c r="B13049">
        <v>1120.31</v>
      </c>
      <c r="C13049">
        <f t="shared" si="426"/>
        <v>1.5824199402792764E-3</v>
      </c>
      <c r="D13049">
        <f t="shared" si="425"/>
        <v>0.13419951086735094</v>
      </c>
    </row>
    <row r="13050" spans="1:4">
      <c r="A13050" s="1">
        <v>37207</v>
      </c>
      <c r="B13050">
        <v>1118.33</v>
      </c>
      <c r="C13050">
        <f t="shared" si="426"/>
        <v>-1.7673679606537639E-3</v>
      </c>
      <c r="D13050">
        <f t="shared" si="425"/>
        <v>-0.21953695282294655</v>
      </c>
    </row>
    <row r="13051" spans="1:4">
      <c r="A13051" s="1">
        <v>37208</v>
      </c>
      <c r="B13051">
        <v>1139.0899999999999</v>
      </c>
      <c r="C13051">
        <f t="shared" si="426"/>
        <v>1.8563393631575647E-2</v>
      </c>
      <c r="D13051">
        <f t="shared" si="425"/>
        <v>1.9273845605548372</v>
      </c>
    </row>
    <row r="13052" spans="1:4">
      <c r="A13052" s="1">
        <v>37209</v>
      </c>
      <c r="B13052">
        <v>1141.21</v>
      </c>
      <c r="C13052">
        <f t="shared" si="426"/>
        <v>1.8611347654707868E-3</v>
      </c>
      <c r="D13052">
        <f t="shared" si="425"/>
        <v>0.16363170166780217</v>
      </c>
    </row>
    <row r="13053" spans="1:4">
      <c r="A13053" s="1">
        <v>37210</v>
      </c>
      <c r="B13053">
        <v>1142.24</v>
      </c>
      <c r="C13053">
        <f t="shared" si="426"/>
        <v>9.0255080134241084E-4</v>
      </c>
      <c r="D13053">
        <f t="shared" si="425"/>
        <v>6.2405560894366767E-2</v>
      </c>
    </row>
    <row r="13054" spans="1:4">
      <c r="A13054" s="1">
        <v>37211</v>
      </c>
      <c r="B13054">
        <v>1138.6500000000001</v>
      </c>
      <c r="C13054">
        <f t="shared" si="426"/>
        <v>-3.1429471914833293E-3</v>
      </c>
      <c r="D13054">
        <f t="shared" si="425"/>
        <v>-0.36479765201644943</v>
      </c>
    </row>
    <row r="13055" spans="1:4">
      <c r="A13055" s="1">
        <v>37214</v>
      </c>
      <c r="B13055">
        <v>1151.06</v>
      </c>
      <c r="C13055">
        <f t="shared" si="426"/>
        <v>1.0898871470601023E-2</v>
      </c>
      <c r="D13055">
        <f t="shared" si="425"/>
        <v>1.1180136256535846</v>
      </c>
    </row>
    <row r="13056" spans="1:4">
      <c r="A13056" s="1">
        <v>37215</v>
      </c>
      <c r="B13056">
        <v>1142.6600000000001</v>
      </c>
      <c r="C13056">
        <f t="shared" si="426"/>
        <v>-7.2976213229543757E-3</v>
      </c>
      <c r="D13056">
        <f t="shared" si="425"/>
        <v>-0.80352982805743733</v>
      </c>
    </row>
    <row r="13057" spans="1:4">
      <c r="A13057" s="1">
        <v>37216</v>
      </c>
      <c r="B13057">
        <v>1137.03</v>
      </c>
      <c r="C13057">
        <f t="shared" si="426"/>
        <v>-4.9270999247371123E-3</v>
      </c>
      <c r="D13057">
        <f t="shared" si="425"/>
        <v>-0.55320357418506838</v>
      </c>
    </row>
    <row r="13058" spans="1:4">
      <c r="A13058" s="1">
        <v>37218</v>
      </c>
      <c r="B13058">
        <v>1150.3399999999999</v>
      </c>
      <c r="C13058">
        <f t="shared" si="426"/>
        <v>1.1705935639341043E-2</v>
      </c>
      <c r="D13058">
        <f t="shared" si="425"/>
        <v>1.2032393275380906</v>
      </c>
    </row>
    <row r="13059" spans="1:4">
      <c r="A13059" s="1">
        <v>37221</v>
      </c>
      <c r="B13059">
        <v>1157.42</v>
      </c>
      <c r="C13059">
        <f t="shared" si="426"/>
        <v>6.1547020880784419E-3</v>
      </c>
      <c r="D13059">
        <f t="shared" ref="D13059:D13122" si="427">(C13059-avg)/sd</f>
        <v>0.61703095148072629</v>
      </c>
    </row>
    <row r="13060" spans="1:4">
      <c r="A13060" s="1">
        <v>37222</v>
      </c>
      <c r="B13060">
        <v>1149.5</v>
      </c>
      <c r="C13060">
        <f t="shared" ref="C13060:C13123" si="428">(B13060-B13059)/B13059</f>
        <v>-6.8428055502756753E-3</v>
      </c>
      <c r="D13060">
        <f t="shared" si="427"/>
        <v>-0.75550143706195938</v>
      </c>
    </row>
    <row r="13061" spans="1:4">
      <c r="A13061" s="1">
        <v>37223</v>
      </c>
      <c r="B13061">
        <v>1128.52</v>
      </c>
      <c r="C13061">
        <f t="shared" si="428"/>
        <v>-1.8251413658112239E-2</v>
      </c>
      <c r="D13061">
        <f t="shared" si="427"/>
        <v>-1.9602465752751836</v>
      </c>
    </row>
    <row r="13062" spans="1:4">
      <c r="A13062" s="1">
        <v>37224</v>
      </c>
      <c r="B13062">
        <v>1140.2</v>
      </c>
      <c r="C13062">
        <f t="shared" si="428"/>
        <v>1.0349838726828115E-2</v>
      </c>
      <c r="D13062">
        <f t="shared" si="427"/>
        <v>1.0600359545364628</v>
      </c>
    </row>
    <row r="13063" spans="1:4">
      <c r="A13063" s="1">
        <v>37225</v>
      </c>
      <c r="B13063">
        <v>1139.45</v>
      </c>
      <c r="C13063">
        <f t="shared" si="428"/>
        <v>-6.5777933695842833E-4</v>
      </c>
      <c r="D13063">
        <f t="shared" si="427"/>
        <v>-0.10236477132821792</v>
      </c>
    </row>
    <row r="13064" spans="1:4">
      <c r="A13064" s="1">
        <v>37228</v>
      </c>
      <c r="B13064">
        <v>1129.9000000000001</v>
      </c>
      <c r="C13064">
        <f t="shared" si="428"/>
        <v>-8.3812365614989292E-3</v>
      </c>
      <c r="D13064">
        <f t="shared" si="427"/>
        <v>-0.91795922890902593</v>
      </c>
    </row>
    <row r="13065" spans="1:4">
      <c r="A13065" s="1">
        <v>37229</v>
      </c>
      <c r="B13065">
        <v>1144.8</v>
      </c>
      <c r="C13065">
        <f t="shared" si="428"/>
        <v>1.318700769979632E-2</v>
      </c>
      <c r="D13065">
        <f t="shared" si="427"/>
        <v>1.3596400336813135</v>
      </c>
    </row>
    <row r="13066" spans="1:4">
      <c r="A13066" s="1">
        <v>37230</v>
      </c>
      <c r="B13066">
        <v>1170.3499999999999</v>
      </c>
      <c r="C13066">
        <f t="shared" si="428"/>
        <v>2.231830887491261E-2</v>
      </c>
      <c r="D13066">
        <f t="shared" si="427"/>
        <v>2.3239023338935145</v>
      </c>
    </row>
    <row r="13067" spans="1:4">
      <c r="A13067" s="1">
        <v>37231</v>
      </c>
      <c r="B13067">
        <v>1167.0999999999999</v>
      </c>
      <c r="C13067">
        <f t="shared" si="428"/>
        <v>-2.7769470671166747E-3</v>
      </c>
      <c r="D13067">
        <f t="shared" si="427"/>
        <v>-0.32614816329281771</v>
      </c>
    </row>
    <row r="13068" spans="1:4">
      <c r="A13068" s="1">
        <v>37232</v>
      </c>
      <c r="B13068">
        <v>1158.31</v>
      </c>
      <c r="C13068">
        <f t="shared" si="428"/>
        <v>-7.5314883043440702E-3</v>
      </c>
      <c r="D13068">
        <f t="shared" si="427"/>
        <v>-0.82822610179693956</v>
      </c>
    </row>
    <row r="13069" spans="1:4">
      <c r="A13069" s="1">
        <v>37235</v>
      </c>
      <c r="B13069">
        <v>1139.93</v>
      </c>
      <c r="C13069">
        <f t="shared" si="428"/>
        <v>-1.5867945541348932E-2</v>
      </c>
      <c r="D13069">
        <f t="shared" si="427"/>
        <v>-1.708553152325156</v>
      </c>
    </row>
    <row r="13070" spans="1:4">
      <c r="A13070" s="1">
        <v>37236</v>
      </c>
      <c r="B13070">
        <v>1136.76</v>
      </c>
      <c r="C13070">
        <f t="shared" si="428"/>
        <v>-2.7808725097155725E-3</v>
      </c>
      <c r="D13070">
        <f t="shared" si="427"/>
        <v>-0.32656268869693855</v>
      </c>
    </row>
    <row r="13071" spans="1:4">
      <c r="A13071" s="1">
        <v>37237</v>
      </c>
      <c r="B13071">
        <v>1137.07</v>
      </c>
      <c r="C13071">
        <f t="shared" si="428"/>
        <v>2.7270488053762043E-4</v>
      </c>
      <c r="D13071">
        <f t="shared" si="427"/>
        <v>-4.1059542475882851E-3</v>
      </c>
    </row>
    <row r="13072" spans="1:4">
      <c r="A13072" s="1">
        <v>37238</v>
      </c>
      <c r="B13072">
        <v>1119.3800000000001</v>
      </c>
      <c r="C13072">
        <f t="shared" si="428"/>
        <v>-1.5557529439700131E-2</v>
      </c>
      <c r="D13072">
        <f t="shared" si="427"/>
        <v>-1.6757733175066023</v>
      </c>
    </row>
    <row r="13073" spans="1:4">
      <c r="A13073" s="1">
        <v>37239</v>
      </c>
      <c r="B13073">
        <v>1123.0899999999999</v>
      </c>
      <c r="C13073">
        <f t="shared" si="428"/>
        <v>3.3143347210061003E-3</v>
      </c>
      <c r="D13073">
        <f t="shared" si="427"/>
        <v>0.31708912300566577</v>
      </c>
    </row>
    <row r="13074" spans="1:4">
      <c r="A13074" s="1">
        <v>37242</v>
      </c>
      <c r="B13074">
        <v>1134.3599999999999</v>
      </c>
      <c r="C13074">
        <f t="shared" si="428"/>
        <v>1.003481466311692E-2</v>
      </c>
      <c r="D13074">
        <f t="shared" si="427"/>
        <v>1.0267695204904428</v>
      </c>
    </row>
    <row r="13075" spans="1:4">
      <c r="A13075" s="1">
        <v>37243</v>
      </c>
      <c r="B13075">
        <v>1142.92</v>
      </c>
      <c r="C13075">
        <f t="shared" si="428"/>
        <v>7.5461052928525105E-3</v>
      </c>
      <c r="D13075">
        <f t="shared" si="427"/>
        <v>0.76396265694393872</v>
      </c>
    </row>
    <row r="13076" spans="1:4">
      <c r="A13076" s="1">
        <v>37244</v>
      </c>
      <c r="B13076">
        <v>1149.56</v>
      </c>
      <c r="C13076">
        <f t="shared" si="428"/>
        <v>5.8096804675741714E-3</v>
      </c>
      <c r="D13076">
        <f t="shared" si="427"/>
        <v>0.58059678563402239</v>
      </c>
    </row>
    <row r="13077" spans="1:4">
      <c r="A13077" s="1">
        <v>37245</v>
      </c>
      <c r="B13077">
        <v>1139.93</v>
      </c>
      <c r="C13077">
        <f t="shared" si="428"/>
        <v>-8.3771182017466535E-3</v>
      </c>
      <c r="D13077">
        <f t="shared" si="427"/>
        <v>-0.91752433151908408</v>
      </c>
    </row>
    <row r="13078" spans="1:4">
      <c r="A13078" s="1">
        <v>37246</v>
      </c>
      <c r="B13078">
        <v>1144.8900000000001</v>
      </c>
      <c r="C13078">
        <f t="shared" si="428"/>
        <v>4.3511443685138882E-3</v>
      </c>
      <c r="D13078">
        <f t="shared" si="427"/>
        <v>0.42657586935376535</v>
      </c>
    </row>
    <row r="13079" spans="1:4">
      <c r="A13079" s="1">
        <v>37249</v>
      </c>
      <c r="B13079">
        <v>1144.6500000000001</v>
      </c>
      <c r="C13079">
        <f t="shared" si="428"/>
        <v>-2.0962712575007999E-4</v>
      </c>
      <c r="D13079">
        <f t="shared" si="427"/>
        <v>-5.5040050158954468E-2</v>
      </c>
    </row>
    <row r="13080" spans="1:4">
      <c r="A13080" s="1">
        <v>37251</v>
      </c>
      <c r="B13080">
        <v>1149.3699999999999</v>
      </c>
      <c r="C13080">
        <f t="shared" si="428"/>
        <v>4.1235312104134884E-3</v>
      </c>
      <c r="D13080">
        <f t="shared" si="427"/>
        <v>0.40253999722783479</v>
      </c>
    </row>
    <row r="13081" spans="1:4">
      <c r="A13081" s="1">
        <v>37252</v>
      </c>
      <c r="B13081">
        <v>1157.1300000000001</v>
      </c>
      <c r="C13081">
        <f t="shared" si="428"/>
        <v>6.7515247483405857E-3</v>
      </c>
      <c r="D13081">
        <f t="shared" si="427"/>
        <v>0.68005522153452957</v>
      </c>
    </row>
    <row r="13082" spans="1:4">
      <c r="A13082" s="1">
        <v>37253</v>
      </c>
      <c r="B13082">
        <v>1161.02</v>
      </c>
      <c r="C13082">
        <f t="shared" si="428"/>
        <v>3.3617657480143736E-3</v>
      </c>
      <c r="D13082">
        <f t="shared" si="427"/>
        <v>0.32209782333515002</v>
      </c>
    </row>
    <row r="13083" spans="1:4">
      <c r="A13083" s="1">
        <v>37256</v>
      </c>
      <c r="B13083">
        <v>1148.08</v>
      </c>
      <c r="C13083">
        <f t="shared" si="428"/>
        <v>-1.1145372172744703E-2</v>
      </c>
      <c r="D13083">
        <f t="shared" si="427"/>
        <v>-1.2098510098812336</v>
      </c>
    </row>
    <row r="13084" spans="1:4">
      <c r="A13084" s="1">
        <v>37258</v>
      </c>
      <c r="B13084">
        <v>1154.67</v>
      </c>
      <c r="C13084">
        <f t="shared" si="428"/>
        <v>5.7400181172045034E-3</v>
      </c>
      <c r="D13084">
        <f t="shared" si="427"/>
        <v>0.57324046511436888</v>
      </c>
    </row>
    <row r="13085" spans="1:4">
      <c r="A13085" s="1">
        <v>37259</v>
      </c>
      <c r="B13085">
        <v>1165.27</v>
      </c>
      <c r="C13085">
        <f t="shared" si="428"/>
        <v>9.1801120666509979E-3</v>
      </c>
      <c r="D13085">
        <f t="shared" si="427"/>
        <v>0.93651321683116984</v>
      </c>
    </row>
    <row r="13086" spans="1:4">
      <c r="A13086" s="1">
        <v>37260</v>
      </c>
      <c r="B13086">
        <v>1172.51</v>
      </c>
      <c r="C13086">
        <f t="shared" si="428"/>
        <v>6.2131523166304888E-3</v>
      </c>
      <c r="D13086">
        <f t="shared" si="427"/>
        <v>0.62320327574762446</v>
      </c>
    </row>
    <row r="13087" spans="1:4">
      <c r="A13087" s="1">
        <v>37263</v>
      </c>
      <c r="B13087">
        <v>1164.8900000000001</v>
      </c>
      <c r="C13087">
        <f t="shared" si="428"/>
        <v>-6.4988784743839206E-3</v>
      </c>
      <c r="D13087">
        <f t="shared" si="427"/>
        <v>-0.71918285475428334</v>
      </c>
    </row>
    <row r="13088" spans="1:4">
      <c r="A13088" s="1">
        <v>37264</v>
      </c>
      <c r="B13088">
        <v>1160.71</v>
      </c>
      <c r="C13088">
        <f t="shared" si="428"/>
        <v>-3.5883216441037896E-3</v>
      </c>
      <c r="D13088">
        <f t="shared" si="427"/>
        <v>-0.41182904282303795</v>
      </c>
    </row>
    <row r="13089" spans="1:4">
      <c r="A13089" s="1">
        <v>37265</v>
      </c>
      <c r="B13089">
        <v>1155.1400000000001</v>
      </c>
      <c r="C13089">
        <f t="shared" si="428"/>
        <v>-4.7987869493671424E-3</v>
      </c>
      <c r="D13089">
        <f t="shared" si="427"/>
        <v>-0.53965376760169914</v>
      </c>
    </row>
    <row r="13090" spans="1:4">
      <c r="A13090" s="1">
        <v>37266</v>
      </c>
      <c r="B13090">
        <v>1156.55</v>
      </c>
      <c r="C13090">
        <f t="shared" si="428"/>
        <v>1.2206312654741887E-3</v>
      </c>
      <c r="D13090">
        <f t="shared" si="427"/>
        <v>9.5994749785879421E-2</v>
      </c>
    </row>
    <row r="13091" spans="1:4">
      <c r="A13091" s="1">
        <v>37267</v>
      </c>
      <c r="B13091">
        <v>1145.5999999999999</v>
      </c>
      <c r="C13091">
        <f t="shared" si="428"/>
        <v>-9.4678137564308037E-3</v>
      </c>
      <c r="D13091">
        <f t="shared" si="427"/>
        <v>-1.0327014113482977</v>
      </c>
    </row>
    <row r="13092" spans="1:4">
      <c r="A13092" s="1">
        <v>37270</v>
      </c>
      <c r="B13092">
        <v>1138.4100000000001</v>
      </c>
      <c r="C13092">
        <f t="shared" si="428"/>
        <v>-6.2761871508378387E-3</v>
      </c>
      <c r="D13092">
        <f t="shared" si="427"/>
        <v>-0.69566672668427587</v>
      </c>
    </row>
    <row r="13093" spans="1:4">
      <c r="A13093" s="1">
        <v>37271</v>
      </c>
      <c r="B13093">
        <v>1146.19</v>
      </c>
      <c r="C13093">
        <f t="shared" si="428"/>
        <v>6.8340931650283923E-3</v>
      </c>
      <c r="D13093">
        <f t="shared" si="427"/>
        <v>0.68877441827039343</v>
      </c>
    </row>
    <row r="13094" spans="1:4">
      <c r="A13094" s="1">
        <v>37272</v>
      </c>
      <c r="B13094">
        <v>1127.57</v>
      </c>
      <c r="C13094">
        <f t="shared" si="428"/>
        <v>-1.6245125153770419E-2</v>
      </c>
      <c r="D13094">
        <f t="shared" si="427"/>
        <v>-1.7483831911872854</v>
      </c>
    </row>
    <row r="13095" spans="1:4">
      <c r="A13095" s="1">
        <v>37273</v>
      </c>
      <c r="B13095">
        <v>1138.8800000000001</v>
      </c>
      <c r="C13095">
        <f t="shared" si="428"/>
        <v>1.00304193974655E-2</v>
      </c>
      <c r="D13095">
        <f t="shared" si="427"/>
        <v>1.0263053819316761</v>
      </c>
    </row>
    <row r="13096" spans="1:4">
      <c r="A13096" s="1">
        <v>37274</v>
      </c>
      <c r="B13096">
        <v>1127.58</v>
      </c>
      <c r="C13096">
        <f t="shared" si="428"/>
        <v>-9.9220286597360395E-3</v>
      </c>
      <c r="D13096">
        <f t="shared" si="427"/>
        <v>-1.0806663507421832</v>
      </c>
    </row>
    <row r="13097" spans="1:4">
      <c r="A13097" s="1">
        <v>37278</v>
      </c>
      <c r="B13097">
        <v>1119.31</v>
      </c>
      <c r="C13097">
        <f t="shared" si="428"/>
        <v>-7.334291136770768E-3</v>
      </c>
      <c r="D13097">
        <f t="shared" si="427"/>
        <v>-0.80740214793177301</v>
      </c>
    </row>
    <row r="13098" spans="1:4">
      <c r="A13098" s="1">
        <v>37279</v>
      </c>
      <c r="B13098">
        <v>1128.18</v>
      </c>
      <c r="C13098">
        <f t="shared" si="428"/>
        <v>7.92452493053767E-3</v>
      </c>
      <c r="D13098">
        <f t="shared" si="427"/>
        <v>0.80392364205240685</v>
      </c>
    </row>
    <row r="13099" spans="1:4">
      <c r="A13099" s="1">
        <v>37280</v>
      </c>
      <c r="B13099">
        <v>1132.1500000000001</v>
      </c>
      <c r="C13099">
        <f t="shared" si="428"/>
        <v>3.5189420127994002E-3</v>
      </c>
      <c r="D13099">
        <f t="shared" si="427"/>
        <v>0.33869558346964057</v>
      </c>
    </row>
    <row r="13100" spans="1:4">
      <c r="A13100" s="1">
        <v>37281</v>
      </c>
      <c r="B13100">
        <v>1133.28</v>
      </c>
      <c r="C13100">
        <f t="shared" si="428"/>
        <v>9.9810095835347061E-4</v>
      </c>
      <c r="D13100">
        <f t="shared" si="427"/>
        <v>7.2495624995658231E-2</v>
      </c>
    </row>
    <row r="13101" spans="1:4">
      <c r="A13101" s="1">
        <v>37284</v>
      </c>
      <c r="B13101">
        <v>1133.06</v>
      </c>
      <c r="C13101">
        <f t="shared" si="428"/>
        <v>-1.9412678243684465E-4</v>
      </c>
      <c r="D13101">
        <f t="shared" si="427"/>
        <v>-5.3403219173899501E-2</v>
      </c>
    </row>
    <row r="13102" spans="1:4">
      <c r="A13102" s="1">
        <v>37285</v>
      </c>
      <c r="B13102">
        <v>1100.6400000000001</v>
      </c>
      <c r="C13102">
        <f t="shared" si="428"/>
        <v>-2.86127830829787E-2</v>
      </c>
      <c r="D13102">
        <f t="shared" si="427"/>
        <v>-3.0544036645404891</v>
      </c>
    </row>
    <row r="13103" spans="1:4">
      <c r="A13103" s="1">
        <v>37286</v>
      </c>
      <c r="B13103">
        <v>1113.57</v>
      </c>
      <c r="C13103">
        <f t="shared" si="428"/>
        <v>1.1747710423026452E-2</v>
      </c>
      <c r="D13103">
        <f t="shared" si="427"/>
        <v>1.2076507304953308</v>
      </c>
    </row>
    <row r="13104" spans="1:4">
      <c r="A13104" s="1">
        <v>37287</v>
      </c>
      <c r="B13104">
        <v>1130.2</v>
      </c>
      <c r="C13104">
        <f t="shared" si="428"/>
        <v>1.4933951166069588E-2</v>
      </c>
      <c r="D13104">
        <f t="shared" si="427"/>
        <v>1.5441166699048343</v>
      </c>
    </row>
    <row r="13105" spans="1:4">
      <c r="A13105" s="1">
        <v>37288</v>
      </c>
      <c r="B13105">
        <v>1122.2</v>
      </c>
      <c r="C13105">
        <f t="shared" si="428"/>
        <v>-7.0783932047425229E-3</v>
      </c>
      <c r="D13105">
        <f t="shared" si="427"/>
        <v>-0.78037941329352378</v>
      </c>
    </row>
    <row r="13106" spans="1:4">
      <c r="A13106" s="1">
        <v>37291</v>
      </c>
      <c r="B13106">
        <v>1094.44</v>
      </c>
      <c r="C13106">
        <f t="shared" si="428"/>
        <v>-2.4737123507396177E-2</v>
      </c>
      <c r="D13106">
        <f t="shared" si="427"/>
        <v>-2.6451353307596737</v>
      </c>
    </row>
    <row r="13107" spans="1:4">
      <c r="A13107" s="1">
        <v>37292</v>
      </c>
      <c r="B13107">
        <v>1090.02</v>
      </c>
      <c r="C13107">
        <f t="shared" si="428"/>
        <v>-4.0385950805892261E-3</v>
      </c>
      <c r="D13107">
        <f t="shared" si="427"/>
        <v>-0.45937776466052244</v>
      </c>
    </row>
    <row r="13108" spans="1:4">
      <c r="A13108" s="1">
        <v>37293</v>
      </c>
      <c r="B13108">
        <v>1083.51</v>
      </c>
      <c r="C13108">
        <f t="shared" si="428"/>
        <v>-5.9723674794957809E-3</v>
      </c>
      <c r="D13108">
        <f t="shared" si="427"/>
        <v>-0.66358347266387863</v>
      </c>
    </row>
    <row r="13109" spans="1:4">
      <c r="A13109" s="1">
        <v>37294</v>
      </c>
      <c r="B13109">
        <v>1080.17</v>
      </c>
      <c r="C13109">
        <f t="shared" si="428"/>
        <v>-3.0825742263568571E-3</v>
      </c>
      <c r="D13109">
        <f t="shared" si="427"/>
        <v>-0.35842228742086191</v>
      </c>
    </row>
    <row r="13110" spans="1:4">
      <c r="A13110" s="1">
        <v>37295</v>
      </c>
      <c r="B13110">
        <v>1096.22</v>
      </c>
      <c r="C13110">
        <f t="shared" si="428"/>
        <v>1.4858772230297039E-2</v>
      </c>
      <c r="D13110">
        <f t="shared" si="427"/>
        <v>1.5361777998418151</v>
      </c>
    </row>
    <row r="13111" spans="1:4">
      <c r="A13111" s="1">
        <v>37298</v>
      </c>
      <c r="B13111">
        <v>1111.94</v>
      </c>
      <c r="C13111">
        <f t="shared" si="428"/>
        <v>1.4340187188703023E-2</v>
      </c>
      <c r="D13111">
        <f t="shared" si="427"/>
        <v>1.4814153957251075</v>
      </c>
    </row>
    <row r="13112" spans="1:4">
      <c r="A13112" s="1">
        <v>37299</v>
      </c>
      <c r="B13112">
        <v>1107.5</v>
      </c>
      <c r="C13112">
        <f t="shared" si="428"/>
        <v>-3.9930212061802381E-3</v>
      </c>
      <c r="D13112">
        <f t="shared" si="427"/>
        <v>-0.45456517901424587</v>
      </c>
    </row>
    <row r="13113" spans="1:4">
      <c r="A13113" s="1">
        <v>37300</v>
      </c>
      <c r="B13113">
        <v>1118.51</v>
      </c>
      <c r="C13113">
        <f t="shared" si="428"/>
        <v>9.9413092550789985E-3</v>
      </c>
      <c r="D13113">
        <f t="shared" si="427"/>
        <v>1.0168953811856707</v>
      </c>
    </row>
    <row r="13114" spans="1:4">
      <c r="A13114" s="1">
        <v>37301</v>
      </c>
      <c r="B13114">
        <v>1116.48</v>
      </c>
      <c r="C13114">
        <f t="shared" si="428"/>
        <v>-1.8149144844480361E-3</v>
      </c>
      <c r="D13114">
        <f t="shared" si="427"/>
        <v>-0.22455784957377301</v>
      </c>
    </row>
    <row r="13115" spans="1:4">
      <c r="A13115" s="1">
        <v>37302</v>
      </c>
      <c r="B13115">
        <v>1104.18</v>
      </c>
      <c r="C13115">
        <f t="shared" si="428"/>
        <v>-1.101676698194321E-2</v>
      </c>
      <c r="D13115">
        <f t="shared" si="427"/>
        <v>-1.1962703454476245</v>
      </c>
    </row>
    <row r="13116" spans="1:4">
      <c r="A13116" s="1">
        <v>37306</v>
      </c>
      <c r="B13116">
        <v>1083.3399999999999</v>
      </c>
      <c r="C13116">
        <f t="shared" si="428"/>
        <v>-1.8873734354906035E-2</v>
      </c>
      <c r="D13116">
        <f t="shared" si="427"/>
        <v>-2.0259634293195257</v>
      </c>
    </row>
    <row r="13117" spans="1:4">
      <c r="A13117" s="1">
        <v>37307</v>
      </c>
      <c r="B13117">
        <v>1097.98</v>
      </c>
      <c r="C13117">
        <f t="shared" si="428"/>
        <v>1.3513762992227833E-2</v>
      </c>
      <c r="D13117">
        <f t="shared" si="427"/>
        <v>1.3941452814925608</v>
      </c>
    </row>
    <row r="13118" spans="1:4">
      <c r="A13118" s="1">
        <v>37308</v>
      </c>
      <c r="B13118">
        <v>1080.95</v>
      </c>
      <c r="C13118">
        <f t="shared" si="428"/>
        <v>-1.5510300734075277E-2</v>
      </c>
      <c r="D13118">
        <f t="shared" si="427"/>
        <v>-1.6707859822464348</v>
      </c>
    </row>
    <row r="13119" spans="1:4">
      <c r="A13119" s="1">
        <v>37309</v>
      </c>
      <c r="B13119">
        <v>1089.8399999999999</v>
      </c>
      <c r="C13119">
        <f t="shared" si="428"/>
        <v>8.2242471899716656E-3</v>
      </c>
      <c r="D13119">
        <f t="shared" si="427"/>
        <v>0.83557421076809069</v>
      </c>
    </row>
    <row r="13120" spans="1:4">
      <c r="A13120" s="1">
        <v>37312</v>
      </c>
      <c r="B13120">
        <v>1109.43</v>
      </c>
      <c r="C13120">
        <f t="shared" si="428"/>
        <v>1.797511561330117E-2</v>
      </c>
      <c r="D13120">
        <f t="shared" si="427"/>
        <v>1.8652626017904668</v>
      </c>
    </row>
    <row r="13121" spans="1:4">
      <c r="A13121" s="1">
        <v>37313</v>
      </c>
      <c r="B13121">
        <v>1109.3800000000001</v>
      </c>
      <c r="C13121">
        <f t="shared" si="428"/>
        <v>-4.506818816865825E-5</v>
      </c>
      <c r="D13121">
        <f t="shared" si="427"/>
        <v>-3.7662682286657014E-2</v>
      </c>
    </row>
    <row r="13122" spans="1:4">
      <c r="A13122" s="1">
        <v>37314</v>
      </c>
      <c r="B13122">
        <v>1109.8900000000001</v>
      </c>
      <c r="C13122">
        <f t="shared" si="428"/>
        <v>4.5971623789863784E-4</v>
      </c>
      <c r="D13122">
        <f t="shared" si="427"/>
        <v>1.5642381521486164E-2</v>
      </c>
    </row>
    <row r="13123" spans="1:4">
      <c r="A13123" s="1">
        <v>37315</v>
      </c>
      <c r="B13123">
        <v>1106.73</v>
      </c>
      <c r="C13123">
        <f t="shared" si="428"/>
        <v>-2.8471289947653204E-3</v>
      </c>
      <c r="D13123">
        <f t="shared" ref="D13123:D13186" si="429">(C13123-avg)/sd</f>
        <v>-0.3335593509965184</v>
      </c>
    </row>
    <row r="13124" spans="1:4">
      <c r="A13124" s="1">
        <v>37316</v>
      </c>
      <c r="B13124">
        <v>1131.78</v>
      </c>
      <c r="C13124">
        <f t="shared" ref="C13124:C13187" si="430">(B13124-B13123)/B13123</f>
        <v>2.2634246835271436E-2</v>
      </c>
      <c r="D13124">
        <f t="shared" si="429"/>
        <v>2.3572652751148757</v>
      </c>
    </row>
    <row r="13125" spans="1:4">
      <c r="A13125" s="1">
        <v>37319</v>
      </c>
      <c r="B13125">
        <v>1153.8399999999999</v>
      </c>
      <c r="C13125">
        <f t="shared" si="430"/>
        <v>1.9491420594108348E-2</v>
      </c>
      <c r="D13125">
        <f t="shared" si="429"/>
        <v>2.025383892346599</v>
      </c>
    </row>
    <row r="13126" spans="1:4">
      <c r="A13126" s="1">
        <v>37320</v>
      </c>
      <c r="B13126">
        <v>1146.1400000000001</v>
      </c>
      <c r="C13126">
        <f t="shared" si="430"/>
        <v>-6.6733689246341078E-3</v>
      </c>
      <c r="D13126">
        <f t="shared" si="429"/>
        <v>-0.73760898698851718</v>
      </c>
    </row>
    <row r="13127" spans="1:4">
      <c r="A13127" s="1">
        <v>37321</v>
      </c>
      <c r="B13127">
        <v>1162.77</v>
      </c>
      <c r="C13127">
        <f t="shared" si="430"/>
        <v>1.4509571256565412E-2</v>
      </c>
      <c r="D13127">
        <f t="shared" si="429"/>
        <v>1.4993022957149336</v>
      </c>
    </row>
    <row r="13128" spans="1:4">
      <c r="A13128" s="1">
        <v>37322</v>
      </c>
      <c r="B13128">
        <v>1157.54</v>
      </c>
      <c r="C13128">
        <f t="shared" si="430"/>
        <v>-4.4978800622651237E-3</v>
      </c>
      <c r="D13128">
        <f t="shared" si="429"/>
        <v>-0.50787810260694655</v>
      </c>
    </row>
    <row r="13129" spans="1:4">
      <c r="A13129" s="1">
        <v>37323</v>
      </c>
      <c r="B13129">
        <v>1164.31</v>
      </c>
      <c r="C13129">
        <f t="shared" si="430"/>
        <v>5.8486099832403046E-3</v>
      </c>
      <c r="D13129">
        <f t="shared" si="429"/>
        <v>0.58470772925558079</v>
      </c>
    </row>
    <row r="13130" spans="1:4">
      <c r="A13130" s="1">
        <v>37326</v>
      </c>
      <c r="B13130">
        <v>1168.26</v>
      </c>
      <c r="C13130">
        <f t="shared" si="430"/>
        <v>3.3925672716029628E-3</v>
      </c>
      <c r="D13130">
        <f t="shared" si="429"/>
        <v>0.32535045375615845</v>
      </c>
    </row>
    <row r="13131" spans="1:4">
      <c r="A13131" s="1">
        <v>37327</v>
      </c>
      <c r="B13131">
        <v>1165.58</v>
      </c>
      <c r="C13131">
        <f t="shared" si="430"/>
        <v>-2.2940098950576617E-3</v>
      </c>
      <c r="D13131">
        <f t="shared" si="429"/>
        <v>-0.27515016208170678</v>
      </c>
    </row>
    <row r="13132" spans="1:4">
      <c r="A13132" s="1">
        <v>37328</v>
      </c>
      <c r="B13132">
        <v>1154.0899999999999</v>
      </c>
      <c r="C13132">
        <f t="shared" si="430"/>
        <v>-9.8577532215721013E-3</v>
      </c>
      <c r="D13132">
        <f t="shared" si="429"/>
        <v>-1.0738788863203543</v>
      </c>
    </row>
    <row r="13133" spans="1:4">
      <c r="A13133" s="1">
        <v>37329</v>
      </c>
      <c r="B13133">
        <v>1153.04</v>
      </c>
      <c r="C13133">
        <f t="shared" si="430"/>
        <v>-9.0980772730025789E-4</v>
      </c>
      <c r="D13133">
        <f t="shared" si="429"/>
        <v>-0.12897888367970281</v>
      </c>
    </row>
    <row r="13134" spans="1:4">
      <c r="A13134" s="1">
        <v>37330</v>
      </c>
      <c r="B13134">
        <v>1166.1600000000001</v>
      </c>
      <c r="C13134">
        <f t="shared" si="430"/>
        <v>1.137861652674679E-2</v>
      </c>
      <c r="D13134">
        <f t="shared" si="429"/>
        <v>1.1686745405093097</v>
      </c>
    </row>
    <row r="13135" spans="1:4">
      <c r="A13135" s="1">
        <v>37333</v>
      </c>
      <c r="B13135">
        <v>1165.55</v>
      </c>
      <c r="C13135">
        <f t="shared" si="430"/>
        <v>-5.230843109008432E-4</v>
      </c>
      <c r="D13135">
        <f t="shared" si="429"/>
        <v>-8.8141022361600874E-2</v>
      </c>
    </row>
    <row r="13136" spans="1:4">
      <c r="A13136" s="1">
        <v>37334</v>
      </c>
      <c r="B13136">
        <v>1170.29</v>
      </c>
      <c r="C13136">
        <f t="shared" si="430"/>
        <v>4.0667496031916344E-3</v>
      </c>
      <c r="D13136">
        <f t="shared" si="429"/>
        <v>0.39654387880621306</v>
      </c>
    </row>
    <row r="13137" spans="1:4">
      <c r="A13137" s="1">
        <v>37335</v>
      </c>
      <c r="B13137">
        <v>1151.8499999999999</v>
      </c>
      <c r="C13137">
        <f t="shared" si="430"/>
        <v>-1.5756778234454753E-2</v>
      </c>
      <c r="D13137">
        <f t="shared" si="429"/>
        <v>-1.6968139225047343</v>
      </c>
    </row>
    <row r="13138" spans="1:4">
      <c r="A13138" s="1">
        <v>37336</v>
      </c>
      <c r="B13138">
        <v>1153.5899999999999</v>
      </c>
      <c r="C13138">
        <f t="shared" si="430"/>
        <v>1.5106133611147365E-3</v>
      </c>
      <c r="D13138">
        <f t="shared" si="429"/>
        <v>0.12661676051581772</v>
      </c>
    </row>
    <row r="13139" spans="1:4">
      <c r="A13139" s="1">
        <v>37337</v>
      </c>
      <c r="B13139">
        <v>1148.7</v>
      </c>
      <c r="C13139">
        <f t="shared" si="430"/>
        <v>-4.2389410449118602E-3</v>
      </c>
      <c r="D13139">
        <f t="shared" si="429"/>
        <v>-0.48053423039209048</v>
      </c>
    </row>
    <row r="13140" spans="1:4">
      <c r="A13140" s="1">
        <v>37340</v>
      </c>
      <c r="B13140">
        <v>1131.8699999999999</v>
      </c>
      <c r="C13140">
        <f t="shared" si="430"/>
        <v>-1.465134499869431E-2</v>
      </c>
      <c r="D13140">
        <f t="shared" si="429"/>
        <v>-1.580080548563445</v>
      </c>
    </row>
    <row r="13141" spans="1:4">
      <c r="A13141" s="1">
        <v>37341</v>
      </c>
      <c r="B13141">
        <v>1138.49</v>
      </c>
      <c r="C13141">
        <f t="shared" si="430"/>
        <v>5.8487282108370389E-3</v>
      </c>
      <c r="D13141">
        <f t="shared" si="429"/>
        <v>0.58472021404960839</v>
      </c>
    </row>
    <row r="13142" spans="1:4">
      <c r="A13142" s="1">
        <v>37342</v>
      </c>
      <c r="B13142">
        <v>1144.58</v>
      </c>
      <c r="C13142">
        <f t="shared" si="430"/>
        <v>5.349190594559388E-3</v>
      </c>
      <c r="D13142">
        <f t="shared" si="429"/>
        <v>0.53196921157177446</v>
      </c>
    </row>
    <row r="13143" spans="1:4">
      <c r="A13143" s="1">
        <v>37343</v>
      </c>
      <c r="B13143">
        <v>1147.3900000000001</v>
      </c>
      <c r="C13143">
        <f t="shared" si="430"/>
        <v>2.4550490136121309E-3</v>
      </c>
      <c r="D13143">
        <f t="shared" si="429"/>
        <v>0.22634884439026626</v>
      </c>
    </row>
    <row r="13144" spans="1:4">
      <c r="A13144" s="1">
        <v>37347</v>
      </c>
      <c r="B13144">
        <v>1146.54</v>
      </c>
      <c r="C13144">
        <f t="shared" si="430"/>
        <v>-7.4081175537536173E-4</v>
      </c>
      <c r="D13144">
        <f t="shared" si="429"/>
        <v>-0.11113296648895572</v>
      </c>
    </row>
    <row r="13145" spans="1:4">
      <c r="A13145" s="1">
        <v>37348</v>
      </c>
      <c r="B13145">
        <v>1136.76</v>
      </c>
      <c r="C13145">
        <f t="shared" si="430"/>
        <v>-8.5300120362132789E-3</v>
      </c>
      <c r="D13145">
        <f t="shared" si="429"/>
        <v>-0.93366986846762023</v>
      </c>
    </row>
    <row r="13146" spans="1:4">
      <c r="A13146" s="1">
        <v>37349</v>
      </c>
      <c r="B13146">
        <v>1125.4000000000001</v>
      </c>
      <c r="C13146">
        <f t="shared" si="430"/>
        <v>-9.9933143319609237E-3</v>
      </c>
      <c r="D13146">
        <f t="shared" si="429"/>
        <v>-1.0881940934979537</v>
      </c>
    </row>
    <row r="13147" spans="1:4">
      <c r="A13147" s="1">
        <v>37350</v>
      </c>
      <c r="B13147">
        <v>1126.3399999999999</v>
      </c>
      <c r="C13147">
        <f t="shared" si="430"/>
        <v>8.3525857472883166E-4</v>
      </c>
      <c r="D13147">
        <f t="shared" si="429"/>
        <v>5.5299524637711997E-2</v>
      </c>
    </row>
    <row r="13148" spans="1:4">
      <c r="A13148" s="1">
        <v>37351</v>
      </c>
      <c r="B13148">
        <v>1122.73</v>
      </c>
      <c r="C13148">
        <f t="shared" si="430"/>
        <v>-3.2050712928599714E-3</v>
      </c>
      <c r="D13148">
        <f t="shared" si="429"/>
        <v>-0.37135793600481476</v>
      </c>
    </row>
    <row r="13149" spans="1:4">
      <c r="A13149" s="1">
        <v>37354</v>
      </c>
      <c r="B13149">
        <v>1125.29</v>
      </c>
      <c r="C13149">
        <f t="shared" si="430"/>
        <v>2.2801564044783213E-3</v>
      </c>
      <c r="D13149">
        <f t="shared" si="429"/>
        <v>0.20788024431462229</v>
      </c>
    </row>
    <row r="13150" spans="1:4">
      <c r="A13150" s="1">
        <v>37355</v>
      </c>
      <c r="B13150">
        <v>1117.8</v>
      </c>
      <c r="C13150">
        <f t="shared" si="430"/>
        <v>-6.6560619929085033E-3</v>
      </c>
      <c r="D13150">
        <f t="shared" si="429"/>
        <v>-0.73578138088120526</v>
      </c>
    </row>
    <row r="13151" spans="1:4">
      <c r="A13151" s="1">
        <v>37356</v>
      </c>
      <c r="B13151">
        <v>1130.47</v>
      </c>
      <c r="C13151">
        <f t="shared" si="430"/>
        <v>1.1334764716407294E-2</v>
      </c>
      <c r="D13151">
        <f t="shared" si="429"/>
        <v>1.1640438042434134</v>
      </c>
    </row>
    <row r="13152" spans="1:4">
      <c r="A13152" s="1">
        <v>37357</v>
      </c>
      <c r="B13152">
        <v>1103.69</v>
      </c>
      <c r="C13152">
        <f t="shared" si="430"/>
        <v>-2.3689261988376491E-2</v>
      </c>
      <c r="D13152">
        <f t="shared" si="429"/>
        <v>-2.5344815105366312</v>
      </c>
    </row>
    <row r="13153" spans="1:4">
      <c r="A13153" s="1">
        <v>37358</v>
      </c>
      <c r="B13153">
        <v>1111.01</v>
      </c>
      <c r="C13153">
        <f t="shared" si="430"/>
        <v>6.6322971124137542E-3</v>
      </c>
      <c r="D13153">
        <f t="shared" si="429"/>
        <v>0.66746482370809868</v>
      </c>
    </row>
    <row r="13154" spans="1:4">
      <c r="A13154" s="1">
        <v>37361</v>
      </c>
      <c r="B13154">
        <v>1102.55</v>
      </c>
      <c r="C13154">
        <f t="shared" si="430"/>
        <v>-7.6146929370573052E-3</v>
      </c>
      <c r="D13154">
        <f t="shared" si="429"/>
        <v>-0.83701248272882844</v>
      </c>
    </row>
    <row r="13155" spans="1:4">
      <c r="A13155" s="1">
        <v>37362</v>
      </c>
      <c r="B13155">
        <v>1128.3699999999999</v>
      </c>
      <c r="C13155">
        <f t="shared" si="430"/>
        <v>2.3418439073057854E-2</v>
      </c>
      <c r="D13155">
        <f t="shared" si="429"/>
        <v>2.4400757088652285</v>
      </c>
    </row>
    <row r="13156" spans="1:4">
      <c r="A13156" s="1">
        <v>37363</v>
      </c>
      <c r="B13156">
        <v>1126.07</v>
      </c>
      <c r="C13156">
        <f t="shared" si="430"/>
        <v>-2.0383384882617889E-3</v>
      </c>
      <c r="D13156">
        <f t="shared" si="429"/>
        <v>-0.24815134843099637</v>
      </c>
    </row>
    <row r="13157" spans="1:4">
      <c r="A13157" s="1">
        <v>37364</v>
      </c>
      <c r="B13157">
        <v>1124.47</v>
      </c>
      <c r="C13157">
        <f t="shared" si="430"/>
        <v>-1.4208708162013989E-3</v>
      </c>
      <c r="D13157">
        <f t="shared" si="429"/>
        <v>-0.18294697214887881</v>
      </c>
    </row>
    <row r="13158" spans="1:4">
      <c r="A13158" s="1">
        <v>37365</v>
      </c>
      <c r="B13158">
        <v>1125.17</v>
      </c>
      <c r="C13158">
        <f t="shared" si="430"/>
        <v>6.2251549618935623E-4</v>
      </c>
      <c r="D13158">
        <f t="shared" si="429"/>
        <v>3.2833927858829388E-2</v>
      </c>
    </row>
    <row r="13159" spans="1:4">
      <c r="A13159" s="1">
        <v>37368</v>
      </c>
      <c r="B13159">
        <v>1107.83</v>
      </c>
      <c r="C13159">
        <f t="shared" si="430"/>
        <v>-1.5411004559311166E-2</v>
      </c>
      <c r="D13159">
        <f t="shared" si="429"/>
        <v>-1.6603003399437544</v>
      </c>
    </row>
    <row r="13160" spans="1:4">
      <c r="A13160" s="1">
        <v>37369</v>
      </c>
      <c r="B13160">
        <v>1100.96</v>
      </c>
      <c r="C13160">
        <f t="shared" si="430"/>
        <v>-6.201312475740765E-3</v>
      </c>
      <c r="D13160">
        <f t="shared" si="429"/>
        <v>-0.68775998644516356</v>
      </c>
    </row>
    <row r="13161" spans="1:4">
      <c r="A13161" s="1">
        <v>37370</v>
      </c>
      <c r="B13161">
        <v>1093.1400000000001</v>
      </c>
      <c r="C13161">
        <f t="shared" si="430"/>
        <v>-7.1028920215084439E-3</v>
      </c>
      <c r="D13161">
        <f t="shared" si="429"/>
        <v>-0.78296648001645264</v>
      </c>
    </row>
    <row r="13162" spans="1:4">
      <c r="A13162" s="1">
        <v>37371</v>
      </c>
      <c r="B13162">
        <v>1091.48</v>
      </c>
      <c r="C13162">
        <f t="shared" si="430"/>
        <v>-1.5185612089943482E-3</v>
      </c>
      <c r="D13162">
        <f t="shared" si="429"/>
        <v>-0.19326304442123632</v>
      </c>
    </row>
    <row r="13163" spans="1:4">
      <c r="A13163" s="1">
        <v>37372</v>
      </c>
      <c r="B13163">
        <v>1076.32</v>
      </c>
      <c r="C13163">
        <f t="shared" si="430"/>
        <v>-1.3889397881775279E-2</v>
      </c>
      <c r="D13163">
        <f t="shared" si="429"/>
        <v>-1.4996191920152047</v>
      </c>
    </row>
    <row r="13164" spans="1:4">
      <c r="A13164" s="1">
        <v>37375</v>
      </c>
      <c r="B13164">
        <v>1065.45</v>
      </c>
      <c r="C13164">
        <f t="shared" si="430"/>
        <v>-1.0099226995688914E-2</v>
      </c>
      <c r="D13164">
        <f t="shared" si="429"/>
        <v>-1.0993784347861659</v>
      </c>
    </row>
    <row r="13165" spans="1:4">
      <c r="A13165" s="1">
        <v>37376</v>
      </c>
      <c r="B13165">
        <v>1076.92</v>
      </c>
      <c r="C13165">
        <f t="shared" si="430"/>
        <v>1.076540428926747E-2</v>
      </c>
      <c r="D13165">
        <f t="shared" si="429"/>
        <v>1.1039195366724608</v>
      </c>
    </row>
    <row r="13166" spans="1:4">
      <c r="A13166" s="1">
        <v>37377</v>
      </c>
      <c r="B13166">
        <v>1086.46</v>
      </c>
      <c r="C13166">
        <f t="shared" si="430"/>
        <v>8.8585967388477901E-3</v>
      </c>
      <c r="D13166">
        <f t="shared" si="429"/>
        <v>0.90256130750352104</v>
      </c>
    </row>
    <row r="13167" spans="1:4">
      <c r="A13167" s="1">
        <v>37378</v>
      </c>
      <c r="B13167">
        <v>1084.56</v>
      </c>
      <c r="C13167">
        <f t="shared" si="430"/>
        <v>-1.7487988513153645E-3</v>
      </c>
      <c r="D13167">
        <f t="shared" si="429"/>
        <v>-0.21757606118875852</v>
      </c>
    </row>
    <row r="13168" spans="1:4">
      <c r="A13168" s="1">
        <v>37379</v>
      </c>
      <c r="B13168">
        <v>1073.43</v>
      </c>
      <c r="C13168">
        <f t="shared" si="430"/>
        <v>-1.0262226156229145E-2</v>
      </c>
      <c r="D13168">
        <f t="shared" si="429"/>
        <v>-1.1165910907331076</v>
      </c>
    </row>
    <row r="13169" spans="1:4">
      <c r="A13169" s="1">
        <v>37382</v>
      </c>
      <c r="B13169">
        <v>1052.67</v>
      </c>
      <c r="C13169">
        <f t="shared" si="430"/>
        <v>-1.9339873117017403E-2</v>
      </c>
      <c r="D13169">
        <f t="shared" si="429"/>
        <v>-2.075187524150222</v>
      </c>
    </row>
    <row r="13170" spans="1:4">
      <c r="A13170" s="1">
        <v>37383</v>
      </c>
      <c r="B13170">
        <v>1049.49</v>
      </c>
      <c r="C13170">
        <f t="shared" si="430"/>
        <v>-3.0208897375246404E-3</v>
      </c>
      <c r="D13170">
        <f t="shared" si="429"/>
        <v>-0.35190842636775638</v>
      </c>
    </row>
    <row r="13171" spans="1:4">
      <c r="A13171" s="1">
        <v>37384</v>
      </c>
      <c r="B13171">
        <v>1088.8499999999999</v>
      </c>
      <c r="C13171">
        <f t="shared" si="430"/>
        <v>3.7503930480519011E-2</v>
      </c>
      <c r="D13171">
        <f t="shared" si="429"/>
        <v>3.9274988136019657</v>
      </c>
    </row>
    <row r="13172" spans="1:4">
      <c r="A13172" s="1">
        <v>37385</v>
      </c>
      <c r="B13172">
        <v>1073.01</v>
      </c>
      <c r="C13172">
        <f t="shared" si="430"/>
        <v>-1.4547458327593259E-2</v>
      </c>
      <c r="D13172">
        <f t="shared" si="429"/>
        <v>-1.5691101514079695</v>
      </c>
    </row>
    <row r="13173" spans="1:4">
      <c r="A13173" s="1">
        <v>37386</v>
      </c>
      <c r="B13173">
        <v>1054.99</v>
      </c>
      <c r="C13173">
        <f t="shared" si="430"/>
        <v>-1.6793878901408172E-2</v>
      </c>
      <c r="D13173">
        <f t="shared" si="429"/>
        <v>-1.8063314004073701</v>
      </c>
    </row>
    <row r="13174" spans="1:4">
      <c r="A13174" s="1">
        <v>37389</v>
      </c>
      <c r="B13174">
        <v>1074.56</v>
      </c>
      <c r="C13174">
        <f t="shared" si="430"/>
        <v>1.8549938861979674E-2</v>
      </c>
      <c r="D13174">
        <f t="shared" si="429"/>
        <v>1.925963741459001</v>
      </c>
    </row>
    <row r="13175" spans="1:4">
      <c r="A13175" s="1">
        <v>37390</v>
      </c>
      <c r="B13175">
        <v>1097.28</v>
      </c>
      <c r="C13175">
        <f t="shared" si="430"/>
        <v>2.1143537820131057E-2</v>
      </c>
      <c r="D13175">
        <f t="shared" si="429"/>
        <v>2.1998469098326661</v>
      </c>
    </row>
    <row r="13176" spans="1:4">
      <c r="A13176" s="1">
        <v>37391</v>
      </c>
      <c r="B13176">
        <v>1091.07</v>
      </c>
      <c r="C13176">
        <f t="shared" si="430"/>
        <v>-5.6594488188976711E-3</v>
      </c>
      <c r="D13176">
        <f t="shared" si="429"/>
        <v>-0.63053936847093905</v>
      </c>
    </row>
    <row r="13177" spans="1:4">
      <c r="A13177" s="1">
        <v>37392</v>
      </c>
      <c r="B13177">
        <v>1098.23</v>
      </c>
      <c r="C13177">
        <f t="shared" si="430"/>
        <v>6.5623653844392041E-3</v>
      </c>
      <c r="D13177">
        <f t="shared" si="429"/>
        <v>0.66008005700493555</v>
      </c>
    </row>
    <row r="13178" spans="1:4">
      <c r="A13178" s="1">
        <v>37393</v>
      </c>
      <c r="B13178">
        <v>1106.5899999999999</v>
      </c>
      <c r="C13178">
        <f t="shared" si="430"/>
        <v>7.612248800342278E-3</v>
      </c>
      <c r="D13178">
        <f t="shared" si="429"/>
        <v>0.77094738885158753</v>
      </c>
    </row>
    <row r="13179" spans="1:4">
      <c r="A13179" s="1">
        <v>37396</v>
      </c>
      <c r="B13179">
        <v>1091.8800000000001</v>
      </c>
      <c r="C13179">
        <f t="shared" si="430"/>
        <v>-1.3293089581506981E-2</v>
      </c>
      <c r="D13179">
        <f t="shared" si="429"/>
        <v>-1.436649238201912</v>
      </c>
    </row>
    <row r="13180" spans="1:4">
      <c r="A13180" s="1">
        <v>37397</v>
      </c>
      <c r="B13180">
        <v>1079.8800000000001</v>
      </c>
      <c r="C13180">
        <f t="shared" si="430"/>
        <v>-1.0990218705352236E-2</v>
      </c>
      <c r="D13180">
        <f t="shared" si="429"/>
        <v>-1.1934668564638153</v>
      </c>
    </row>
    <row r="13181" spans="1:4">
      <c r="A13181" s="1">
        <v>37398</v>
      </c>
      <c r="B13181">
        <v>1086.02</v>
      </c>
      <c r="C13181">
        <f t="shared" si="430"/>
        <v>5.6858169426231356E-3</v>
      </c>
      <c r="D13181">
        <f t="shared" si="429"/>
        <v>0.56751683950245091</v>
      </c>
    </row>
    <row r="13182" spans="1:4">
      <c r="A13182" s="1">
        <v>37399</v>
      </c>
      <c r="B13182">
        <v>1097.08</v>
      </c>
      <c r="C13182">
        <f t="shared" si="430"/>
        <v>1.0183974512439868E-2</v>
      </c>
      <c r="D13182">
        <f t="shared" si="429"/>
        <v>1.0425207498770497</v>
      </c>
    </row>
    <row r="13183" spans="1:4">
      <c r="A13183" s="1">
        <v>37400</v>
      </c>
      <c r="B13183">
        <v>1083.82</v>
      </c>
      <c r="C13183">
        <f t="shared" si="430"/>
        <v>-1.2086629963174967E-2</v>
      </c>
      <c r="D13183">
        <f t="shared" si="429"/>
        <v>-1.309247512601601</v>
      </c>
    </row>
    <row r="13184" spans="1:4">
      <c r="A13184" s="1">
        <v>37404</v>
      </c>
      <c r="B13184">
        <v>1074.55</v>
      </c>
      <c r="C13184">
        <f t="shared" si="430"/>
        <v>-8.5530807698695199E-3</v>
      </c>
      <c r="D13184">
        <f t="shared" si="429"/>
        <v>-0.93610591890027572</v>
      </c>
    </row>
    <row r="13185" spans="1:4">
      <c r="A13185" s="1">
        <v>37405</v>
      </c>
      <c r="B13185">
        <v>1067.6600000000001</v>
      </c>
      <c r="C13185">
        <f t="shared" si="430"/>
        <v>-6.4119864129169165E-3</v>
      </c>
      <c r="D13185">
        <f t="shared" si="429"/>
        <v>-0.71000708259941447</v>
      </c>
    </row>
    <row r="13186" spans="1:4">
      <c r="A13186" s="1">
        <v>37406</v>
      </c>
      <c r="B13186">
        <v>1064.6600000000001</v>
      </c>
      <c r="C13186">
        <f t="shared" si="430"/>
        <v>-2.8098832961804317E-3</v>
      </c>
      <c r="D13186">
        <f t="shared" si="429"/>
        <v>-0.32962621788638224</v>
      </c>
    </row>
    <row r="13187" spans="1:4">
      <c r="A13187" s="1">
        <v>37407</v>
      </c>
      <c r="B13187">
        <v>1067.1400000000001</v>
      </c>
      <c r="C13187">
        <f t="shared" si="430"/>
        <v>2.3293821501700241E-3</v>
      </c>
      <c r="D13187">
        <f t="shared" ref="D13187:D13250" si="431">(C13187-avg)/sd</f>
        <v>0.21307846632702215</v>
      </c>
    </row>
    <row r="13188" spans="1:4">
      <c r="A13188" s="1">
        <v>37410</v>
      </c>
      <c r="B13188">
        <v>1040.68</v>
      </c>
      <c r="C13188">
        <f t="shared" ref="C13188:C13251" si="432">(B13188-B13187)/B13187</f>
        <v>-2.4795247109095371E-2</v>
      </c>
      <c r="D13188">
        <f t="shared" si="431"/>
        <v>-2.6512731633419366</v>
      </c>
    </row>
    <row r="13189" spans="1:4">
      <c r="A13189" s="1">
        <v>37411</v>
      </c>
      <c r="B13189">
        <v>1040.69</v>
      </c>
      <c r="C13189">
        <f t="shared" si="432"/>
        <v>9.6091017411604953E-6</v>
      </c>
      <c r="D13189">
        <f t="shared" si="431"/>
        <v>-3.1888779057894029E-2</v>
      </c>
    </row>
    <row r="13190" spans="1:4">
      <c r="A13190" s="1">
        <v>37412</v>
      </c>
      <c r="B13190">
        <v>1049.9000000000001</v>
      </c>
      <c r="C13190">
        <f t="shared" si="432"/>
        <v>8.849897664049847E-3</v>
      </c>
      <c r="D13190">
        <f t="shared" si="431"/>
        <v>0.90164268816181747</v>
      </c>
    </row>
    <row r="13191" spans="1:4">
      <c r="A13191" s="1">
        <v>37413</v>
      </c>
      <c r="B13191">
        <v>1029.1500000000001</v>
      </c>
      <c r="C13191">
        <f t="shared" si="432"/>
        <v>-1.9763787027335934E-2</v>
      </c>
      <c r="D13191">
        <f t="shared" si="431"/>
        <v>-2.1199526889845197</v>
      </c>
    </row>
    <row r="13192" spans="1:4">
      <c r="A13192" s="1">
        <v>37414</v>
      </c>
      <c r="B13192">
        <v>1027.53</v>
      </c>
      <c r="C13192">
        <f t="shared" si="432"/>
        <v>-1.5741145605597999E-3</v>
      </c>
      <c r="D13192">
        <f t="shared" si="431"/>
        <v>-0.19912945946304633</v>
      </c>
    </row>
    <row r="13193" spans="1:4">
      <c r="A13193" s="1">
        <v>37417</v>
      </c>
      <c r="B13193">
        <v>1030.74</v>
      </c>
      <c r="C13193">
        <f t="shared" si="432"/>
        <v>3.1239963796677824E-3</v>
      </c>
      <c r="D13193">
        <f t="shared" si="431"/>
        <v>0.29698945885948524</v>
      </c>
    </row>
    <row r="13194" spans="1:4">
      <c r="A13194" s="1">
        <v>37418</v>
      </c>
      <c r="B13194">
        <v>1013.6</v>
      </c>
      <c r="C13194">
        <f t="shared" si="432"/>
        <v>-1.6628829772784588E-2</v>
      </c>
      <c r="D13194">
        <f t="shared" si="431"/>
        <v>-1.7889022685276443</v>
      </c>
    </row>
    <row r="13195" spans="1:4">
      <c r="A13195" s="1">
        <v>37419</v>
      </c>
      <c r="B13195">
        <v>1020.26</v>
      </c>
      <c r="C13195">
        <f t="shared" si="432"/>
        <v>6.5706393054459035E-3</v>
      </c>
      <c r="D13195">
        <f t="shared" si="431"/>
        <v>0.66095378025080054</v>
      </c>
    </row>
    <row r="13196" spans="1:4">
      <c r="A13196" s="1">
        <v>37420</v>
      </c>
      <c r="B13196">
        <v>1009.56</v>
      </c>
      <c r="C13196">
        <f t="shared" si="432"/>
        <v>-1.0487522788308907E-2</v>
      </c>
      <c r="D13196">
        <f t="shared" si="431"/>
        <v>-1.1403823384986842</v>
      </c>
    </row>
    <row r="13197" spans="1:4">
      <c r="A13197" s="1">
        <v>37421</v>
      </c>
      <c r="B13197">
        <v>1007.27</v>
      </c>
      <c r="C13197">
        <f t="shared" si="432"/>
        <v>-2.2683149094654739E-3</v>
      </c>
      <c r="D13197">
        <f t="shared" si="431"/>
        <v>-0.27243678033732172</v>
      </c>
    </row>
    <row r="13198" spans="1:4">
      <c r="A13198" s="1">
        <v>37424</v>
      </c>
      <c r="B13198">
        <v>1036.17</v>
      </c>
      <c r="C13198">
        <f t="shared" si="432"/>
        <v>2.869141342440467E-2</v>
      </c>
      <c r="D13198">
        <f t="shared" si="431"/>
        <v>2.9969000079963832</v>
      </c>
    </row>
    <row r="13199" spans="1:4">
      <c r="A13199" s="1">
        <v>37425</v>
      </c>
      <c r="B13199">
        <v>1037.1400000000001</v>
      </c>
      <c r="C13199">
        <f t="shared" si="432"/>
        <v>9.3613982261600624E-4</v>
      </c>
      <c r="D13199">
        <f t="shared" si="431"/>
        <v>6.5952550123395362E-2</v>
      </c>
    </row>
    <row r="13200" spans="1:4">
      <c r="A13200" s="1">
        <v>37426</v>
      </c>
      <c r="B13200">
        <v>1019.99</v>
      </c>
      <c r="C13200">
        <f t="shared" si="432"/>
        <v>-1.6535858225504841E-2</v>
      </c>
      <c r="D13200">
        <f t="shared" si="431"/>
        <v>-1.7790845047374675</v>
      </c>
    </row>
    <row r="13201" spans="1:4">
      <c r="A13201" s="1">
        <v>37427</v>
      </c>
      <c r="B13201">
        <v>1006.29</v>
      </c>
      <c r="C13201">
        <f t="shared" si="432"/>
        <v>-1.3431504230433676E-2</v>
      </c>
      <c r="D13201">
        <f t="shared" si="431"/>
        <v>-1.4512657780791458</v>
      </c>
    </row>
    <row r="13202" spans="1:4">
      <c r="A13202" s="1">
        <v>37428</v>
      </c>
      <c r="B13202">
        <v>989.14</v>
      </c>
      <c r="C13202">
        <f t="shared" si="432"/>
        <v>-1.7042800783074439E-2</v>
      </c>
      <c r="D13202">
        <f t="shared" si="431"/>
        <v>-1.8326174664986692</v>
      </c>
    </row>
    <row r="13203" spans="1:4">
      <c r="A13203" s="1">
        <v>37431</v>
      </c>
      <c r="B13203">
        <v>992.72</v>
      </c>
      <c r="C13203">
        <f t="shared" si="432"/>
        <v>3.6193056594617961E-3</v>
      </c>
      <c r="D13203">
        <f t="shared" si="431"/>
        <v>0.34929395044192846</v>
      </c>
    </row>
    <row r="13204" spans="1:4">
      <c r="A13204" s="1">
        <v>37432</v>
      </c>
      <c r="B13204">
        <v>976.14</v>
      </c>
      <c r="C13204">
        <f t="shared" si="432"/>
        <v>-1.6701587557418043E-2</v>
      </c>
      <c r="D13204">
        <f t="shared" si="431"/>
        <v>-1.7965854658533646</v>
      </c>
    </row>
    <row r="13205" spans="1:4">
      <c r="A13205" s="1">
        <v>37433</v>
      </c>
      <c r="B13205">
        <v>973.53</v>
      </c>
      <c r="C13205">
        <f t="shared" si="432"/>
        <v>-2.6737967914438644E-3</v>
      </c>
      <c r="D13205">
        <f t="shared" si="431"/>
        <v>-0.31525552924425126</v>
      </c>
    </row>
    <row r="13206" spans="1:4">
      <c r="A13206" s="1">
        <v>37434</v>
      </c>
      <c r="B13206">
        <v>990.64</v>
      </c>
      <c r="C13206">
        <f t="shared" si="432"/>
        <v>1.7575215966636894E-2</v>
      </c>
      <c r="D13206">
        <f t="shared" si="431"/>
        <v>1.8230333350352137</v>
      </c>
    </row>
    <row r="13207" spans="1:4">
      <c r="A13207" s="1">
        <v>37435</v>
      </c>
      <c r="B13207">
        <v>989.82</v>
      </c>
      <c r="C13207">
        <f t="shared" si="432"/>
        <v>-8.277477186464673E-4</v>
      </c>
      <c r="D13207">
        <f t="shared" si="431"/>
        <v>-0.12031337465941476</v>
      </c>
    </row>
    <row r="13208" spans="1:4">
      <c r="A13208" s="1">
        <v>37438</v>
      </c>
      <c r="B13208">
        <v>968.65</v>
      </c>
      <c r="C13208">
        <f t="shared" si="432"/>
        <v>-2.1387727061485999E-2</v>
      </c>
      <c r="D13208">
        <f t="shared" si="431"/>
        <v>-2.2914402045867286</v>
      </c>
    </row>
    <row r="13209" spans="1:4">
      <c r="A13209" s="1">
        <v>37439</v>
      </c>
      <c r="B13209">
        <v>948.09</v>
      </c>
      <c r="C13209">
        <f t="shared" si="432"/>
        <v>-2.1225416817219785E-2</v>
      </c>
      <c r="D13209">
        <f t="shared" si="431"/>
        <v>-2.2743002979641491</v>
      </c>
    </row>
    <row r="13210" spans="1:4">
      <c r="A13210" s="1">
        <v>37440</v>
      </c>
      <c r="B13210">
        <v>953.99</v>
      </c>
      <c r="C13210">
        <f t="shared" si="432"/>
        <v>6.2230378972460178E-3</v>
      </c>
      <c r="D13210">
        <f t="shared" si="431"/>
        <v>0.6242471897003522</v>
      </c>
    </row>
    <row r="13211" spans="1:4">
      <c r="A13211" s="1">
        <v>37442</v>
      </c>
      <c r="B13211">
        <v>989.03</v>
      </c>
      <c r="C13211">
        <f t="shared" si="432"/>
        <v>3.672994475833076E-2</v>
      </c>
      <c r="D13211">
        <f t="shared" si="431"/>
        <v>3.8457661844294164</v>
      </c>
    </row>
    <row r="13212" spans="1:4">
      <c r="A13212" s="1">
        <v>37445</v>
      </c>
      <c r="B13212">
        <v>976.98</v>
      </c>
      <c r="C13212">
        <f t="shared" si="432"/>
        <v>-1.2183654691970875E-2</v>
      </c>
      <c r="D13212">
        <f t="shared" si="431"/>
        <v>-1.3194932909821413</v>
      </c>
    </row>
    <row r="13213" spans="1:4">
      <c r="A13213" s="1">
        <v>37446</v>
      </c>
      <c r="B13213">
        <v>952.83</v>
      </c>
      <c r="C13213">
        <f t="shared" si="432"/>
        <v>-2.4719032119388296E-2</v>
      </c>
      <c r="D13213">
        <f t="shared" si="431"/>
        <v>-2.6432248863356032</v>
      </c>
    </row>
    <row r="13214" spans="1:4">
      <c r="A13214" s="1">
        <v>37447</v>
      </c>
      <c r="B13214">
        <v>920.47</v>
      </c>
      <c r="C13214">
        <f t="shared" si="432"/>
        <v>-3.3961986923165738E-2</v>
      </c>
      <c r="D13214">
        <f t="shared" si="431"/>
        <v>-3.6192777717815088</v>
      </c>
    </row>
    <row r="13215" spans="1:4">
      <c r="A13215" s="1">
        <v>37448</v>
      </c>
      <c r="B13215">
        <v>927.37</v>
      </c>
      <c r="C13215">
        <f t="shared" si="432"/>
        <v>7.4961704346692198E-3</v>
      </c>
      <c r="D13215">
        <f t="shared" si="431"/>
        <v>0.75868955289346618</v>
      </c>
    </row>
    <row r="13216" spans="1:4">
      <c r="A13216" s="1">
        <v>37449</v>
      </c>
      <c r="B13216">
        <v>921.39</v>
      </c>
      <c r="C13216">
        <f t="shared" si="432"/>
        <v>-6.4483431640014431E-3</v>
      </c>
      <c r="D13216">
        <f t="shared" si="431"/>
        <v>-0.7138463431556803</v>
      </c>
    </row>
    <row r="13217" spans="1:4">
      <c r="A13217" s="1">
        <v>37452</v>
      </c>
      <c r="B13217">
        <v>917.93</v>
      </c>
      <c r="C13217">
        <f t="shared" si="432"/>
        <v>-3.7551959539391965E-3</v>
      </c>
      <c r="D13217">
        <f t="shared" si="431"/>
        <v>-0.42945091321832296</v>
      </c>
    </row>
    <row r="13218" spans="1:4">
      <c r="A13218" s="1">
        <v>37453</v>
      </c>
      <c r="B13218">
        <v>900.94</v>
      </c>
      <c r="C13218">
        <f t="shared" si="432"/>
        <v>-1.8509036636780468E-2</v>
      </c>
      <c r="D13218">
        <f t="shared" si="431"/>
        <v>-1.9874514742522433</v>
      </c>
    </row>
    <row r="13219" spans="1:4">
      <c r="A13219" s="1">
        <v>37454</v>
      </c>
      <c r="B13219">
        <v>906.04</v>
      </c>
      <c r="C13219">
        <f t="shared" si="432"/>
        <v>5.660754323262269E-3</v>
      </c>
      <c r="D13219">
        <f t="shared" si="431"/>
        <v>0.56487023541714165</v>
      </c>
    </row>
    <row r="13220" spans="1:4">
      <c r="A13220" s="1">
        <v>37455</v>
      </c>
      <c r="B13220">
        <v>881.56</v>
      </c>
      <c r="C13220">
        <f t="shared" si="432"/>
        <v>-2.7018674672199924E-2</v>
      </c>
      <c r="D13220">
        <f t="shared" si="431"/>
        <v>-2.8860663582260271</v>
      </c>
    </row>
    <row r="13221" spans="1:4">
      <c r="A13221" s="1">
        <v>37456</v>
      </c>
      <c r="B13221">
        <v>847.75</v>
      </c>
      <c r="C13221">
        <f t="shared" si="432"/>
        <v>-3.8352466082853066E-2</v>
      </c>
      <c r="D13221">
        <f t="shared" si="431"/>
        <v>-4.0829108786481125</v>
      </c>
    </row>
    <row r="13222" spans="1:4">
      <c r="A13222" s="1">
        <v>37459</v>
      </c>
      <c r="B13222">
        <v>819.85</v>
      </c>
      <c r="C13222">
        <f t="shared" si="432"/>
        <v>-3.291064582718959E-2</v>
      </c>
      <c r="D13222">
        <f t="shared" si="431"/>
        <v>-3.5082565094146299</v>
      </c>
    </row>
    <row r="13223" spans="1:4">
      <c r="A13223" s="1">
        <v>37460</v>
      </c>
      <c r="B13223">
        <v>797.7</v>
      </c>
      <c r="C13223">
        <f t="shared" si="432"/>
        <v>-2.7017137281209948E-2</v>
      </c>
      <c r="D13223">
        <f t="shared" si="431"/>
        <v>-2.8859040102600702</v>
      </c>
    </row>
    <row r="13224" spans="1:4">
      <c r="A13224" s="1">
        <v>37461</v>
      </c>
      <c r="B13224">
        <v>843.43</v>
      </c>
      <c r="C13224">
        <f t="shared" si="432"/>
        <v>5.7327316033596469E-2</v>
      </c>
      <c r="D13224">
        <f t="shared" si="431"/>
        <v>6.0208415897107992</v>
      </c>
    </row>
    <row r="13225" spans="1:4">
      <c r="A13225" s="1">
        <v>37462</v>
      </c>
      <c r="B13225">
        <v>838.68</v>
      </c>
      <c r="C13225">
        <f t="shared" si="432"/>
        <v>-5.631765528852424E-3</v>
      </c>
      <c r="D13225">
        <f t="shared" si="431"/>
        <v>-0.62761602245216841</v>
      </c>
    </row>
    <row r="13226" spans="1:4">
      <c r="A13226" s="1">
        <v>37463</v>
      </c>
      <c r="B13226">
        <v>852.84</v>
      </c>
      <c r="C13226">
        <f t="shared" si="432"/>
        <v>1.6883674345400012E-2</v>
      </c>
      <c r="D13226">
        <f t="shared" si="431"/>
        <v>1.7500067748990173</v>
      </c>
    </row>
    <row r="13227" spans="1:4">
      <c r="A13227" s="1">
        <v>37466</v>
      </c>
      <c r="B13227">
        <v>898.96</v>
      </c>
      <c r="C13227">
        <f t="shared" si="432"/>
        <v>5.4078138924065482E-2</v>
      </c>
      <c r="D13227">
        <f t="shared" si="431"/>
        <v>5.6777295913932884</v>
      </c>
    </row>
    <row r="13228" spans="1:4">
      <c r="A13228" s="1">
        <v>37467</v>
      </c>
      <c r="B13228">
        <v>902.78</v>
      </c>
      <c r="C13228">
        <f t="shared" si="432"/>
        <v>4.2493548100025992E-3</v>
      </c>
      <c r="D13228">
        <f t="shared" si="431"/>
        <v>0.41582692657492526</v>
      </c>
    </row>
    <row r="13229" spans="1:4">
      <c r="A13229" s="1">
        <v>37468</v>
      </c>
      <c r="B13229">
        <v>911.62</v>
      </c>
      <c r="C13229">
        <f t="shared" si="432"/>
        <v>9.7919758966747514E-3</v>
      </c>
      <c r="D13229">
        <f t="shared" si="431"/>
        <v>1.001125829299057</v>
      </c>
    </row>
    <row r="13230" spans="1:4">
      <c r="A13230" s="1">
        <v>37469</v>
      </c>
      <c r="B13230">
        <v>884.66</v>
      </c>
      <c r="C13230">
        <f t="shared" si="432"/>
        <v>-2.9573725894561372E-2</v>
      </c>
      <c r="D13230">
        <f t="shared" si="431"/>
        <v>-3.1558788988032869</v>
      </c>
    </row>
    <row r="13231" spans="1:4">
      <c r="A13231" s="1">
        <v>37470</v>
      </c>
      <c r="B13231">
        <v>864.24</v>
      </c>
      <c r="C13231">
        <f t="shared" si="432"/>
        <v>-2.3082314109375307E-2</v>
      </c>
      <c r="D13231">
        <f t="shared" si="431"/>
        <v>-2.4703880208257147</v>
      </c>
    </row>
    <row r="13232" spans="1:4">
      <c r="A13232" s="1">
        <v>37473</v>
      </c>
      <c r="B13232">
        <v>834.6</v>
      </c>
      <c r="C13232">
        <f t="shared" si="432"/>
        <v>-3.4296028880866407E-2</v>
      </c>
      <c r="D13232">
        <f t="shared" si="431"/>
        <v>-3.6545524889683212</v>
      </c>
    </row>
    <row r="13233" spans="1:4">
      <c r="A13233" s="1">
        <v>37474</v>
      </c>
      <c r="B13233">
        <v>859.57</v>
      </c>
      <c r="C13233">
        <f t="shared" si="432"/>
        <v>2.9918523843757521E-2</v>
      </c>
      <c r="D13233">
        <f t="shared" si="431"/>
        <v>3.1264824511649461</v>
      </c>
    </row>
    <row r="13234" spans="1:4">
      <c r="A13234" s="1">
        <v>37475</v>
      </c>
      <c r="B13234">
        <v>876.77</v>
      </c>
      <c r="C13234">
        <f t="shared" si="432"/>
        <v>2.001000500250117E-2</v>
      </c>
      <c r="D13234">
        <f t="shared" si="431"/>
        <v>2.0801462295974757</v>
      </c>
    </row>
    <row r="13235" spans="1:4">
      <c r="A13235" s="1">
        <v>37476</v>
      </c>
      <c r="B13235">
        <v>905.46</v>
      </c>
      <c r="C13235">
        <f t="shared" si="432"/>
        <v>3.2722378731024161E-2</v>
      </c>
      <c r="D13235">
        <f t="shared" si="431"/>
        <v>3.4225685741837202</v>
      </c>
    </row>
    <row r="13236" spans="1:4">
      <c r="A13236" s="1">
        <v>37477</v>
      </c>
      <c r="B13236">
        <v>908.64</v>
      </c>
      <c r="C13236">
        <f t="shared" si="432"/>
        <v>3.5120270359816556E-3</v>
      </c>
      <c r="D13236">
        <f t="shared" si="431"/>
        <v>0.33796536426820156</v>
      </c>
    </row>
    <row r="13237" spans="1:4">
      <c r="A13237" s="1">
        <v>37480</v>
      </c>
      <c r="B13237">
        <v>903.8</v>
      </c>
      <c r="C13237">
        <f t="shared" si="432"/>
        <v>-5.3266420144391967E-3</v>
      </c>
      <c r="D13237">
        <f t="shared" si="431"/>
        <v>-0.59539508304665356</v>
      </c>
    </row>
    <row r="13238" spans="1:4">
      <c r="A13238" s="1">
        <v>37481</v>
      </c>
      <c r="B13238">
        <v>884.21</v>
      </c>
      <c r="C13238">
        <f t="shared" si="432"/>
        <v>-2.1675149369329409E-2</v>
      </c>
      <c r="D13238">
        <f t="shared" si="431"/>
        <v>-2.321791902595403</v>
      </c>
    </row>
    <row r="13239" spans="1:4">
      <c r="A13239" s="1">
        <v>37482</v>
      </c>
      <c r="B13239">
        <v>919.62</v>
      </c>
      <c r="C13239">
        <f t="shared" si="432"/>
        <v>4.0047047647052136E-2</v>
      </c>
      <c r="D13239">
        <f t="shared" si="431"/>
        <v>4.1960511219403376</v>
      </c>
    </row>
    <row r="13240" spans="1:4">
      <c r="A13240" s="1">
        <v>37483</v>
      </c>
      <c r="B13240">
        <v>930.25</v>
      </c>
      <c r="C13240">
        <f t="shared" si="432"/>
        <v>1.1559122246145142E-2</v>
      </c>
      <c r="D13240">
        <f t="shared" si="431"/>
        <v>1.1877358831209004</v>
      </c>
    </row>
    <row r="13241" spans="1:4">
      <c r="A13241" s="1">
        <v>37484</v>
      </c>
      <c r="B13241">
        <v>928.77</v>
      </c>
      <c r="C13241">
        <f t="shared" si="432"/>
        <v>-1.5909701693093449E-3</v>
      </c>
      <c r="D13241">
        <f t="shared" si="431"/>
        <v>-0.20090940601749849</v>
      </c>
    </row>
    <row r="13242" spans="1:4">
      <c r="A13242" s="1">
        <v>37487</v>
      </c>
      <c r="B13242">
        <v>950.7</v>
      </c>
      <c r="C13242">
        <f t="shared" si="432"/>
        <v>2.3611873768532646E-2</v>
      </c>
      <c r="D13242">
        <f t="shared" si="431"/>
        <v>2.4605023469557188</v>
      </c>
    </row>
    <row r="13243" spans="1:4">
      <c r="A13243" s="1">
        <v>37488</v>
      </c>
      <c r="B13243">
        <v>937.43</v>
      </c>
      <c r="C13243">
        <f t="shared" si="432"/>
        <v>-1.3958136110234665E-2</v>
      </c>
      <c r="D13243">
        <f t="shared" si="431"/>
        <v>-1.5068779255752565</v>
      </c>
    </row>
    <row r="13244" spans="1:4">
      <c r="A13244" s="1">
        <v>37489</v>
      </c>
      <c r="B13244">
        <v>949.36</v>
      </c>
      <c r="C13244">
        <f t="shared" si="432"/>
        <v>1.2726283562506069E-2</v>
      </c>
      <c r="D13244">
        <f t="shared" si="431"/>
        <v>1.3109877213912065</v>
      </c>
    </row>
    <row r="13245" spans="1:4">
      <c r="A13245" s="1">
        <v>37490</v>
      </c>
      <c r="B13245">
        <v>962.7</v>
      </c>
      <c r="C13245">
        <f t="shared" si="432"/>
        <v>1.4051571585067868E-2</v>
      </c>
      <c r="D13245">
        <f t="shared" si="431"/>
        <v>1.4509376860864456</v>
      </c>
    </row>
    <row r="13246" spans="1:4">
      <c r="A13246" s="1">
        <v>37491</v>
      </c>
      <c r="B13246">
        <v>940.86</v>
      </c>
      <c r="C13246">
        <f t="shared" si="432"/>
        <v>-2.2686195076347802E-2</v>
      </c>
      <c r="D13246">
        <f t="shared" si="431"/>
        <v>-2.4285579855854116</v>
      </c>
    </row>
    <row r="13247" spans="1:4">
      <c r="A13247" s="1">
        <v>37494</v>
      </c>
      <c r="B13247">
        <v>947.95</v>
      </c>
      <c r="C13247">
        <f t="shared" si="432"/>
        <v>7.5356588652934885E-3</v>
      </c>
      <c r="D13247">
        <f t="shared" si="431"/>
        <v>0.76285951774461924</v>
      </c>
    </row>
    <row r="13248" spans="1:4">
      <c r="A13248" s="1">
        <v>37495</v>
      </c>
      <c r="B13248">
        <v>934.82</v>
      </c>
      <c r="C13248">
        <f t="shared" si="432"/>
        <v>-1.3850941505353652E-2</v>
      </c>
      <c r="D13248">
        <f t="shared" si="431"/>
        <v>-1.4955582117370383</v>
      </c>
    </row>
    <row r="13249" spans="1:4">
      <c r="A13249" s="1">
        <v>37496</v>
      </c>
      <c r="B13249">
        <v>917.87</v>
      </c>
      <c r="C13249">
        <f t="shared" si="432"/>
        <v>-1.8131832866220284E-2</v>
      </c>
      <c r="D13249">
        <f t="shared" si="431"/>
        <v>-1.9476188842988793</v>
      </c>
    </row>
    <row r="13250" spans="1:4">
      <c r="A13250" s="1">
        <v>37497</v>
      </c>
      <c r="B13250">
        <v>917.8</v>
      </c>
      <c r="C13250">
        <f t="shared" si="432"/>
        <v>-7.626352315692857E-5</v>
      </c>
      <c r="D13250">
        <f t="shared" si="431"/>
        <v>-4.0956899057608791E-2</v>
      </c>
    </row>
    <row r="13251" spans="1:4">
      <c r="A13251" s="1">
        <v>37498</v>
      </c>
      <c r="B13251">
        <v>916.07</v>
      </c>
      <c r="C13251">
        <f t="shared" si="432"/>
        <v>-1.8849422532141039E-3</v>
      </c>
      <c r="D13251">
        <f t="shared" ref="D13251:D13314" si="433">(C13251-avg)/sd</f>
        <v>-0.23195275815187458</v>
      </c>
    </row>
    <row r="13252" spans="1:4">
      <c r="A13252" s="1">
        <v>37502</v>
      </c>
      <c r="B13252">
        <v>878.02</v>
      </c>
      <c r="C13252">
        <f t="shared" ref="C13252:C13315" si="434">(B13252-B13251)/B13251</f>
        <v>-4.1536127151855277E-2</v>
      </c>
      <c r="D13252">
        <f t="shared" si="433"/>
        <v>-4.4191044053557684</v>
      </c>
    </row>
    <row r="13253" spans="1:4">
      <c r="A13253" s="1">
        <v>37503</v>
      </c>
      <c r="B13253">
        <v>893.4</v>
      </c>
      <c r="C13253">
        <f t="shared" si="434"/>
        <v>1.7516685269128262E-2</v>
      </c>
      <c r="D13253">
        <f t="shared" si="433"/>
        <v>1.8168525132738529</v>
      </c>
    </row>
    <row r="13254" spans="1:4">
      <c r="A13254" s="1">
        <v>37504</v>
      </c>
      <c r="B13254">
        <v>879.15</v>
      </c>
      <c r="C13254">
        <f t="shared" si="434"/>
        <v>-1.5950302216252519E-2</v>
      </c>
      <c r="D13254">
        <f t="shared" si="433"/>
        <v>-1.7172499892005808</v>
      </c>
    </row>
    <row r="13255" spans="1:4">
      <c r="A13255" s="1">
        <v>37505</v>
      </c>
      <c r="B13255">
        <v>893.92</v>
      </c>
      <c r="C13255">
        <f t="shared" si="434"/>
        <v>1.6800318489450017E-2</v>
      </c>
      <c r="D13255">
        <f t="shared" si="433"/>
        <v>1.74120442484473</v>
      </c>
    </row>
    <row r="13256" spans="1:4">
      <c r="A13256" s="1">
        <v>37508</v>
      </c>
      <c r="B13256">
        <v>902.96</v>
      </c>
      <c r="C13256">
        <f t="shared" si="434"/>
        <v>1.0112761768390995E-2</v>
      </c>
      <c r="D13256">
        <f t="shared" si="433"/>
        <v>1.0350007083118766</v>
      </c>
    </row>
    <row r="13257" spans="1:4">
      <c r="A13257" s="1">
        <v>37509</v>
      </c>
      <c r="B13257">
        <v>909.58</v>
      </c>
      <c r="C13257">
        <f t="shared" si="434"/>
        <v>7.3314432533002618E-3</v>
      </c>
      <c r="D13257">
        <f t="shared" si="433"/>
        <v>0.74129441853439371</v>
      </c>
    </row>
    <row r="13258" spans="1:4">
      <c r="A13258" s="1">
        <v>37510</v>
      </c>
      <c r="B13258">
        <v>909.45</v>
      </c>
      <c r="C13258">
        <f t="shared" si="434"/>
        <v>-1.4292310736823088E-4</v>
      </c>
      <c r="D13258">
        <f t="shared" si="433"/>
        <v>-4.7996128491628709E-2</v>
      </c>
    </row>
    <row r="13259" spans="1:4">
      <c r="A13259" s="1">
        <v>37511</v>
      </c>
      <c r="B13259">
        <v>886.91</v>
      </c>
      <c r="C13259">
        <f t="shared" si="434"/>
        <v>-2.4784210236956487E-2</v>
      </c>
      <c r="D13259">
        <f t="shared" si="433"/>
        <v>-2.6501076733956852</v>
      </c>
    </row>
    <row r="13260" spans="1:4">
      <c r="A13260" s="1">
        <v>37512</v>
      </c>
      <c r="B13260">
        <v>889.81</v>
      </c>
      <c r="C13260">
        <f t="shared" si="434"/>
        <v>3.2697793462696072E-3</v>
      </c>
      <c r="D13260">
        <f t="shared" si="433"/>
        <v>0.31238409057859984</v>
      </c>
    </row>
    <row r="13261" spans="1:4">
      <c r="A13261" s="1">
        <v>37515</v>
      </c>
      <c r="B13261">
        <v>891.1</v>
      </c>
      <c r="C13261">
        <f t="shared" si="434"/>
        <v>1.4497476989470532E-3</v>
      </c>
      <c r="D13261">
        <f t="shared" si="433"/>
        <v>0.12018936728015416</v>
      </c>
    </row>
    <row r="13262" spans="1:4">
      <c r="A13262" s="1">
        <v>37516</v>
      </c>
      <c r="B13262">
        <v>873.52</v>
      </c>
      <c r="C13262">
        <f t="shared" si="434"/>
        <v>-1.9728425541465651E-2</v>
      </c>
      <c r="D13262">
        <f t="shared" si="433"/>
        <v>-2.1162185280965709</v>
      </c>
    </row>
    <row r="13263" spans="1:4">
      <c r="A13263" s="1">
        <v>37517</v>
      </c>
      <c r="B13263">
        <v>869.46</v>
      </c>
      <c r="C13263">
        <f t="shared" si="434"/>
        <v>-4.6478615257806869E-3</v>
      </c>
      <c r="D13263">
        <f t="shared" si="433"/>
        <v>-0.52371609417301346</v>
      </c>
    </row>
    <row r="13264" spans="1:4">
      <c r="A13264" s="1">
        <v>37518</v>
      </c>
      <c r="B13264">
        <v>843.32</v>
      </c>
      <c r="C13264">
        <f t="shared" si="434"/>
        <v>-3.0064637821176344E-2</v>
      </c>
      <c r="D13264">
        <f t="shared" si="433"/>
        <v>-3.2077190313847566</v>
      </c>
    </row>
    <row r="13265" spans="1:4">
      <c r="A13265" s="1">
        <v>37519</v>
      </c>
      <c r="B13265">
        <v>845.39</v>
      </c>
      <c r="C13265">
        <f t="shared" si="434"/>
        <v>2.4545842622016984E-3</v>
      </c>
      <c r="D13265">
        <f t="shared" si="433"/>
        <v>0.22629976679930128</v>
      </c>
    </row>
    <row r="13266" spans="1:4">
      <c r="A13266" s="1">
        <v>37522</v>
      </c>
      <c r="B13266">
        <v>833.7</v>
      </c>
      <c r="C13266">
        <f t="shared" si="434"/>
        <v>-1.3827937401672531E-2</v>
      </c>
      <c r="D13266">
        <f t="shared" si="433"/>
        <v>-1.4931289862077866</v>
      </c>
    </row>
    <row r="13267" spans="1:4">
      <c r="A13267" s="1">
        <v>37523</v>
      </c>
      <c r="B13267">
        <v>819.29</v>
      </c>
      <c r="C13267">
        <f t="shared" si="434"/>
        <v>-1.7284394866258945E-2</v>
      </c>
      <c r="D13267">
        <f t="shared" si="433"/>
        <v>-1.8581297195611342</v>
      </c>
    </row>
    <row r="13268" spans="1:4">
      <c r="A13268" s="1">
        <v>37524</v>
      </c>
      <c r="B13268">
        <v>839.66</v>
      </c>
      <c r="C13268">
        <f t="shared" si="434"/>
        <v>2.4862991126463164E-2</v>
      </c>
      <c r="D13268">
        <f t="shared" si="433"/>
        <v>2.5926199146777282</v>
      </c>
    </row>
    <row r="13269" spans="1:4">
      <c r="A13269" s="1">
        <v>37525</v>
      </c>
      <c r="B13269">
        <v>854.95</v>
      </c>
      <c r="C13269">
        <f t="shared" si="434"/>
        <v>1.8209751566110186E-2</v>
      </c>
      <c r="D13269">
        <f t="shared" si="433"/>
        <v>1.8900400786504634</v>
      </c>
    </row>
    <row r="13270" spans="1:4">
      <c r="A13270" s="1">
        <v>37526</v>
      </c>
      <c r="B13270">
        <v>827.37</v>
      </c>
      <c r="C13270">
        <f t="shared" si="434"/>
        <v>-3.2259196444236554E-2</v>
      </c>
      <c r="D13270">
        <f t="shared" si="433"/>
        <v>-3.4394636760131938</v>
      </c>
    </row>
    <row r="13271" spans="1:4">
      <c r="A13271" s="1">
        <v>37529</v>
      </c>
      <c r="B13271">
        <v>815.28</v>
      </c>
      <c r="C13271">
        <f t="shared" si="434"/>
        <v>-1.4612567533268105E-2</v>
      </c>
      <c r="D13271">
        <f t="shared" si="433"/>
        <v>-1.5759856613955388</v>
      </c>
    </row>
    <row r="13272" spans="1:4">
      <c r="A13272" s="1">
        <v>37530</v>
      </c>
      <c r="B13272">
        <v>847.91</v>
      </c>
      <c r="C13272">
        <f t="shared" si="434"/>
        <v>4.0023059562358937E-2</v>
      </c>
      <c r="D13272">
        <f t="shared" si="433"/>
        <v>4.1935179883506821</v>
      </c>
    </row>
    <row r="13273" spans="1:4">
      <c r="A13273" s="1">
        <v>37531</v>
      </c>
      <c r="B13273">
        <v>827.91</v>
      </c>
      <c r="C13273">
        <f t="shared" si="434"/>
        <v>-2.3587409041053886E-2</v>
      </c>
      <c r="D13273">
        <f t="shared" si="433"/>
        <v>-2.5237258739208634</v>
      </c>
    </row>
    <row r="13274" spans="1:4">
      <c r="A13274" s="1">
        <v>37532</v>
      </c>
      <c r="B13274">
        <v>818.95</v>
      </c>
      <c r="C13274">
        <f t="shared" si="434"/>
        <v>-1.0822432389993988E-2</v>
      </c>
      <c r="D13274">
        <f t="shared" si="433"/>
        <v>-1.1757486785953239</v>
      </c>
    </row>
    <row r="13275" spans="1:4">
      <c r="A13275" s="1">
        <v>37533</v>
      </c>
      <c r="B13275">
        <v>800.58</v>
      </c>
      <c r="C13275">
        <f t="shared" si="434"/>
        <v>-2.2431161853593021E-2</v>
      </c>
      <c r="D13275">
        <f t="shared" si="433"/>
        <v>-2.4016265639525112</v>
      </c>
    </row>
    <row r="13276" spans="1:4">
      <c r="A13276" s="1">
        <v>37536</v>
      </c>
      <c r="B13276">
        <v>785.28</v>
      </c>
      <c r="C13276">
        <f t="shared" si="434"/>
        <v>-1.9111144420295371E-2</v>
      </c>
      <c r="D13276">
        <f t="shared" si="433"/>
        <v>-2.0510338515250375</v>
      </c>
    </row>
    <row r="13277" spans="1:4">
      <c r="A13277" s="1">
        <v>37537</v>
      </c>
      <c r="B13277">
        <v>798.55</v>
      </c>
      <c r="C13277">
        <f t="shared" si="434"/>
        <v>1.6898431132844314E-2</v>
      </c>
      <c r="D13277">
        <f t="shared" si="433"/>
        <v>1.7515650866370598</v>
      </c>
    </row>
    <row r="13278" spans="1:4">
      <c r="A13278" s="1">
        <v>37538</v>
      </c>
      <c r="B13278">
        <v>776.76</v>
      </c>
      <c r="C13278">
        <f t="shared" si="434"/>
        <v>-2.7286957610669293E-2</v>
      </c>
      <c r="D13278">
        <f t="shared" si="433"/>
        <v>-2.914396945334591</v>
      </c>
    </row>
    <row r="13279" spans="1:4">
      <c r="A13279" s="1">
        <v>37539</v>
      </c>
      <c r="B13279">
        <v>803.92</v>
      </c>
      <c r="C13279">
        <f t="shared" si="434"/>
        <v>3.4965755188217686E-2</v>
      </c>
      <c r="D13279">
        <f t="shared" si="433"/>
        <v>3.6594683655026476</v>
      </c>
    </row>
    <row r="13280" spans="1:4">
      <c r="A13280" s="1">
        <v>37540</v>
      </c>
      <c r="B13280">
        <v>835.32</v>
      </c>
      <c r="C13280">
        <f t="shared" si="434"/>
        <v>3.9058612797293377E-2</v>
      </c>
      <c r="D13280">
        <f t="shared" si="433"/>
        <v>4.0916727377911428</v>
      </c>
    </row>
    <row r="13281" spans="1:4">
      <c r="A13281" s="1">
        <v>37543</v>
      </c>
      <c r="B13281">
        <v>841.44</v>
      </c>
      <c r="C13281">
        <f t="shared" si="434"/>
        <v>7.3265335440310352E-3</v>
      </c>
      <c r="D13281">
        <f t="shared" si="433"/>
        <v>0.74077595490445469</v>
      </c>
    </row>
    <row r="13282" spans="1:4">
      <c r="A13282" s="1">
        <v>37544</v>
      </c>
      <c r="B13282">
        <v>881.27</v>
      </c>
      <c r="C13282">
        <f t="shared" si="434"/>
        <v>4.7335520060847978E-2</v>
      </c>
      <c r="D13282">
        <f t="shared" si="433"/>
        <v>4.9657113313650312</v>
      </c>
    </row>
    <row r="13283" spans="1:4">
      <c r="A13283" s="1">
        <v>37545</v>
      </c>
      <c r="B13283">
        <v>860.02</v>
      </c>
      <c r="C13283">
        <f t="shared" si="434"/>
        <v>-2.4112927933550445E-2</v>
      </c>
      <c r="D13283">
        <f t="shared" si="433"/>
        <v>-2.579220490335949</v>
      </c>
    </row>
    <row r="13284" spans="1:4">
      <c r="A13284" s="1">
        <v>37546</v>
      </c>
      <c r="B13284">
        <v>879.2</v>
      </c>
      <c r="C13284">
        <f t="shared" si="434"/>
        <v>2.2301806934722522E-2</v>
      </c>
      <c r="D13284">
        <f t="shared" si="433"/>
        <v>2.3221597346187233</v>
      </c>
    </row>
    <row r="13285" spans="1:4">
      <c r="A13285" s="1">
        <v>37547</v>
      </c>
      <c r="B13285">
        <v>884.39</v>
      </c>
      <c r="C13285">
        <f t="shared" si="434"/>
        <v>5.9030937215649917E-3</v>
      </c>
      <c r="D13285">
        <f t="shared" si="433"/>
        <v>0.59046119350274529</v>
      </c>
    </row>
    <row r="13286" spans="1:4">
      <c r="A13286" s="1">
        <v>37550</v>
      </c>
      <c r="B13286">
        <v>899.72</v>
      </c>
      <c r="C13286">
        <f t="shared" si="434"/>
        <v>1.7333981614446162E-2</v>
      </c>
      <c r="D13286">
        <f t="shared" si="433"/>
        <v>1.7975590694434129</v>
      </c>
    </row>
    <row r="13287" spans="1:4">
      <c r="A13287" s="1">
        <v>37551</v>
      </c>
      <c r="B13287">
        <v>890.16</v>
      </c>
      <c r="C13287">
        <f t="shared" si="434"/>
        <v>-1.0625527942026473E-2</v>
      </c>
      <c r="D13287">
        <f t="shared" si="433"/>
        <v>-1.1549556358210282</v>
      </c>
    </row>
    <row r="13288" spans="1:4">
      <c r="A13288" s="1">
        <v>37552</v>
      </c>
      <c r="B13288">
        <v>896.14</v>
      </c>
      <c r="C13288">
        <f t="shared" si="434"/>
        <v>6.7178934124202594E-3</v>
      </c>
      <c r="D13288">
        <f t="shared" si="433"/>
        <v>0.67650376389318956</v>
      </c>
    </row>
    <row r="13289" spans="1:4">
      <c r="A13289" s="1">
        <v>37553</v>
      </c>
      <c r="B13289">
        <v>882.5</v>
      </c>
      <c r="C13289">
        <f t="shared" si="434"/>
        <v>-1.522083603008457E-2</v>
      </c>
      <c r="D13289">
        <f t="shared" si="433"/>
        <v>-1.6402186078988494</v>
      </c>
    </row>
    <row r="13290" spans="1:4">
      <c r="A13290" s="1">
        <v>37554</v>
      </c>
      <c r="B13290">
        <v>897.65</v>
      </c>
      <c r="C13290">
        <f t="shared" si="434"/>
        <v>1.7167138810198275E-2</v>
      </c>
      <c r="D13290">
        <f t="shared" si="433"/>
        <v>1.7799405260274608</v>
      </c>
    </row>
    <row r="13291" spans="1:4">
      <c r="A13291" s="1">
        <v>37557</v>
      </c>
      <c r="B13291">
        <v>890.23</v>
      </c>
      <c r="C13291">
        <f t="shared" si="434"/>
        <v>-8.2660279619004729E-3</v>
      </c>
      <c r="D13291">
        <f t="shared" si="433"/>
        <v>-0.90579323995273464</v>
      </c>
    </row>
    <row r="13292" spans="1:4">
      <c r="A13292" s="1">
        <v>37558</v>
      </c>
      <c r="B13292">
        <v>882.15</v>
      </c>
      <c r="C13292">
        <f t="shared" si="434"/>
        <v>-9.0763061231367639E-3</v>
      </c>
      <c r="D13292">
        <f t="shared" si="433"/>
        <v>-0.99135833835235765</v>
      </c>
    </row>
    <row r="13293" spans="1:4">
      <c r="A13293" s="1">
        <v>37559</v>
      </c>
      <c r="B13293">
        <v>890.71</v>
      </c>
      <c r="C13293">
        <f t="shared" si="434"/>
        <v>9.7035651533186641E-3</v>
      </c>
      <c r="D13293">
        <f t="shared" si="433"/>
        <v>0.99178968485292607</v>
      </c>
    </row>
    <row r="13294" spans="1:4">
      <c r="A13294" s="1">
        <v>37560</v>
      </c>
      <c r="B13294">
        <v>885.76</v>
      </c>
      <c r="C13294">
        <f t="shared" si="434"/>
        <v>-5.5573643497884217E-3</v>
      </c>
      <c r="D13294">
        <f t="shared" si="433"/>
        <v>-0.6197592832331994</v>
      </c>
    </row>
    <row r="13295" spans="1:4">
      <c r="A13295" s="1">
        <v>37561</v>
      </c>
      <c r="B13295">
        <v>900.96</v>
      </c>
      <c r="C13295">
        <f t="shared" si="434"/>
        <v>1.7160404624277509E-2</v>
      </c>
      <c r="D13295">
        <f t="shared" si="433"/>
        <v>1.7792293982832887</v>
      </c>
    </row>
    <row r="13296" spans="1:4">
      <c r="A13296" s="1">
        <v>37564</v>
      </c>
      <c r="B13296">
        <v>908.35</v>
      </c>
      <c r="C13296">
        <f t="shared" si="434"/>
        <v>8.2023619250577006E-3</v>
      </c>
      <c r="D13296">
        <f t="shared" si="433"/>
        <v>0.833263134232339</v>
      </c>
    </row>
    <row r="13297" spans="1:4">
      <c r="A13297" s="1">
        <v>37565</v>
      </c>
      <c r="B13297">
        <v>915.39</v>
      </c>
      <c r="C13297">
        <f t="shared" si="434"/>
        <v>7.7503165079539421E-3</v>
      </c>
      <c r="D13297">
        <f t="shared" si="433"/>
        <v>0.78552729184388514</v>
      </c>
    </row>
    <row r="13298" spans="1:4">
      <c r="A13298" s="1">
        <v>37566</v>
      </c>
      <c r="B13298">
        <v>923.76</v>
      </c>
      <c r="C13298">
        <f t="shared" si="434"/>
        <v>9.1436436928522321E-3</v>
      </c>
      <c r="D13298">
        <f t="shared" si="433"/>
        <v>0.93266216895422271</v>
      </c>
    </row>
    <row r="13299" spans="1:4">
      <c r="A13299" s="1">
        <v>37567</v>
      </c>
      <c r="B13299">
        <v>902.65</v>
      </c>
      <c r="C13299">
        <f t="shared" si="434"/>
        <v>-2.2852255997228732E-2</v>
      </c>
      <c r="D13299">
        <f t="shared" si="433"/>
        <v>-2.4460939623835882</v>
      </c>
    </row>
    <row r="13300" spans="1:4">
      <c r="A13300" s="1">
        <v>37568</v>
      </c>
      <c r="B13300">
        <v>894.74</v>
      </c>
      <c r="C13300">
        <f t="shared" si="434"/>
        <v>-8.7630864676230755E-3</v>
      </c>
      <c r="D13300">
        <f t="shared" si="433"/>
        <v>-0.95828244919864614</v>
      </c>
    </row>
    <row r="13301" spans="1:4">
      <c r="A13301" s="1">
        <v>37571</v>
      </c>
      <c r="B13301">
        <v>876.19</v>
      </c>
      <c r="C13301">
        <f t="shared" si="434"/>
        <v>-2.0732279768424296E-2</v>
      </c>
      <c r="D13301">
        <f t="shared" si="433"/>
        <v>-2.2222251932367727</v>
      </c>
    </row>
    <row r="13302" spans="1:4">
      <c r="A13302" s="1">
        <v>37572</v>
      </c>
      <c r="B13302">
        <v>882.95</v>
      </c>
      <c r="C13302">
        <f t="shared" si="434"/>
        <v>7.7152215843595455E-3</v>
      </c>
      <c r="D13302">
        <f t="shared" si="433"/>
        <v>0.78182127984166105</v>
      </c>
    </row>
    <row r="13303" spans="1:4">
      <c r="A13303" s="1">
        <v>37573</v>
      </c>
      <c r="B13303">
        <v>882.53</v>
      </c>
      <c r="C13303">
        <f t="shared" si="434"/>
        <v>-4.7567812446919162E-4</v>
      </c>
      <c r="D13303">
        <f t="shared" si="433"/>
        <v>-8.3134945188564166E-2</v>
      </c>
    </row>
    <row r="13304" spans="1:4">
      <c r="A13304" s="1">
        <v>37574</v>
      </c>
      <c r="B13304">
        <v>904.27</v>
      </c>
      <c r="C13304">
        <f t="shared" si="434"/>
        <v>2.4633723499484447E-2</v>
      </c>
      <c r="D13304">
        <f t="shared" si="433"/>
        <v>2.5684093312006286</v>
      </c>
    </row>
    <row r="13305" spans="1:4">
      <c r="A13305" s="1">
        <v>37575</v>
      </c>
      <c r="B13305">
        <v>909.83</v>
      </c>
      <c r="C13305">
        <f t="shared" si="434"/>
        <v>6.1486060579252428E-3</v>
      </c>
      <c r="D13305">
        <f t="shared" si="433"/>
        <v>0.6163872127686898</v>
      </c>
    </row>
    <row r="13306" spans="1:4">
      <c r="A13306" s="1">
        <v>37578</v>
      </c>
      <c r="B13306">
        <v>900.36</v>
      </c>
      <c r="C13306">
        <f t="shared" si="434"/>
        <v>-1.040853785872089E-2</v>
      </c>
      <c r="D13306">
        <f t="shared" si="433"/>
        <v>-1.1320415567824718</v>
      </c>
    </row>
    <row r="13307" spans="1:4">
      <c r="A13307" s="1">
        <v>37579</v>
      </c>
      <c r="B13307">
        <v>896.74</v>
      </c>
      <c r="C13307">
        <f t="shared" si="434"/>
        <v>-4.0206139766315744E-3</v>
      </c>
      <c r="D13307">
        <f t="shared" si="433"/>
        <v>-0.4574789661946686</v>
      </c>
    </row>
    <row r="13308" spans="1:4">
      <c r="A13308" s="1">
        <v>37580</v>
      </c>
      <c r="B13308">
        <v>914.15</v>
      </c>
      <c r="C13308">
        <f t="shared" si="434"/>
        <v>1.9414769052345127E-2</v>
      </c>
      <c r="D13308">
        <f t="shared" si="433"/>
        <v>2.0172895155915276</v>
      </c>
    </row>
    <row r="13309" spans="1:4">
      <c r="A13309" s="1">
        <v>37581</v>
      </c>
      <c r="B13309">
        <v>933.76</v>
      </c>
      <c r="C13309">
        <f t="shared" si="434"/>
        <v>2.1451621725099835E-2</v>
      </c>
      <c r="D13309">
        <f t="shared" si="433"/>
        <v>2.2323804654745616</v>
      </c>
    </row>
    <row r="13310" spans="1:4">
      <c r="A13310" s="1">
        <v>37582</v>
      </c>
      <c r="B13310">
        <v>930.55</v>
      </c>
      <c r="C13310">
        <f t="shared" si="434"/>
        <v>-3.4377141877999021E-3</v>
      </c>
      <c r="D13310">
        <f t="shared" si="433"/>
        <v>-0.39592494663130917</v>
      </c>
    </row>
    <row r="13311" spans="1:4">
      <c r="A13311" s="1">
        <v>37585</v>
      </c>
      <c r="B13311">
        <v>932.87</v>
      </c>
      <c r="C13311">
        <f t="shared" si="434"/>
        <v>2.4931492128311751E-3</v>
      </c>
      <c r="D13311">
        <f t="shared" si="433"/>
        <v>0.23037221247691037</v>
      </c>
    </row>
    <row r="13312" spans="1:4">
      <c r="A13312" s="1">
        <v>37586</v>
      </c>
      <c r="B13312">
        <v>913.31</v>
      </c>
      <c r="C13312">
        <f t="shared" si="434"/>
        <v>-2.0967551748903985E-2</v>
      </c>
      <c r="D13312">
        <f t="shared" si="433"/>
        <v>-2.2470698344025961</v>
      </c>
    </row>
    <row r="13313" spans="1:4">
      <c r="A13313" s="1">
        <v>37587</v>
      </c>
      <c r="B13313">
        <v>938.87</v>
      </c>
      <c r="C13313">
        <f t="shared" si="434"/>
        <v>2.7986116433631584E-2</v>
      </c>
      <c r="D13313">
        <f t="shared" si="433"/>
        <v>2.9224208855128411</v>
      </c>
    </row>
    <row r="13314" spans="1:4">
      <c r="A13314" s="1">
        <v>37589</v>
      </c>
      <c r="B13314">
        <v>936.31</v>
      </c>
      <c r="C13314">
        <f t="shared" si="434"/>
        <v>-2.7266820752607488E-3</v>
      </c>
      <c r="D13314">
        <f t="shared" si="433"/>
        <v>-0.32084019723873286</v>
      </c>
    </row>
    <row r="13315" spans="1:4">
      <c r="A13315" s="1">
        <v>37592</v>
      </c>
      <c r="B13315">
        <v>934.53</v>
      </c>
      <c r="C13315">
        <f t="shared" si="434"/>
        <v>-1.9010797705887718E-3</v>
      </c>
      <c r="D13315">
        <f t="shared" ref="D13315:D13378" si="435">(C13315-avg)/sd</f>
        <v>-0.23365687450123085</v>
      </c>
    </row>
    <row r="13316" spans="1:4">
      <c r="A13316" s="1">
        <v>37593</v>
      </c>
      <c r="B13316">
        <v>920.75</v>
      </c>
      <c r="C13316">
        <f t="shared" ref="C13316:C13379" si="436">(B13316-B13315)/B13315</f>
        <v>-1.474538003060359E-2</v>
      </c>
      <c r="D13316">
        <f t="shared" si="435"/>
        <v>-1.5900106159690046</v>
      </c>
    </row>
    <row r="13317" spans="1:4">
      <c r="A13317" s="1">
        <v>37594</v>
      </c>
      <c r="B13317">
        <v>917.58</v>
      </c>
      <c r="C13317">
        <f t="shared" si="436"/>
        <v>-3.4428455063806236E-3</v>
      </c>
      <c r="D13317">
        <f t="shared" si="435"/>
        <v>-0.39646681212921342</v>
      </c>
    </row>
    <row r="13318" spans="1:4">
      <c r="A13318" s="1">
        <v>37595</v>
      </c>
      <c r="B13318">
        <v>906.55</v>
      </c>
      <c r="C13318">
        <f t="shared" si="436"/>
        <v>-1.2020750234312089E-2</v>
      </c>
      <c r="D13318">
        <f t="shared" si="435"/>
        <v>-1.302290635627289</v>
      </c>
    </row>
    <row r="13319" spans="1:4">
      <c r="A13319" s="1">
        <v>37596</v>
      </c>
      <c r="B13319">
        <v>912.23</v>
      </c>
      <c r="C13319">
        <f t="shared" si="436"/>
        <v>6.2655121063372827E-3</v>
      </c>
      <c r="D13319">
        <f t="shared" si="435"/>
        <v>0.62873245174270465</v>
      </c>
    </row>
    <row r="13320" spans="1:4">
      <c r="A13320" s="1">
        <v>37599</v>
      </c>
      <c r="B13320">
        <v>892</v>
      </c>
      <c r="C13320">
        <f t="shared" si="436"/>
        <v>-2.2176424805147844E-2</v>
      </c>
      <c r="D13320">
        <f t="shared" si="435"/>
        <v>-2.3747264182260306</v>
      </c>
    </row>
    <row r="13321" spans="1:4">
      <c r="A13321" s="1">
        <v>37600</v>
      </c>
      <c r="B13321">
        <v>904.45</v>
      </c>
      <c r="C13321">
        <f t="shared" si="436"/>
        <v>1.3957399103139064E-2</v>
      </c>
      <c r="D13321">
        <f t="shared" si="435"/>
        <v>1.4409931040055457</v>
      </c>
    </row>
    <row r="13322" spans="1:4">
      <c r="A13322" s="1">
        <v>37601</v>
      </c>
      <c r="B13322">
        <v>904.96</v>
      </c>
      <c r="C13322">
        <f t="shared" si="436"/>
        <v>5.6387860025428809E-4</v>
      </c>
      <c r="D13322">
        <f t="shared" si="435"/>
        <v>2.6641891579735552E-2</v>
      </c>
    </row>
    <row r="13323" spans="1:4">
      <c r="A13323" s="1">
        <v>37602</v>
      </c>
      <c r="B13323">
        <v>901.58</v>
      </c>
      <c r="C13323">
        <f t="shared" si="436"/>
        <v>-3.7349717114568549E-3</v>
      </c>
      <c r="D13323">
        <f t="shared" si="435"/>
        <v>-0.42731524008674171</v>
      </c>
    </row>
    <row r="13324" spans="1:4">
      <c r="A13324" s="1">
        <v>37603</v>
      </c>
      <c r="B13324">
        <v>889.48</v>
      </c>
      <c r="C13324">
        <f t="shared" si="436"/>
        <v>-1.3420883338139735E-2</v>
      </c>
      <c r="D13324">
        <f t="shared" si="435"/>
        <v>-1.4501442154631223</v>
      </c>
    </row>
    <row r="13325" spans="1:4">
      <c r="A13325" s="1">
        <v>37606</v>
      </c>
      <c r="B13325">
        <v>910.4</v>
      </c>
      <c r="C13325">
        <f t="shared" si="436"/>
        <v>2.3519359625848765E-2</v>
      </c>
      <c r="D13325">
        <f t="shared" si="435"/>
        <v>2.4507328849353858</v>
      </c>
    </row>
    <row r="13326" spans="1:4">
      <c r="A13326" s="1">
        <v>37607</v>
      </c>
      <c r="B13326">
        <v>902.99</v>
      </c>
      <c r="C13326">
        <f t="shared" si="436"/>
        <v>-8.139279437609807E-3</v>
      </c>
      <c r="D13326">
        <f t="shared" si="435"/>
        <v>-0.89240863887155708</v>
      </c>
    </row>
    <row r="13327" spans="1:4">
      <c r="A13327" s="1">
        <v>37608</v>
      </c>
      <c r="B13327">
        <v>891.12</v>
      </c>
      <c r="C13327">
        <f t="shared" si="436"/>
        <v>-1.3145217555011688E-2</v>
      </c>
      <c r="D13327">
        <f t="shared" si="435"/>
        <v>-1.4210340024681531</v>
      </c>
    </row>
    <row r="13328" spans="1:4">
      <c r="A13328" s="1">
        <v>37609</v>
      </c>
      <c r="B13328">
        <v>884.25</v>
      </c>
      <c r="C13328">
        <f t="shared" si="436"/>
        <v>-7.709399407487212E-3</v>
      </c>
      <c r="D13328">
        <f t="shared" si="435"/>
        <v>-0.84701345381393311</v>
      </c>
    </row>
    <row r="13329" spans="1:4">
      <c r="A13329" s="1">
        <v>37610</v>
      </c>
      <c r="B13329">
        <v>895.76</v>
      </c>
      <c r="C13329">
        <f t="shared" si="436"/>
        <v>1.3016680802940335E-2</v>
      </c>
      <c r="D13329">
        <f t="shared" si="435"/>
        <v>1.3416535712702469</v>
      </c>
    </row>
    <row r="13330" spans="1:4">
      <c r="A13330" s="1">
        <v>37613</v>
      </c>
      <c r="B13330">
        <v>897.38</v>
      </c>
      <c r="C13330">
        <f t="shared" si="436"/>
        <v>1.808520139323038E-3</v>
      </c>
      <c r="D13330">
        <f t="shared" si="435"/>
        <v>0.15807561503118031</v>
      </c>
    </row>
    <row r="13331" spans="1:4">
      <c r="A13331" s="1">
        <v>37614</v>
      </c>
      <c r="B13331">
        <v>892.47</v>
      </c>
      <c r="C13331">
        <f t="shared" si="436"/>
        <v>-5.4714836524103151E-3</v>
      </c>
      <c r="D13331">
        <f t="shared" si="435"/>
        <v>-0.61069031078233871</v>
      </c>
    </row>
    <row r="13332" spans="1:4">
      <c r="A13332" s="1">
        <v>37616</v>
      </c>
      <c r="B13332">
        <v>889.66</v>
      </c>
      <c r="C13332">
        <f t="shared" si="436"/>
        <v>-3.1485652178785384E-3</v>
      </c>
      <c r="D13332">
        <f t="shared" si="435"/>
        <v>-0.36539091369412358</v>
      </c>
    </row>
    <row r="13333" spans="1:4">
      <c r="A13333" s="1">
        <v>37617</v>
      </c>
      <c r="B13333">
        <v>875.4</v>
      </c>
      <c r="C13333">
        <f t="shared" si="436"/>
        <v>-1.6028595193669483E-2</v>
      </c>
      <c r="D13333">
        <f t="shared" si="435"/>
        <v>-1.725517701002736</v>
      </c>
    </row>
    <row r="13334" spans="1:4">
      <c r="A13334" s="1">
        <v>37620</v>
      </c>
      <c r="B13334">
        <v>879.39</v>
      </c>
      <c r="C13334">
        <f t="shared" si="436"/>
        <v>4.5579163810829442E-3</v>
      </c>
      <c r="D13334">
        <f t="shared" si="435"/>
        <v>0.44841092359583562</v>
      </c>
    </row>
    <row r="13335" spans="1:4">
      <c r="A13335" s="1">
        <v>37621</v>
      </c>
      <c r="B13335">
        <v>879.82</v>
      </c>
      <c r="C13335">
        <f t="shared" si="436"/>
        <v>4.88975312432554E-4</v>
      </c>
      <c r="D13335">
        <f t="shared" si="435"/>
        <v>1.8732129846625045E-2</v>
      </c>
    </row>
    <row r="13336" spans="1:4">
      <c r="A13336" s="1">
        <v>37623</v>
      </c>
      <c r="B13336">
        <v>909.03</v>
      </c>
      <c r="C13336">
        <f t="shared" si="436"/>
        <v>3.3199972721692984E-2</v>
      </c>
      <c r="D13336">
        <f t="shared" si="435"/>
        <v>3.4730023372562626</v>
      </c>
    </row>
    <row r="13337" spans="1:4">
      <c r="A13337" s="1">
        <v>37624</v>
      </c>
      <c r="B13337">
        <v>908.59</v>
      </c>
      <c r="C13337">
        <f t="shared" si="436"/>
        <v>-4.8403243017275654E-4</v>
      </c>
      <c r="D13337">
        <f t="shared" si="435"/>
        <v>-8.4017157031094136E-2</v>
      </c>
    </row>
    <row r="13338" spans="1:4">
      <c r="A13338" s="1">
        <v>37627</v>
      </c>
      <c r="B13338">
        <v>929.01</v>
      </c>
      <c r="C13338">
        <f t="shared" si="436"/>
        <v>2.2474383385245225E-2</v>
      </c>
      <c r="D13338">
        <f t="shared" si="435"/>
        <v>2.3403837491323349</v>
      </c>
    </row>
    <row r="13339" spans="1:4">
      <c r="A13339" s="1">
        <v>37628</v>
      </c>
      <c r="B13339">
        <v>922.93</v>
      </c>
      <c r="C13339">
        <f t="shared" si="436"/>
        <v>-6.5446012421825827E-3</v>
      </c>
      <c r="D13339">
        <f t="shared" si="435"/>
        <v>-0.72401116349189809</v>
      </c>
    </row>
    <row r="13340" spans="1:4">
      <c r="A13340" s="1">
        <v>37629</v>
      </c>
      <c r="B13340">
        <v>909.93</v>
      </c>
      <c r="C13340">
        <f t="shared" si="436"/>
        <v>-1.4085575287399912E-2</v>
      </c>
      <c r="D13340">
        <f t="shared" si="435"/>
        <v>-1.5203354593652256</v>
      </c>
    </row>
    <row r="13341" spans="1:4">
      <c r="A13341" s="1">
        <v>37630</v>
      </c>
      <c r="B13341">
        <v>927.57</v>
      </c>
      <c r="C13341">
        <f t="shared" si="436"/>
        <v>1.938610662358654E-2</v>
      </c>
      <c r="D13341">
        <f t="shared" si="435"/>
        <v>2.014262772857454</v>
      </c>
    </row>
    <row r="13342" spans="1:4">
      <c r="A13342" s="1">
        <v>37631</v>
      </c>
      <c r="B13342">
        <v>927.57</v>
      </c>
      <c r="C13342">
        <f t="shared" si="436"/>
        <v>0</v>
      </c>
      <c r="D13342">
        <f t="shared" si="435"/>
        <v>-3.29034969354682E-2</v>
      </c>
    </row>
    <row r="13343" spans="1:4">
      <c r="A13343" s="1">
        <v>37634</v>
      </c>
      <c r="B13343">
        <v>926.26</v>
      </c>
      <c r="C13343">
        <f t="shared" si="436"/>
        <v>-1.4122923337322887E-3</v>
      </c>
      <c r="D13343">
        <f t="shared" si="435"/>
        <v>-0.18204108731610866</v>
      </c>
    </row>
    <row r="13344" spans="1:4">
      <c r="A13344" s="1">
        <v>37635</v>
      </c>
      <c r="B13344">
        <v>931.66</v>
      </c>
      <c r="C13344">
        <f t="shared" si="436"/>
        <v>5.8298965733163226E-3</v>
      </c>
      <c r="D13344">
        <f t="shared" si="435"/>
        <v>0.58273159952860543</v>
      </c>
    </row>
    <row r="13345" spans="1:4">
      <c r="A13345" s="1">
        <v>37636</v>
      </c>
      <c r="B13345">
        <v>918.22</v>
      </c>
      <c r="C13345">
        <f t="shared" si="436"/>
        <v>-1.4425863512440098E-2</v>
      </c>
      <c r="D13345">
        <f t="shared" si="435"/>
        <v>-1.5562697802598815</v>
      </c>
    </row>
    <row r="13346" spans="1:4">
      <c r="A13346" s="1">
        <v>37637</v>
      </c>
      <c r="B13346">
        <v>914.6</v>
      </c>
      <c r="C13346">
        <f t="shared" si="436"/>
        <v>-3.942410315610643E-3</v>
      </c>
      <c r="D13346">
        <f t="shared" si="435"/>
        <v>-0.44922068617357425</v>
      </c>
    </row>
    <row r="13347" spans="1:4">
      <c r="A13347" s="1">
        <v>37638</v>
      </c>
      <c r="B13347">
        <v>901.78</v>
      </c>
      <c r="C13347">
        <f t="shared" si="436"/>
        <v>-1.4017056636781161E-2</v>
      </c>
      <c r="D13347">
        <f t="shared" si="435"/>
        <v>-1.5130999131505065</v>
      </c>
    </row>
    <row r="13348" spans="1:4">
      <c r="A13348" s="1">
        <v>37642</v>
      </c>
      <c r="B13348">
        <v>887.62</v>
      </c>
      <c r="C13348">
        <f t="shared" si="436"/>
        <v>-1.5702277717403321E-2</v>
      </c>
      <c r="D13348">
        <f t="shared" si="435"/>
        <v>-1.691058686429729</v>
      </c>
    </row>
    <row r="13349" spans="1:4">
      <c r="A13349" s="1">
        <v>37643</v>
      </c>
      <c r="B13349">
        <v>878.36</v>
      </c>
      <c r="C13349">
        <f t="shared" si="436"/>
        <v>-1.043239223992248E-2</v>
      </c>
      <c r="D13349">
        <f t="shared" si="435"/>
        <v>-1.1345605713288616</v>
      </c>
    </row>
    <row r="13350" spans="1:4">
      <c r="A13350" s="1">
        <v>37644</v>
      </c>
      <c r="B13350">
        <v>887.34</v>
      </c>
      <c r="C13350">
        <f t="shared" si="436"/>
        <v>1.0223598524522995E-2</v>
      </c>
      <c r="D13350">
        <f t="shared" si="435"/>
        <v>1.0467050320841718</v>
      </c>
    </row>
    <row r="13351" spans="1:4">
      <c r="A13351" s="1">
        <v>37645</v>
      </c>
      <c r="B13351">
        <v>861.4</v>
      </c>
      <c r="C13351">
        <f t="shared" si="436"/>
        <v>-2.9233439267924419E-2</v>
      </c>
      <c r="D13351">
        <f t="shared" si="435"/>
        <v>-3.1199447466994692</v>
      </c>
    </row>
    <row r="13352" spans="1:4">
      <c r="A13352" s="1">
        <v>37648</v>
      </c>
      <c r="B13352">
        <v>847.48</v>
      </c>
      <c r="C13352">
        <f t="shared" si="436"/>
        <v>-1.6159739958207523E-2</v>
      </c>
      <c r="D13352">
        <f t="shared" si="435"/>
        <v>-1.7393665435596817</v>
      </c>
    </row>
    <row r="13353" spans="1:4">
      <c r="A13353" s="1">
        <v>37649</v>
      </c>
      <c r="B13353">
        <v>858.54</v>
      </c>
      <c r="C13353">
        <f t="shared" si="436"/>
        <v>1.3050455467975581E-2</v>
      </c>
      <c r="D13353">
        <f t="shared" si="435"/>
        <v>1.3452201644174022</v>
      </c>
    </row>
    <row r="13354" spans="1:4">
      <c r="A13354" s="1">
        <v>37650</v>
      </c>
      <c r="B13354">
        <v>864.36</v>
      </c>
      <c r="C13354">
        <f t="shared" si="436"/>
        <v>6.7789503109931398E-3</v>
      </c>
      <c r="D13354">
        <f t="shared" si="435"/>
        <v>0.68295135162823761</v>
      </c>
    </row>
    <row r="13355" spans="1:4">
      <c r="A13355" s="1">
        <v>37651</v>
      </c>
      <c r="B13355">
        <v>844.61</v>
      </c>
      <c r="C13355">
        <f t="shared" si="436"/>
        <v>-2.2849275764727658E-2</v>
      </c>
      <c r="D13355">
        <f t="shared" si="435"/>
        <v>-2.4457792508445051</v>
      </c>
    </row>
    <row r="13356" spans="1:4">
      <c r="A13356" s="1">
        <v>37652</v>
      </c>
      <c r="B13356">
        <v>855.7</v>
      </c>
      <c r="C13356">
        <f t="shared" si="436"/>
        <v>1.3130320502954063E-2</v>
      </c>
      <c r="D13356">
        <f t="shared" si="435"/>
        <v>1.3536538849636857</v>
      </c>
    </row>
    <row r="13357" spans="1:4">
      <c r="A13357" s="1">
        <v>37655</v>
      </c>
      <c r="B13357">
        <v>860.32</v>
      </c>
      <c r="C13357">
        <f t="shared" si="436"/>
        <v>5.399088465583738E-3</v>
      </c>
      <c r="D13357">
        <f t="shared" si="435"/>
        <v>0.53723840979083537</v>
      </c>
    </row>
    <row r="13358" spans="1:4">
      <c r="A13358" s="1">
        <v>37656</v>
      </c>
      <c r="B13358">
        <v>848.2</v>
      </c>
      <c r="C13358">
        <f t="shared" si="436"/>
        <v>-1.4087781290682541E-2</v>
      </c>
      <c r="D13358">
        <f t="shared" si="435"/>
        <v>-1.5205684125620142</v>
      </c>
    </row>
    <row r="13359" spans="1:4">
      <c r="A13359" s="1">
        <v>37657</v>
      </c>
      <c r="B13359">
        <v>843.59</v>
      </c>
      <c r="C13359">
        <f t="shared" si="436"/>
        <v>-5.4350389059184311E-3</v>
      </c>
      <c r="D13359">
        <f t="shared" si="435"/>
        <v>-0.60684175794096695</v>
      </c>
    </row>
    <row r="13360" spans="1:4">
      <c r="A13360" s="1">
        <v>37658</v>
      </c>
      <c r="B13360">
        <v>838.15</v>
      </c>
      <c r="C13360">
        <f t="shared" si="436"/>
        <v>-6.4486302587750616E-3</v>
      </c>
      <c r="D13360">
        <f t="shared" si="435"/>
        <v>-0.71387666026618624</v>
      </c>
    </row>
    <row r="13361" spans="1:4">
      <c r="A13361" s="1">
        <v>37659</v>
      </c>
      <c r="B13361">
        <v>829.69</v>
      </c>
      <c r="C13361">
        <f t="shared" si="436"/>
        <v>-1.009365865298565E-2</v>
      </c>
      <c r="D13361">
        <f t="shared" si="435"/>
        <v>-1.0987904196894729</v>
      </c>
    </row>
    <row r="13362" spans="1:4">
      <c r="A13362" s="1">
        <v>37662</v>
      </c>
      <c r="B13362">
        <v>835.97</v>
      </c>
      <c r="C13362">
        <f t="shared" si="436"/>
        <v>7.5690920705323338E-3</v>
      </c>
      <c r="D13362">
        <f t="shared" si="435"/>
        <v>0.76639005285334261</v>
      </c>
    </row>
    <row r="13363" spans="1:4">
      <c r="A13363" s="1">
        <v>37663</v>
      </c>
      <c r="B13363">
        <v>829.2</v>
      </c>
      <c r="C13363">
        <f t="shared" si="436"/>
        <v>-8.0983767360072508E-3</v>
      </c>
      <c r="D13363">
        <f t="shared" si="435"/>
        <v>-0.88808932748583091</v>
      </c>
    </row>
    <row r="13364" spans="1:4">
      <c r="A13364" s="1">
        <v>37664</v>
      </c>
      <c r="B13364">
        <v>818.68</v>
      </c>
      <c r="C13364">
        <f t="shared" si="436"/>
        <v>-1.2686927158707301E-2</v>
      </c>
      <c r="D13364">
        <f t="shared" si="435"/>
        <v>-1.3726386923988845</v>
      </c>
    </row>
    <row r="13365" spans="1:4">
      <c r="A13365" s="1">
        <v>37665</v>
      </c>
      <c r="B13365">
        <v>817.37</v>
      </c>
      <c r="C13365">
        <f t="shared" si="436"/>
        <v>-1.600136805589419E-3</v>
      </c>
      <c r="D13365">
        <f t="shared" si="435"/>
        <v>-0.20187739969278326</v>
      </c>
    </row>
    <row r="13366" spans="1:4">
      <c r="A13366" s="1">
        <v>37666</v>
      </c>
      <c r="B13366">
        <v>834.89</v>
      </c>
      <c r="C13366">
        <f t="shared" si="436"/>
        <v>2.1434601220989249E-2</v>
      </c>
      <c r="D13366">
        <f t="shared" si="435"/>
        <v>2.2305831060260339</v>
      </c>
    </row>
    <row r="13367" spans="1:4">
      <c r="A13367" s="1">
        <v>37670</v>
      </c>
      <c r="B13367">
        <v>851.17</v>
      </c>
      <c r="C13367">
        <f t="shared" si="436"/>
        <v>1.9499574794284245E-2</v>
      </c>
      <c r="D13367">
        <f t="shared" si="435"/>
        <v>2.0262449731134264</v>
      </c>
    </row>
    <row r="13368" spans="1:4">
      <c r="A13368" s="1">
        <v>37671</v>
      </c>
      <c r="B13368">
        <v>845.13</v>
      </c>
      <c r="C13368">
        <f t="shared" si="436"/>
        <v>-7.0961147596836872E-3</v>
      </c>
      <c r="D13368">
        <f t="shared" si="435"/>
        <v>-0.78225080347146159</v>
      </c>
    </row>
    <row r="13369" spans="1:4">
      <c r="A13369" s="1">
        <v>37672</v>
      </c>
      <c r="B13369">
        <v>837.1</v>
      </c>
      <c r="C13369">
        <f t="shared" si="436"/>
        <v>-9.501496811141449E-3</v>
      </c>
      <c r="D13369">
        <f t="shared" si="435"/>
        <v>-1.0362583304763153</v>
      </c>
    </row>
    <row r="13370" spans="1:4">
      <c r="A13370" s="1">
        <v>37673</v>
      </c>
      <c r="B13370">
        <v>848.17</v>
      </c>
      <c r="C13370">
        <f t="shared" si="436"/>
        <v>1.3224226496236932E-2</v>
      </c>
      <c r="D13370">
        <f t="shared" si="435"/>
        <v>1.3635703259341585</v>
      </c>
    </row>
    <row r="13371" spans="1:4">
      <c r="A13371" s="1">
        <v>37676</v>
      </c>
      <c r="B13371">
        <v>832.58</v>
      </c>
      <c r="C13371">
        <f t="shared" si="436"/>
        <v>-1.8380749142270912E-2</v>
      </c>
      <c r="D13371">
        <f t="shared" si="435"/>
        <v>-1.9739043584390723</v>
      </c>
    </row>
    <row r="13372" spans="1:4">
      <c r="A13372" s="1">
        <v>37677</v>
      </c>
      <c r="B13372">
        <v>838.57</v>
      </c>
      <c r="C13372">
        <f t="shared" si="436"/>
        <v>7.1945038314636537E-3</v>
      </c>
      <c r="D13372">
        <f t="shared" si="435"/>
        <v>0.72683366213641909</v>
      </c>
    </row>
    <row r="13373" spans="1:4">
      <c r="A13373" s="1">
        <v>37678</v>
      </c>
      <c r="B13373">
        <v>827.55</v>
      </c>
      <c r="C13373">
        <f t="shared" si="436"/>
        <v>-1.3141419320987032E-2</v>
      </c>
      <c r="D13373">
        <f t="shared" si="435"/>
        <v>-1.4206329102462318</v>
      </c>
    </row>
    <row r="13374" spans="1:4">
      <c r="A13374" s="1">
        <v>37679</v>
      </c>
      <c r="B13374">
        <v>837.28</v>
      </c>
      <c r="C13374">
        <f t="shared" si="436"/>
        <v>1.1757597728233966E-2</v>
      </c>
      <c r="D13374">
        <f t="shared" si="435"/>
        <v>1.208694826564386</v>
      </c>
    </row>
    <row r="13375" spans="1:4">
      <c r="A13375" s="1">
        <v>37680</v>
      </c>
      <c r="B13375">
        <v>841.15</v>
      </c>
      <c r="C13375">
        <f t="shared" si="436"/>
        <v>4.6221096885151972E-3</v>
      </c>
      <c r="D13375">
        <f t="shared" si="435"/>
        <v>0.45518971504031613</v>
      </c>
    </row>
    <row r="13376" spans="1:4">
      <c r="A13376" s="1">
        <v>37683</v>
      </c>
      <c r="B13376">
        <v>834.81</v>
      </c>
      <c r="C13376">
        <f t="shared" si="436"/>
        <v>-7.5373001248291412E-3</v>
      </c>
      <c r="D13376">
        <f t="shared" si="435"/>
        <v>-0.82883982806462941</v>
      </c>
    </row>
    <row r="13377" spans="1:4">
      <c r="A13377" s="1">
        <v>37684</v>
      </c>
      <c r="B13377">
        <v>821.99</v>
      </c>
      <c r="C13377">
        <f t="shared" si="436"/>
        <v>-1.535678777206782E-2</v>
      </c>
      <c r="D13377">
        <f t="shared" si="435"/>
        <v>-1.6545750656400384</v>
      </c>
    </row>
    <row r="13378" spans="1:4">
      <c r="A13378" s="1">
        <v>37685</v>
      </c>
      <c r="B13378">
        <v>829.85</v>
      </c>
      <c r="C13378">
        <f t="shared" si="436"/>
        <v>9.5621601236024929E-3</v>
      </c>
      <c r="D13378">
        <f t="shared" si="435"/>
        <v>0.9768573617808034</v>
      </c>
    </row>
    <row r="13379" spans="1:4">
      <c r="A13379" s="1">
        <v>37686</v>
      </c>
      <c r="B13379">
        <v>822.1</v>
      </c>
      <c r="C13379">
        <f t="shared" si="436"/>
        <v>-9.3390371753931424E-3</v>
      </c>
      <c r="D13379">
        <f t="shared" ref="D13379:D13442" si="437">(C13379-avg)/sd</f>
        <v>-1.0191026481640073</v>
      </c>
    </row>
    <row r="13380" spans="1:4">
      <c r="A13380" s="1">
        <v>37687</v>
      </c>
      <c r="B13380">
        <v>828.89</v>
      </c>
      <c r="C13380">
        <f t="shared" ref="C13380:C13443" si="438">(B13380-B13379)/B13379</f>
        <v>8.2593358472204878E-3</v>
      </c>
      <c r="D13380">
        <f t="shared" si="437"/>
        <v>0.83927956104635226</v>
      </c>
    </row>
    <row r="13381" spans="1:4">
      <c r="A13381" s="1">
        <v>37690</v>
      </c>
      <c r="B13381">
        <v>807.48</v>
      </c>
      <c r="C13381">
        <f t="shared" si="438"/>
        <v>-2.5829724088841665E-2</v>
      </c>
      <c r="D13381">
        <f t="shared" si="437"/>
        <v>-2.7605135807673347</v>
      </c>
    </row>
    <row r="13382" spans="1:4">
      <c r="A13382" s="1">
        <v>37691</v>
      </c>
      <c r="B13382">
        <v>800.73</v>
      </c>
      <c r="C13382">
        <f t="shared" si="438"/>
        <v>-8.3593401694159603E-3</v>
      </c>
      <c r="D13382">
        <f t="shared" si="437"/>
        <v>-0.91564697734800971</v>
      </c>
    </row>
    <row r="13383" spans="1:4">
      <c r="A13383" s="1">
        <v>37692</v>
      </c>
      <c r="B13383">
        <v>804.19</v>
      </c>
      <c r="C13383">
        <f t="shared" si="438"/>
        <v>4.3210570354551923E-3</v>
      </c>
      <c r="D13383">
        <f t="shared" si="437"/>
        <v>0.42339865720994846</v>
      </c>
    </row>
    <row r="13384" spans="1:4">
      <c r="A13384" s="1">
        <v>37693</v>
      </c>
      <c r="B13384">
        <v>831.9</v>
      </c>
      <c r="C13384">
        <f t="shared" si="438"/>
        <v>3.4457031298573623E-2</v>
      </c>
      <c r="D13384">
        <f t="shared" si="437"/>
        <v>3.6057472956798864</v>
      </c>
    </row>
    <row r="13385" spans="1:4">
      <c r="A13385" s="1">
        <v>37694</v>
      </c>
      <c r="B13385">
        <v>833.27</v>
      </c>
      <c r="C13385">
        <f t="shared" si="438"/>
        <v>1.6468325519894272E-3</v>
      </c>
      <c r="D13385">
        <f t="shared" si="437"/>
        <v>0.14100146076903233</v>
      </c>
    </row>
    <row r="13386" spans="1:4">
      <c r="A13386" s="1">
        <v>37697</v>
      </c>
      <c r="B13386">
        <v>862.79</v>
      </c>
      <c r="C13386">
        <f t="shared" si="438"/>
        <v>3.5426692428624555E-2</v>
      </c>
      <c r="D13386">
        <f t="shared" si="437"/>
        <v>3.7081431814094321</v>
      </c>
    </row>
    <row r="13387" spans="1:4">
      <c r="A13387" s="1">
        <v>37698</v>
      </c>
      <c r="B13387">
        <v>866.45</v>
      </c>
      <c r="C13387">
        <f t="shared" si="438"/>
        <v>4.2420519477509959E-3</v>
      </c>
      <c r="D13387">
        <f t="shared" si="437"/>
        <v>0.41505574680351948</v>
      </c>
    </row>
    <row r="13388" spans="1:4">
      <c r="A13388" s="1">
        <v>37699</v>
      </c>
      <c r="B13388">
        <v>874.02</v>
      </c>
      <c r="C13388">
        <f t="shared" si="438"/>
        <v>8.7367995845114392E-3</v>
      </c>
      <c r="D13388">
        <f t="shared" si="437"/>
        <v>0.88969956940646677</v>
      </c>
    </row>
    <row r="13389" spans="1:4">
      <c r="A13389" s="1">
        <v>37700</v>
      </c>
      <c r="B13389">
        <v>875.67</v>
      </c>
      <c r="C13389">
        <f t="shared" si="438"/>
        <v>1.8878286538065231E-3</v>
      </c>
      <c r="D13389">
        <f t="shared" si="437"/>
        <v>0.16645056720236243</v>
      </c>
    </row>
    <row r="13390" spans="1:4">
      <c r="A13390" s="1">
        <v>37701</v>
      </c>
      <c r="B13390">
        <v>895.79</v>
      </c>
      <c r="C13390">
        <f t="shared" si="438"/>
        <v>2.2976692132881116E-2</v>
      </c>
      <c r="D13390">
        <f t="shared" si="437"/>
        <v>2.3934273821396457</v>
      </c>
    </row>
    <row r="13391" spans="1:4">
      <c r="A13391" s="1">
        <v>37704</v>
      </c>
      <c r="B13391">
        <v>864.23</v>
      </c>
      <c r="C13391">
        <f t="shared" si="438"/>
        <v>-3.5231471661884978E-2</v>
      </c>
      <c r="D13391">
        <f t="shared" si="437"/>
        <v>-3.7533349286714315</v>
      </c>
    </row>
    <row r="13392" spans="1:4">
      <c r="A13392" s="1">
        <v>37705</v>
      </c>
      <c r="B13392">
        <v>874.74</v>
      </c>
      <c r="C13392">
        <f t="shared" si="438"/>
        <v>1.2161114518125951E-2</v>
      </c>
      <c r="D13392">
        <f t="shared" si="437"/>
        <v>1.2513060624149583</v>
      </c>
    </row>
    <row r="13393" spans="1:4">
      <c r="A13393" s="1">
        <v>37706</v>
      </c>
      <c r="B13393">
        <v>869.95</v>
      </c>
      <c r="C13393">
        <f t="shared" si="438"/>
        <v>-5.4759128426732102E-3</v>
      </c>
      <c r="D13393">
        <f t="shared" si="437"/>
        <v>-0.61115803176854555</v>
      </c>
    </row>
    <row r="13394" spans="1:4">
      <c r="A13394" s="1">
        <v>37707</v>
      </c>
      <c r="B13394">
        <v>868.52</v>
      </c>
      <c r="C13394">
        <f t="shared" si="438"/>
        <v>-1.6437726306110277E-3</v>
      </c>
      <c r="D13394">
        <f t="shared" si="437"/>
        <v>-0.20648532798252753</v>
      </c>
    </row>
    <row r="13395" spans="1:4">
      <c r="A13395" s="1">
        <v>37708</v>
      </c>
      <c r="B13395">
        <v>863.5</v>
      </c>
      <c r="C13395">
        <f t="shared" si="438"/>
        <v>-5.7799474968912423E-3</v>
      </c>
      <c r="D13395">
        <f t="shared" si="437"/>
        <v>-0.64326398790756933</v>
      </c>
    </row>
    <row r="13396" spans="1:4">
      <c r="A13396" s="1">
        <v>37711</v>
      </c>
      <c r="B13396">
        <v>848.18</v>
      </c>
      <c r="C13396">
        <f t="shared" si="438"/>
        <v>-1.7741748697162767E-2</v>
      </c>
      <c r="D13396">
        <f t="shared" si="437"/>
        <v>-1.9064261286424571</v>
      </c>
    </row>
    <row r="13397" spans="1:4">
      <c r="A13397" s="1">
        <v>37712</v>
      </c>
      <c r="B13397">
        <v>858.48</v>
      </c>
      <c r="C13397">
        <f t="shared" si="438"/>
        <v>1.214364875380234E-2</v>
      </c>
      <c r="D13397">
        <f t="shared" si="437"/>
        <v>1.2494616836392867</v>
      </c>
    </row>
    <row r="13398" spans="1:4">
      <c r="A13398" s="1">
        <v>37713</v>
      </c>
      <c r="B13398">
        <v>880.9</v>
      </c>
      <c r="C13398">
        <f t="shared" si="438"/>
        <v>2.6115925822383701E-2</v>
      </c>
      <c r="D13398">
        <f t="shared" si="437"/>
        <v>2.724929392673741</v>
      </c>
    </row>
    <row r="13399" spans="1:4">
      <c r="A13399" s="1">
        <v>37714</v>
      </c>
      <c r="B13399">
        <v>876.45</v>
      </c>
      <c r="C13399">
        <f t="shared" si="438"/>
        <v>-5.0516517198319127E-3</v>
      </c>
      <c r="D13399">
        <f t="shared" si="437"/>
        <v>-0.56635620140986709</v>
      </c>
    </row>
    <row r="13400" spans="1:4">
      <c r="A13400" s="1">
        <v>37715</v>
      </c>
      <c r="B13400">
        <v>878.85</v>
      </c>
      <c r="C13400">
        <f t="shared" si="438"/>
        <v>2.7383193564949251E-3</v>
      </c>
      <c r="D13400">
        <f t="shared" si="437"/>
        <v>0.25626209631042141</v>
      </c>
    </row>
    <row r="13401" spans="1:4">
      <c r="A13401" s="1">
        <v>37718</v>
      </c>
      <c r="B13401">
        <v>879.93</v>
      </c>
      <c r="C13401">
        <f t="shared" si="438"/>
        <v>1.2288786482334041E-3</v>
      </c>
      <c r="D13401">
        <f t="shared" si="437"/>
        <v>9.6865670601830961E-2</v>
      </c>
    </row>
    <row r="13402" spans="1:4">
      <c r="A13402" s="1">
        <v>37719</v>
      </c>
      <c r="B13402">
        <v>878.29</v>
      </c>
      <c r="C13402">
        <f t="shared" si="438"/>
        <v>-1.8637846192310597E-3</v>
      </c>
      <c r="D13402">
        <f t="shared" si="437"/>
        <v>-0.22971851919509434</v>
      </c>
    </row>
    <row r="13403" spans="1:4">
      <c r="A13403" s="1">
        <v>37720</v>
      </c>
      <c r="B13403">
        <v>865.99</v>
      </c>
      <c r="C13403">
        <f t="shared" si="438"/>
        <v>-1.4004485989821078E-2</v>
      </c>
      <c r="D13403">
        <f t="shared" si="437"/>
        <v>-1.5117724571044922</v>
      </c>
    </row>
    <row r="13404" spans="1:4">
      <c r="A13404" s="1">
        <v>37721</v>
      </c>
      <c r="B13404">
        <v>871.58</v>
      </c>
      <c r="C13404">
        <f t="shared" si="438"/>
        <v>6.4550398965346383E-3</v>
      </c>
      <c r="D13404">
        <f t="shared" si="437"/>
        <v>0.64874652196391924</v>
      </c>
    </row>
    <row r="13405" spans="1:4">
      <c r="A13405" s="1">
        <v>37722</v>
      </c>
      <c r="B13405">
        <v>868.3</v>
      </c>
      <c r="C13405">
        <f t="shared" si="438"/>
        <v>-3.7632804791299553E-3</v>
      </c>
      <c r="D13405">
        <f t="shared" si="437"/>
        <v>-0.43030463633040344</v>
      </c>
    </row>
    <row r="13406" spans="1:4">
      <c r="A13406" s="1">
        <v>37725</v>
      </c>
      <c r="B13406">
        <v>885.23</v>
      </c>
      <c r="C13406">
        <f t="shared" si="438"/>
        <v>1.9497869399977042E-2</v>
      </c>
      <c r="D13406">
        <f t="shared" si="437"/>
        <v>2.0260648840542776</v>
      </c>
    </row>
    <row r="13407" spans="1:4">
      <c r="A13407" s="1">
        <v>37726</v>
      </c>
      <c r="B13407">
        <v>890.81</v>
      </c>
      <c r="C13407">
        <f t="shared" si="438"/>
        <v>6.3034465619103818E-3</v>
      </c>
      <c r="D13407">
        <f t="shared" si="437"/>
        <v>0.63273831735667585</v>
      </c>
    </row>
    <row r="13408" spans="1:4">
      <c r="A13408" s="1">
        <v>37727</v>
      </c>
      <c r="B13408">
        <v>879.91</v>
      </c>
      <c r="C13408">
        <f t="shared" si="438"/>
        <v>-1.2236054826506188E-2</v>
      </c>
      <c r="D13408">
        <f t="shared" si="437"/>
        <v>-1.325026727377399</v>
      </c>
    </row>
    <row r="13409" spans="1:4">
      <c r="A13409" s="1">
        <v>37728</v>
      </c>
      <c r="B13409">
        <v>893.58</v>
      </c>
      <c r="C13409">
        <f t="shared" si="438"/>
        <v>1.5535679785432684E-2</v>
      </c>
      <c r="D13409">
        <f t="shared" si="437"/>
        <v>1.6076590075720818</v>
      </c>
    </row>
    <row r="13410" spans="1:4">
      <c r="A13410" s="1">
        <v>37732</v>
      </c>
      <c r="B13410">
        <v>892.01</v>
      </c>
      <c r="C13410">
        <f t="shared" si="438"/>
        <v>-1.7569775509747867E-3</v>
      </c>
      <c r="D13410">
        <f t="shared" si="437"/>
        <v>-0.21843972909271842</v>
      </c>
    </row>
    <row r="13411" spans="1:4">
      <c r="A13411" s="1">
        <v>37733</v>
      </c>
      <c r="B13411">
        <v>911.37</v>
      </c>
      <c r="C13411">
        <f t="shared" si="438"/>
        <v>2.1703792558379405E-2</v>
      </c>
      <c r="D13411">
        <f t="shared" si="437"/>
        <v>2.2590096197518532</v>
      </c>
    </row>
    <row r="13412" spans="1:4">
      <c r="A13412" s="1">
        <v>37734</v>
      </c>
      <c r="B13412">
        <v>919.02</v>
      </c>
      <c r="C13412">
        <f t="shared" si="438"/>
        <v>8.3939563514269476E-3</v>
      </c>
      <c r="D13412">
        <f t="shared" si="437"/>
        <v>0.85349544053082171</v>
      </c>
    </row>
    <row r="13413" spans="1:4">
      <c r="A13413" s="1">
        <v>37735</v>
      </c>
      <c r="B13413">
        <v>911.43</v>
      </c>
      <c r="C13413">
        <f t="shared" si="438"/>
        <v>-8.2587974146373661E-3</v>
      </c>
      <c r="D13413">
        <f t="shared" si="437"/>
        <v>-0.90502969661953303</v>
      </c>
    </row>
    <row r="13414" spans="1:4">
      <c r="A13414" s="1">
        <v>37736</v>
      </c>
      <c r="B13414">
        <v>898.81</v>
      </c>
      <c r="C13414">
        <f t="shared" si="438"/>
        <v>-1.3846373281546587E-2</v>
      </c>
      <c r="D13414">
        <f t="shared" si="437"/>
        <v>-1.4950758088558269</v>
      </c>
    </row>
    <row r="13415" spans="1:4">
      <c r="A13415" s="1">
        <v>37739</v>
      </c>
      <c r="B13415">
        <v>914.84</v>
      </c>
      <c r="C13415">
        <f t="shared" si="438"/>
        <v>1.7834692537911336E-2</v>
      </c>
      <c r="D13415">
        <f t="shared" si="437"/>
        <v>1.8504339727614227</v>
      </c>
    </row>
    <row r="13416" spans="1:4">
      <c r="A13416" s="1">
        <v>37740</v>
      </c>
      <c r="B13416">
        <v>917.84</v>
      </c>
      <c r="C13416">
        <f t="shared" si="438"/>
        <v>3.2792619474443616E-3</v>
      </c>
      <c r="D13416">
        <f t="shared" si="437"/>
        <v>0.31338545003936119</v>
      </c>
    </row>
    <row r="13417" spans="1:4">
      <c r="A13417" s="1">
        <v>37741</v>
      </c>
      <c r="B13417">
        <v>916.92</v>
      </c>
      <c r="C13417">
        <f t="shared" si="438"/>
        <v>-1.0023533513467192E-3</v>
      </c>
      <c r="D13417">
        <f t="shared" si="437"/>
        <v>-0.13875167012122305</v>
      </c>
    </row>
    <row r="13418" spans="1:4">
      <c r="A13418" s="1">
        <v>37742</v>
      </c>
      <c r="B13418">
        <v>916.3</v>
      </c>
      <c r="C13418">
        <f t="shared" si="438"/>
        <v>-6.7617676569384959E-4</v>
      </c>
      <c r="D13418">
        <f t="shared" si="437"/>
        <v>-0.10430753354908852</v>
      </c>
    </row>
    <row r="13419" spans="1:4">
      <c r="A13419" s="1">
        <v>37743</v>
      </c>
      <c r="B13419">
        <v>930.08</v>
      </c>
      <c r="C13419">
        <f t="shared" si="438"/>
        <v>1.5038742769835302E-2</v>
      </c>
      <c r="D13419">
        <f t="shared" si="437"/>
        <v>1.555182627642097</v>
      </c>
    </row>
    <row r="13420" spans="1:4">
      <c r="A13420" s="1">
        <v>37746</v>
      </c>
      <c r="B13420">
        <v>926.55</v>
      </c>
      <c r="C13420">
        <f t="shared" si="438"/>
        <v>-3.79537244108043E-3</v>
      </c>
      <c r="D13420">
        <f t="shared" si="437"/>
        <v>-0.43369353660378573</v>
      </c>
    </row>
    <row r="13421" spans="1:4">
      <c r="A13421" s="1">
        <v>37747</v>
      </c>
      <c r="B13421">
        <v>934.39</v>
      </c>
      <c r="C13421">
        <f t="shared" si="438"/>
        <v>8.4614969510550236E-3</v>
      </c>
      <c r="D13421">
        <f t="shared" si="437"/>
        <v>0.86062770489338114</v>
      </c>
    </row>
    <row r="13422" spans="1:4">
      <c r="A13422" s="1">
        <v>37748</v>
      </c>
      <c r="B13422">
        <v>929.62</v>
      </c>
      <c r="C13422">
        <f t="shared" si="438"/>
        <v>-5.1049347702779163E-3</v>
      </c>
      <c r="D13422">
        <f t="shared" si="437"/>
        <v>-0.57198287342517629</v>
      </c>
    </row>
    <row r="13423" spans="1:4">
      <c r="A13423" s="1">
        <v>37749</v>
      </c>
      <c r="B13423">
        <v>920.27</v>
      </c>
      <c r="C13423">
        <f t="shared" si="438"/>
        <v>-1.0057873109442592E-2</v>
      </c>
      <c r="D13423">
        <f t="shared" si="437"/>
        <v>-1.0950114784554232</v>
      </c>
    </row>
    <row r="13424" spans="1:4">
      <c r="A13424" s="1">
        <v>37750</v>
      </c>
      <c r="B13424">
        <v>933.41</v>
      </c>
      <c r="C13424">
        <f t="shared" si="438"/>
        <v>1.4278418290284358E-2</v>
      </c>
      <c r="D13424">
        <f t="shared" si="437"/>
        <v>1.4748926210483653</v>
      </c>
    </row>
    <row r="13425" spans="1:4">
      <c r="A13425" s="1">
        <v>37753</v>
      </c>
      <c r="B13425">
        <v>945.11</v>
      </c>
      <c r="C13425">
        <f t="shared" si="438"/>
        <v>1.2534684650903724E-2</v>
      </c>
      <c r="D13425">
        <f t="shared" si="437"/>
        <v>1.2907549414536332</v>
      </c>
    </row>
    <row r="13426" spans="1:4">
      <c r="A13426" s="1">
        <v>37754</v>
      </c>
      <c r="B13426">
        <v>942.3</v>
      </c>
      <c r="C13426">
        <f t="shared" si="438"/>
        <v>-2.9731988869021162E-3</v>
      </c>
      <c r="D13426">
        <f t="shared" si="437"/>
        <v>-0.34687228875292558</v>
      </c>
    </row>
    <row r="13427" spans="1:4">
      <c r="A13427" s="1">
        <v>37755</v>
      </c>
      <c r="B13427">
        <v>939.28</v>
      </c>
      <c r="C13427">
        <f t="shared" si="438"/>
        <v>-3.2049241218295469E-3</v>
      </c>
      <c r="D13427">
        <f t="shared" si="437"/>
        <v>-0.37134239479402781</v>
      </c>
    </row>
    <row r="13428" spans="1:4">
      <c r="A13428" s="1">
        <v>37756</v>
      </c>
      <c r="B13428">
        <v>946.67</v>
      </c>
      <c r="C13428">
        <f t="shared" si="438"/>
        <v>7.8677284728728251E-3</v>
      </c>
      <c r="D13428">
        <f t="shared" si="437"/>
        <v>0.7979259554290532</v>
      </c>
    </row>
    <row r="13429" spans="1:4">
      <c r="A13429" s="1">
        <v>37757</v>
      </c>
      <c r="B13429">
        <v>944.3</v>
      </c>
      <c r="C13429">
        <f t="shared" si="438"/>
        <v>-2.5035123115763726E-3</v>
      </c>
      <c r="D13429">
        <f t="shared" si="437"/>
        <v>-0.29727354605275119</v>
      </c>
    </row>
    <row r="13430" spans="1:4">
      <c r="A13430" s="1">
        <v>37760</v>
      </c>
      <c r="B13430">
        <v>920.77</v>
      </c>
      <c r="C13430">
        <f t="shared" si="438"/>
        <v>-2.4917928624377819E-2</v>
      </c>
      <c r="D13430">
        <f t="shared" si="437"/>
        <v>-2.6642282896542899</v>
      </c>
    </row>
    <row r="13431" spans="1:4">
      <c r="A13431" s="1">
        <v>37761</v>
      </c>
      <c r="B13431">
        <v>919.73</v>
      </c>
      <c r="C13431">
        <f t="shared" si="438"/>
        <v>-1.1294894490480399E-3</v>
      </c>
      <c r="D13431">
        <f t="shared" si="437"/>
        <v>-0.15217719882282316</v>
      </c>
    </row>
    <row r="13432" spans="1:4">
      <c r="A13432" s="1">
        <v>37762</v>
      </c>
      <c r="B13432">
        <v>923.42</v>
      </c>
      <c r="C13432">
        <f t="shared" si="438"/>
        <v>4.0120470137974635E-3</v>
      </c>
      <c r="D13432">
        <f t="shared" si="437"/>
        <v>0.39076730396050224</v>
      </c>
    </row>
    <row r="13433" spans="1:4">
      <c r="A13433" s="1">
        <v>37763</v>
      </c>
      <c r="B13433">
        <v>931.87</v>
      </c>
      <c r="C13433">
        <f t="shared" si="438"/>
        <v>9.1507656321067835E-3</v>
      </c>
      <c r="D13433">
        <f t="shared" si="437"/>
        <v>0.93341424331863865</v>
      </c>
    </row>
    <row r="13434" spans="1:4">
      <c r="A13434" s="1">
        <v>37764</v>
      </c>
      <c r="B13434">
        <v>933.22</v>
      </c>
      <c r="C13434">
        <f t="shared" si="438"/>
        <v>1.4486999259553616E-3</v>
      </c>
      <c r="D13434">
        <f t="shared" si="437"/>
        <v>0.12007872280838687</v>
      </c>
    </row>
    <row r="13435" spans="1:4">
      <c r="A13435" s="1">
        <v>37768</v>
      </c>
      <c r="B13435">
        <v>951.48</v>
      </c>
      <c r="C13435">
        <f t="shared" si="438"/>
        <v>1.9566661666059439E-2</v>
      </c>
      <c r="D13435">
        <f t="shared" si="437"/>
        <v>2.0333293239689514</v>
      </c>
    </row>
    <row r="13436" spans="1:4">
      <c r="A13436" s="1">
        <v>37769</v>
      </c>
      <c r="B13436">
        <v>953.22</v>
      </c>
      <c r="C13436">
        <f t="shared" si="438"/>
        <v>1.828729978559727E-3</v>
      </c>
      <c r="D13436">
        <f t="shared" si="437"/>
        <v>0.16020976718491653</v>
      </c>
    </row>
    <row r="13437" spans="1:4">
      <c r="A13437" s="1">
        <v>37770</v>
      </c>
      <c r="B13437">
        <v>949.64</v>
      </c>
      <c r="C13437">
        <f t="shared" si="438"/>
        <v>-3.7556912360211083E-3</v>
      </c>
      <c r="D13437">
        <f t="shared" si="437"/>
        <v>-0.42950321483781828</v>
      </c>
    </row>
    <row r="13438" spans="1:4">
      <c r="A13438" s="1">
        <v>37771</v>
      </c>
      <c r="B13438">
        <v>963.59</v>
      </c>
      <c r="C13438">
        <f t="shared" si="438"/>
        <v>1.4689777178720406E-2</v>
      </c>
      <c r="D13438">
        <f t="shared" si="437"/>
        <v>1.5183319798395318</v>
      </c>
    </row>
    <row r="13439" spans="1:4">
      <c r="A13439" s="1">
        <v>37774</v>
      </c>
      <c r="B13439">
        <v>967</v>
      </c>
      <c r="C13439">
        <f t="shared" si="438"/>
        <v>3.5388495106839714E-3</v>
      </c>
      <c r="D13439">
        <f t="shared" si="437"/>
        <v>0.34079780847936397</v>
      </c>
    </row>
    <row r="13440" spans="1:4">
      <c r="A13440" s="1">
        <v>37775</v>
      </c>
      <c r="B13440">
        <v>971.56</v>
      </c>
      <c r="C13440">
        <f t="shared" si="438"/>
        <v>4.7156153050671619E-3</v>
      </c>
      <c r="D13440">
        <f t="shared" si="437"/>
        <v>0.46506387636410024</v>
      </c>
    </row>
    <row r="13441" spans="1:4">
      <c r="A13441" s="1">
        <v>37776</v>
      </c>
      <c r="B13441">
        <v>986.24</v>
      </c>
      <c r="C13441">
        <f t="shared" si="438"/>
        <v>1.5109720449586299E-2</v>
      </c>
      <c r="D13441">
        <f t="shared" si="437"/>
        <v>1.5626778464973168</v>
      </c>
    </row>
    <row r="13442" spans="1:4">
      <c r="A13442" s="1">
        <v>37777</v>
      </c>
      <c r="B13442">
        <v>990.14</v>
      </c>
      <c r="C13442">
        <f t="shared" si="438"/>
        <v>3.9544127190136048E-3</v>
      </c>
      <c r="D13442">
        <f t="shared" si="437"/>
        <v>0.3846811420221754</v>
      </c>
    </row>
    <row r="13443" spans="1:4">
      <c r="A13443" s="1">
        <v>37778</v>
      </c>
      <c r="B13443">
        <v>987.76</v>
      </c>
      <c r="C13443">
        <f t="shared" si="438"/>
        <v>-2.4037004867998421E-3</v>
      </c>
      <c r="D13443">
        <f t="shared" ref="D13443:D13506" si="439">(C13443-avg)/sd</f>
        <v>-0.28673345128403727</v>
      </c>
    </row>
    <row r="13444" spans="1:4">
      <c r="A13444" s="1">
        <v>37781</v>
      </c>
      <c r="B13444">
        <v>975.93</v>
      </c>
      <c r="C13444">
        <f t="shared" ref="C13444:C13507" si="440">(B13444-B13443)/B13443</f>
        <v>-1.1976593504495061E-2</v>
      </c>
      <c r="D13444">
        <f t="shared" si="439"/>
        <v>-1.2976276999682126</v>
      </c>
    </row>
    <row r="13445" spans="1:4">
      <c r="A13445" s="1">
        <v>37782</v>
      </c>
      <c r="B13445">
        <v>984.84</v>
      </c>
      <c r="C13445">
        <f t="shared" si="440"/>
        <v>9.1297531585257975E-3</v>
      </c>
      <c r="D13445">
        <f t="shared" si="439"/>
        <v>0.93119533325097326</v>
      </c>
    </row>
    <row r="13446" spans="1:4">
      <c r="A13446" s="1">
        <v>37783</v>
      </c>
      <c r="B13446">
        <v>997.48</v>
      </c>
      <c r="C13446">
        <f t="shared" si="440"/>
        <v>1.2834572113236653E-2</v>
      </c>
      <c r="D13446">
        <f t="shared" si="439"/>
        <v>1.3224229555392892</v>
      </c>
    </row>
    <row r="13447" spans="1:4">
      <c r="A13447" s="1">
        <v>37784</v>
      </c>
      <c r="B13447">
        <v>998.51</v>
      </c>
      <c r="C13447">
        <f t="shared" si="440"/>
        <v>1.0326021574367133E-3</v>
      </c>
      <c r="D13447">
        <f t="shared" si="439"/>
        <v>7.6138939891321283E-2</v>
      </c>
    </row>
    <row r="13448" spans="1:4">
      <c r="A13448" s="1">
        <v>37785</v>
      </c>
      <c r="B13448">
        <v>988.61</v>
      </c>
      <c r="C13448">
        <f t="shared" si="440"/>
        <v>-9.9147730117875414E-3</v>
      </c>
      <c r="D13448">
        <f t="shared" si="439"/>
        <v>-1.0799001567851365</v>
      </c>
    </row>
    <row r="13449" spans="1:4">
      <c r="A13449" s="1">
        <v>37788</v>
      </c>
      <c r="B13449">
        <v>1010.74</v>
      </c>
      <c r="C13449">
        <f t="shared" si="440"/>
        <v>2.2384964748485243E-2</v>
      </c>
      <c r="D13449">
        <f t="shared" si="439"/>
        <v>2.3309411714853523</v>
      </c>
    </row>
    <row r="13450" spans="1:4">
      <c r="A13450" s="1">
        <v>37789</v>
      </c>
      <c r="B13450">
        <v>1011.66</v>
      </c>
      <c r="C13450">
        <f t="shared" si="440"/>
        <v>9.1022419217598894E-4</v>
      </c>
      <c r="D13450">
        <f t="shared" si="439"/>
        <v>6.3215868358080338E-2</v>
      </c>
    </row>
    <row r="13451" spans="1:4">
      <c r="A13451" s="1">
        <v>37790</v>
      </c>
      <c r="B13451">
        <v>1010.09</v>
      </c>
      <c r="C13451">
        <f t="shared" si="440"/>
        <v>-1.5519047901468245E-3</v>
      </c>
      <c r="D13451">
        <f t="shared" si="439"/>
        <v>-0.1967841152569039</v>
      </c>
    </row>
    <row r="13452" spans="1:4">
      <c r="A13452" s="1">
        <v>37791</v>
      </c>
      <c r="B13452">
        <v>994.7</v>
      </c>
      <c r="C13452">
        <f t="shared" si="440"/>
        <v>-1.5236266075300207E-2</v>
      </c>
      <c r="D13452">
        <f t="shared" si="439"/>
        <v>-1.6418480154286936</v>
      </c>
    </row>
    <row r="13453" spans="1:4">
      <c r="A13453" s="1">
        <v>37792</v>
      </c>
      <c r="B13453">
        <v>995.69</v>
      </c>
      <c r="C13453">
        <f t="shared" si="440"/>
        <v>9.9527495727355902E-4</v>
      </c>
      <c r="D13453">
        <f t="shared" si="439"/>
        <v>7.2197200242224008E-2</v>
      </c>
    </row>
    <row r="13454" spans="1:4">
      <c r="A13454" s="1">
        <v>37795</v>
      </c>
      <c r="B13454">
        <v>981.64</v>
      </c>
      <c r="C13454">
        <f t="shared" si="440"/>
        <v>-1.4110817623959332E-2</v>
      </c>
      <c r="D13454">
        <f t="shared" si="439"/>
        <v>-1.5230010415256132</v>
      </c>
    </row>
    <row r="13455" spans="1:4">
      <c r="A13455" s="1">
        <v>37796</v>
      </c>
      <c r="B13455">
        <v>983.45</v>
      </c>
      <c r="C13455">
        <f t="shared" si="440"/>
        <v>1.8438531437187352E-3</v>
      </c>
      <c r="D13455">
        <f t="shared" si="439"/>
        <v>0.16180676828509419</v>
      </c>
    </row>
    <row r="13456" spans="1:4">
      <c r="A13456" s="1">
        <v>37797</v>
      </c>
      <c r="B13456">
        <v>975.32</v>
      </c>
      <c r="C13456">
        <f t="shared" si="440"/>
        <v>-8.2668158015150699E-3</v>
      </c>
      <c r="D13456">
        <f t="shared" si="439"/>
        <v>-0.90587643554823638</v>
      </c>
    </row>
    <row r="13457" spans="1:4">
      <c r="A13457" s="1">
        <v>37798</v>
      </c>
      <c r="B13457">
        <v>985.82</v>
      </c>
      <c r="C13457">
        <f t="shared" si="440"/>
        <v>1.0765697412131403E-2</v>
      </c>
      <c r="D13457">
        <f t="shared" si="439"/>
        <v>1.1039504903472548</v>
      </c>
    </row>
    <row r="13458" spans="1:4">
      <c r="A13458" s="1">
        <v>37799</v>
      </c>
      <c r="B13458">
        <v>976.22</v>
      </c>
      <c r="C13458">
        <f t="shared" si="440"/>
        <v>-9.7380860603355802E-3</v>
      </c>
      <c r="D13458">
        <f t="shared" si="439"/>
        <v>-1.0612420747706224</v>
      </c>
    </row>
    <row r="13459" spans="1:4">
      <c r="A13459" s="1">
        <v>37802</v>
      </c>
      <c r="B13459">
        <v>974.5</v>
      </c>
      <c r="C13459">
        <f t="shared" si="440"/>
        <v>-1.7618979328430347E-3</v>
      </c>
      <c r="D13459">
        <f t="shared" si="439"/>
        <v>-0.21895931974548632</v>
      </c>
    </row>
    <row r="13460" spans="1:4">
      <c r="A13460" s="1">
        <v>37803</v>
      </c>
      <c r="B13460">
        <v>982.32</v>
      </c>
      <c r="C13460">
        <f t="shared" si="440"/>
        <v>8.0246280143663924E-3</v>
      </c>
      <c r="D13460">
        <f t="shared" si="439"/>
        <v>0.8144944936780284</v>
      </c>
    </row>
    <row r="13461" spans="1:4">
      <c r="A13461" s="1">
        <v>37804</v>
      </c>
      <c r="B13461">
        <v>993.75</v>
      </c>
      <c r="C13461">
        <f t="shared" si="440"/>
        <v>1.1635719521133592E-2</v>
      </c>
      <c r="D13461">
        <f t="shared" si="439"/>
        <v>1.1958245293230019</v>
      </c>
    </row>
    <row r="13462" spans="1:4">
      <c r="A13462" s="1">
        <v>37805</v>
      </c>
      <c r="B13462">
        <v>985.7</v>
      </c>
      <c r="C13462">
        <f t="shared" si="440"/>
        <v>-8.100628930817564E-3</v>
      </c>
      <c r="D13462">
        <f t="shared" si="439"/>
        <v>-0.88832715849224186</v>
      </c>
    </row>
    <row r="13463" spans="1:4">
      <c r="A13463" s="1">
        <v>37809</v>
      </c>
      <c r="B13463">
        <v>1004.42</v>
      </c>
      <c r="C13463">
        <f t="shared" si="440"/>
        <v>1.8991579588109885E-2</v>
      </c>
      <c r="D13463">
        <f t="shared" si="439"/>
        <v>1.9726008520173743</v>
      </c>
    </row>
    <row r="13464" spans="1:4">
      <c r="A13464" s="1">
        <v>37810</v>
      </c>
      <c r="B13464">
        <v>1007.84</v>
      </c>
      <c r="C13464">
        <f t="shared" si="440"/>
        <v>3.4049501204676063E-3</v>
      </c>
      <c r="D13464">
        <f t="shared" si="439"/>
        <v>0.32665807838712996</v>
      </c>
    </row>
    <row r="13465" spans="1:4">
      <c r="A13465" s="1">
        <v>37811</v>
      </c>
      <c r="B13465">
        <v>1002.21</v>
      </c>
      <c r="C13465">
        <f t="shared" si="440"/>
        <v>-5.586204159390375E-3</v>
      </c>
      <c r="D13465">
        <f t="shared" si="439"/>
        <v>-0.62280475732403806</v>
      </c>
    </row>
    <row r="13466" spans="1:4">
      <c r="A13466" s="1">
        <v>37812</v>
      </c>
      <c r="B13466">
        <v>988.7</v>
      </c>
      <c r="C13466">
        <f t="shared" si="440"/>
        <v>-1.3480208738687492E-2</v>
      </c>
      <c r="D13466">
        <f t="shared" si="439"/>
        <v>-1.4564089575952821</v>
      </c>
    </row>
    <row r="13467" spans="1:4">
      <c r="A13467" s="1">
        <v>37813</v>
      </c>
      <c r="B13467">
        <v>998.14</v>
      </c>
      <c r="C13467">
        <f t="shared" si="440"/>
        <v>9.5478911702234649E-3</v>
      </c>
      <c r="D13467">
        <f t="shared" si="439"/>
        <v>0.97535056515423091</v>
      </c>
    </row>
    <row r="13468" spans="1:4">
      <c r="A13468" s="1">
        <v>37816</v>
      </c>
      <c r="B13468">
        <v>1003.86</v>
      </c>
      <c r="C13468">
        <f t="shared" si="440"/>
        <v>5.7306590257879932E-3</v>
      </c>
      <c r="D13468">
        <f t="shared" si="439"/>
        <v>0.57225214824209514</v>
      </c>
    </row>
    <row r="13469" spans="1:4">
      <c r="A13469" s="1">
        <v>37817</v>
      </c>
      <c r="B13469">
        <v>1000.42</v>
      </c>
      <c r="C13469">
        <f t="shared" si="440"/>
        <v>-3.4267726575419426E-3</v>
      </c>
      <c r="D13469">
        <f t="shared" si="439"/>
        <v>-0.39476952475527549</v>
      </c>
    </row>
    <row r="13470" spans="1:4">
      <c r="A13470" s="1">
        <v>37818</v>
      </c>
      <c r="B13470">
        <v>994.09</v>
      </c>
      <c r="C13470">
        <f t="shared" si="440"/>
        <v>-6.327342516143147E-3</v>
      </c>
      <c r="D13470">
        <f t="shared" si="439"/>
        <v>-0.70106871587196284</v>
      </c>
    </row>
    <row r="13471" spans="1:4">
      <c r="A13471" s="1">
        <v>37819</v>
      </c>
      <c r="B13471">
        <v>981.73</v>
      </c>
      <c r="C13471">
        <f t="shared" si="440"/>
        <v>-1.2433481877898393E-2</v>
      </c>
      <c r="D13471">
        <f t="shared" si="439"/>
        <v>-1.3458749568957005</v>
      </c>
    </row>
    <row r="13472" spans="1:4">
      <c r="A13472" s="1">
        <v>37820</v>
      </c>
      <c r="B13472">
        <v>993.32</v>
      </c>
      <c r="C13472">
        <f t="shared" si="440"/>
        <v>1.1805689955486774E-2</v>
      </c>
      <c r="D13472">
        <f t="shared" si="439"/>
        <v>1.2137733494149401</v>
      </c>
    </row>
    <row r="13473" spans="1:4">
      <c r="A13473" s="1">
        <v>37823</v>
      </c>
      <c r="B13473">
        <v>978.8</v>
      </c>
      <c r="C13473">
        <f t="shared" si="440"/>
        <v>-1.4617645874441363E-2</v>
      </c>
      <c r="D13473">
        <f t="shared" si="439"/>
        <v>-1.5765219324972228</v>
      </c>
    </row>
    <row r="13474" spans="1:4">
      <c r="A13474" s="1">
        <v>37824</v>
      </c>
      <c r="B13474">
        <v>988.11</v>
      </c>
      <c r="C13474">
        <f t="shared" si="440"/>
        <v>9.5116469145893542E-3</v>
      </c>
      <c r="D13474">
        <f t="shared" si="439"/>
        <v>0.97152318407928995</v>
      </c>
    </row>
    <row r="13475" spans="1:4">
      <c r="A13475" s="1">
        <v>37825</v>
      </c>
      <c r="B13475">
        <v>988.61</v>
      </c>
      <c r="C13475">
        <f t="shared" si="440"/>
        <v>5.060165366204167E-4</v>
      </c>
      <c r="D13475">
        <f t="shared" si="439"/>
        <v>2.0531677328269795E-2</v>
      </c>
    </row>
    <row r="13476" spans="1:4">
      <c r="A13476" s="1">
        <v>37826</v>
      </c>
      <c r="B13476">
        <v>981.6</v>
      </c>
      <c r="C13476">
        <f t="shared" si="440"/>
        <v>-7.090763799678327E-3</v>
      </c>
      <c r="D13476">
        <f t="shared" si="439"/>
        <v>-0.78168574391377521</v>
      </c>
    </row>
    <row r="13477" spans="1:4">
      <c r="A13477" s="1">
        <v>37827</v>
      </c>
      <c r="B13477">
        <v>998.68</v>
      </c>
      <c r="C13477">
        <f t="shared" si="440"/>
        <v>1.740016299918493E-2</v>
      </c>
      <c r="D13477">
        <f t="shared" si="439"/>
        <v>1.804547801175681</v>
      </c>
    </row>
    <row r="13478" spans="1:4">
      <c r="A13478" s="1">
        <v>37830</v>
      </c>
      <c r="B13478">
        <v>996.52</v>
      </c>
      <c r="C13478">
        <f t="shared" si="440"/>
        <v>-2.1628549685584653E-3</v>
      </c>
      <c r="D13478">
        <f t="shared" si="439"/>
        <v>-0.26130024642511729</v>
      </c>
    </row>
    <row r="13479" spans="1:4">
      <c r="A13479" s="1">
        <v>37831</v>
      </c>
      <c r="B13479">
        <v>989.28</v>
      </c>
      <c r="C13479">
        <f t="shared" si="440"/>
        <v>-7.2652831854854985E-3</v>
      </c>
      <c r="D13479">
        <f t="shared" si="439"/>
        <v>-0.80011493173299097</v>
      </c>
    </row>
    <row r="13480" spans="1:4">
      <c r="A13480" s="1">
        <v>37832</v>
      </c>
      <c r="B13480">
        <v>987.49</v>
      </c>
      <c r="C13480">
        <f t="shared" si="440"/>
        <v>-1.8093967329774823E-3</v>
      </c>
      <c r="D13480">
        <f t="shared" si="439"/>
        <v>-0.22397517689405735</v>
      </c>
    </row>
    <row r="13481" spans="1:4">
      <c r="A13481" s="1">
        <v>37833</v>
      </c>
      <c r="B13481">
        <v>990.31</v>
      </c>
      <c r="C13481">
        <f t="shared" si="440"/>
        <v>2.8557251212669864E-3</v>
      </c>
      <c r="D13481">
        <f t="shared" si="439"/>
        <v>0.26866010516219258</v>
      </c>
    </row>
    <row r="13482" spans="1:4">
      <c r="A13482" s="1">
        <v>37834</v>
      </c>
      <c r="B13482">
        <v>980.15</v>
      </c>
      <c r="C13482">
        <f t="shared" si="440"/>
        <v>-1.0259413718936463E-2</v>
      </c>
      <c r="D13482">
        <f t="shared" si="439"/>
        <v>-1.1162940983109941</v>
      </c>
    </row>
    <row r="13483" spans="1:4">
      <c r="A13483" s="1">
        <v>37837</v>
      </c>
      <c r="B13483">
        <v>982.82</v>
      </c>
      <c r="C13483">
        <f t="shared" si="440"/>
        <v>2.7240728459930344E-3</v>
      </c>
      <c r="D13483">
        <f t="shared" si="439"/>
        <v>0.25475766964404595</v>
      </c>
    </row>
    <row r="13484" spans="1:4">
      <c r="A13484" s="1">
        <v>37838</v>
      </c>
      <c r="B13484">
        <v>965.46</v>
      </c>
      <c r="C13484">
        <f t="shared" si="440"/>
        <v>-1.7663458212083608E-2</v>
      </c>
      <c r="D13484">
        <f t="shared" si="439"/>
        <v>-1.8981586800303267</v>
      </c>
    </row>
    <row r="13485" spans="1:4">
      <c r="A13485" s="1">
        <v>37839</v>
      </c>
      <c r="B13485">
        <v>967.08</v>
      </c>
      <c r="C13485">
        <f t="shared" si="440"/>
        <v>1.6779566217140062E-3</v>
      </c>
      <c r="D13485">
        <f t="shared" si="439"/>
        <v>0.14428815195236253</v>
      </c>
    </row>
    <row r="13486" spans="1:4">
      <c r="A13486" s="1">
        <v>37840</v>
      </c>
      <c r="B13486">
        <v>974.12</v>
      </c>
      <c r="C13486">
        <f t="shared" si="440"/>
        <v>7.2796459444926616E-3</v>
      </c>
      <c r="D13486">
        <f t="shared" si="439"/>
        <v>0.73582464033107187</v>
      </c>
    </row>
    <row r="13487" spans="1:4">
      <c r="A13487" s="1">
        <v>37841</v>
      </c>
      <c r="B13487">
        <v>977.59</v>
      </c>
      <c r="C13487">
        <f t="shared" si="440"/>
        <v>3.5621894633105031E-3</v>
      </c>
      <c r="D13487">
        <f t="shared" si="439"/>
        <v>0.34326249954309035</v>
      </c>
    </row>
    <row r="13488" spans="1:4">
      <c r="A13488" s="1">
        <v>37844</v>
      </c>
      <c r="B13488">
        <v>980.59</v>
      </c>
      <c r="C13488">
        <f t="shared" si="440"/>
        <v>3.0687711617344692E-3</v>
      </c>
      <c r="D13488">
        <f t="shared" si="439"/>
        <v>0.29115769461769098</v>
      </c>
    </row>
    <row r="13489" spans="1:4">
      <c r="A13489" s="1">
        <v>37845</v>
      </c>
      <c r="B13489">
        <v>990.35</v>
      </c>
      <c r="C13489">
        <f t="shared" si="440"/>
        <v>9.9531914459661947E-3</v>
      </c>
      <c r="D13489">
        <f t="shared" si="439"/>
        <v>1.0181501365044057</v>
      </c>
    </row>
    <row r="13490" spans="1:4">
      <c r="A13490" s="1">
        <v>37846</v>
      </c>
      <c r="B13490">
        <v>984.03</v>
      </c>
      <c r="C13490">
        <f t="shared" si="440"/>
        <v>-6.3815822688948858E-3</v>
      </c>
      <c r="D13490">
        <f t="shared" si="439"/>
        <v>-0.7067964153255587</v>
      </c>
    </row>
    <row r="13491" spans="1:4">
      <c r="A13491" s="1">
        <v>37847</v>
      </c>
      <c r="B13491">
        <v>990.51</v>
      </c>
      <c r="C13491">
        <f t="shared" si="440"/>
        <v>6.5851650864303104E-3</v>
      </c>
      <c r="D13491">
        <f t="shared" si="439"/>
        <v>0.66248769778520111</v>
      </c>
    </row>
    <row r="13492" spans="1:4">
      <c r="A13492" s="1">
        <v>37848</v>
      </c>
      <c r="B13492">
        <v>990.67</v>
      </c>
      <c r="C13492">
        <f t="shared" si="440"/>
        <v>1.6153294767338864E-4</v>
      </c>
      <c r="D13492">
        <f t="shared" si="439"/>
        <v>-1.5845672568875101E-2</v>
      </c>
    </row>
    <row r="13493" spans="1:4">
      <c r="A13493" s="1">
        <v>37851</v>
      </c>
      <c r="B13493">
        <v>999.74</v>
      </c>
      <c r="C13493">
        <f t="shared" si="440"/>
        <v>9.1554200692461167E-3</v>
      </c>
      <c r="D13493">
        <f t="shared" si="439"/>
        <v>0.93390575029843215</v>
      </c>
    </row>
    <row r="13494" spans="1:4">
      <c r="A13494" s="1">
        <v>37852</v>
      </c>
      <c r="B13494">
        <v>1002.35</v>
      </c>
      <c r="C13494">
        <f t="shared" si="440"/>
        <v>2.6106787764818987E-3</v>
      </c>
      <c r="D13494">
        <f t="shared" si="439"/>
        <v>0.24278329444818703</v>
      </c>
    </row>
    <row r="13495" spans="1:4">
      <c r="A13495" s="1">
        <v>37853</v>
      </c>
      <c r="B13495">
        <v>1000.3</v>
      </c>
      <c r="C13495">
        <f t="shared" si="440"/>
        <v>-2.0451937945827987E-3</v>
      </c>
      <c r="D13495">
        <f t="shared" si="439"/>
        <v>-0.24887526644826316</v>
      </c>
    </row>
    <row r="13496" spans="1:4">
      <c r="A13496" s="1">
        <v>37854</v>
      </c>
      <c r="B13496">
        <v>1003.27</v>
      </c>
      <c r="C13496">
        <f t="shared" si="440"/>
        <v>2.9691092672198614E-3</v>
      </c>
      <c r="D13496">
        <f t="shared" si="439"/>
        <v>0.28063343243367234</v>
      </c>
    </row>
    <row r="13497" spans="1:4">
      <c r="A13497" s="1">
        <v>37855</v>
      </c>
      <c r="B13497">
        <v>993.06</v>
      </c>
      <c r="C13497">
        <f t="shared" si="440"/>
        <v>-1.0176722118671979E-2</v>
      </c>
      <c r="D13497">
        <f t="shared" si="439"/>
        <v>-1.1075618934313054</v>
      </c>
    </row>
    <row r="13498" spans="1:4">
      <c r="A13498" s="1">
        <v>37858</v>
      </c>
      <c r="B13498">
        <v>993.71</v>
      </c>
      <c r="C13498">
        <f t="shared" si="440"/>
        <v>6.545425251244547E-4</v>
      </c>
      <c r="D13498">
        <f t="shared" si="439"/>
        <v>3.6215971227859703E-2</v>
      </c>
    </row>
    <row r="13499" spans="1:4">
      <c r="A13499" s="1">
        <v>37859</v>
      </c>
      <c r="B13499">
        <v>996.73</v>
      </c>
      <c r="C13499">
        <f t="shared" si="440"/>
        <v>3.0391160398908954E-3</v>
      </c>
      <c r="D13499">
        <f t="shared" si="439"/>
        <v>0.28802612383127529</v>
      </c>
    </row>
    <row r="13500" spans="1:4">
      <c r="A13500" s="1">
        <v>37860</v>
      </c>
      <c r="B13500">
        <v>996.79</v>
      </c>
      <c r="C13500">
        <f t="shared" si="440"/>
        <v>6.0196843678775026E-5</v>
      </c>
      <c r="D13500">
        <f t="shared" si="439"/>
        <v>-2.6546730704890917E-2</v>
      </c>
    </row>
    <row r="13501" spans="1:4">
      <c r="A13501" s="1">
        <v>37861</v>
      </c>
      <c r="B13501">
        <v>1002.84</v>
      </c>
      <c r="C13501">
        <f t="shared" si="440"/>
        <v>6.0694830405602666E-3</v>
      </c>
      <c r="D13501">
        <f t="shared" si="439"/>
        <v>0.60803184903016871</v>
      </c>
    </row>
    <row r="13502" spans="1:4">
      <c r="A13502" s="1">
        <v>37862</v>
      </c>
      <c r="B13502">
        <v>1008.01</v>
      </c>
      <c r="C13502">
        <f t="shared" si="440"/>
        <v>5.1553587810617436E-3</v>
      </c>
      <c r="D13502">
        <f t="shared" si="439"/>
        <v>0.51150063795305789</v>
      </c>
    </row>
    <row r="13503" spans="1:4">
      <c r="A13503" s="1">
        <v>37866</v>
      </c>
      <c r="B13503">
        <v>1021.99</v>
      </c>
      <c r="C13503">
        <f t="shared" si="440"/>
        <v>1.3868910030654475E-2</v>
      </c>
      <c r="D13503">
        <f t="shared" si="439"/>
        <v>1.4316486880300703</v>
      </c>
    </row>
    <row r="13504" spans="1:4">
      <c r="A13504" s="1">
        <v>37867</v>
      </c>
      <c r="B13504">
        <v>1026.27</v>
      </c>
      <c r="C13504">
        <f t="shared" si="440"/>
        <v>4.1879079051653856E-3</v>
      </c>
      <c r="D13504">
        <f t="shared" si="439"/>
        <v>0.40933815431093334</v>
      </c>
    </row>
    <row r="13505" spans="1:4">
      <c r="A13505" s="1">
        <v>37868</v>
      </c>
      <c r="B13505">
        <v>1027.97</v>
      </c>
      <c r="C13505">
        <f t="shared" si="440"/>
        <v>1.6564841610882571E-3</v>
      </c>
      <c r="D13505">
        <f t="shared" si="439"/>
        <v>0.14202066740912742</v>
      </c>
    </row>
    <row r="13506" spans="1:4">
      <c r="A13506" s="1">
        <v>37869</v>
      </c>
      <c r="B13506">
        <v>1021.39</v>
      </c>
      <c r="C13506">
        <f t="shared" si="440"/>
        <v>-6.4009650087065197E-3</v>
      </c>
      <c r="D13506">
        <f t="shared" si="439"/>
        <v>-0.70884322606115391</v>
      </c>
    </row>
    <row r="13507" spans="1:4">
      <c r="A13507" s="1">
        <v>37872</v>
      </c>
      <c r="B13507">
        <v>1031.6400000000001</v>
      </c>
      <c r="C13507">
        <f t="shared" si="440"/>
        <v>1.0035343992010998E-2</v>
      </c>
      <c r="D13507">
        <f t="shared" ref="D13507:D13570" si="441">(C13507-avg)/sd</f>
        <v>1.0268254174417297</v>
      </c>
    </row>
    <row r="13508" spans="1:4">
      <c r="A13508" s="1">
        <v>37873</v>
      </c>
      <c r="B13508">
        <v>1023.17</v>
      </c>
      <c r="C13508">
        <f t="shared" ref="C13508:C13571" si="442">(B13508-B13507)/B13507</f>
        <v>-8.2102283742392108E-3</v>
      </c>
      <c r="D13508">
        <f t="shared" si="441"/>
        <v>-0.89990082246290681</v>
      </c>
    </row>
    <row r="13509" spans="1:4">
      <c r="A13509" s="1">
        <v>37874</v>
      </c>
      <c r="B13509">
        <v>1010.92</v>
      </c>
      <c r="C13509">
        <f t="shared" si="442"/>
        <v>-1.1972594974442176E-2</v>
      </c>
      <c r="D13509">
        <f t="shared" si="441"/>
        <v>-1.2972054565537945</v>
      </c>
    </row>
    <row r="13510" spans="1:4">
      <c r="A13510" s="1">
        <v>37875</v>
      </c>
      <c r="B13510">
        <v>1016.42</v>
      </c>
      <c r="C13510">
        <f t="shared" si="442"/>
        <v>5.4405887706247781E-3</v>
      </c>
      <c r="D13510">
        <f t="shared" si="441"/>
        <v>0.5416208278965301</v>
      </c>
    </row>
    <row r="13511" spans="1:4">
      <c r="A13511" s="1">
        <v>37876</v>
      </c>
      <c r="B13511">
        <v>1018.63</v>
      </c>
      <c r="C13511">
        <f t="shared" si="442"/>
        <v>2.1742980264064429E-3</v>
      </c>
      <c r="D13511">
        <f t="shared" si="441"/>
        <v>0.19670163557324297</v>
      </c>
    </row>
    <row r="13512" spans="1:4">
      <c r="A13512" s="1">
        <v>37879</v>
      </c>
      <c r="B13512">
        <v>1014.81</v>
      </c>
      <c r="C13512">
        <f t="shared" si="442"/>
        <v>-3.7501349852253028E-3</v>
      </c>
      <c r="D13512">
        <f t="shared" si="441"/>
        <v>-0.42891647664244265</v>
      </c>
    </row>
    <row r="13513" spans="1:4">
      <c r="A13513" s="1">
        <v>37880</v>
      </c>
      <c r="B13513">
        <v>1029.32</v>
      </c>
      <c r="C13513">
        <f t="shared" si="442"/>
        <v>1.4298243020861039E-2</v>
      </c>
      <c r="D13513">
        <f t="shared" si="441"/>
        <v>1.4769861058585094</v>
      </c>
    </row>
    <row r="13514" spans="1:4">
      <c r="A13514" s="1">
        <v>37881</v>
      </c>
      <c r="B13514">
        <v>1025.97</v>
      </c>
      <c r="C13514">
        <f t="shared" si="442"/>
        <v>-3.2545758364744774E-3</v>
      </c>
      <c r="D13514">
        <f t="shared" si="441"/>
        <v>-0.37658559898309463</v>
      </c>
    </row>
    <row r="13515" spans="1:4">
      <c r="A13515" s="1">
        <v>37882</v>
      </c>
      <c r="B13515">
        <v>1039.58</v>
      </c>
      <c r="C13515">
        <f t="shared" si="442"/>
        <v>1.3265495092448999E-2</v>
      </c>
      <c r="D13515">
        <f t="shared" si="441"/>
        <v>1.3679282756662754</v>
      </c>
    </row>
    <row r="13516" spans="1:4">
      <c r="A13516" s="1">
        <v>37883</v>
      </c>
      <c r="B13516">
        <v>1036.3</v>
      </c>
      <c r="C13516">
        <f t="shared" si="442"/>
        <v>-3.1551203370591709E-3</v>
      </c>
      <c r="D13516">
        <f t="shared" si="441"/>
        <v>-0.36608313205140508</v>
      </c>
    </row>
    <row r="13517" spans="1:4">
      <c r="A13517" s="1">
        <v>37886</v>
      </c>
      <c r="B13517">
        <v>1022.82</v>
      </c>
      <c r="C13517">
        <f t="shared" si="442"/>
        <v>-1.300781626941996E-2</v>
      </c>
      <c r="D13517">
        <f t="shared" si="441"/>
        <v>-1.4065244734146329</v>
      </c>
    </row>
    <row r="13518" spans="1:4">
      <c r="A13518" s="1">
        <v>37887</v>
      </c>
      <c r="B13518">
        <v>1029.03</v>
      </c>
      <c r="C13518">
        <f t="shared" si="442"/>
        <v>6.0714495219099376E-3</v>
      </c>
      <c r="D13518">
        <f t="shared" si="441"/>
        <v>0.60823950879225452</v>
      </c>
    </row>
    <row r="13519" spans="1:4">
      <c r="A13519" s="1">
        <v>37888</v>
      </c>
      <c r="B13519">
        <v>1009.38</v>
      </c>
      <c r="C13519">
        <f t="shared" si="442"/>
        <v>-1.9095653187953681E-2</v>
      </c>
      <c r="D13519">
        <f t="shared" si="441"/>
        <v>-2.0493979826554805</v>
      </c>
    </row>
    <row r="13520" spans="1:4">
      <c r="A13520" s="1">
        <v>37889</v>
      </c>
      <c r="B13520">
        <v>1003.27</v>
      </c>
      <c r="C13520">
        <f t="shared" si="442"/>
        <v>-6.0532207889992008E-3</v>
      </c>
      <c r="D13520">
        <f t="shared" si="441"/>
        <v>-0.67212155466406454</v>
      </c>
    </row>
    <row r="13521" spans="1:4">
      <c r="A13521" s="1">
        <v>37890</v>
      </c>
      <c r="B13521">
        <v>996.85</v>
      </c>
      <c r="C13521">
        <f t="shared" si="442"/>
        <v>-6.3990750246692906E-3</v>
      </c>
      <c r="D13521">
        <f t="shared" si="441"/>
        <v>-0.70864364438925931</v>
      </c>
    </row>
    <row r="13522" spans="1:4">
      <c r="A13522" s="1">
        <v>37893</v>
      </c>
      <c r="B13522">
        <v>1006.58</v>
      </c>
      <c r="C13522">
        <f t="shared" si="442"/>
        <v>9.7607463510056853E-3</v>
      </c>
      <c r="D13522">
        <f t="shared" si="441"/>
        <v>0.99782799989184201</v>
      </c>
    </row>
    <row r="13523" spans="1:4">
      <c r="A13523" s="1">
        <v>37894</v>
      </c>
      <c r="B13523">
        <v>995.97</v>
      </c>
      <c r="C13523">
        <f t="shared" si="442"/>
        <v>-1.0540642571877062E-2</v>
      </c>
      <c r="D13523">
        <f t="shared" si="441"/>
        <v>-1.1459917695871897</v>
      </c>
    </row>
    <row r="13524" spans="1:4">
      <c r="A13524" s="1">
        <v>37895</v>
      </c>
      <c r="B13524">
        <v>1018.22</v>
      </c>
      <c r="C13524">
        <f t="shared" si="442"/>
        <v>2.2340030322198459E-2</v>
      </c>
      <c r="D13524">
        <f t="shared" si="441"/>
        <v>2.3261961113434215</v>
      </c>
    </row>
    <row r="13525" spans="1:4">
      <c r="A13525" s="1">
        <v>37896</v>
      </c>
      <c r="B13525">
        <v>1020.24</v>
      </c>
      <c r="C13525">
        <f t="shared" si="442"/>
        <v>1.98385417689692E-3</v>
      </c>
      <c r="D13525">
        <f t="shared" si="441"/>
        <v>0.17659082980004712</v>
      </c>
    </row>
    <row r="13526" spans="1:4">
      <c r="A13526" s="1">
        <v>37897</v>
      </c>
      <c r="B13526">
        <v>1029.8499999999999</v>
      </c>
      <c r="C13526">
        <f t="shared" si="442"/>
        <v>9.4193523092604686E-3</v>
      </c>
      <c r="D13526">
        <f t="shared" si="441"/>
        <v>0.96177690512902025</v>
      </c>
    </row>
    <row r="13527" spans="1:4">
      <c r="A13527" s="1">
        <v>37900</v>
      </c>
      <c r="B13527">
        <v>1034.3499999999999</v>
      </c>
      <c r="C13527">
        <f t="shared" si="442"/>
        <v>4.3695683837452056E-3</v>
      </c>
      <c r="D13527">
        <f t="shared" si="441"/>
        <v>0.42852143909956542</v>
      </c>
    </row>
    <row r="13528" spans="1:4">
      <c r="A13528" s="1">
        <v>37901</v>
      </c>
      <c r="B13528">
        <v>1039.25</v>
      </c>
      <c r="C13528">
        <f t="shared" si="442"/>
        <v>4.7372746169092586E-3</v>
      </c>
      <c r="D13528">
        <f t="shared" si="441"/>
        <v>0.46735109233226779</v>
      </c>
    </row>
    <row r="13529" spans="1:4">
      <c r="A13529" s="1">
        <v>37902</v>
      </c>
      <c r="B13529">
        <v>1033.78</v>
      </c>
      <c r="C13529">
        <f t="shared" si="442"/>
        <v>-5.2634111137840047E-3</v>
      </c>
      <c r="D13529">
        <f t="shared" si="441"/>
        <v>-0.58871792143069268</v>
      </c>
    </row>
    <row r="13530" spans="1:4">
      <c r="A13530" s="1">
        <v>37903</v>
      </c>
      <c r="B13530">
        <v>1038.73</v>
      </c>
      <c r="C13530">
        <f t="shared" si="442"/>
        <v>4.7882528197489265E-3</v>
      </c>
      <c r="D13530">
        <f t="shared" si="441"/>
        <v>0.47273437322380363</v>
      </c>
    </row>
    <row r="13531" spans="1:4">
      <c r="A13531" s="1">
        <v>37904</v>
      </c>
      <c r="B13531">
        <v>1038.06</v>
      </c>
      <c r="C13531">
        <f t="shared" si="442"/>
        <v>-6.4501843597476987E-4</v>
      </c>
      <c r="D13531">
        <f t="shared" si="441"/>
        <v>-0.10101722452198458</v>
      </c>
    </row>
    <row r="13532" spans="1:4">
      <c r="A13532" s="1">
        <v>37907</v>
      </c>
      <c r="B13532">
        <v>1045.3499999999999</v>
      </c>
      <c r="C13532">
        <f t="shared" si="442"/>
        <v>7.0227154499739554E-3</v>
      </c>
      <c r="D13532">
        <f t="shared" si="441"/>
        <v>0.70869286744481497</v>
      </c>
    </row>
    <row r="13533" spans="1:4">
      <c r="A13533" s="1">
        <v>37908</v>
      </c>
      <c r="B13533">
        <v>1049.48</v>
      </c>
      <c r="C13533">
        <f t="shared" si="442"/>
        <v>3.9508298655953596E-3</v>
      </c>
      <c r="D13533">
        <f t="shared" si="441"/>
        <v>0.38430279391907979</v>
      </c>
    </row>
    <row r="13534" spans="1:4">
      <c r="A13534" s="1">
        <v>37909</v>
      </c>
      <c r="B13534">
        <v>1046.76</v>
      </c>
      <c r="C13534">
        <f t="shared" si="442"/>
        <v>-2.5917597286275367E-3</v>
      </c>
      <c r="D13534">
        <f t="shared" si="441"/>
        <v>-0.30659244329659957</v>
      </c>
    </row>
    <row r="13535" spans="1:4">
      <c r="A13535" s="1">
        <v>37910</v>
      </c>
      <c r="B13535">
        <v>1050.07</v>
      </c>
      <c r="C13535">
        <f t="shared" si="442"/>
        <v>3.1621384080399951E-3</v>
      </c>
      <c r="D13535">
        <f t="shared" si="441"/>
        <v>0.30101724409048547</v>
      </c>
    </row>
    <row r="13536" spans="1:4">
      <c r="A13536" s="1">
        <v>37911</v>
      </c>
      <c r="B13536">
        <v>1039.32</v>
      </c>
      <c r="C13536">
        <f t="shared" si="442"/>
        <v>-1.0237412743912312E-2</v>
      </c>
      <c r="D13536">
        <f t="shared" si="441"/>
        <v>-1.1139708028269386</v>
      </c>
    </row>
    <row r="13537" spans="1:4">
      <c r="A13537" s="1">
        <v>37914</v>
      </c>
      <c r="B13537">
        <v>1044.68</v>
      </c>
      <c r="C13537">
        <f t="shared" si="442"/>
        <v>5.1572181811185462E-3</v>
      </c>
      <c r="D13537">
        <f t="shared" si="441"/>
        <v>0.5116969899670154</v>
      </c>
    </row>
    <row r="13538" spans="1:4">
      <c r="A13538" s="1">
        <v>37915</v>
      </c>
      <c r="B13538">
        <v>1046.03</v>
      </c>
      <c r="C13538">
        <f t="shared" si="442"/>
        <v>1.2922617452233306E-3</v>
      </c>
      <c r="D13538">
        <f t="shared" si="441"/>
        <v>0.10355890409900571</v>
      </c>
    </row>
    <row r="13539" spans="1:4">
      <c r="A13539" s="1">
        <v>37916</v>
      </c>
      <c r="B13539">
        <v>1030.3599999999999</v>
      </c>
      <c r="C13539">
        <f t="shared" si="442"/>
        <v>-1.4980449891494578E-2</v>
      </c>
      <c r="D13539">
        <f t="shared" si="441"/>
        <v>-1.614833913374965</v>
      </c>
    </row>
    <row r="13540" spans="1:4">
      <c r="A13540" s="1">
        <v>37917</v>
      </c>
      <c r="B13540">
        <v>1033.77</v>
      </c>
      <c r="C13540">
        <f t="shared" si="442"/>
        <v>3.3095228852052508E-3</v>
      </c>
      <c r="D13540">
        <f t="shared" si="441"/>
        <v>0.31658099478071855</v>
      </c>
    </row>
    <row r="13541" spans="1:4">
      <c r="A13541" s="1">
        <v>37918</v>
      </c>
      <c r="B13541">
        <v>1028.9100000000001</v>
      </c>
      <c r="C13541">
        <f t="shared" si="442"/>
        <v>-4.7012391537768553E-3</v>
      </c>
      <c r="D13541">
        <f t="shared" si="441"/>
        <v>-0.52935275354547151</v>
      </c>
    </row>
    <row r="13542" spans="1:4">
      <c r="A13542" s="1">
        <v>37921</v>
      </c>
      <c r="B13542">
        <v>1031.1300000000001</v>
      </c>
      <c r="C13542">
        <f t="shared" si="442"/>
        <v>2.1576231157244335E-3</v>
      </c>
      <c r="D13542">
        <f t="shared" si="441"/>
        <v>0.19494077067330032</v>
      </c>
    </row>
    <row r="13543" spans="1:4">
      <c r="A13543" s="1">
        <v>37922</v>
      </c>
      <c r="B13543">
        <v>1046.79</v>
      </c>
      <c r="C13543">
        <f t="shared" si="442"/>
        <v>1.5187221785807661E-2</v>
      </c>
      <c r="D13543">
        <f t="shared" si="441"/>
        <v>1.5708619612583083</v>
      </c>
    </row>
    <row r="13544" spans="1:4">
      <c r="A13544" s="1">
        <v>37923</v>
      </c>
      <c r="B13544">
        <v>1048.1099999999999</v>
      </c>
      <c r="C13544">
        <f t="shared" si="442"/>
        <v>1.2609979078897738E-3</v>
      </c>
      <c r="D13544">
        <f t="shared" si="441"/>
        <v>0.10025745350367678</v>
      </c>
    </row>
    <row r="13545" spans="1:4">
      <c r="A13545" s="1">
        <v>37924</v>
      </c>
      <c r="B13545">
        <v>1046.94</v>
      </c>
      <c r="C13545">
        <f t="shared" si="442"/>
        <v>-1.1162950453672282E-3</v>
      </c>
      <c r="D13545">
        <f t="shared" si="441"/>
        <v>-0.15078387427912518</v>
      </c>
    </row>
    <row r="13546" spans="1:4">
      <c r="A13546" s="1">
        <v>37925</v>
      </c>
      <c r="B13546">
        <v>1050.71</v>
      </c>
      <c r="C13546">
        <f t="shared" si="442"/>
        <v>3.6009704472080364E-3</v>
      </c>
      <c r="D13546">
        <f t="shared" si="441"/>
        <v>0.34735775826037291</v>
      </c>
    </row>
    <row r="13547" spans="1:4">
      <c r="A13547" s="1">
        <v>37928</v>
      </c>
      <c r="B13547">
        <v>1059.02</v>
      </c>
      <c r="C13547">
        <f t="shared" si="442"/>
        <v>7.9089377658915824E-3</v>
      </c>
      <c r="D13547">
        <f t="shared" si="441"/>
        <v>0.80227764276411462</v>
      </c>
    </row>
    <row r="13548" spans="1:4">
      <c r="A13548" s="1">
        <v>37929</v>
      </c>
      <c r="B13548">
        <v>1053.25</v>
      </c>
      <c r="C13548">
        <f t="shared" si="442"/>
        <v>-5.4484334573473422E-3</v>
      </c>
      <c r="D13548">
        <f t="shared" si="441"/>
        <v>-0.60825621801883079</v>
      </c>
    </row>
    <row r="13549" spans="1:4">
      <c r="A13549" s="1">
        <v>37930</v>
      </c>
      <c r="B13549">
        <v>1051.81</v>
      </c>
      <c r="C13549">
        <f t="shared" si="442"/>
        <v>-1.3671967718965625E-3</v>
      </c>
      <c r="D13549">
        <f t="shared" si="441"/>
        <v>-0.17727901131498222</v>
      </c>
    </row>
    <row r="13550" spans="1:4">
      <c r="A13550" s="1">
        <v>37931</v>
      </c>
      <c r="B13550">
        <v>1058.05</v>
      </c>
      <c r="C13550">
        <f t="shared" si="442"/>
        <v>5.9326304180412903E-3</v>
      </c>
      <c r="D13550">
        <f t="shared" si="441"/>
        <v>0.59358025861063146</v>
      </c>
    </row>
    <row r="13551" spans="1:4">
      <c r="A13551" s="1">
        <v>37932</v>
      </c>
      <c r="B13551">
        <v>1053.21</v>
      </c>
      <c r="C13551">
        <f t="shared" si="442"/>
        <v>-4.5744530031661245E-3</v>
      </c>
      <c r="D13551">
        <f t="shared" si="441"/>
        <v>-0.515964179137685</v>
      </c>
    </row>
    <row r="13552" spans="1:4">
      <c r="A13552" s="1">
        <v>37935</v>
      </c>
      <c r="B13552">
        <v>1047.1099999999999</v>
      </c>
      <c r="C13552">
        <f t="shared" si="442"/>
        <v>-5.7918173963408398E-3</v>
      </c>
      <c r="D13552">
        <f t="shared" si="441"/>
        <v>-0.64451744525467203</v>
      </c>
    </row>
    <row r="13553" spans="1:4">
      <c r="A13553" s="1">
        <v>37936</v>
      </c>
      <c r="B13553">
        <v>1046.57</v>
      </c>
      <c r="C13553">
        <f t="shared" si="442"/>
        <v>-5.1570513126602136E-4</v>
      </c>
      <c r="D13553">
        <f t="shared" si="441"/>
        <v>-8.736178350046872E-2</v>
      </c>
    </row>
    <row r="13554" spans="1:4">
      <c r="A13554" s="1">
        <v>37937</v>
      </c>
      <c r="B13554">
        <v>1058.53</v>
      </c>
      <c r="C13554">
        <f t="shared" si="442"/>
        <v>1.1427807026763654E-2</v>
      </c>
      <c r="D13554">
        <f t="shared" si="441"/>
        <v>1.1738690405904271</v>
      </c>
    </row>
    <row r="13555" spans="1:4">
      <c r="A13555" s="1">
        <v>37938</v>
      </c>
      <c r="B13555">
        <v>1058.4100000000001</v>
      </c>
      <c r="C13555">
        <f t="shared" si="442"/>
        <v>-1.1336476056407553E-4</v>
      </c>
      <c r="D13555">
        <f t="shared" si="441"/>
        <v>-4.4874777116480163E-2</v>
      </c>
    </row>
    <row r="13556" spans="1:4">
      <c r="A13556" s="1">
        <v>37939</v>
      </c>
      <c r="B13556">
        <v>1050.3499999999999</v>
      </c>
      <c r="C13556">
        <f t="shared" si="442"/>
        <v>-7.615196379475035E-3</v>
      </c>
      <c r="D13556">
        <f t="shared" si="441"/>
        <v>-0.83706564607701228</v>
      </c>
    </row>
    <row r="13557" spans="1:4">
      <c r="A13557" s="1">
        <v>37942</v>
      </c>
      <c r="B13557">
        <v>1043.6300000000001</v>
      </c>
      <c r="C13557">
        <f t="shared" si="442"/>
        <v>-6.3978673775406296E-3</v>
      </c>
      <c r="D13557">
        <f t="shared" si="441"/>
        <v>-0.70851611726297192</v>
      </c>
    </row>
    <row r="13558" spans="1:4">
      <c r="A13558" s="1">
        <v>37943</v>
      </c>
      <c r="B13558">
        <v>1034.1500000000001</v>
      </c>
      <c r="C13558">
        <f t="shared" si="442"/>
        <v>-9.083679081666891E-3</v>
      </c>
      <c r="D13558">
        <f t="shared" si="441"/>
        <v>-0.99213692026694877</v>
      </c>
    </row>
    <row r="13559" spans="1:4">
      <c r="A13559" s="1">
        <v>37944</v>
      </c>
      <c r="B13559">
        <v>1042.44</v>
      </c>
      <c r="C13559">
        <f t="shared" si="442"/>
        <v>8.0162452255475147E-3</v>
      </c>
      <c r="D13559">
        <f t="shared" si="441"/>
        <v>0.81360927402820327</v>
      </c>
    </row>
    <row r="13560" spans="1:4">
      <c r="A13560" s="1">
        <v>37945</v>
      </c>
      <c r="B13560">
        <v>1033.6500000000001</v>
      </c>
      <c r="C13560">
        <f t="shared" si="442"/>
        <v>-8.4321399792793468E-3</v>
      </c>
      <c r="D13560">
        <f t="shared" si="441"/>
        <v>-0.92333461252372562</v>
      </c>
    </row>
    <row r="13561" spans="1:4">
      <c r="A13561" s="1">
        <v>37946</v>
      </c>
      <c r="B13561">
        <v>1035.28</v>
      </c>
      <c r="C13561">
        <f t="shared" si="442"/>
        <v>1.5769361002272351E-3</v>
      </c>
      <c r="D13561">
        <f t="shared" si="441"/>
        <v>0.13362041922190318</v>
      </c>
    </row>
    <row r="13562" spans="1:4">
      <c r="A13562" s="1">
        <v>37949</v>
      </c>
      <c r="B13562">
        <v>1052.08</v>
      </c>
      <c r="C13562">
        <f t="shared" si="442"/>
        <v>1.6227494011281929E-2</v>
      </c>
      <c r="D13562">
        <f t="shared" si="441"/>
        <v>1.6807143546626806</v>
      </c>
    </row>
    <row r="13563" spans="1:4">
      <c r="A13563" s="1">
        <v>37950</v>
      </c>
      <c r="B13563">
        <v>1053.8900000000001</v>
      </c>
      <c r="C13563">
        <f t="shared" si="442"/>
        <v>1.720401490381124E-3</v>
      </c>
      <c r="D13563">
        <f t="shared" si="441"/>
        <v>0.14877031565589829</v>
      </c>
    </row>
    <row r="13564" spans="1:4">
      <c r="A13564" s="1">
        <v>37951</v>
      </c>
      <c r="B13564">
        <v>1058.45</v>
      </c>
      <c r="C13564">
        <f t="shared" si="442"/>
        <v>4.3268272779891119E-3</v>
      </c>
      <c r="D13564">
        <f t="shared" si="441"/>
        <v>0.42400799286012963</v>
      </c>
    </row>
    <row r="13565" spans="1:4">
      <c r="A13565" s="1">
        <v>37953</v>
      </c>
      <c r="B13565">
        <v>1058.2</v>
      </c>
      <c r="C13565">
        <f t="shared" si="442"/>
        <v>-2.361944352591053E-4</v>
      </c>
      <c r="D13565">
        <f t="shared" si="441"/>
        <v>-5.784554901244026E-2</v>
      </c>
    </row>
    <row r="13566" spans="1:4">
      <c r="A13566" s="1">
        <v>37956</v>
      </c>
      <c r="B13566">
        <v>1070.1199999999999</v>
      </c>
      <c r="C13566">
        <f t="shared" si="442"/>
        <v>1.1264411264411118E-2</v>
      </c>
      <c r="D13566">
        <f t="shared" si="441"/>
        <v>1.1566145036269175</v>
      </c>
    </row>
    <row r="13567" spans="1:4">
      <c r="A13567" s="1">
        <v>37957</v>
      </c>
      <c r="B13567">
        <v>1066.6199999999999</v>
      </c>
      <c r="C13567">
        <f t="shared" si="442"/>
        <v>-3.2706612342541029E-3</v>
      </c>
      <c r="D13567">
        <f t="shared" si="441"/>
        <v>-0.37828421152093072</v>
      </c>
    </row>
    <row r="13568" spans="1:4">
      <c r="A13568" s="1">
        <v>37958</v>
      </c>
      <c r="B13568">
        <v>1064.73</v>
      </c>
      <c r="C13568">
        <f t="shared" si="442"/>
        <v>-1.7719525229227587E-3</v>
      </c>
      <c r="D13568">
        <f t="shared" si="441"/>
        <v>-0.22002108104018395</v>
      </c>
    </row>
    <row r="13569" spans="1:4">
      <c r="A13569" s="1">
        <v>37959</v>
      </c>
      <c r="B13569">
        <v>1069.72</v>
      </c>
      <c r="C13569">
        <f t="shared" si="442"/>
        <v>4.6866341701652147E-3</v>
      </c>
      <c r="D13569">
        <f t="shared" si="441"/>
        <v>0.46200347836962097</v>
      </c>
    </row>
    <row r="13570" spans="1:4">
      <c r="A13570" s="1">
        <v>37960</v>
      </c>
      <c r="B13570">
        <v>1061.5</v>
      </c>
      <c r="C13570">
        <f t="shared" si="442"/>
        <v>-7.684253823430456E-3</v>
      </c>
      <c r="D13570">
        <f t="shared" si="441"/>
        <v>-0.84435808868493889</v>
      </c>
    </row>
    <row r="13571" spans="1:4">
      <c r="A13571" s="1">
        <v>37963</v>
      </c>
      <c r="B13571">
        <v>1069.3</v>
      </c>
      <c r="C13571">
        <f t="shared" si="442"/>
        <v>7.3480923221855435E-3</v>
      </c>
      <c r="D13571">
        <f t="shared" ref="D13571:D13634" si="443">(C13571-avg)/sd</f>
        <v>0.74305255454938601</v>
      </c>
    </row>
    <row r="13572" spans="1:4">
      <c r="A13572" s="1">
        <v>37964</v>
      </c>
      <c r="B13572">
        <v>1060.18</v>
      </c>
      <c r="C13572">
        <f t="shared" ref="C13572:C13635" si="444">(B13572-B13571)/B13571</f>
        <v>-8.5289441690824756E-3</v>
      </c>
      <c r="D13572">
        <f t="shared" si="443"/>
        <v>-0.93355710206159304</v>
      </c>
    </row>
    <row r="13573" spans="1:4">
      <c r="A13573" s="1">
        <v>37965</v>
      </c>
      <c r="B13573">
        <v>1059.05</v>
      </c>
      <c r="C13573">
        <f t="shared" si="444"/>
        <v>-1.0658567413081826E-3</v>
      </c>
      <c r="D13573">
        <f t="shared" si="443"/>
        <v>-0.14545760651530254</v>
      </c>
    </row>
    <row r="13574" spans="1:4">
      <c r="A13574" s="1">
        <v>37966</v>
      </c>
      <c r="B13574">
        <v>1071.21</v>
      </c>
      <c r="C13574">
        <f t="shared" si="444"/>
        <v>1.1481988574666053E-2</v>
      </c>
      <c r="D13574">
        <f t="shared" si="443"/>
        <v>1.1795905936317175</v>
      </c>
    </row>
    <row r="13575" spans="1:4">
      <c r="A13575" s="1">
        <v>37967</v>
      </c>
      <c r="B13575">
        <v>1074.1400000000001</v>
      </c>
      <c r="C13575">
        <f t="shared" si="444"/>
        <v>2.7352246524958352E-3</v>
      </c>
      <c r="D13575">
        <f t="shared" si="443"/>
        <v>0.25593529662005848</v>
      </c>
    </row>
    <row r="13576" spans="1:4">
      <c r="A13576" s="1">
        <v>37970</v>
      </c>
      <c r="B13576">
        <v>1068.04</v>
      </c>
      <c r="C13576">
        <f t="shared" si="444"/>
        <v>-5.6789617740705452E-3</v>
      </c>
      <c r="D13576">
        <f t="shared" si="443"/>
        <v>-0.63259992990441882</v>
      </c>
    </row>
    <row r="13577" spans="1:4">
      <c r="A13577" s="1">
        <v>37971</v>
      </c>
      <c r="B13577">
        <v>1075.1300000000001</v>
      </c>
      <c r="C13577">
        <f t="shared" si="444"/>
        <v>6.638328152503788E-3</v>
      </c>
      <c r="D13577">
        <f t="shared" si="443"/>
        <v>0.66810169949155618</v>
      </c>
    </row>
    <row r="13578" spans="1:4">
      <c r="A13578" s="1">
        <v>37972</v>
      </c>
      <c r="B13578">
        <v>1076.48</v>
      </c>
      <c r="C13578">
        <f t="shared" si="444"/>
        <v>1.2556621059777971E-3</v>
      </c>
      <c r="D13578">
        <f t="shared" si="443"/>
        <v>9.9693994635499231E-2</v>
      </c>
    </row>
    <row r="13579" spans="1:4">
      <c r="A13579" s="1">
        <v>37973</v>
      </c>
      <c r="B13579">
        <v>1089.18</v>
      </c>
      <c r="C13579">
        <f t="shared" si="444"/>
        <v>1.1797711058264014E-2</v>
      </c>
      <c r="D13579">
        <f t="shared" si="443"/>
        <v>1.2129307805803757</v>
      </c>
    </row>
    <row r="13580" spans="1:4">
      <c r="A13580" s="1">
        <v>37974</v>
      </c>
      <c r="B13580">
        <v>1088.6600000000001</v>
      </c>
      <c r="C13580">
        <f t="shared" si="444"/>
        <v>-4.774233827282743E-4</v>
      </c>
      <c r="D13580">
        <f t="shared" si="443"/>
        <v>-8.3319243867481199E-2</v>
      </c>
    </row>
    <row r="13581" spans="1:4">
      <c r="A13581" s="1">
        <v>37977</v>
      </c>
      <c r="B13581">
        <v>1092.94</v>
      </c>
      <c r="C13581">
        <f t="shared" si="444"/>
        <v>3.9314386493487152E-3</v>
      </c>
      <c r="D13581">
        <f t="shared" si="443"/>
        <v>0.38225508807482877</v>
      </c>
    </row>
    <row r="13582" spans="1:4">
      <c r="A13582" s="1">
        <v>37978</v>
      </c>
      <c r="B13582">
        <v>1096.02</v>
      </c>
      <c r="C13582">
        <f t="shared" si="444"/>
        <v>2.8180869947114452E-3</v>
      </c>
      <c r="D13582">
        <f t="shared" si="443"/>
        <v>0.26468553179174825</v>
      </c>
    </row>
    <row r="13583" spans="1:4">
      <c r="A13583" s="1">
        <v>37979</v>
      </c>
      <c r="B13583">
        <v>1094.04</v>
      </c>
      <c r="C13583">
        <f t="shared" si="444"/>
        <v>-1.8065363770734277E-3</v>
      </c>
      <c r="D13583">
        <f t="shared" si="443"/>
        <v>-0.22367312428287139</v>
      </c>
    </row>
    <row r="13584" spans="1:4">
      <c r="A13584" s="1">
        <v>37981</v>
      </c>
      <c r="B13584">
        <v>1095.8900000000001</v>
      </c>
      <c r="C13584">
        <f t="shared" si="444"/>
        <v>1.6909802201017664E-3</v>
      </c>
      <c r="D13584">
        <f t="shared" si="443"/>
        <v>0.14566343951517383</v>
      </c>
    </row>
    <row r="13585" spans="1:4">
      <c r="A13585" s="1">
        <v>37984</v>
      </c>
      <c r="B13585">
        <v>1109.48</v>
      </c>
      <c r="C13585">
        <f t="shared" si="444"/>
        <v>1.2400879650329794E-2</v>
      </c>
      <c r="D13585">
        <f t="shared" si="443"/>
        <v>1.2766251788755558</v>
      </c>
    </row>
    <row r="13586" spans="1:4">
      <c r="A13586" s="1">
        <v>37985</v>
      </c>
      <c r="B13586">
        <v>1109.6400000000001</v>
      </c>
      <c r="C13586">
        <f t="shared" si="444"/>
        <v>1.4421170277975436E-4</v>
      </c>
      <c r="D13586">
        <f t="shared" si="443"/>
        <v>-1.7674790141865668E-2</v>
      </c>
    </row>
    <row r="13587" spans="1:4">
      <c r="A13587" s="1">
        <v>37986</v>
      </c>
      <c r="B13587">
        <v>1111.92</v>
      </c>
      <c r="C13587">
        <f t="shared" si="444"/>
        <v>2.0547204498756106E-3</v>
      </c>
      <c r="D13587">
        <f t="shared" si="443"/>
        <v>0.18407428413798024</v>
      </c>
    </row>
    <row r="13588" spans="1:4">
      <c r="A13588" s="1">
        <v>37988</v>
      </c>
      <c r="B13588">
        <v>1108.48</v>
      </c>
      <c r="C13588">
        <f t="shared" si="444"/>
        <v>-3.0937477516368573E-3</v>
      </c>
      <c r="D13588">
        <f t="shared" si="443"/>
        <v>-0.35960220789236413</v>
      </c>
    </row>
    <row r="13589" spans="1:4">
      <c r="A13589" s="1">
        <v>37991</v>
      </c>
      <c r="B13589">
        <v>1122.22</v>
      </c>
      <c r="C13589">
        <f t="shared" si="444"/>
        <v>1.2395352193995389E-2</v>
      </c>
      <c r="D13589">
        <f t="shared" si="443"/>
        <v>1.2760414813655163</v>
      </c>
    </row>
    <row r="13590" spans="1:4">
      <c r="A13590" s="1">
        <v>37992</v>
      </c>
      <c r="B13590">
        <v>1123.67</v>
      </c>
      <c r="C13590">
        <f t="shared" si="444"/>
        <v>1.292081766498588E-3</v>
      </c>
      <c r="D13590">
        <f t="shared" si="443"/>
        <v>0.10353989840685064</v>
      </c>
    </row>
    <row r="13591" spans="1:4">
      <c r="A13591" s="1">
        <v>37993</v>
      </c>
      <c r="B13591">
        <v>1126.33</v>
      </c>
      <c r="C13591">
        <f t="shared" si="444"/>
        <v>2.367243051785537E-3</v>
      </c>
      <c r="D13591">
        <f t="shared" si="443"/>
        <v>0.21707656466807457</v>
      </c>
    </row>
    <row r="13592" spans="1:4">
      <c r="A13592" s="1">
        <v>37994</v>
      </c>
      <c r="B13592">
        <v>1131.92</v>
      </c>
      <c r="C13592">
        <f t="shared" si="444"/>
        <v>4.963021494588749E-3</v>
      </c>
      <c r="D13592">
        <f t="shared" si="443"/>
        <v>0.49118988588012991</v>
      </c>
    </row>
    <row r="13593" spans="1:4">
      <c r="A13593" s="1">
        <v>37995</v>
      </c>
      <c r="B13593">
        <v>1121.8599999999999</v>
      </c>
      <c r="C13593">
        <f t="shared" si="444"/>
        <v>-8.8875538907344804E-3</v>
      </c>
      <c r="D13593">
        <f t="shared" si="443"/>
        <v>-0.97142616677067772</v>
      </c>
    </row>
    <row r="13594" spans="1:4">
      <c r="A13594" s="1">
        <v>37998</v>
      </c>
      <c r="B13594">
        <v>1127.23</v>
      </c>
      <c r="C13594">
        <f t="shared" si="444"/>
        <v>4.7866935268216348E-3</v>
      </c>
      <c r="D13594">
        <f t="shared" si="443"/>
        <v>0.47256971242071105</v>
      </c>
    </row>
    <row r="13595" spans="1:4">
      <c r="A13595" s="1">
        <v>37999</v>
      </c>
      <c r="B13595">
        <v>1121.22</v>
      </c>
      <c r="C13595">
        <f t="shared" si="444"/>
        <v>-5.3316536997773225E-3</v>
      </c>
      <c r="D13595">
        <f t="shared" si="443"/>
        <v>-0.59592431531480494</v>
      </c>
    </row>
    <row r="13596" spans="1:4">
      <c r="A13596" s="1">
        <v>38000</v>
      </c>
      <c r="B13596">
        <v>1130.52</v>
      </c>
      <c r="C13596">
        <f t="shared" si="444"/>
        <v>8.2945363086637369E-3</v>
      </c>
      <c r="D13596">
        <f t="shared" si="443"/>
        <v>0.84299671780954111</v>
      </c>
    </row>
    <row r="13597" spans="1:4">
      <c r="A13597" s="1">
        <v>38001</v>
      </c>
      <c r="B13597">
        <v>1132.05</v>
      </c>
      <c r="C13597">
        <f t="shared" si="444"/>
        <v>1.3533595159749255E-3</v>
      </c>
      <c r="D13597">
        <f t="shared" si="443"/>
        <v>0.11001080792223279</v>
      </c>
    </row>
    <row r="13598" spans="1:4">
      <c r="A13598" s="1">
        <v>38002</v>
      </c>
      <c r="B13598">
        <v>1139.83</v>
      </c>
      <c r="C13598">
        <f t="shared" si="444"/>
        <v>6.8724879643125066E-3</v>
      </c>
      <c r="D13598">
        <f t="shared" si="443"/>
        <v>0.69282889602376951</v>
      </c>
    </row>
    <row r="13599" spans="1:4">
      <c r="A13599" s="1">
        <v>38006</v>
      </c>
      <c r="B13599">
        <v>1138.77</v>
      </c>
      <c r="C13599">
        <f t="shared" si="444"/>
        <v>-9.2996324013225264E-4</v>
      </c>
      <c r="D13599">
        <f t="shared" si="443"/>
        <v>-0.13110729898356976</v>
      </c>
    </row>
    <row r="13600" spans="1:4">
      <c r="A13600" s="1">
        <v>38007</v>
      </c>
      <c r="B13600">
        <v>1147.6199999999999</v>
      </c>
      <c r="C13600">
        <f t="shared" si="444"/>
        <v>7.7715429805842347E-3</v>
      </c>
      <c r="D13600">
        <f t="shared" si="443"/>
        <v>0.78776880013841544</v>
      </c>
    </row>
    <row r="13601" spans="1:4">
      <c r="A13601" s="1">
        <v>38008</v>
      </c>
      <c r="B13601">
        <v>1143.94</v>
      </c>
      <c r="C13601">
        <f t="shared" si="444"/>
        <v>-3.206636343040237E-3</v>
      </c>
      <c r="D13601">
        <f t="shared" si="443"/>
        <v>-0.3715232047718644</v>
      </c>
    </row>
    <row r="13602" spans="1:4">
      <c r="A13602" s="1">
        <v>38009</v>
      </c>
      <c r="B13602">
        <v>1141.55</v>
      </c>
      <c r="C13602">
        <f t="shared" si="444"/>
        <v>-2.0892704162806617E-3</v>
      </c>
      <c r="D13602">
        <f t="shared" si="443"/>
        <v>-0.25352974271718581</v>
      </c>
    </row>
    <row r="13603" spans="1:4">
      <c r="A13603" s="1">
        <v>38012</v>
      </c>
      <c r="B13603">
        <v>1155.3699999999999</v>
      </c>
      <c r="C13603">
        <f t="shared" si="444"/>
        <v>1.2106346633962539E-2</v>
      </c>
      <c r="D13603">
        <f t="shared" si="443"/>
        <v>1.2455225924638105</v>
      </c>
    </row>
    <row r="13604" spans="1:4">
      <c r="A13604" s="1">
        <v>38013</v>
      </c>
      <c r="B13604">
        <v>1144.05</v>
      </c>
      <c r="C13604">
        <f t="shared" si="444"/>
        <v>-9.797727135030283E-3</v>
      </c>
      <c r="D13604">
        <f t="shared" si="443"/>
        <v>-1.0675401519853966</v>
      </c>
    </row>
    <row r="13605" spans="1:4">
      <c r="A13605" s="1">
        <v>38014</v>
      </c>
      <c r="B13605">
        <v>1128.48</v>
      </c>
      <c r="C13605">
        <f t="shared" si="444"/>
        <v>-1.3609545037367193E-2</v>
      </c>
      <c r="D13605">
        <f t="shared" si="443"/>
        <v>-1.4700668267723145</v>
      </c>
    </row>
    <row r="13606" spans="1:4">
      <c r="A13606" s="1">
        <v>38015</v>
      </c>
      <c r="B13606">
        <v>1134.1099999999999</v>
      </c>
      <c r="C13606">
        <f t="shared" si="444"/>
        <v>4.9890117680418634E-3</v>
      </c>
      <c r="D13606">
        <f t="shared" si="443"/>
        <v>0.4939344499222556</v>
      </c>
    </row>
    <row r="13607" spans="1:4">
      <c r="A13607" s="1">
        <v>38016</v>
      </c>
      <c r="B13607">
        <v>1131.1300000000001</v>
      </c>
      <c r="C13607">
        <f t="shared" si="444"/>
        <v>-2.6276110782902816E-3</v>
      </c>
      <c r="D13607">
        <f t="shared" si="443"/>
        <v>-0.31037833363451961</v>
      </c>
    </row>
    <row r="13608" spans="1:4">
      <c r="A13608" s="1">
        <v>38019</v>
      </c>
      <c r="B13608">
        <v>1135.26</v>
      </c>
      <c r="C13608">
        <f t="shared" si="444"/>
        <v>3.6512160405964668E-3</v>
      </c>
      <c r="D13608">
        <f t="shared" si="443"/>
        <v>0.35266367584288416</v>
      </c>
    </row>
    <row r="13609" spans="1:4">
      <c r="A13609" s="1">
        <v>38020</v>
      </c>
      <c r="B13609">
        <v>1136.03</v>
      </c>
      <c r="C13609">
        <f t="shared" si="444"/>
        <v>6.7825872487358124E-4</v>
      </c>
      <c r="D13609">
        <f t="shared" si="443"/>
        <v>3.8720393859839483E-2</v>
      </c>
    </row>
    <row r="13610" spans="1:4">
      <c r="A13610" s="1">
        <v>38021</v>
      </c>
      <c r="B13610">
        <v>1126.52</v>
      </c>
      <c r="C13610">
        <f t="shared" si="444"/>
        <v>-8.3712578012904507E-3</v>
      </c>
      <c r="D13610">
        <f t="shared" si="443"/>
        <v>-0.91690547522295596</v>
      </c>
    </row>
    <row r="13611" spans="1:4">
      <c r="A13611" s="1">
        <v>38022</v>
      </c>
      <c r="B13611">
        <v>1128.5899999999999</v>
      </c>
      <c r="C13611">
        <f t="shared" si="444"/>
        <v>1.837517309945617E-3</v>
      </c>
      <c r="D13611">
        <f t="shared" si="443"/>
        <v>0.16113770639230746</v>
      </c>
    </row>
    <row r="13612" spans="1:4">
      <c r="A13612" s="1">
        <v>38023</v>
      </c>
      <c r="B13612">
        <v>1142.76</v>
      </c>
      <c r="C13612">
        <f t="shared" si="444"/>
        <v>1.255548959320929E-2</v>
      </c>
      <c r="D13612">
        <f t="shared" si="443"/>
        <v>1.2929519362891575</v>
      </c>
    </row>
    <row r="13613" spans="1:4">
      <c r="A13613" s="1">
        <v>38026</v>
      </c>
      <c r="B13613">
        <v>1139.81</v>
      </c>
      <c r="C13613">
        <f t="shared" si="444"/>
        <v>-2.5814694249011562E-3</v>
      </c>
      <c r="D13613">
        <f t="shared" si="443"/>
        <v>-0.30550579072093803</v>
      </c>
    </row>
    <row r="13614" spans="1:4">
      <c r="A13614" s="1">
        <v>38027</v>
      </c>
      <c r="B13614">
        <v>1145.54</v>
      </c>
      <c r="C13614">
        <f t="shared" si="444"/>
        <v>5.0271536484151032E-3</v>
      </c>
      <c r="D13614">
        <f t="shared" si="443"/>
        <v>0.49796221952461461</v>
      </c>
    </row>
    <row r="13615" spans="1:4">
      <c r="A13615" s="1">
        <v>38028</v>
      </c>
      <c r="B13615">
        <v>1157.76</v>
      </c>
      <c r="C13615">
        <f t="shared" si="444"/>
        <v>1.0667458142011652E-2</v>
      </c>
      <c r="D13615">
        <f t="shared" si="443"/>
        <v>1.0935764568157593</v>
      </c>
    </row>
    <row r="13616" spans="1:4">
      <c r="A13616" s="1">
        <v>38029</v>
      </c>
      <c r="B13616">
        <v>1152.1099999999999</v>
      </c>
      <c r="C13616">
        <f t="shared" si="444"/>
        <v>-4.8801133222775798E-3</v>
      </c>
      <c r="D13616">
        <f t="shared" si="443"/>
        <v>-0.54824180493686392</v>
      </c>
    </row>
    <row r="13617" spans="1:4">
      <c r="A13617" s="1">
        <v>38030</v>
      </c>
      <c r="B13617">
        <v>1145.81</v>
      </c>
      <c r="C13617">
        <f t="shared" si="444"/>
        <v>-5.4682278601869225E-3</v>
      </c>
      <c r="D13617">
        <f t="shared" si="443"/>
        <v>-0.61034650023024606</v>
      </c>
    </row>
    <row r="13618" spans="1:4">
      <c r="A13618" s="1">
        <v>38034</v>
      </c>
      <c r="B13618">
        <v>1156.99</v>
      </c>
      <c r="C13618">
        <f t="shared" si="444"/>
        <v>9.7572896029883352E-3</v>
      </c>
      <c r="D13618">
        <f t="shared" si="443"/>
        <v>0.99746296847621563</v>
      </c>
    </row>
    <row r="13619" spans="1:4">
      <c r="A13619" s="1">
        <v>38035</v>
      </c>
      <c r="B13619">
        <v>1151.82</v>
      </c>
      <c r="C13619">
        <f t="shared" si="444"/>
        <v>-4.4684915167806745E-3</v>
      </c>
      <c r="D13619">
        <f t="shared" si="443"/>
        <v>-0.50477468219344068</v>
      </c>
    </row>
    <row r="13620" spans="1:4">
      <c r="A13620" s="1">
        <v>38036</v>
      </c>
      <c r="B13620">
        <v>1147.06</v>
      </c>
      <c r="C13620">
        <f t="shared" si="444"/>
        <v>-4.1325901616571957E-3</v>
      </c>
      <c r="D13620">
        <f t="shared" si="443"/>
        <v>-0.46930361327081954</v>
      </c>
    </row>
    <row r="13621" spans="1:4">
      <c r="A13621" s="1">
        <v>38037</v>
      </c>
      <c r="B13621">
        <v>1144.1099999999999</v>
      </c>
      <c r="C13621">
        <f t="shared" si="444"/>
        <v>-2.571792234059287E-3</v>
      </c>
      <c r="D13621">
        <f t="shared" si="443"/>
        <v>-0.30448388265747361</v>
      </c>
    </row>
    <row r="13622" spans="1:4">
      <c r="A13622" s="1">
        <v>38040</v>
      </c>
      <c r="B13622">
        <v>1140.99</v>
      </c>
      <c r="C13622">
        <f t="shared" si="444"/>
        <v>-2.7270105147231393E-3</v>
      </c>
      <c r="D13622">
        <f t="shared" si="443"/>
        <v>-0.32087488033431927</v>
      </c>
    </row>
    <row r="13623" spans="1:4">
      <c r="A13623" s="1">
        <v>38041</v>
      </c>
      <c r="B13623">
        <v>1139.0899999999999</v>
      </c>
      <c r="C13623">
        <f t="shared" si="444"/>
        <v>-1.6652205540803084E-3</v>
      </c>
      <c r="D13623">
        <f t="shared" si="443"/>
        <v>-0.20875022141038016</v>
      </c>
    </row>
    <row r="13624" spans="1:4">
      <c r="A13624" s="1">
        <v>38042</v>
      </c>
      <c r="B13624">
        <v>1143.67</v>
      </c>
      <c r="C13624">
        <f t="shared" si="444"/>
        <v>4.0207534084226483E-3</v>
      </c>
      <c r="D13624">
        <f t="shared" si="443"/>
        <v>0.39168669627347441</v>
      </c>
    </row>
    <row r="13625" spans="1:4">
      <c r="A13625" s="1">
        <v>38043</v>
      </c>
      <c r="B13625">
        <v>1144.9100000000001</v>
      </c>
      <c r="C13625">
        <f t="shared" si="444"/>
        <v>1.0842288422359676E-3</v>
      </c>
      <c r="D13625">
        <f t="shared" si="443"/>
        <v>8.1590700257359719E-2</v>
      </c>
    </row>
    <row r="13626" spans="1:4">
      <c r="A13626" s="1">
        <v>38044</v>
      </c>
      <c r="B13626">
        <v>1144.94</v>
      </c>
      <c r="C13626">
        <f t="shared" si="444"/>
        <v>2.6202932981607909E-5</v>
      </c>
      <c r="D13626">
        <f t="shared" si="443"/>
        <v>-3.0136476119420084E-2</v>
      </c>
    </row>
    <row r="13627" spans="1:4">
      <c r="A13627" s="1">
        <v>38047</v>
      </c>
      <c r="B13627">
        <v>1155.97</v>
      </c>
      <c r="C13627">
        <f t="shared" si="444"/>
        <v>9.6336925952451406E-3</v>
      </c>
      <c r="D13627">
        <f t="shared" si="443"/>
        <v>0.98441116647119842</v>
      </c>
    </row>
    <row r="13628" spans="1:4">
      <c r="A13628" s="1">
        <v>38048</v>
      </c>
      <c r="B13628">
        <v>1149.0999999999999</v>
      </c>
      <c r="C13628">
        <f t="shared" si="444"/>
        <v>-5.9430608060763845E-3</v>
      </c>
      <c r="D13628">
        <f t="shared" si="443"/>
        <v>-0.66048869791261267</v>
      </c>
    </row>
    <row r="13629" spans="1:4">
      <c r="A13629" s="1">
        <v>38049</v>
      </c>
      <c r="B13629">
        <v>1151.03</v>
      </c>
      <c r="C13629">
        <f t="shared" si="444"/>
        <v>1.6795753198155633E-3</v>
      </c>
      <c r="D13629">
        <f t="shared" si="443"/>
        <v>0.14445908592166473</v>
      </c>
    </row>
    <row r="13630" spans="1:4">
      <c r="A13630" s="1">
        <v>38050</v>
      </c>
      <c r="B13630">
        <v>1154.8699999999999</v>
      </c>
      <c r="C13630">
        <f t="shared" si="444"/>
        <v>3.3361424115791231E-3</v>
      </c>
      <c r="D13630">
        <f t="shared" si="443"/>
        <v>0.3193920077173828</v>
      </c>
    </row>
    <row r="13631" spans="1:4">
      <c r="A13631" s="1">
        <v>38051</v>
      </c>
      <c r="B13631">
        <v>1156.8599999999999</v>
      </c>
      <c r="C13631">
        <f t="shared" si="444"/>
        <v>1.7231376691748935E-3</v>
      </c>
      <c r="D13631">
        <f t="shared" si="443"/>
        <v>0.149059255206448</v>
      </c>
    </row>
    <row r="13632" spans="1:4">
      <c r="A13632" s="1">
        <v>38054</v>
      </c>
      <c r="B13632">
        <v>1147.2</v>
      </c>
      <c r="C13632">
        <f t="shared" si="444"/>
        <v>-8.3501893055338196E-3</v>
      </c>
      <c r="D13632">
        <f t="shared" si="443"/>
        <v>-0.91468064923258541</v>
      </c>
    </row>
    <row r="13633" spans="1:4">
      <c r="A13633" s="1">
        <v>38055</v>
      </c>
      <c r="B13633">
        <v>1140.58</v>
      </c>
      <c r="C13633">
        <f t="shared" si="444"/>
        <v>-5.7705718270572859E-3</v>
      </c>
      <c r="D13633">
        <f t="shared" si="443"/>
        <v>-0.6422739203600486</v>
      </c>
    </row>
    <row r="13634" spans="1:4">
      <c r="A13634" s="1">
        <v>38056</v>
      </c>
      <c r="B13634">
        <v>1123.8900000000001</v>
      </c>
      <c r="C13634">
        <f t="shared" si="444"/>
        <v>-1.463290606533503E-2</v>
      </c>
      <c r="D13634">
        <f t="shared" si="443"/>
        <v>-1.5781334034684031</v>
      </c>
    </row>
    <row r="13635" spans="1:4">
      <c r="A13635" s="1">
        <v>38057</v>
      </c>
      <c r="B13635">
        <v>1106.78</v>
      </c>
      <c r="C13635">
        <f t="shared" si="444"/>
        <v>-1.5223909813238063E-2</v>
      </c>
      <c r="D13635">
        <f t="shared" ref="D13635:D13698" si="445">(C13635-avg)/sd</f>
        <v>-1.6405431983550287</v>
      </c>
    </row>
    <row r="13636" spans="1:4">
      <c r="A13636" s="1">
        <v>38058</v>
      </c>
      <c r="B13636">
        <v>1120.57</v>
      </c>
      <c r="C13636">
        <f t="shared" ref="C13636:C13699" si="446">(B13636-B13635)/B13635</f>
        <v>1.2459567393700613E-2</v>
      </c>
      <c r="D13636">
        <f t="shared" si="445"/>
        <v>1.2828225846265811</v>
      </c>
    </row>
    <row r="13637" spans="1:4">
      <c r="A13637" s="1">
        <v>38061</v>
      </c>
      <c r="B13637">
        <v>1104.49</v>
      </c>
      <c r="C13637">
        <f t="shared" si="446"/>
        <v>-1.4349839813666195E-2</v>
      </c>
      <c r="D13637">
        <f t="shared" si="445"/>
        <v>-1.548241703511068</v>
      </c>
    </row>
    <row r="13638" spans="1:4">
      <c r="A13638" s="1">
        <v>38062</v>
      </c>
      <c r="B13638">
        <v>1110.7</v>
      </c>
      <c r="C13638">
        <f t="shared" si="446"/>
        <v>5.6225045043414032E-3</v>
      </c>
      <c r="D13638">
        <f t="shared" si="445"/>
        <v>0.56083106754084333</v>
      </c>
    </row>
    <row r="13639" spans="1:4">
      <c r="A13639" s="1">
        <v>38063</v>
      </c>
      <c r="B13639">
        <v>1123.75</v>
      </c>
      <c r="C13639">
        <f t="shared" si="446"/>
        <v>1.1749347258485598E-2</v>
      </c>
      <c r="D13639">
        <f t="shared" si="445"/>
        <v>1.2078235797634291</v>
      </c>
    </row>
    <row r="13640" spans="1:4">
      <c r="A13640" s="1">
        <v>38064</v>
      </c>
      <c r="B13640">
        <v>1122.32</v>
      </c>
      <c r="C13640">
        <f t="shared" si="446"/>
        <v>-1.272525027808733E-3</v>
      </c>
      <c r="D13640">
        <f t="shared" si="445"/>
        <v>-0.1672817073197968</v>
      </c>
    </row>
    <row r="13641" spans="1:4">
      <c r="A13641" s="1">
        <v>38065</v>
      </c>
      <c r="B13641">
        <v>1109.78</v>
      </c>
      <c r="C13641">
        <f t="shared" si="446"/>
        <v>-1.1173283911896753E-2</v>
      </c>
      <c r="D13641">
        <f t="shared" si="445"/>
        <v>-1.2127984800480291</v>
      </c>
    </row>
    <row r="13642" spans="1:4">
      <c r="A13642" s="1">
        <v>38068</v>
      </c>
      <c r="B13642">
        <v>1095.4000000000001</v>
      </c>
      <c r="C13642">
        <f t="shared" si="446"/>
        <v>-1.2957523112688895E-2</v>
      </c>
      <c r="D13642">
        <f t="shared" si="445"/>
        <v>-1.401213533159307</v>
      </c>
    </row>
    <row r="13643" spans="1:4">
      <c r="A13643" s="1">
        <v>38069</v>
      </c>
      <c r="B13643">
        <v>1093.95</v>
      </c>
      <c r="C13643">
        <f t="shared" si="446"/>
        <v>-1.3237173635202166E-3</v>
      </c>
      <c r="D13643">
        <f t="shared" si="445"/>
        <v>-0.17268760056980909</v>
      </c>
    </row>
    <row r="13644" spans="1:4">
      <c r="A13644" s="1">
        <v>38070</v>
      </c>
      <c r="B13644">
        <v>1091.33</v>
      </c>
      <c r="C13644">
        <f t="shared" si="446"/>
        <v>-2.394990630284856E-3</v>
      </c>
      <c r="D13644">
        <f t="shared" si="445"/>
        <v>-0.28581369339667884</v>
      </c>
    </row>
    <row r="13645" spans="1:4">
      <c r="A13645" s="1">
        <v>38071</v>
      </c>
      <c r="B13645">
        <v>1109.19</v>
      </c>
      <c r="C13645">
        <f t="shared" si="446"/>
        <v>1.6365352368211381E-2</v>
      </c>
      <c r="D13645">
        <f t="shared" si="445"/>
        <v>1.6952721502940984</v>
      </c>
    </row>
    <row r="13646" spans="1:4">
      <c r="A13646" s="1">
        <v>38072</v>
      </c>
      <c r="B13646">
        <v>1108.06</v>
      </c>
      <c r="C13646">
        <f t="shared" si="446"/>
        <v>-1.0187614385273119E-3</v>
      </c>
      <c r="D13646">
        <f t="shared" si="445"/>
        <v>-0.14048435855011382</v>
      </c>
    </row>
    <row r="13647" spans="1:4">
      <c r="A13647" s="1">
        <v>38075</v>
      </c>
      <c r="B13647">
        <v>1122.47</v>
      </c>
      <c r="C13647">
        <f t="shared" si="446"/>
        <v>1.3004710936230965E-2</v>
      </c>
      <c r="D13647">
        <f t="shared" si="445"/>
        <v>1.3403895574144928</v>
      </c>
    </row>
    <row r="13648" spans="1:4">
      <c r="A13648" s="1">
        <v>38076</v>
      </c>
      <c r="B13648">
        <v>1127</v>
      </c>
      <c r="C13648">
        <f t="shared" si="446"/>
        <v>4.0357426033657672E-3</v>
      </c>
      <c r="D13648">
        <f t="shared" si="445"/>
        <v>0.39326955016439286</v>
      </c>
    </row>
    <row r="13649" spans="1:4">
      <c r="A13649" s="1">
        <v>38077</v>
      </c>
      <c r="B13649">
        <v>1126.21</v>
      </c>
      <c r="C13649">
        <f t="shared" si="446"/>
        <v>-7.0097604259091719E-4</v>
      </c>
      <c r="D13649">
        <f t="shared" si="445"/>
        <v>-0.10692632875973507</v>
      </c>
    </row>
    <row r="13650" spans="1:4">
      <c r="A13650" s="1">
        <v>38078</v>
      </c>
      <c r="B13650">
        <v>1132.17</v>
      </c>
      <c r="C13650">
        <f t="shared" si="446"/>
        <v>5.2920858454462635E-3</v>
      </c>
      <c r="D13650">
        <f t="shared" si="445"/>
        <v>0.52593896947627583</v>
      </c>
    </row>
    <row r="13651" spans="1:4">
      <c r="A13651" s="1">
        <v>38079</v>
      </c>
      <c r="B13651">
        <v>1141.81</v>
      </c>
      <c r="C13651">
        <f t="shared" si="446"/>
        <v>8.5146223623659631E-3</v>
      </c>
      <c r="D13651">
        <f t="shared" si="445"/>
        <v>0.86623773026961171</v>
      </c>
    </row>
    <row r="13652" spans="1:4">
      <c r="A13652" s="1">
        <v>38082</v>
      </c>
      <c r="B13652">
        <v>1150.57</v>
      </c>
      <c r="C13652">
        <f t="shared" si="446"/>
        <v>7.6720294970266433E-3</v>
      </c>
      <c r="D13652">
        <f t="shared" si="445"/>
        <v>0.77726021010101032</v>
      </c>
    </row>
    <row r="13653" spans="1:4">
      <c r="A13653" s="1">
        <v>38083</v>
      </c>
      <c r="B13653">
        <v>1148.1600000000001</v>
      </c>
      <c r="C13653">
        <f t="shared" si="446"/>
        <v>-2.0946139739432233E-3</v>
      </c>
      <c r="D13653">
        <f t="shared" si="445"/>
        <v>-0.25409402058998881</v>
      </c>
    </row>
    <row r="13654" spans="1:4">
      <c r="A13654" s="1">
        <v>38084</v>
      </c>
      <c r="B13654">
        <v>1140.53</v>
      </c>
      <c r="C13654">
        <f t="shared" si="446"/>
        <v>-6.6454152731327586E-3</v>
      </c>
      <c r="D13654">
        <f t="shared" si="445"/>
        <v>-0.73465709089188258</v>
      </c>
    </row>
    <row r="13655" spans="1:4">
      <c r="A13655" s="1">
        <v>38085</v>
      </c>
      <c r="B13655">
        <v>1139.32</v>
      </c>
      <c r="C13655">
        <f t="shared" si="446"/>
        <v>-1.0609102785547389E-3</v>
      </c>
      <c r="D13655">
        <f t="shared" si="445"/>
        <v>-0.14493526172992327</v>
      </c>
    </row>
    <row r="13656" spans="1:4">
      <c r="A13656" s="1">
        <v>38089</v>
      </c>
      <c r="B13656">
        <v>1145.2</v>
      </c>
      <c r="C13656">
        <f t="shared" si="446"/>
        <v>5.1609732120915189E-3</v>
      </c>
      <c r="D13656">
        <f t="shared" si="445"/>
        <v>0.51209351996136432</v>
      </c>
    </row>
    <row r="13657" spans="1:4">
      <c r="A13657" s="1">
        <v>38090</v>
      </c>
      <c r="B13657">
        <v>1129.44</v>
      </c>
      <c r="C13657">
        <f t="shared" si="446"/>
        <v>-1.3761788333915465E-2</v>
      </c>
      <c r="D13657">
        <f t="shared" si="445"/>
        <v>-1.486143667137801</v>
      </c>
    </row>
    <row r="13658" spans="1:4">
      <c r="A13658" s="1">
        <v>38091</v>
      </c>
      <c r="B13658">
        <v>1128.17</v>
      </c>
      <c r="C13658">
        <f t="shared" si="446"/>
        <v>-1.1244510553902658E-3</v>
      </c>
      <c r="D13658">
        <f t="shared" si="445"/>
        <v>-0.15164514616519545</v>
      </c>
    </row>
    <row r="13659" spans="1:4">
      <c r="A13659" s="1">
        <v>38092</v>
      </c>
      <c r="B13659">
        <v>1128.8399999999999</v>
      </c>
      <c r="C13659">
        <f t="shared" si="446"/>
        <v>5.938821276933843E-4</v>
      </c>
      <c r="D13659">
        <f t="shared" si="445"/>
        <v>2.9810253878609607E-2</v>
      </c>
    </row>
    <row r="13660" spans="1:4">
      <c r="A13660" s="1">
        <v>38093</v>
      </c>
      <c r="B13660">
        <v>1134.6099999999999</v>
      </c>
      <c r="C13660">
        <f t="shared" si="446"/>
        <v>5.1114418340951614E-3</v>
      </c>
      <c r="D13660">
        <f t="shared" si="445"/>
        <v>0.50686302328148236</v>
      </c>
    </row>
    <row r="13661" spans="1:4">
      <c r="A13661" s="1">
        <v>38096</v>
      </c>
      <c r="B13661">
        <v>1135.82</v>
      </c>
      <c r="C13661">
        <f t="shared" si="446"/>
        <v>1.0664457390645566E-3</v>
      </c>
      <c r="D13661">
        <f t="shared" si="445"/>
        <v>7.9712810607229179E-2</v>
      </c>
    </row>
    <row r="13662" spans="1:4">
      <c r="A13662" s="1">
        <v>38097</v>
      </c>
      <c r="B13662">
        <v>1118.1500000000001</v>
      </c>
      <c r="C13662">
        <f t="shared" si="446"/>
        <v>-1.5557042489126663E-2</v>
      </c>
      <c r="D13662">
        <f t="shared" si="445"/>
        <v>-1.6757218956915665</v>
      </c>
    </row>
    <row r="13663" spans="1:4">
      <c r="A13663" s="1">
        <v>38098</v>
      </c>
      <c r="B13663">
        <v>1124.0899999999999</v>
      </c>
      <c r="C13663">
        <f t="shared" si="446"/>
        <v>5.3123462862762838E-3</v>
      </c>
      <c r="D13663">
        <f t="shared" si="445"/>
        <v>0.5280784651410676</v>
      </c>
    </row>
    <row r="13664" spans="1:4">
      <c r="A13664" s="1">
        <v>38099</v>
      </c>
      <c r="B13664">
        <v>1139.93</v>
      </c>
      <c r="C13664">
        <f t="shared" si="446"/>
        <v>1.409139837557504E-2</v>
      </c>
      <c r="D13664">
        <f t="shared" si="445"/>
        <v>1.4551433816262189</v>
      </c>
    </row>
    <row r="13665" spans="1:4">
      <c r="A13665" s="1">
        <v>38100</v>
      </c>
      <c r="B13665">
        <v>1140.5999999999999</v>
      </c>
      <c r="C13665">
        <f t="shared" si="446"/>
        <v>5.8775538848863116E-4</v>
      </c>
      <c r="D13665">
        <f t="shared" si="445"/>
        <v>2.9163272301167519E-2</v>
      </c>
    </row>
    <row r="13666" spans="1:4">
      <c r="A13666" s="1">
        <v>38103</v>
      </c>
      <c r="B13666">
        <v>1135.53</v>
      </c>
      <c r="C13666">
        <f t="shared" si="446"/>
        <v>-4.4450289321409228E-3</v>
      </c>
      <c r="D13666">
        <f t="shared" si="445"/>
        <v>-0.50229704123080288</v>
      </c>
    </row>
    <row r="13667" spans="1:4">
      <c r="A13667" s="1">
        <v>38104</v>
      </c>
      <c r="B13667">
        <v>1138.1099999999999</v>
      </c>
      <c r="C13667">
        <f t="shared" si="446"/>
        <v>2.2720667881957566E-3</v>
      </c>
      <c r="D13667">
        <f t="shared" si="445"/>
        <v>0.20702598358497765</v>
      </c>
    </row>
    <row r="13668" spans="1:4">
      <c r="A13668" s="1">
        <v>38105</v>
      </c>
      <c r="B13668">
        <v>1122.4100000000001</v>
      </c>
      <c r="C13668">
        <f t="shared" si="446"/>
        <v>-1.3794800151127589E-2</v>
      </c>
      <c r="D13668">
        <f t="shared" si="445"/>
        <v>-1.4896297038141395</v>
      </c>
    </row>
    <row r="13669" spans="1:4">
      <c r="A13669" s="1">
        <v>38106</v>
      </c>
      <c r="B13669">
        <v>1113.8900000000001</v>
      </c>
      <c r="C13669">
        <f t="shared" si="446"/>
        <v>-7.5908090626419771E-3</v>
      </c>
      <c r="D13669">
        <f t="shared" si="445"/>
        <v>-0.83449035370909308</v>
      </c>
    </row>
    <row r="13670" spans="1:4">
      <c r="A13670" s="1">
        <v>38107</v>
      </c>
      <c r="B13670">
        <v>1107.3</v>
      </c>
      <c r="C13670">
        <f t="shared" si="446"/>
        <v>-5.9162035748594067E-3</v>
      </c>
      <c r="D13670">
        <f t="shared" si="445"/>
        <v>-0.65765258342531629</v>
      </c>
    </row>
    <row r="13671" spans="1:4">
      <c r="A13671" s="1">
        <v>38110</v>
      </c>
      <c r="B13671">
        <v>1117.49</v>
      </c>
      <c r="C13671">
        <f t="shared" si="446"/>
        <v>9.2025647972546337E-3</v>
      </c>
      <c r="D13671">
        <f t="shared" si="445"/>
        <v>0.93888421755085982</v>
      </c>
    </row>
    <row r="13672" spans="1:4">
      <c r="A13672" s="1">
        <v>38111</v>
      </c>
      <c r="B13672">
        <v>1119.55</v>
      </c>
      <c r="C13672">
        <f t="shared" si="446"/>
        <v>1.8434169433283031E-3</v>
      </c>
      <c r="D13672">
        <f t="shared" si="445"/>
        <v>0.16176070567213627</v>
      </c>
    </row>
    <row r="13673" spans="1:4">
      <c r="A13673" s="1">
        <v>38112</v>
      </c>
      <c r="B13673">
        <v>1121.53</v>
      </c>
      <c r="C13673">
        <f t="shared" si="446"/>
        <v>1.7685677281050584E-3</v>
      </c>
      <c r="D13673">
        <f t="shared" si="445"/>
        <v>0.15385665398704607</v>
      </c>
    </row>
    <row r="13674" spans="1:4">
      <c r="A13674" s="1">
        <v>38113</v>
      </c>
      <c r="B13674">
        <v>1113.99</v>
      </c>
      <c r="C13674">
        <f t="shared" si="446"/>
        <v>-6.7229588151899314E-3</v>
      </c>
      <c r="D13674">
        <f t="shared" si="445"/>
        <v>-0.74284566257478934</v>
      </c>
    </row>
    <row r="13675" spans="1:4">
      <c r="A13675" s="1">
        <v>38114</v>
      </c>
      <c r="B13675">
        <v>1098.7</v>
      </c>
      <c r="C13675">
        <f t="shared" si="446"/>
        <v>-1.3725437391718026E-2</v>
      </c>
      <c r="D13675">
        <f t="shared" si="445"/>
        <v>-1.4823050199980372</v>
      </c>
    </row>
    <row r="13676" spans="1:4">
      <c r="A13676" s="1">
        <v>38117</v>
      </c>
      <c r="B13676">
        <v>1087.1199999999999</v>
      </c>
      <c r="C13676">
        <f t="shared" si="446"/>
        <v>-1.0539728770365117E-2</v>
      </c>
      <c r="D13676">
        <f t="shared" si="445"/>
        <v>-1.1458952724581446</v>
      </c>
    </row>
    <row r="13677" spans="1:4">
      <c r="A13677" s="1">
        <v>38118</v>
      </c>
      <c r="B13677">
        <v>1095.45</v>
      </c>
      <c r="C13677">
        <f t="shared" si="446"/>
        <v>7.6624475678859329E-3</v>
      </c>
      <c r="D13677">
        <f t="shared" si="445"/>
        <v>0.77624836164080735</v>
      </c>
    </row>
    <row r="13678" spans="1:4">
      <c r="A13678" s="1">
        <v>38119</v>
      </c>
      <c r="B13678">
        <v>1097.28</v>
      </c>
      <c r="C13678">
        <f t="shared" si="446"/>
        <v>1.6705463508146672E-3</v>
      </c>
      <c r="D13678">
        <f t="shared" si="445"/>
        <v>0.14350562986426579</v>
      </c>
    </row>
    <row r="13679" spans="1:4">
      <c r="A13679" s="1">
        <v>38120</v>
      </c>
      <c r="B13679">
        <v>1096.44</v>
      </c>
      <c r="C13679">
        <f t="shared" si="446"/>
        <v>-7.6552930883632092E-4</v>
      </c>
      <c r="D13679">
        <f t="shared" si="445"/>
        <v>-0.11374313173252835</v>
      </c>
    </row>
    <row r="13680" spans="1:4">
      <c r="A13680" s="1">
        <v>38121</v>
      </c>
      <c r="B13680">
        <v>1095.7</v>
      </c>
      <c r="C13680">
        <f t="shared" si="446"/>
        <v>-6.7491153186677712E-4</v>
      </c>
      <c r="D13680">
        <f t="shared" si="445"/>
        <v>-0.10417392528702356</v>
      </c>
    </row>
    <row r="13681" spans="1:4">
      <c r="A13681" s="1">
        <v>38124</v>
      </c>
      <c r="B13681">
        <v>1084.0999999999999</v>
      </c>
      <c r="C13681">
        <f t="shared" si="446"/>
        <v>-1.0586839463356883E-2</v>
      </c>
      <c r="D13681">
        <f t="shared" si="445"/>
        <v>-1.1508701456243724</v>
      </c>
    </row>
    <row r="13682" spans="1:4">
      <c r="A13682" s="1">
        <v>38125</v>
      </c>
      <c r="B13682">
        <v>1091.49</v>
      </c>
      <c r="C13682">
        <f t="shared" si="446"/>
        <v>6.8167143252468414E-3</v>
      </c>
      <c r="D13682">
        <f t="shared" si="445"/>
        <v>0.68693921869681629</v>
      </c>
    </row>
    <row r="13683" spans="1:4">
      <c r="A13683" s="1">
        <v>38126</v>
      </c>
      <c r="B13683">
        <v>1088.68</v>
      </c>
      <c r="C13683">
        <f t="shared" si="446"/>
        <v>-2.5744624320881964E-3</v>
      </c>
      <c r="D13683">
        <f t="shared" si="445"/>
        <v>-0.30476585466168205</v>
      </c>
    </row>
    <row r="13684" spans="1:4">
      <c r="A13684" s="1">
        <v>38127</v>
      </c>
      <c r="B13684">
        <v>1089.19</v>
      </c>
      <c r="C13684">
        <f t="shared" si="446"/>
        <v>4.6845721424109094E-4</v>
      </c>
      <c r="D13684">
        <f t="shared" si="445"/>
        <v>1.6565425652046988E-2</v>
      </c>
    </row>
    <row r="13685" spans="1:4">
      <c r="A13685" s="1">
        <v>38128</v>
      </c>
      <c r="B13685">
        <v>1093.56</v>
      </c>
      <c r="C13685">
        <f t="shared" si="446"/>
        <v>4.0121558222164094E-3</v>
      </c>
      <c r="D13685">
        <f t="shared" si="445"/>
        <v>0.39077879409255711</v>
      </c>
    </row>
    <row r="13686" spans="1:4">
      <c r="A13686" s="1">
        <v>38131</v>
      </c>
      <c r="B13686">
        <v>1095.4100000000001</v>
      </c>
      <c r="C13686">
        <f t="shared" si="446"/>
        <v>1.6917224477853402E-3</v>
      </c>
      <c r="D13686">
        <f t="shared" si="445"/>
        <v>0.14574181850626375</v>
      </c>
    </row>
    <row r="13687" spans="1:4">
      <c r="A13687" s="1">
        <v>38132</v>
      </c>
      <c r="B13687">
        <v>1113.05</v>
      </c>
      <c r="C13687">
        <f t="shared" si="446"/>
        <v>1.6103559397850915E-2</v>
      </c>
      <c r="D13687">
        <f t="shared" si="445"/>
        <v>1.6676269016117875</v>
      </c>
    </row>
    <row r="13688" spans="1:4">
      <c r="A13688" s="1">
        <v>38133</v>
      </c>
      <c r="B13688">
        <v>1114.94</v>
      </c>
      <c r="C13688">
        <f t="shared" si="446"/>
        <v>1.6980369255649792E-3</v>
      </c>
      <c r="D13688">
        <f t="shared" si="445"/>
        <v>0.14640862521339837</v>
      </c>
    </row>
    <row r="13689" spans="1:4">
      <c r="A13689" s="1">
        <v>38134</v>
      </c>
      <c r="B13689">
        <v>1121.28</v>
      </c>
      <c r="C13689">
        <f t="shared" si="446"/>
        <v>5.686404649577482E-3</v>
      </c>
      <c r="D13689">
        <f t="shared" si="445"/>
        <v>0.56757890115705856</v>
      </c>
    </row>
    <row r="13690" spans="1:4">
      <c r="A13690" s="1">
        <v>38135</v>
      </c>
      <c r="B13690">
        <v>1120.68</v>
      </c>
      <c r="C13690">
        <f t="shared" si="446"/>
        <v>-5.3510273972594627E-4</v>
      </c>
      <c r="D13690">
        <f t="shared" si="445"/>
        <v>-8.9410164360269287E-2</v>
      </c>
    </row>
    <row r="13691" spans="1:4">
      <c r="A13691" s="1">
        <v>38139</v>
      </c>
      <c r="B13691">
        <v>1121.2</v>
      </c>
      <c r="C13691">
        <f t="shared" si="446"/>
        <v>4.6400399757288589E-4</v>
      </c>
      <c r="D13691">
        <f t="shared" si="445"/>
        <v>1.6095167485606431E-2</v>
      </c>
    </row>
    <row r="13692" spans="1:4">
      <c r="A13692" s="1">
        <v>38140</v>
      </c>
      <c r="B13692">
        <v>1124.99</v>
      </c>
      <c r="C13692">
        <f t="shared" si="446"/>
        <v>3.3803068141276876E-3</v>
      </c>
      <c r="D13692">
        <f t="shared" si="445"/>
        <v>0.32405575361430139</v>
      </c>
    </row>
    <row r="13693" spans="1:4">
      <c r="A13693" s="1">
        <v>38141</v>
      </c>
      <c r="B13693">
        <v>1116.6400000000001</v>
      </c>
      <c r="C13693">
        <f t="shared" si="446"/>
        <v>-7.4222881981172353E-3</v>
      </c>
      <c r="D13693">
        <f t="shared" si="445"/>
        <v>-0.81669460769830549</v>
      </c>
    </row>
    <row r="13694" spans="1:4">
      <c r="A13694" s="1">
        <v>38142</v>
      </c>
      <c r="B13694">
        <v>1122.5</v>
      </c>
      <c r="C13694">
        <f t="shared" si="446"/>
        <v>5.2478865166928458E-3</v>
      </c>
      <c r="D13694">
        <f t="shared" si="445"/>
        <v>0.52127153538399673</v>
      </c>
    </row>
    <row r="13695" spans="1:4">
      <c r="A13695" s="1">
        <v>38145</v>
      </c>
      <c r="B13695">
        <v>1140.42</v>
      </c>
      <c r="C13695">
        <f t="shared" si="446"/>
        <v>1.5964365256124786E-2</v>
      </c>
      <c r="D13695">
        <f t="shared" si="445"/>
        <v>1.652928047559896</v>
      </c>
    </row>
    <row r="13696" spans="1:4">
      <c r="A13696" s="1">
        <v>38146</v>
      </c>
      <c r="B13696">
        <v>1142.18</v>
      </c>
      <c r="C13696">
        <f t="shared" si="446"/>
        <v>1.5432910682029346E-3</v>
      </c>
      <c r="D13696">
        <f t="shared" si="445"/>
        <v>0.1300675152766391</v>
      </c>
    </row>
    <row r="13697" spans="1:4">
      <c r="A13697" s="1">
        <v>38147</v>
      </c>
      <c r="B13697">
        <v>1131.33</v>
      </c>
      <c r="C13697">
        <f t="shared" si="446"/>
        <v>-9.4993783816912716E-3</v>
      </c>
      <c r="D13697">
        <f t="shared" si="445"/>
        <v>-1.0360346250464656</v>
      </c>
    </row>
    <row r="13698" spans="1:4">
      <c r="A13698" s="1">
        <v>38148</v>
      </c>
      <c r="B13698">
        <v>1136.47</v>
      </c>
      <c r="C13698">
        <f t="shared" si="446"/>
        <v>4.5433251129202799E-3</v>
      </c>
      <c r="D13698">
        <f t="shared" si="445"/>
        <v>0.44687009063767125</v>
      </c>
    </row>
    <row r="13699" spans="1:4">
      <c r="A13699" s="1">
        <v>38152</v>
      </c>
      <c r="B13699">
        <v>1125.29</v>
      </c>
      <c r="C13699">
        <f t="shared" si="446"/>
        <v>-9.8374792119458182E-3</v>
      </c>
      <c r="D13699">
        <f t="shared" ref="D13699:D13762" si="447">(C13699-avg)/sd</f>
        <v>-1.0717379577952897</v>
      </c>
    </row>
    <row r="13700" spans="1:4">
      <c r="A13700" s="1">
        <v>38153</v>
      </c>
      <c r="B13700">
        <v>1132.01</v>
      </c>
      <c r="C13700">
        <f t="shared" ref="C13700:C13763" si="448">(B13700-B13699)/B13699</f>
        <v>5.9717939375627856E-3</v>
      </c>
      <c r="D13700">
        <f t="shared" si="447"/>
        <v>0.59771591295977422</v>
      </c>
    </row>
    <row r="13701" spans="1:4">
      <c r="A13701" s="1">
        <v>38154</v>
      </c>
      <c r="B13701">
        <v>1133.56</v>
      </c>
      <c r="C13701">
        <f t="shared" si="448"/>
        <v>1.3692458547185577E-3</v>
      </c>
      <c r="D13701">
        <f t="shared" si="447"/>
        <v>0.11168839989353144</v>
      </c>
    </row>
    <row r="13702" spans="1:4">
      <c r="A13702" s="1">
        <v>38155</v>
      </c>
      <c r="B13702">
        <v>1132.05</v>
      </c>
      <c r="C13702">
        <f t="shared" si="448"/>
        <v>-1.3320865238716883E-3</v>
      </c>
      <c r="D13702">
        <f t="shared" si="447"/>
        <v>-0.17357138105810868</v>
      </c>
    </row>
    <row r="13703" spans="1:4">
      <c r="A13703" s="1">
        <v>38156</v>
      </c>
      <c r="B13703">
        <v>1135.02</v>
      </c>
      <c r="C13703">
        <f t="shared" si="448"/>
        <v>2.6235590300782009E-3</v>
      </c>
      <c r="D13703">
        <f t="shared" si="447"/>
        <v>0.24414344484974559</v>
      </c>
    </row>
    <row r="13704" spans="1:4">
      <c r="A13704" s="1">
        <v>38159</v>
      </c>
      <c r="B13704">
        <v>1130.3</v>
      </c>
      <c r="C13704">
        <f t="shared" si="448"/>
        <v>-4.1585170305369311E-3</v>
      </c>
      <c r="D13704">
        <f t="shared" si="447"/>
        <v>-0.4720414818115487</v>
      </c>
    </row>
    <row r="13705" spans="1:4">
      <c r="A13705" s="1">
        <v>38160</v>
      </c>
      <c r="B13705">
        <v>1134.4100000000001</v>
      </c>
      <c r="C13705">
        <f t="shared" si="448"/>
        <v>3.6362027780236462E-3</v>
      </c>
      <c r="D13705">
        <f t="shared" si="447"/>
        <v>0.35107828041845018</v>
      </c>
    </row>
    <row r="13706" spans="1:4">
      <c r="A13706" s="1">
        <v>38161</v>
      </c>
      <c r="B13706">
        <v>1144.06</v>
      </c>
      <c r="C13706">
        <f t="shared" si="448"/>
        <v>8.5066245889932769E-3</v>
      </c>
      <c r="D13706">
        <f t="shared" si="447"/>
        <v>0.86539316812003131</v>
      </c>
    </row>
    <row r="13707" spans="1:4">
      <c r="A13707" s="1">
        <v>38162</v>
      </c>
      <c r="B13707">
        <v>1140.6500000000001</v>
      </c>
      <c r="C13707">
        <f t="shared" si="448"/>
        <v>-2.9806129049174471E-3</v>
      </c>
      <c r="D13707">
        <f t="shared" si="447"/>
        <v>-0.34765520653519733</v>
      </c>
    </row>
    <row r="13708" spans="1:4">
      <c r="A13708" s="1">
        <v>38163</v>
      </c>
      <c r="B13708">
        <v>1134.43</v>
      </c>
      <c r="C13708">
        <f t="shared" si="448"/>
        <v>-5.4530311664402111E-3</v>
      </c>
      <c r="D13708">
        <f t="shared" si="447"/>
        <v>-0.60874173453620051</v>
      </c>
    </row>
    <row r="13709" spans="1:4">
      <c r="A13709" s="1">
        <v>38166</v>
      </c>
      <c r="B13709">
        <v>1133.3499999999999</v>
      </c>
      <c r="C13709">
        <f t="shared" si="448"/>
        <v>-9.5201995715923817E-4</v>
      </c>
      <c r="D13709">
        <f t="shared" si="447"/>
        <v>-0.13343648080417705</v>
      </c>
    </row>
    <row r="13710" spans="1:4">
      <c r="A13710" s="1">
        <v>38167</v>
      </c>
      <c r="B13710">
        <v>1136.2</v>
      </c>
      <c r="C13710">
        <f t="shared" si="448"/>
        <v>2.5146689019280334E-3</v>
      </c>
      <c r="D13710">
        <f t="shared" si="447"/>
        <v>0.23264468433064087</v>
      </c>
    </row>
    <row r="13711" spans="1:4">
      <c r="A13711" s="1">
        <v>38168</v>
      </c>
      <c r="B13711">
        <v>1140.8399999999999</v>
      </c>
      <c r="C13711">
        <f t="shared" si="448"/>
        <v>4.0837880654813171E-3</v>
      </c>
      <c r="D13711">
        <f t="shared" si="447"/>
        <v>0.39834313463234883</v>
      </c>
    </row>
    <row r="13712" spans="1:4">
      <c r="A13712" s="1">
        <v>38169</v>
      </c>
      <c r="B13712">
        <v>1128.94</v>
      </c>
      <c r="C13712">
        <f t="shared" si="448"/>
        <v>-1.0430910557133221E-2</v>
      </c>
      <c r="D13712">
        <f t="shared" si="447"/>
        <v>-1.1344041061299643</v>
      </c>
    </row>
    <row r="13713" spans="1:4">
      <c r="A13713" s="1">
        <v>38170</v>
      </c>
      <c r="B13713">
        <v>1125.3800000000001</v>
      </c>
      <c r="C13713">
        <f t="shared" si="448"/>
        <v>-3.1534005350150984E-3</v>
      </c>
      <c r="D13713">
        <f t="shared" si="447"/>
        <v>-0.36590152154014016</v>
      </c>
    </row>
    <row r="13714" spans="1:4">
      <c r="A13714" s="1">
        <v>38174</v>
      </c>
      <c r="B13714">
        <v>1116.21</v>
      </c>
      <c r="C13714">
        <f t="shared" si="448"/>
        <v>-8.1483587765910827E-3</v>
      </c>
      <c r="D13714">
        <f t="shared" si="447"/>
        <v>-0.89336741398176256</v>
      </c>
    </row>
    <row r="13715" spans="1:4">
      <c r="A13715" s="1">
        <v>38175</v>
      </c>
      <c r="B13715">
        <v>1118.33</v>
      </c>
      <c r="C13715">
        <f t="shared" si="448"/>
        <v>1.8992841848755079E-3</v>
      </c>
      <c r="D13715">
        <f t="shared" si="447"/>
        <v>0.16766026738932302</v>
      </c>
    </row>
    <row r="13716" spans="1:4">
      <c r="A13716" s="1">
        <v>38176</v>
      </c>
      <c r="B13716">
        <v>1109.1099999999999</v>
      </c>
      <c r="C13716">
        <f t="shared" si="448"/>
        <v>-8.2444358999579984E-3</v>
      </c>
      <c r="D13716">
        <f t="shared" si="447"/>
        <v>-0.90351312555110785</v>
      </c>
    </row>
    <row r="13717" spans="1:4">
      <c r="A13717" s="1">
        <v>38177</v>
      </c>
      <c r="B13717">
        <v>1112.81</v>
      </c>
      <c r="C13717">
        <f t="shared" si="448"/>
        <v>3.3360081506794148E-3</v>
      </c>
      <c r="D13717">
        <f t="shared" si="447"/>
        <v>0.31937782981201113</v>
      </c>
    </row>
    <row r="13718" spans="1:4">
      <c r="A13718" s="1">
        <v>38180</v>
      </c>
      <c r="B13718">
        <v>1114.3499999999999</v>
      </c>
      <c r="C13718">
        <f t="shared" si="448"/>
        <v>1.3838840413008184E-3</v>
      </c>
      <c r="D13718">
        <f t="shared" si="447"/>
        <v>0.11323418742085679</v>
      </c>
    </row>
    <row r="13719" spans="1:4">
      <c r="A13719" s="1">
        <v>38181</v>
      </c>
      <c r="B13719">
        <v>1115.1400000000001</v>
      </c>
      <c r="C13719">
        <f t="shared" si="448"/>
        <v>7.0893345896728228E-4</v>
      </c>
      <c r="D13719">
        <f t="shared" si="447"/>
        <v>4.1959635353285583E-2</v>
      </c>
    </row>
    <row r="13720" spans="1:4">
      <c r="A13720" s="1">
        <v>38182</v>
      </c>
      <c r="B13720">
        <v>1111.47</v>
      </c>
      <c r="C13720">
        <f t="shared" si="448"/>
        <v>-3.2910665925355315E-3</v>
      </c>
      <c r="D13720">
        <f t="shared" si="447"/>
        <v>-0.38043901041933126</v>
      </c>
    </row>
    <row r="13721" spans="1:4">
      <c r="A13721" s="1">
        <v>38183</v>
      </c>
      <c r="B13721">
        <v>1106.69</v>
      </c>
      <c r="C13721">
        <f t="shared" si="448"/>
        <v>-4.3006109026784102E-3</v>
      </c>
      <c r="D13721">
        <f t="shared" si="447"/>
        <v>-0.48704654640963496</v>
      </c>
    </row>
    <row r="13722" spans="1:4">
      <c r="A13722" s="1">
        <v>38184</v>
      </c>
      <c r="B13722">
        <v>1101.3900000000001</v>
      </c>
      <c r="C13722">
        <f t="shared" si="448"/>
        <v>-4.7890556524410217E-3</v>
      </c>
      <c r="D13722">
        <f t="shared" si="447"/>
        <v>-0.53862614595412928</v>
      </c>
    </row>
    <row r="13723" spans="1:4">
      <c r="A13723" s="1">
        <v>38187</v>
      </c>
      <c r="B13723">
        <v>1100.9000000000001</v>
      </c>
      <c r="C13723">
        <f t="shared" si="448"/>
        <v>-4.4489236328640086E-4</v>
      </c>
      <c r="D13723">
        <f t="shared" si="447"/>
        <v>-7.9883979272250133E-2</v>
      </c>
    </row>
    <row r="13724" spans="1:4">
      <c r="A13724" s="1">
        <v>38188</v>
      </c>
      <c r="B13724">
        <v>1108.67</v>
      </c>
      <c r="C13724">
        <f t="shared" si="448"/>
        <v>7.0578617494776834E-3</v>
      </c>
      <c r="D13724">
        <f t="shared" si="447"/>
        <v>0.71240430472560101</v>
      </c>
    </row>
    <row r="13725" spans="1:4">
      <c r="A13725" s="1">
        <v>38189</v>
      </c>
      <c r="B13725">
        <v>1093.8800000000001</v>
      </c>
      <c r="C13725">
        <f t="shared" si="448"/>
        <v>-1.3340308658121859E-2</v>
      </c>
      <c r="D13725">
        <f t="shared" si="447"/>
        <v>-1.4416355566418992</v>
      </c>
    </row>
    <row r="13726" spans="1:4">
      <c r="A13726" s="1">
        <v>38190</v>
      </c>
      <c r="B13726">
        <v>1096.8399999999999</v>
      </c>
      <c r="C13726">
        <f t="shared" si="448"/>
        <v>2.7059640911249942E-3</v>
      </c>
      <c r="D13726">
        <f t="shared" si="447"/>
        <v>0.25284539128544575</v>
      </c>
    </row>
    <row r="13727" spans="1:4">
      <c r="A13727" s="1">
        <v>38191</v>
      </c>
      <c r="B13727">
        <v>1086.2</v>
      </c>
      <c r="C13727">
        <f t="shared" si="448"/>
        <v>-9.7005944349220254E-3</v>
      </c>
      <c r="D13727">
        <f t="shared" si="447"/>
        <v>-1.0572829718709735</v>
      </c>
    </row>
    <row r="13728" spans="1:4">
      <c r="A13728" s="1">
        <v>38194</v>
      </c>
      <c r="B13728">
        <v>1084.07</v>
      </c>
      <c r="C13728">
        <f t="shared" si="448"/>
        <v>-1.9609648315228401E-3</v>
      </c>
      <c r="D13728">
        <f t="shared" si="447"/>
        <v>-0.23998071657994718</v>
      </c>
    </row>
    <row r="13729" spans="1:4">
      <c r="A13729" s="1">
        <v>38195</v>
      </c>
      <c r="B13729">
        <v>1094.83</v>
      </c>
      <c r="C13729">
        <f t="shared" si="448"/>
        <v>9.9255583126550799E-3</v>
      </c>
      <c r="D13729">
        <f t="shared" si="447"/>
        <v>1.0152320870197102</v>
      </c>
    </row>
    <row r="13730" spans="1:4">
      <c r="A13730" s="1">
        <v>38196</v>
      </c>
      <c r="B13730">
        <v>1095.42</v>
      </c>
      <c r="C13730">
        <f t="shared" si="448"/>
        <v>5.3889644967725179E-4</v>
      </c>
      <c r="D13730">
        <f t="shared" si="447"/>
        <v>2.4003784970646098E-2</v>
      </c>
    </row>
    <row r="13731" spans="1:4">
      <c r="A13731" s="1">
        <v>38197</v>
      </c>
      <c r="B13731">
        <v>1100.43</v>
      </c>
      <c r="C13731">
        <f t="shared" si="448"/>
        <v>4.5735882127403106E-3</v>
      </c>
      <c r="D13731">
        <f t="shared" si="447"/>
        <v>0.45006586369173907</v>
      </c>
    </row>
    <row r="13732" spans="1:4">
      <c r="A13732" s="1">
        <v>38198</v>
      </c>
      <c r="B13732">
        <v>1101.72</v>
      </c>
      <c r="C13732">
        <f t="shared" si="448"/>
        <v>1.1722690221095059E-3</v>
      </c>
      <c r="D13732">
        <f t="shared" si="447"/>
        <v>9.0887713325694189E-2</v>
      </c>
    </row>
    <row r="13733" spans="1:4">
      <c r="A13733" s="1">
        <v>38201</v>
      </c>
      <c r="B13733">
        <v>1106.6199999999999</v>
      </c>
      <c r="C13733">
        <f t="shared" si="448"/>
        <v>4.4475910394654386E-3</v>
      </c>
      <c r="D13733">
        <f t="shared" si="447"/>
        <v>0.43676060502243269</v>
      </c>
    </row>
    <row r="13734" spans="1:4">
      <c r="A13734" s="1">
        <v>38202</v>
      </c>
      <c r="B13734">
        <v>1099.69</v>
      </c>
      <c r="C13734">
        <f t="shared" si="448"/>
        <v>-6.2623122661797518E-3</v>
      </c>
      <c r="D13734">
        <f t="shared" si="447"/>
        <v>-0.69420154358068431</v>
      </c>
    </row>
    <row r="13735" spans="1:4">
      <c r="A13735" s="1">
        <v>38203</v>
      </c>
      <c r="B13735">
        <v>1098.6300000000001</v>
      </c>
      <c r="C13735">
        <f t="shared" si="448"/>
        <v>-9.6390801043925599E-4</v>
      </c>
      <c r="D13735">
        <f t="shared" si="447"/>
        <v>-0.13469185518960128</v>
      </c>
    </row>
    <row r="13736" spans="1:4">
      <c r="A13736" s="1">
        <v>38204</v>
      </c>
      <c r="B13736">
        <v>1080.7</v>
      </c>
      <c r="C13736">
        <f t="shared" si="448"/>
        <v>-1.6320326224479636E-2</v>
      </c>
      <c r="D13736">
        <f t="shared" si="447"/>
        <v>-1.7563243986920927</v>
      </c>
    </row>
    <row r="13737" spans="1:4">
      <c r="A13737" s="1">
        <v>38205</v>
      </c>
      <c r="B13737">
        <v>1063.97</v>
      </c>
      <c r="C13737">
        <f t="shared" si="448"/>
        <v>-1.548070694919961E-2</v>
      </c>
      <c r="D13737">
        <f t="shared" si="447"/>
        <v>-1.6676608886229802</v>
      </c>
    </row>
    <row r="13738" spans="1:4">
      <c r="A13738" s="1">
        <v>38208</v>
      </c>
      <c r="B13738">
        <v>1065.22</v>
      </c>
      <c r="C13738">
        <f t="shared" si="448"/>
        <v>1.1748451554085171E-3</v>
      </c>
      <c r="D13738">
        <f t="shared" si="447"/>
        <v>9.1159752126399513E-2</v>
      </c>
    </row>
    <row r="13739" spans="1:4">
      <c r="A13739" s="1">
        <v>38209</v>
      </c>
      <c r="B13739">
        <v>1079.04</v>
      </c>
      <c r="C13739">
        <f t="shared" si="448"/>
        <v>1.2973845778336809E-2</v>
      </c>
      <c r="D13739">
        <f t="shared" si="447"/>
        <v>1.3371302072324469</v>
      </c>
    </row>
    <row r="13740" spans="1:4">
      <c r="A13740" s="1">
        <v>38210</v>
      </c>
      <c r="B13740">
        <v>1075.79</v>
      </c>
      <c r="C13740">
        <f t="shared" si="448"/>
        <v>-3.0119365361803087E-3</v>
      </c>
      <c r="D13740">
        <f t="shared" si="447"/>
        <v>-0.3509629713491359</v>
      </c>
    </row>
    <row r="13741" spans="1:4">
      <c r="A13741" s="1">
        <v>38211</v>
      </c>
      <c r="B13741">
        <v>1063.23</v>
      </c>
      <c r="C13741">
        <f t="shared" si="448"/>
        <v>-1.1675141059128589E-2</v>
      </c>
      <c r="D13741">
        <f t="shared" si="447"/>
        <v>-1.265794424206178</v>
      </c>
    </row>
    <row r="13742" spans="1:4">
      <c r="A13742" s="1">
        <v>38212</v>
      </c>
      <c r="B13742">
        <v>1064.8</v>
      </c>
      <c r="C13742">
        <f t="shared" si="448"/>
        <v>1.4766325254177706E-3</v>
      </c>
      <c r="D13742">
        <f t="shared" si="447"/>
        <v>0.12302839581686538</v>
      </c>
    </row>
    <row r="13743" spans="1:4">
      <c r="A13743" s="1">
        <v>38215</v>
      </c>
      <c r="B13743">
        <v>1079.3399999999999</v>
      </c>
      <c r="C13743">
        <f t="shared" si="448"/>
        <v>1.3655146506386143E-2</v>
      </c>
      <c r="D13743">
        <f t="shared" si="447"/>
        <v>1.4090753325290868</v>
      </c>
    </row>
    <row r="13744" spans="1:4">
      <c r="A13744" s="1">
        <v>38216</v>
      </c>
      <c r="B13744">
        <v>1081.71</v>
      </c>
      <c r="C13744">
        <f t="shared" si="448"/>
        <v>2.1957863138585788E-3</v>
      </c>
      <c r="D13744">
        <f t="shared" si="447"/>
        <v>0.1989707914239647</v>
      </c>
    </row>
    <row r="13745" spans="1:4">
      <c r="A13745" s="1">
        <v>38217</v>
      </c>
      <c r="B13745">
        <v>1095.17</v>
      </c>
      <c r="C13745">
        <f t="shared" si="448"/>
        <v>1.2443261132836007E-2</v>
      </c>
      <c r="D13745">
        <f t="shared" si="447"/>
        <v>1.281100649022046</v>
      </c>
    </row>
    <row r="13746" spans="1:4">
      <c r="A13746" s="1">
        <v>38218</v>
      </c>
      <c r="B13746">
        <v>1091.23</v>
      </c>
      <c r="C13746">
        <f t="shared" si="448"/>
        <v>-3.5976149821489397E-3</v>
      </c>
      <c r="D13746">
        <f t="shared" si="447"/>
        <v>-0.41281041616164671</v>
      </c>
    </row>
    <row r="13747" spans="1:4">
      <c r="A13747" s="1">
        <v>38219</v>
      </c>
      <c r="B13747">
        <v>1098.3499999999999</v>
      </c>
      <c r="C13747">
        <f t="shared" si="448"/>
        <v>6.5247473035014531E-3</v>
      </c>
      <c r="D13747">
        <f t="shared" si="447"/>
        <v>0.65610760044491601</v>
      </c>
    </row>
    <row r="13748" spans="1:4">
      <c r="A13748" s="1">
        <v>38222</v>
      </c>
      <c r="B13748">
        <v>1095.68</v>
      </c>
      <c r="C13748">
        <f t="shared" si="448"/>
        <v>-2.4309191059314842E-3</v>
      </c>
      <c r="D13748">
        <f t="shared" si="447"/>
        <v>-0.28960772821228048</v>
      </c>
    </row>
    <row r="13749" spans="1:4">
      <c r="A13749" s="1">
        <v>38223</v>
      </c>
      <c r="B13749">
        <v>1096.19</v>
      </c>
      <c r="C13749">
        <f t="shared" si="448"/>
        <v>4.6546436915887015E-4</v>
      </c>
      <c r="D13749">
        <f t="shared" si="447"/>
        <v>1.6249382228681948E-2</v>
      </c>
    </row>
    <row r="13750" spans="1:4">
      <c r="A13750" s="1">
        <v>38224</v>
      </c>
      <c r="B13750">
        <v>1104.96</v>
      </c>
      <c r="C13750">
        <f t="shared" si="448"/>
        <v>8.000437880294458E-3</v>
      </c>
      <c r="D13750">
        <f t="shared" si="447"/>
        <v>0.81194002374265828</v>
      </c>
    </row>
    <row r="13751" spans="1:4">
      <c r="A13751" s="1">
        <v>38225</v>
      </c>
      <c r="B13751">
        <v>1105.0899999999999</v>
      </c>
      <c r="C13751">
        <f t="shared" si="448"/>
        <v>1.1765131769465117E-4</v>
      </c>
      <c r="D13751">
        <f t="shared" si="447"/>
        <v>-2.0479557778539013E-2</v>
      </c>
    </row>
    <row r="13752" spans="1:4">
      <c r="A13752" s="1">
        <v>38226</v>
      </c>
      <c r="B13752">
        <v>1107.77</v>
      </c>
      <c r="C13752">
        <f t="shared" si="448"/>
        <v>2.4251418436508011E-3</v>
      </c>
      <c r="D13752">
        <f t="shared" si="447"/>
        <v>0.22319065740829086</v>
      </c>
    </row>
    <row r="13753" spans="1:4">
      <c r="A13753" s="1">
        <v>38229</v>
      </c>
      <c r="B13753">
        <v>1099.1500000000001</v>
      </c>
      <c r="C13753">
        <f t="shared" si="448"/>
        <v>-7.7813986657879258E-3</v>
      </c>
      <c r="D13753">
        <f t="shared" si="447"/>
        <v>-0.85461655101675149</v>
      </c>
    </row>
    <row r="13754" spans="1:4">
      <c r="A13754" s="1">
        <v>38230</v>
      </c>
      <c r="B13754">
        <v>1104.24</v>
      </c>
      <c r="C13754">
        <f t="shared" si="448"/>
        <v>4.630851112223007E-3</v>
      </c>
      <c r="D13754">
        <f t="shared" si="447"/>
        <v>0.45611280641250657</v>
      </c>
    </row>
    <row r="13755" spans="1:4">
      <c r="A13755" s="1">
        <v>38231</v>
      </c>
      <c r="B13755">
        <v>1105.9100000000001</v>
      </c>
      <c r="C13755">
        <f t="shared" si="448"/>
        <v>1.5123523871622771E-3</v>
      </c>
      <c r="D13755">
        <f t="shared" si="447"/>
        <v>0.12680040107531432</v>
      </c>
    </row>
    <row r="13756" spans="1:4">
      <c r="A13756" s="1">
        <v>38232</v>
      </c>
      <c r="B13756">
        <v>1118.31</v>
      </c>
      <c r="C13756">
        <f t="shared" si="448"/>
        <v>1.1212485645305552E-2</v>
      </c>
      <c r="D13756">
        <f t="shared" si="447"/>
        <v>1.1511311758997453</v>
      </c>
    </row>
    <row r="13757" spans="1:4">
      <c r="A13757" s="1">
        <v>38233</v>
      </c>
      <c r="B13757">
        <v>1113.6300000000001</v>
      </c>
      <c r="C13757">
        <f t="shared" si="448"/>
        <v>-4.1848861228101662E-3</v>
      </c>
      <c r="D13757">
        <f t="shared" si="447"/>
        <v>-0.47482604899231234</v>
      </c>
    </row>
    <row r="13758" spans="1:4">
      <c r="A13758" s="1">
        <v>38237</v>
      </c>
      <c r="B13758">
        <v>1121.3</v>
      </c>
      <c r="C13758">
        <f t="shared" si="448"/>
        <v>6.8873862952684864E-3</v>
      </c>
      <c r="D13758">
        <f t="shared" si="447"/>
        <v>0.69440215470853217</v>
      </c>
    </row>
    <row r="13759" spans="1:4">
      <c r="A13759" s="1">
        <v>38238</v>
      </c>
      <c r="B13759">
        <v>1116.27</v>
      </c>
      <c r="C13759">
        <f t="shared" si="448"/>
        <v>-4.4858646214215401E-3</v>
      </c>
      <c r="D13759">
        <f t="shared" si="447"/>
        <v>-0.50660927613811091</v>
      </c>
    </row>
    <row r="13760" spans="1:4">
      <c r="A13760" s="1">
        <v>38239</v>
      </c>
      <c r="B13760">
        <v>1118.3800000000001</v>
      </c>
      <c r="C13760">
        <f t="shared" si="448"/>
        <v>1.8902236914009401E-3</v>
      </c>
      <c r="D13760">
        <f t="shared" si="447"/>
        <v>0.16670348235822002</v>
      </c>
    </row>
    <row r="13761" spans="1:4">
      <c r="A13761" s="1">
        <v>38240</v>
      </c>
      <c r="B13761">
        <v>1123.92</v>
      </c>
      <c r="C13761">
        <f t="shared" si="448"/>
        <v>4.9535935907294151E-3</v>
      </c>
      <c r="D13761">
        <f t="shared" si="447"/>
        <v>0.49019430243728446</v>
      </c>
    </row>
    <row r="13762" spans="1:4">
      <c r="A13762" s="1">
        <v>38243</v>
      </c>
      <c r="B13762">
        <v>1125.82</v>
      </c>
      <c r="C13762">
        <f t="shared" si="448"/>
        <v>1.6905117801977573E-3</v>
      </c>
      <c r="D13762">
        <f t="shared" si="447"/>
        <v>0.14561397242054092</v>
      </c>
    </row>
    <row r="13763" spans="1:4">
      <c r="A13763" s="1">
        <v>38244</v>
      </c>
      <c r="B13763">
        <v>1128.33</v>
      </c>
      <c r="C13763">
        <f t="shared" si="448"/>
        <v>2.2294860634914917E-3</v>
      </c>
      <c r="D13763">
        <f t="shared" ref="D13763:D13826" si="449">(C13763-avg)/sd</f>
        <v>0.20252947353009884</v>
      </c>
    </row>
    <row r="13764" spans="1:4">
      <c r="A13764" s="1">
        <v>38245</v>
      </c>
      <c r="B13764">
        <v>1120.3699999999999</v>
      </c>
      <c r="C13764">
        <f t="shared" ref="C13764:C13827" si="450">(B13764-B13763)/B13763</f>
        <v>-7.0546737213404206E-3</v>
      </c>
      <c r="D13764">
        <f t="shared" si="449"/>
        <v>-0.77787464390890593</v>
      </c>
    </row>
    <row r="13765" spans="1:4">
      <c r="A13765" s="1">
        <v>38246</v>
      </c>
      <c r="B13765">
        <v>1123.5</v>
      </c>
      <c r="C13765">
        <f t="shared" si="450"/>
        <v>2.7937199318083398E-3</v>
      </c>
      <c r="D13765">
        <f t="shared" si="449"/>
        <v>0.26211237823194744</v>
      </c>
    </row>
    <row r="13766" spans="1:4">
      <c r="A13766" s="1">
        <v>38247</v>
      </c>
      <c r="B13766">
        <v>1128.55</v>
      </c>
      <c r="C13766">
        <f t="shared" si="450"/>
        <v>4.4948820649754829E-3</v>
      </c>
      <c r="D13766">
        <f t="shared" si="449"/>
        <v>0.44175452124129277</v>
      </c>
    </row>
    <row r="13767" spans="1:4">
      <c r="A13767" s="1">
        <v>38250</v>
      </c>
      <c r="B13767">
        <v>1122.2</v>
      </c>
      <c r="C13767">
        <f t="shared" si="450"/>
        <v>-5.6266891143501923E-3</v>
      </c>
      <c r="D13767">
        <f t="shared" si="449"/>
        <v>-0.62707995480628986</v>
      </c>
    </row>
    <row r="13768" spans="1:4">
      <c r="A13768" s="1">
        <v>38251</v>
      </c>
      <c r="B13768">
        <v>1129.3</v>
      </c>
      <c r="C13768">
        <f t="shared" si="450"/>
        <v>6.3268579575832375E-3</v>
      </c>
      <c r="D13768">
        <f t="shared" si="449"/>
        <v>0.63521055278180938</v>
      </c>
    </row>
    <row r="13769" spans="1:4">
      <c r="A13769" s="1">
        <v>38252</v>
      </c>
      <c r="B13769">
        <v>1113.56</v>
      </c>
      <c r="C13769">
        <f t="shared" si="450"/>
        <v>-1.3937837598512361E-2</v>
      </c>
      <c r="D13769">
        <f t="shared" si="449"/>
        <v>-1.5047344096371806</v>
      </c>
    </row>
    <row r="13770" spans="1:4">
      <c r="A13770" s="1">
        <v>38253</v>
      </c>
      <c r="B13770">
        <v>1108.3599999999999</v>
      </c>
      <c r="C13770">
        <f t="shared" si="450"/>
        <v>-4.6697079636481608E-3</v>
      </c>
      <c r="D13770">
        <f t="shared" si="449"/>
        <v>-0.52602307058585374</v>
      </c>
    </row>
    <row r="13771" spans="1:4">
      <c r="A13771" s="1">
        <v>38254</v>
      </c>
      <c r="B13771">
        <v>1110.1099999999999</v>
      </c>
      <c r="C13771">
        <f t="shared" si="450"/>
        <v>1.5789093796239491E-3</v>
      </c>
      <c r="D13771">
        <f t="shared" si="449"/>
        <v>0.13382879685544591</v>
      </c>
    </row>
    <row r="13772" spans="1:4">
      <c r="A13772" s="1">
        <v>38257</v>
      </c>
      <c r="B13772">
        <v>1103.52</v>
      </c>
      <c r="C13772">
        <f t="shared" si="450"/>
        <v>-5.936348650133697E-3</v>
      </c>
      <c r="D13772">
        <f t="shared" si="449"/>
        <v>-0.6597798965266376</v>
      </c>
    </row>
    <row r="13773" spans="1:4">
      <c r="A13773" s="1">
        <v>38258</v>
      </c>
      <c r="B13773">
        <v>1110.06</v>
      </c>
      <c r="C13773">
        <f t="shared" si="450"/>
        <v>5.9264897781643863E-3</v>
      </c>
      <c r="D13773">
        <f t="shared" si="449"/>
        <v>0.59293180912693522</v>
      </c>
    </row>
    <row r="13774" spans="1:4">
      <c r="A13774" s="1">
        <v>38259</v>
      </c>
      <c r="B13774">
        <v>1114.8</v>
      </c>
      <c r="C13774">
        <f t="shared" si="450"/>
        <v>4.270039457326639E-3</v>
      </c>
      <c r="D13774">
        <f t="shared" si="449"/>
        <v>0.41801121830129062</v>
      </c>
    </row>
    <row r="13775" spans="1:4">
      <c r="A13775" s="1">
        <v>38260</v>
      </c>
      <c r="B13775">
        <v>1114.58</v>
      </c>
      <c r="C13775">
        <f t="shared" si="450"/>
        <v>-1.9734481521351568E-4</v>
      </c>
      <c r="D13775">
        <f t="shared" si="449"/>
        <v>-5.3743042341253475E-2</v>
      </c>
    </row>
    <row r="13776" spans="1:4">
      <c r="A13776" s="1">
        <v>38261</v>
      </c>
      <c r="B13776">
        <v>1131.5</v>
      </c>
      <c r="C13776">
        <f t="shared" si="450"/>
        <v>1.5180606147607236E-2</v>
      </c>
      <c r="D13776">
        <f t="shared" si="449"/>
        <v>1.5701633521131082</v>
      </c>
    </row>
    <row r="13777" spans="1:4">
      <c r="A13777" s="1">
        <v>38264</v>
      </c>
      <c r="B13777">
        <v>1135.17</v>
      </c>
      <c r="C13777">
        <f t="shared" si="450"/>
        <v>3.2434821034026274E-3</v>
      </c>
      <c r="D13777">
        <f t="shared" si="449"/>
        <v>0.30960711067071395</v>
      </c>
    </row>
    <row r="13778" spans="1:4">
      <c r="A13778" s="1">
        <v>38265</v>
      </c>
      <c r="B13778">
        <v>1134.48</v>
      </c>
      <c r="C13778">
        <f t="shared" si="450"/>
        <v>-6.0783847353264666E-4</v>
      </c>
      <c r="D13778">
        <f t="shared" si="449"/>
        <v>-9.7091033126179657E-2</v>
      </c>
    </row>
    <row r="13779" spans="1:4">
      <c r="A13779" s="1">
        <v>38266</v>
      </c>
      <c r="B13779">
        <v>1142.05</v>
      </c>
      <c r="C13779">
        <f t="shared" si="450"/>
        <v>6.6726606022141739E-3</v>
      </c>
      <c r="D13779">
        <f t="shared" si="449"/>
        <v>0.6717271945108062</v>
      </c>
    </row>
    <row r="13780" spans="1:4">
      <c r="A13780" s="1">
        <v>38267</v>
      </c>
      <c r="B13780">
        <v>1130.6500000000001</v>
      </c>
      <c r="C13780">
        <f t="shared" si="450"/>
        <v>-9.9820498226871543E-3</v>
      </c>
      <c r="D13780">
        <f t="shared" si="449"/>
        <v>-1.0870045651476365</v>
      </c>
    </row>
    <row r="13781" spans="1:4">
      <c r="A13781" s="1">
        <v>38268</v>
      </c>
      <c r="B13781">
        <v>1122.1400000000001</v>
      </c>
      <c r="C13781">
        <f t="shared" si="450"/>
        <v>-7.5266439658603374E-3</v>
      </c>
      <c r="D13781">
        <f t="shared" si="449"/>
        <v>-0.82771454129972799</v>
      </c>
    </row>
    <row r="13782" spans="1:4">
      <c r="A13782" s="1">
        <v>38271</v>
      </c>
      <c r="B13782">
        <v>1124.3900000000001</v>
      </c>
      <c r="C13782">
        <f t="shared" si="450"/>
        <v>2.0050974031760741E-3</v>
      </c>
      <c r="D13782">
        <f t="shared" si="449"/>
        <v>0.17883410727420232</v>
      </c>
    </row>
    <row r="13783" spans="1:4">
      <c r="A13783" s="1">
        <v>38272</v>
      </c>
      <c r="B13783">
        <v>1121.8399999999999</v>
      </c>
      <c r="C13783">
        <f t="shared" si="450"/>
        <v>-2.2678963704765979E-3</v>
      </c>
      <c r="D13783">
        <f t="shared" si="449"/>
        <v>-0.27239258276236472</v>
      </c>
    </row>
    <row r="13784" spans="1:4">
      <c r="A13784" s="1">
        <v>38273</v>
      </c>
      <c r="B13784">
        <v>1113.6500000000001</v>
      </c>
      <c r="C13784">
        <f t="shared" si="450"/>
        <v>-7.300506311060247E-3</v>
      </c>
      <c r="D13784">
        <f t="shared" si="449"/>
        <v>-0.80383448182076223</v>
      </c>
    </row>
    <row r="13785" spans="1:4">
      <c r="A13785" s="1">
        <v>38274</v>
      </c>
      <c r="B13785">
        <v>1103.29</v>
      </c>
      <c r="C13785">
        <f t="shared" si="450"/>
        <v>-9.3027432317156437E-3</v>
      </c>
      <c r="D13785">
        <f t="shared" si="449"/>
        <v>-1.0152700200485745</v>
      </c>
    </row>
    <row r="13786" spans="1:4">
      <c r="A13786" s="1">
        <v>38275</v>
      </c>
      <c r="B13786">
        <v>1108.2</v>
      </c>
      <c r="C13786">
        <f t="shared" si="450"/>
        <v>4.4503258436132676E-3</v>
      </c>
      <c r="D13786">
        <f t="shared" si="449"/>
        <v>0.43704939941083837</v>
      </c>
    </row>
    <row r="13787" spans="1:4">
      <c r="A13787" s="1">
        <v>38278</v>
      </c>
      <c r="B13787">
        <v>1114.02</v>
      </c>
      <c r="C13787">
        <f t="shared" si="450"/>
        <v>5.2517596101786107E-3</v>
      </c>
      <c r="D13787">
        <f t="shared" si="449"/>
        <v>0.52168053273956505</v>
      </c>
    </row>
    <row r="13788" spans="1:4">
      <c r="A13788" s="1">
        <v>38279</v>
      </c>
      <c r="B13788">
        <v>1103.23</v>
      </c>
      <c r="C13788">
        <f t="shared" si="450"/>
        <v>-9.6856429866608897E-3</v>
      </c>
      <c r="D13788">
        <f t="shared" si="449"/>
        <v>-1.0557041040168418</v>
      </c>
    </row>
    <row r="13789" spans="1:4">
      <c r="A13789" s="1">
        <v>38280</v>
      </c>
      <c r="B13789">
        <v>1103.6600000000001</v>
      </c>
      <c r="C13789">
        <f t="shared" si="450"/>
        <v>3.8976460031005651E-4</v>
      </c>
      <c r="D13789">
        <f t="shared" si="449"/>
        <v>8.2555123698488924E-3</v>
      </c>
    </row>
    <row r="13790" spans="1:4">
      <c r="A13790" s="1">
        <v>38281</v>
      </c>
      <c r="B13790">
        <v>1106.49</v>
      </c>
      <c r="C13790">
        <f t="shared" si="450"/>
        <v>2.564195494989333E-3</v>
      </c>
      <c r="D13790">
        <f t="shared" si="449"/>
        <v>0.23787467572300716</v>
      </c>
    </row>
    <row r="13791" spans="1:4">
      <c r="A13791" s="1">
        <v>38282</v>
      </c>
      <c r="B13791">
        <v>1095.74</v>
      </c>
      <c r="C13791">
        <f t="shared" si="450"/>
        <v>-9.7154063751140989E-3</v>
      </c>
      <c r="D13791">
        <f t="shared" si="449"/>
        <v>-1.0588471077204333</v>
      </c>
    </row>
    <row r="13792" spans="1:4">
      <c r="A13792" s="1">
        <v>38285</v>
      </c>
      <c r="B13792">
        <v>1094.8</v>
      </c>
      <c r="C13792">
        <f t="shared" si="450"/>
        <v>-8.5786774234768702E-4</v>
      </c>
      <c r="D13792">
        <f t="shared" si="449"/>
        <v>-0.12349403892397004</v>
      </c>
    </row>
    <row r="13793" spans="1:4">
      <c r="A13793" s="1">
        <v>38286</v>
      </c>
      <c r="B13793">
        <v>1111.0899999999999</v>
      </c>
      <c r="C13793">
        <f t="shared" si="450"/>
        <v>1.4879430032882685E-2</v>
      </c>
      <c r="D13793">
        <f t="shared" si="449"/>
        <v>1.5383592567729312</v>
      </c>
    </row>
    <row r="13794" spans="1:4">
      <c r="A13794" s="1">
        <v>38287</v>
      </c>
      <c r="B13794">
        <v>1125.4000000000001</v>
      </c>
      <c r="C13794">
        <f t="shared" si="450"/>
        <v>1.2879244705649565E-2</v>
      </c>
      <c r="D13794">
        <f t="shared" si="449"/>
        <v>1.3271403661131407</v>
      </c>
    </row>
    <row r="13795" spans="1:4">
      <c r="A13795" s="1">
        <v>38288</v>
      </c>
      <c r="B13795">
        <v>1127.44</v>
      </c>
      <c r="C13795">
        <f t="shared" si="450"/>
        <v>1.8126888217522333E-3</v>
      </c>
      <c r="D13795">
        <f t="shared" si="449"/>
        <v>0.15851582647869933</v>
      </c>
    </row>
    <row r="13796" spans="1:4">
      <c r="A13796" s="1">
        <v>38289</v>
      </c>
      <c r="B13796">
        <v>1130.2</v>
      </c>
      <c r="C13796">
        <f t="shared" si="450"/>
        <v>2.4480238416234928E-3</v>
      </c>
      <c r="D13796">
        <f t="shared" si="449"/>
        <v>0.22560698861623807</v>
      </c>
    </row>
    <row r="13797" spans="1:4">
      <c r="A13797" s="1">
        <v>38292</v>
      </c>
      <c r="B13797">
        <v>1130.51</v>
      </c>
      <c r="C13797">
        <f t="shared" si="450"/>
        <v>2.7428773668372451E-4</v>
      </c>
      <c r="D13797">
        <f t="shared" si="449"/>
        <v>-3.9388051765986412E-3</v>
      </c>
    </row>
    <row r="13798" spans="1:4">
      <c r="A13798" s="1">
        <v>38293</v>
      </c>
      <c r="B13798">
        <v>1130.56</v>
      </c>
      <c r="C13798">
        <f t="shared" si="450"/>
        <v>4.4227826379204543E-5</v>
      </c>
      <c r="D13798">
        <f t="shared" si="449"/>
        <v>-2.8233053503592839E-2</v>
      </c>
    </row>
    <row r="13799" spans="1:4">
      <c r="A13799" s="1">
        <v>38294</v>
      </c>
      <c r="B13799">
        <v>1143.2</v>
      </c>
      <c r="C13799">
        <f t="shared" si="450"/>
        <v>1.1180300028304646E-2</v>
      </c>
      <c r="D13799">
        <f t="shared" si="449"/>
        <v>1.1477323856848725</v>
      </c>
    </row>
    <row r="13800" spans="1:4">
      <c r="A13800" s="1">
        <v>38295</v>
      </c>
      <c r="B13800">
        <v>1161.67</v>
      </c>
      <c r="C13800">
        <f t="shared" si="450"/>
        <v>1.6156403079076301E-2</v>
      </c>
      <c r="D13800">
        <f t="shared" si="449"/>
        <v>1.6732071763867482</v>
      </c>
    </row>
    <row r="13801" spans="1:4">
      <c r="A13801" s="1">
        <v>38296</v>
      </c>
      <c r="B13801">
        <v>1166.17</v>
      </c>
      <c r="C13801">
        <f t="shared" si="450"/>
        <v>3.8737335043514936E-3</v>
      </c>
      <c r="D13801">
        <f t="shared" si="449"/>
        <v>0.37616144437805399</v>
      </c>
    </row>
    <row r="13802" spans="1:4">
      <c r="A13802" s="1">
        <v>38299</v>
      </c>
      <c r="B13802">
        <v>1164.8900000000001</v>
      </c>
      <c r="C13802">
        <f t="shared" si="450"/>
        <v>-1.0976101254533837E-3</v>
      </c>
      <c r="D13802">
        <f t="shared" si="449"/>
        <v>-0.14881075308753608</v>
      </c>
    </row>
    <row r="13803" spans="1:4">
      <c r="A13803" s="1">
        <v>38300</v>
      </c>
      <c r="B13803">
        <v>1164.08</v>
      </c>
      <c r="C13803">
        <f t="shared" si="450"/>
        <v>-6.9534462481450848E-4</v>
      </c>
      <c r="D13803">
        <f t="shared" si="449"/>
        <v>-0.10633165295675823</v>
      </c>
    </row>
    <row r="13804" spans="1:4">
      <c r="A13804" s="1">
        <v>38301</v>
      </c>
      <c r="B13804">
        <v>1162.9100000000001</v>
      </c>
      <c r="C13804">
        <f t="shared" si="450"/>
        <v>-1.0050855611296865E-3</v>
      </c>
      <c r="D13804">
        <f t="shared" si="449"/>
        <v>-0.13904019054558117</v>
      </c>
    </row>
    <row r="13805" spans="1:4">
      <c r="A13805" s="1">
        <v>38302</v>
      </c>
      <c r="B13805">
        <v>1173.48</v>
      </c>
      <c r="C13805">
        <f t="shared" si="450"/>
        <v>9.0892674411604812E-3</v>
      </c>
      <c r="D13805">
        <f t="shared" si="449"/>
        <v>0.92692005525895982</v>
      </c>
    </row>
    <row r="13806" spans="1:4">
      <c r="A13806" s="1">
        <v>38303</v>
      </c>
      <c r="B13806">
        <v>1184.17</v>
      </c>
      <c r="C13806">
        <f t="shared" si="450"/>
        <v>9.1096567474520697E-3</v>
      </c>
      <c r="D13806">
        <f t="shared" si="449"/>
        <v>0.92907315907268961</v>
      </c>
    </row>
    <row r="13807" spans="1:4">
      <c r="A13807" s="1">
        <v>38306</v>
      </c>
      <c r="B13807">
        <v>1183.81</v>
      </c>
      <c r="C13807">
        <f t="shared" si="450"/>
        <v>-3.0401040391170802E-4</v>
      </c>
      <c r="D13807">
        <f t="shared" si="449"/>
        <v>-6.5006892250387333E-2</v>
      </c>
    </row>
    <row r="13808" spans="1:4">
      <c r="A13808" s="1">
        <v>38307</v>
      </c>
      <c r="B13808">
        <v>1175.43</v>
      </c>
      <c r="C13808">
        <f t="shared" si="450"/>
        <v>-7.0788386649883695E-3</v>
      </c>
      <c r="D13808">
        <f t="shared" si="449"/>
        <v>-0.78042645374406594</v>
      </c>
    </row>
    <row r="13809" spans="1:4">
      <c r="A13809" s="1">
        <v>38308</v>
      </c>
      <c r="B13809">
        <v>1181.94</v>
      </c>
      <c r="C13809">
        <f t="shared" si="450"/>
        <v>5.5383987136622265E-3</v>
      </c>
      <c r="D13809">
        <f t="shared" si="449"/>
        <v>0.55194952463406965</v>
      </c>
    </row>
    <row r="13810" spans="1:4">
      <c r="A13810" s="1">
        <v>38309</v>
      </c>
      <c r="B13810">
        <v>1183.55</v>
      </c>
      <c r="C13810">
        <f t="shared" si="450"/>
        <v>1.3621672842952263E-3</v>
      </c>
      <c r="D13810">
        <f t="shared" si="449"/>
        <v>0.11094090526295064</v>
      </c>
    </row>
    <row r="13811" spans="1:4">
      <c r="A13811" s="1">
        <v>38310</v>
      </c>
      <c r="B13811">
        <v>1170.3399999999999</v>
      </c>
      <c r="C13811">
        <f t="shared" si="450"/>
        <v>-1.1161336656668528E-2</v>
      </c>
      <c r="D13811">
        <f t="shared" si="449"/>
        <v>-1.211536853956998</v>
      </c>
    </row>
    <row r="13812" spans="1:4">
      <c r="A13812" s="1">
        <v>38313</v>
      </c>
      <c r="B13812">
        <v>1177.24</v>
      </c>
      <c r="C13812">
        <f t="shared" si="450"/>
        <v>5.8957226105235154E-3</v>
      </c>
      <c r="D13812">
        <f t="shared" si="449"/>
        <v>0.58968280668232775</v>
      </c>
    </row>
    <row r="13813" spans="1:4">
      <c r="A13813" s="1">
        <v>38314</v>
      </c>
      <c r="B13813">
        <v>1176.94</v>
      </c>
      <c r="C13813">
        <f t="shared" si="450"/>
        <v>-2.5483333899625781E-4</v>
      </c>
      <c r="D13813">
        <f t="shared" si="449"/>
        <v>-5.9813810911412343E-2</v>
      </c>
    </row>
    <row r="13814" spans="1:4">
      <c r="A13814" s="1">
        <v>38315</v>
      </c>
      <c r="B13814">
        <v>1181.76</v>
      </c>
      <c r="C13814">
        <f t="shared" si="450"/>
        <v>4.0953659489863002E-3</v>
      </c>
      <c r="D13814">
        <f t="shared" si="449"/>
        <v>0.39956575519496124</v>
      </c>
    </row>
    <row r="13815" spans="1:4">
      <c r="A13815" s="1">
        <v>38317</v>
      </c>
      <c r="B13815">
        <v>1182.6500000000001</v>
      </c>
      <c r="C13815">
        <f t="shared" si="450"/>
        <v>7.5311399945851955E-4</v>
      </c>
      <c r="D13815">
        <f t="shared" si="449"/>
        <v>4.6625085411464852E-2</v>
      </c>
    </row>
    <row r="13816" spans="1:4">
      <c r="A13816" s="1">
        <v>38320</v>
      </c>
      <c r="B13816">
        <v>1178.57</v>
      </c>
      <c r="C13816">
        <f t="shared" si="450"/>
        <v>-3.4498795078849653E-3</v>
      </c>
      <c r="D13816">
        <f t="shared" si="449"/>
        <v>-0.39720960029709862</v>
      </c>
    </row>
    <row r="13817" spans="1:4">
      <c r="A13817" s="1">
        <v>38321</v>
      </c>
      <c r="B13817">
        <v>1173.82</v>
      </c>
      <c r="C13817">
        <f t="shared" si="450"/>
        <v>-4.0303079155247466E-3</v>
      </c>
      <c r="D13817">
        <f t="shared" si="449"/>
        <v>-0.45850264284665765</v>
      </c>
    </row>
    <row r="13818" spans="1:4">
      <c r="A13818" s="1">
        <v>38322</v>
      </c>
      <c r="B13818">
        <v>1191.3699999999999</v>
      </c>
      <c r="C13818">
        <f t="shared" si="450"/>
        <v>1.4951185019849683E-2</v>
      </c>
      <c r="D13818">
        <f t="shared" si="449"/>
        <v>1.5459365590059411</v>
      </c>
    </row>
    <row r="13819" spans="1:4">
      <c r="A13819" s="1">
        <v>38323</v>
      </c>
      <c r="B13819">
        <v>1190.33</v>
      </c>
      <c r="C13819">
        <f t="shared" si="450"/>
        <v>-8.7294459319939538E-4</v>
      </c>
      <c r="D13819">
        <f t="shared" si="449"/>
        <v>-0.12508614924903985</v>
      </c>
    </row>
    <row r="13820" spans="1:4">
      <c r="A13820" s="1">
        <v>38324</v>
      </c>
      <c r="B13820">
        <v>1191.17</v>
      </c>
      <c r="C13820">
        <f t="shared" si="450"/>
        <v>7.0568665832176415E-4</v>
      </c>
      <c r="D13820">
        <f t="shared" si="449"/>
        <v>4.1616774308760027E-2</v>
      </c>
    </row>
    <row r="13821" spans="1:4">
      <c r="A13821" s="1">
        <v>38327</v>
      </c>
      <c r="B13821">
        <v>1190.25</v>
      </c>
      <c r="C13821">
        <f t="shared" si="450"/>
        <v>-7.7234987449320645E-4</v>
      </c>
      <c r="D13821">
        <f t="shared" si="449"/>
        <v>-0.11446338114747256</v>
      </c>
    </row>
    <row r="13822" spans="1:4">
      <c r="A13822" s="1">
        <v>38328</v>
      </c>
      <c r="B13822">
        <v>1177.07</v>
      </c>
      <c r="C13822">
        <f t="shared" si="450"/>
        <v>-1.1073303927746326E-2</v>
      </c>
      <c r="D13822">
        <f t="shared" si="449"/>
        <v>-1.2022406277065918</v>
      </c>
    </row>
    <row r="13823" spans="1:4">
      <c r="A13823" s="1">
        <v>38329</v>
      </c>
      <c r="B13823">
        <v>1182.81</v>
      </c>
      <c r="C13823">
        <f t="shared" si="450"/>
        <v>4.8765154153958641E-3</v>
      </c>
      <c r="D13823">
        <f t="shared" si="449"/>
        <v>0.48205487332220626</v>
      </c>
    </row>
    <row r="13824" spans="1:4">
      <c r="A13824" s="1">
        <v>38330</v>
      </c>
      <c r="B13824">
        <v>1189.24</v>
      </c>
      <c r="C13824">
        <f t="shared" si="450"/>
        <v>5.4362069985881617E-3</v>
      </c>
      <c r="D13824">
        <f t="shared" si="449"/>
        <v>0.54115811425890004</v>
      </c>
    </row>
    <row r="13825" spans="1:4">
      <c r="A13825" s="1">
        <v>38331</v>
      </c>
      <c r="B13825">
        <v>1188</v>
      </c>
      <c r="C13825">
        <f t="shared" si="450"/>
        <v>-1.0426827217382606E-3</v>
      </c>
      <c r="D13825">
        <f t="shared" si="449"/>
        <v>-0.14301043792595075</v>
      </c>
    </row>
    <row r="13826" spans="1:4">
      <c r="A13826" s="1">
        <v>38334</v>
      </c>
      <c r="B13826">
        <v>1198.68</v>
      </c>
      <c r="C13826">
        <f t="shared" si="450"/>
        <v>8.9898989898990443E-3</v>
      </c>
      <c r="D13826">
        <f t="shared" si="449"/>
        <v>0.91642678058272986</v>
      </c>
    </row>
    <row r="13827" spans="1:4">
      <c r="A13827" s="1">
        <v>38335</v>
      </c>
      <c r="B13827">
        <v>1203.3800000000001</v>
      </c>
      <c r="C13827">
        <f t="shared" si="450"/>
        <v>3.9209797443855287E-3</v>
      </c>
      <c r="D13827">
        <f t="shared" ref="D13827:D13890" si="451">(C13827-avg)/sd</f>
        <v>0.38115063126587084</v>
      </c>
    </row>
    <row r="13828" spans="1:4">
      <c r="A13828" s="1">
        <v>38336</v>
      </c>
      <c r="B13828">
        <v>1205.72</v>
      </c>
      <c r="C13828">
        <f t="shared" ref="C13828:C13891" si="452">(B13828-B13827)/B13827</f>
        <v>1.944522927088632E-3</v>
      </c>
      <c r="D13828">
        <f t="shared" si="451"/>
        <v>0.17243746318963329</v>
      </c>
    </row>
    <row r="13829" spans="1:4">
      <c r="A13829" s="1">
        <v>38337</v>
      </c>
      <c r="B13829">
        <v>1203.21</v>
      </c>
      <c r="C13829">
        <f t="shared" si="452"/>
        <v>-2.0817436884185306E-3</v>
      </c>
      <c r="D13829">
        <f t="shared" si="451"/>
        <v>-0.25273492281340387</v>
      </c>
    </row>
    <row r="13830" spans="1:4">
      <c r="A13830" s="1">
        <v>38338</v>
      </c>
      <c r="B13830">
        <v>1194.2</v>
      </c>
      <c r="C13830">
        <f t="shared" si="452"/>
        <v>-7.4883021251485535E-3</v>
      </c>
      <c r="D13830">
        <f t="shared" si="451"/>
        <v>-0.82366565595358865</v>
      </c>
    </row>
    <row r="13831" spans="1:4">
      <c r="A13831" s="1">
        <v>38341</v>
      </c>
      <c r="B13831">
        <v>1194.6500000000001</v>
      </c>
      <c r="C13831">
        <f t="shared" si="452"/>
        <v>3.7682130296436567E-4</v>
      </c>
      <c r="D13831">
        <f t="shared" si="451"/>
        <v>6.8887045697844746E-3</v>
      </c>
    </row>
    <row r="13832" spans="1:4">
      <c r="A13832" s="1">
        <v>38342</v>
      </c>
      <c r="B13832">
        <v>1205.45</v>
      </c>
      <c r="C13832">
        <f t="shared" si="452"/>
        <v>9.0403046917506835E-3</v>
      </c>
      <c r="D13832">
        <f t="shared" si="451"/>
        <v>0.92174960556453245</v>
      </c>
    </row>
    <row r="13833" spans="1:4">
      <c r="A13833" s="1">
        <v>38343</v>
      </c>
      <c r="B13833">
        <v>1209.57</v>
      </c>
      <c r="C13833">
        <f t="shared" si="452"/>
        <v>3.4178107760586426E-3</v>
      </c>
      <c r="D13833">
        <f t="shared" si="451"/>
        <v>0.32801615924599414</v>
      </c>
    </row>
    <row r="13834" spans="1:4">
      <c r="A13834" s="1">
        <v>38344</v>
      </c>
      <c r="B13834">
        <v>1210.1300000000001</v>
      </c>
      <c r="C13834">
        <f t="shared" si="452"/>
        <v>4.6297444546423343E-4</v>
      </c>
      <c r="D13834">
        <f t="shared" si="451"/>
        <v>1.5986447132894495E-2</v>
      </c>
    </row>
    <row r="13835" spans="1:4">
      <c r="A13835" s="1">
        <v>38348</v>
      </c>
      <c r="B13835">
        <v>1204.92</v>
      </c>
      <c r="C13835">
        <f t="shared" si="452"/>
        <v>-4.3053225686496789E-3</v>
      </c>
      <c r="D13835">
        <f t="shared" si="451"/>
        <v>-0.48754409673462784</v>
      </c>
    </row>
    <row r="13836" spans="1:4">
      <c r="A13836" s="1">
        <v>38349</v>
      </c>
      <c r="B13836">
        <v>1213.54</v>
      </c>
      <c r="C13836">
        <f t="shared" si="452"/>
        <v>7.1540019254389426E-3</v>
      </c>
      <c r="D13836">
        <f t="shared" si="451"/>
        <v>0.7225566746274763</v>
      </c>
    </row>
    <row r="13837" spans="1:4">
      <c r="A13837" s="1">
        <v>38350</v>
      </c>
      <c r="B13837">
        <v>1213.45</v>
      </c>
      <c r="C13837">
        <f t="shared" si="452"/>
        <v>-7.4163191983715534E-5</v>
      </c>
      <c r="D13837">
        <f t="shared" si="451"/>
        <v>-4.0735104799654746E-2</v>
      </c>
    </row>
    <row r="13838" spans="1:4">
      <c r="A13838" s="1">
        <v>38351</v>
      </c>
      <c r="B13838">
        <v>1213.55</v>
      </c>
      <c r="C13838">
        <f t="shared" si="452"/>
        <v>8.2409658411890929E-5</v>
      </c>
      <c r="D13838">
        <f t="shared" si="451"/>
        <v>-2.4201065019576463E-2</v>
      </c>
    </row>
    <row r="13839" spans="1:4">
      <c r="A13839" s="1">
        <v>38352</v>
      </c>
      <c r="B13839">
        <v>1211.92</v>
      </c>
      <c r="C13839">
        <f t="shared" si="452"/>
        <v>-1.3431667422025312E-3</v>
      </c>
      <c r="D13839">
        <f t="shared" si="451"/>
        <v>-0.1747414483474965</v>
      </c>
    </row>
    <row r="13840" spans="1:4">
      <c r="A13840" s="1">
        <v>38355</v>
      </c>
      <c r="B13840">
        <v>1202.08</v>
      </c>
      <c r="C13840">
        <f t="shared" si="452"/>
        <v>-8.1193478117368677E-3</v>
      </c>
      <c r="D13840">
        <f t="shared" si="451"/>
        <v>-0.89030386595446354</v>
      </c>
    </row>
    <row r="13841" spans="1:4">
      <c r="A13841" s="1">
        <v>38356</v>
      </c>
      <c r="B13841">
        <v>1188.05</v>
      </c>
      <c r="C13841">
        <f t="shared" si="452"/>
        <v>-1.167143617729267E-2</v>
      </c>
      <c r="D13841">
        <f t="shared" si="451"/>
        <v>-1.2654031899436555</v>
      </c>
    </row>
    <row r="13842" spans="1:4">
      <c r="A13842" s="1">
        <v>38357</v>
      </c>
      <c r="B13842">
        <v>1183.74</v>
      </c>
      <c r="C13842">
        <f t="shared" si="452"/>
        <v>-3.6277934430368635E-3</v>
      </c>
      <c r="D13842">
        <f t="shared" si="451"/>
        <v>-0.41599725137325416</v>
      </c>
    </row>
    <row r="13843" spans="1:4">
      <c r="A13843" s="1">
        <v>38358</v>
      </c>
      <c r="B13843">
        <v>1187.8900000000001</v>
      </c>
      <c r="C13843">
        <f t="shared" si="452"/>
        <v>3.5058374305169133E-3</v>
      </c>
      <c r="D13843">
        <f t="shared" si="451"/>
        <v>0.33731174403507386</v>
      </c>
    </row>
    <row r="13844" spans="1:4">
      <c r="A13844" s="1">
        <v>38359</v>
      </c>
      <c r="B13844">
        <v>1186.19</v>
      </c>
      <c r="C13844">
        <f t="shared" si="452"/>
        <v>-1.4311089410636046E-3</v>
      </c>
      <c r="D13844">
        <f t="shared" si="451"/>
        <v>-0.18402811465422</v>
      </c>
    </row>
    <row r="13845" spans="1:4">
      <c r="A13845" s="1">
        <v>38362</v>
      </c>
      <c r="B13845">
        <v>1190.25</v>
      </c>
      <c r="C13845">
        <f t="shared" si="452"/>
        <v>3.4227231725102599E-3</v>
      </c>
      <c r="D13845">
        <f t="shared" si="451"/>
        <v>0.32853490664148027</v>
      </c>
    </row>
    <row r="13846" spans="1:4">
      <c r="A13846" s="1">
        <v>38363</v>
      </c>
      <c r="B13846">
        <v>1182.99</v>
      </c>
      <c r="C13846">
        <f t="shared" si="452"/>
        <v>-6.0995589161940691E-3</v>
      </c>
      <c r="D13846">
        <f t="shared" si="451"/>
        <v>-0.67701484514474786</v>
      </c>
    </row>
    <row r="13847" spans="1:4">
      <c r="A13847" s="1">
        <v>38364</v>
      </c>
      <c r="B13847">
        <v>1187.7</v>
      </c>
      <c r="C13847">
        <f t="shared" si="452"/>
        <v>3.9814368675982351E-3</v>
      </c>
      <c r="D13847">
        <f t="shared" si="451"/>
        <v>0.38753488292675797</v>
      </c>
    </row>
    <row r="13848" spans="1:4">
      <c r="A13848" s="1">
        <v>38365</v>
      </c>
      <c r="B13848">
        <v>1177.45</v>
      </c>
      <c r="C13848">
        <f t="shared" si="452"/>
        <v>-8.6301254525553584E-3</v>
      </c>
      <c r="D13848">
        <f t="shared" si="451"/>
        <v>-0.94424181120314021</v>
      </c>
    </row>
    <row r="13849" spans="1:4">
      <c r="A13849" s="1">
        <v>38366</v>
      </c>
      <c r="B13849">
        <v>1184.52</v>
      </c>
      <c r="C13849">
        <f t="shared" si="452"/>
        <v>6.0045012527070668E-3</v>
      </c>
      <c r="D13849">
        <f t="shared" si="451"/>
        <v>0.60116979432125373</v>
      </c>
    </row>
    <row r="13850" spans="1:4">
      <c r="A13850" s="1">
        <v>38370</v>
      </c>
      <c r="B13850">
        <v>1195.98</v>
      </c>
      <c r="C13850">
        <f t="shared" si="452"/>
        <v>9.6748049842974686E-3</v>
      </c>
      <c r="D13850">
        <f t="shared" si="451"/>
        <v>0.98875262078034432</v>
      </c>
    </row>
    <row r="13851" spans="1:4">
      <c r="A13851" s="1">
        <v>38371</v>
      </c>
      <c r="B13851">
        <v>1184.6300000000001</v>
      </c>
      <c r="C13851">
        <f t="shared" si="452"/>
        <v>-9.4901252529305744E-3</v>
      </c>
      <c r="D13851">
        <f t="shared" si="451"/>
        <v>-1.0350574977946274</v>
      </c>
    </row>
    <row r="13852" spans="1:4">
      <c r="A13852" s="1">
        <v>38372</v>
      </c>
      <c r="B13852">
        <v>1175.4100000000001</v>
      </c>
      <c r="C13852">
        <f t="shared" si="452"/>
        <v>-7.7830208588335822E-3</v>
      </c>
      <c r="D13852">
        <f t="shared" si="451"/>
        <v>-0.85478785405096258</v>
      </c>
    </row>
    <row r="13853" spans="1:4">
      <c r="A13853" s="1">
        <v>38373</v>
      </c>
      <c r="B13853">
        <v>1167.8699999999999</v>
      </c>
      <c r="C13853">
        <f t="shared" si="452"/>
        <v>-6.4147829268086801E-3</v>
      </c>
      <c r="D13853">
        <f t="shared" si="451"/>
        <v>-0.71030239351580349</v>
      </c>
    </row>
    <row r="13854" spans="1:4">
      <c r="A13854" s="1">
        <v>38376</v>
      </c>
      <c r="B13854">
        <v>1163.75</v>
      </c>
      <c r="C13854">
        <f t="shared" si="452"/>
        <v>-3.5277899081232423E-3</v>
      </c>
      <c r="D13854">
        <f t="shared" si="451"/>
        <v>-0.40543691207922894</v>
      </c>
    </row>
    <row r="13855" spans="1:4">
      <c r="A13855" s="1">
        <v>38377</v>
      </c>
      <c r="B13855">
        <v>1168.4100000000001</v>
      </c>
      <c r="C13855">
        <f t="shared" si="452"/>
        <v>4.004296455424345E-3</v>
      </c>
      <c r="D13855">
        <f t="shared" si="451"/>
        <v>0.3899488476308437</v>
      </c>
    </row>
    <row r="13856" spans="1:4">
      <c r="A13856" s="1">
        <v>38378</v>
      </c>
      <c r="B13856">
        <v>1174.07</v>
      </c>
      <c r="C13856">
        <f t="shared" si="452"/>
        <v>4.8441899675626312E-3</v>
      </c>
      <c r="D13856">
        <f t="shared" si="451"/>
        <v>0.4786413170189705</v>
      </c>
    </row>
    <row r="13857" spans="1:4">
      <c r="A13857" s="1">
        <v>38379</v>
      </c>
      <c r="B13857">
        <v>1174.55</v>
      </c>
      <c r="C13857">
        <f t="shared" si="452"/>
        <v>4.0883422623865548E-4</v>
      </c>
      <c r="D13857">
        <f t="shared" si="451"/>
        <v>1.0269258385828142E-2</v>
      </c>
    </row>
    <row r="13858" spans="1:4">
      <c r="A13858" s="1">
        <v>38380</v>
      </c>
      <c r="B13858">
        <v>1171.3599999999999</v>
      </c>
      <c r="C13858">
        <f t="shared" si="452"/>
        <v>-2.7159337618662934E-3</v>
      </c>
      <c r="D13858">
        <f t="shared" si="451"/>
        <v>-0.31970517899780759</v>
      </c>
    </row>
    <row r="13859" spans="1:4">
      <c r="A13859" s="1">
        <v>38383</v>
      </c>
      <c r="B13859">
        <v>1181.27</v>
      </c>
      <c r="C13859">
        <f t="shared" si="452"/>
        <v>8.460251331785346E-3</v>
      </c>
      <c r="D13859">
        <f t="shared" si="451"/>
        <v>0.86049616792190975</v>
      </c>
    </row>
    <row r="13860" spans="1:4">
      <c r="A13860" s="1">
        <v>38384</v>
      </c>
      <c r="B13860">
        <v>1189.4100000000001</v>
      </c>
      <c r="C13860">
        <f t="shared" si="452"/>
        <v>6.8908886198753043E-3</v>
      </c>
      <c r="D13860">
        <f t="shared" si="451"/>
        <v>0.69477199899651421</v>
      </c>
    </row>
    <row r="13861" spans="1:4">
      <c r="A13861" s="1">
        <v>38385</v>
      </c>
      <c r="B13861">
        <v>1193.19</v>
      </c>
      <c r="C13861">
        <f t="shared" si="452"/>
        <v>3.1780462582288466E-3</v>
      </c>
      <c r="D13861">
        <f t="shared" si="451"/>
        <v>0.30269710766308722</v>
      </c>
    </row>
    <row r="13862" spans="1:4">
      <c r="A13862" s="1">
        <v>38386</v>
      </c>
      <c r="B13862">
        <v>1189.8900000000001</v>
      </c>
      <c r="C13862">
        <f t="shared" si="452"/>
        <v>-2.7656953209463323E-3</v>
      </c>
      <c r="D13862">
        <f t="shared" si="451"/>
        <v>-0.32495998272188392</v>
      </c>
    </row>
    <row r="13863" spans="1:4">
      <c r="A13863" s="1">
        <v>38387</v>
      </c>
      <c r="B13863">
        <v>1203.03</v>
      </c>
      <c r="C13863">
        <f t="shared" si="452"/>
        <v>1.1043037591710049E-2</v>
      </c>
      <c r="D13863">
        <f t="shared" si="451"/>
        <v>1.1332375190382522</v>
      </c>
    </row>
    <row r="13864" spans="1:4">
      <c r="A13864" s="1">
        <v>38390</v>
      </c>
      <c r="B13864">
        <v>1201.72</v>
      </c>
      <c r="C13864">
        <f t="shared" si="452"/>
        <v>-1.0889171508606979E-3</v>
      </c>
      <c r="D13864">
        <f t="shared" si="451"/>
        <v>-0.14789277792543409</v>
      </c>
    </row>
    <row r="13865" spans="1:4">
      <c r="A13865" s="1">
        <v>38391</v>
      </c>
      <c r="B13865">
        <v>1202.3</v>
      </c>
      <c r="C13865">
        <f t="shared" si="452"/>
        <v>4.8264154711574015E-4</v>
      </c>
      <c r="D13865">
        <f t="shared" si="451"/>
        <v>1.8063286382120937E-2</v>
      </c>
    </row>
    <row r="13866" spans="1:4">
      <c r="A13866" s="1">
        <v>38392</v>
      </c>
      <c r="B13866">
        <v>1191.99</v>
      </c>
      <c r="C13866">
        <f t="shared" si="452"/>
        <v>-8.5752308076186851E-3</v>
      </c>
      <c r="D13866">
        <f t="shared" si="451"/>
        <v>-0.93844495535742389</v>
      </c>
    </row>
    <row r="13867" spans="1:4">
      <c r="A13867" s="1">
        <v>38393</v>
      </c>
      <c r="B13867">
        <v>1197.01</v>
      </c>
      <c r="C13867">
        <f t="shared" si="452"/>
        <v>4.2114447268852776E-3</v>
      </c>
      <c r="D13867">
        <f t="shared" si="451"/>
        <v>0.41182363468399952</v>
      </c>
    </row>
    <row r="13868" spans="1:4">
      <c r="A13868" s="1">
        <v>38394</v>
      </c>
      <c r="B13868">
        <v>1205.3</v>
      </c>
      <c r="C13868">
        <f t="shared" si="452"/>
        <v>6.9255895940718657E-3</v>
      </c>
      <c r="D13868">
        <f t="shared" si="451"/>
        <v>0.6984364100762368</v>
      </c>
    </row>
    <row r="13869" spans="1:4">
      <c r="A13869" s="1">
        <v>38397</v>
      </c>
      <c r="B13869">
        <v>1206.1400000000001</v>
      </c>
      <c r="C13869">
        <f t="shared" si="452"/>
        <v>6.9692192815078863E-4</v>
      </c>
      <c r="D13869">
        <f t="shared" si="451"/>
        <v>4.0691221781981556E-2</v>
      </c>
    </row>
    <row r="13870" spans="1:4">
      <c r="A13870" s="1">
        <v>38398</v>
      </c>
      <c r="B13870">
        <v>1210.1199999999999</v>
      </c>
      <c r="C13870">
        <f t="shared" si="452"/>
        <v>3.2997827781184527E-3</v>
      </c>
      <c r="D13870">
        <f t="shared" si="451"/>
        <v>0.31555244278317596</v>
      </c>
    </row>
    <row r="13871" spans="1:4">
      <c r="A13871" s="1">
        <v>38399</v>
      </c>
      <c r="B13871">
        <v>1210.3399999999999</v>
      </c>
      <c r="C13871">
        <f t="shared" si="452"/>
        <v>1.8180015205105884E-4</v>
      </c>
      <c r="D13871">
        <f t="shared" si="451"/>
        <v>-1.3705462675750622E-2</v>
      </c>
    </row>
    <row r="13872" spans="1:4">
      <c r="A13872" s="1">
        <v>38400</v>
      </c>
      <c r="B13872">
        <v>1200.75</v>
      </c>
      <c r="C13872">
        <f t="shared" si="452"/>
        <v>-7.9233934266403818E-3</v>
      </c>
      <c r="D13872">
        <f t="shared" si="451"/>
        <v>-0.86961114949640639</v>
      </c>
    </row>
    <row r="13873" spans="1:4">
      <c r="A13873" s="1">
        <v>38401</v>
      </c>
      <c r="B13873">
        <v>1201.5899999999999</v>
      </c>
      <c r="C13873">
        <f t="shared" si="452"/>
        <v>6.995627732666401E-4</v>
      </c>
      <c r="D13873">
        <f t="shared" si="451"/>
        <v>4.0970094128548601E-2</v>
      </c>
    </row>
    <row r="13874" spans="1:4">
      <c r="A13874" s="1">
        <v>38405</v>
      </c>
      <c r="B13874">
        <v>1184.1600000000001</v>
      </c>
      <c r="C13874">
        <f t="shared" si="452"/>
        <v>-1.4505779841709599E-2</v>
      </c>
      <c r="D13874">
        <f t="shared" si="451"/>
        <v>-1.5647089174658606</v>
      </c>
    </row>
    <row r="13875" spans="1:4">
      <c r="A13875" s="1">
        <v>38406</v>
      </c>
      <c r="B13875">
        <v>1190.8</v>
      </c>
      <c r="C13875">
        <f t="shared" si="452"/>
        <v>5.6073503580596137E-3</v>
      </c>
      <c r="D13875">
        <f t="shared" si="451"/>
        <v>0.55923079484463101</v>
      </c>
    </row>
    <row r="13876" spans="1:4">
      <c r="A13876" s="1">
        <v>38407</v>
      </c>
      <c r="B13876">
        <v>1200.2</v>
      </c>
      <c r="C13876">
        <f t="shared" si="452"/>
        <v>7.8938528720188875E-3</v>
      </c>
      <c r="D13876">
        <f t="shared" si="451"/>
        <v>0.80068468309876262</v>
      </c>
    </row>
    <row r="13877" spans="1:4">
      <c r="A13877" s="1">
        <v>38408</v>
      </c>
      <c r="B13877">
        <v>1211.3699999999999</v>
      </c>
      <c r="C13877">
        <f t="shared" si="452"/>
        <v>9.3067822029660428E-3</v>
      </c>
      <c r="D13877">
        <f t="shared" si="451"/>
        <v>0.94988954016876725</v>
      </c>
    </row>
    <row r="13878" spans="1:4">
      <c r="A13878" s="1">
        <v>38411</v>
      </c>
      <c r="B13878">
        <v>1203.5999999999999</v>
      </c>
      <c r="C13878">
        <f t="shared" si="452"/>
        <v>-6.4142252160776497E-3</v>
      </c>
      <c r="D13878">
        <f t="shared" si="451"/>
        <v>-0.71024349945218168</v>
      </c>
    </row>
    <row r="13879" spans="1:4">
      <c r="A13879" s="1">
        <v>38412</v>
      </c>
      <c r="B13879">
        <v>1210.4100000000001</v>
      </c>
      <c r="C13879">
        <f t="shared" si="452"/>
        <v>5.6580259222334438E-3</v>
      </c>
      <c r="D13879">
        <f t="shared" si="451"/>
        <v>0.56458211719592621</v>
      </c>
    </row>
    <row r="13880" spans="1:4">
      <c r="A13880" s="1">
        <v>38413</v>
      </c>
      <c r="B13880">
        <v>1210.08</v>
      </c>
      <c r="C13880">
        <f t="shared" si="452"/>
        <v>-2.7263489230934523E-4</v>
      </c>
      <c r="D13880">
        <f t="shared" si="451"/>
        <v>-6.1693648890232398E-2</v>
      </c>
    </row>
    <row r="13881" spans="1:4">
      <c r="A13881" s="1">
        <v>38414</v>
      </c>
      <c r="B13881">
        <v>1210.47</v>
      </c>
      <c r="C13881">
        <f t="shared" si="452"/>
        <v>3.2229274097588597E-4</v>
      </c>
      <c r="D13881">
        <f t="shared" si="451"/>
        <v>1.1305069589598144E-3</v>
      </c>
    </row>
    <row r="13882" spans="1:4">
      <c r="A13882" s="1">
        <v>38415</v>
      </c>
      <c r="B13882">
        <v>1222.1199999999999</v>
      </c>
      <c r="C13882">
        <f t="shared" si="452"/>
        <v>9.624360785479907E-3</v>
      </c>
      <c r="D13882">
        <f t="shared" si="451"/>
        <v>0.98342573053202609</v>
      </c>
    </row>
    <row r="13883" spans="1:4">
      <c r="A13883" s="1">
        <v>38418</v>
      </c>
      <c r="B13883">
        <v>1225.31</v>
      </c>
      <c r="C13883">
        <f t="shared" si="452"/>
        <v>2.6102183091677206E-3</v>
      </c>
      <c r="D13883">
        <f t="shared" si="451"/>
        <v>0.24273466925633025</v>
      </c>
    </row>
    <row r="13884" spans="1:4">
      <c r="A13884" s="1">
        <v>38419</v>
      </c>
      <c r="B13884">
        <v>1219.43</v>
      </c>
      <c r="C13884">
        <f t="shared" si="452"/>
        <v>-4.7987856134365037E-3</v>
      </c>
      <c r="D13884">
        <f t="shared" si="451"/>
        <v>-0.53965362652787774</v>
      </c>
    </row>
    <row r="13885" spans="1:4">
      <c r="A13885" s="1">
        <v>38420</v>
      </c>
      <c r="B13885">
        <v>1207.01</v>
      </c>
      <c r="C13885">
        <f t="shared" si="452"/>
        <v>-1.0185086474828462E-2</v>
      </c>
      <c r="D13885">
        <f t="shared" si="451"/>
        <v>-1.1084451665982473</v>
      </c>
    </row>
    <row r="13886" spans="1:4">
      <c r="A13886" s="1">
        <v>38421</v>
      </c>
      <c r="B13886">
        <v>1209.25</v>
      </c>
      <c r="C13886">
        <f t="shared" si="452"/>
        <v>1.8558255523980821E-3</v>
      </c>
      <c r="D13886">
        <f t="shared" si="451"/>
        <v>0.16307105057201376</v>
      </c>
    </row>
    <row r="13887" spans="1:4">
      <c r="A13887" s="1">
        <v>38422</v>
      </c>
      <c r="B13887">
        <v>1200.08</v>
      </c>
      <c r="C13887">
        <f t="shared" si="452"/>
        <v>-7.5832127351664856E-3</v>
      </c>
      <c r="D13887">
        <f t="shared" si="451"/>
        <v>-0.83368818410979828</v>
      </c>
    </row>
    <row r="13888" spans="1:4">
      <c r="A13888" s="1">
        <v>38425</v>
      </c>
      <c r="B13888">
        <v>1206.83</v>
      </c>
      <c r="C13888">
        <f t="shared" si="452"/>
        <v>5.6246250249983335E-3</v>
      </c>
      <c r="D13888">
        <f t="shared" si="451"/>
        <v>0.56105499380141521</v>
      </c>
    </row>
    <row r="13889" spans="1:4">
      <c r="A13889" s="1">
        <v>38426</v>
      </c>
      <c r="B13889">
        <v>1197.75</v>
      </c>
      <c r="C13889">
        <f t="shared" si="452"/>
        <v>-7.5238434576534625E-3</v>
      </c>
      <c r="D13889">
        <f t="shared" si="451"/>
        <v>-0.82741880858502104</v>
      </c>
    </row>
    <row r="13890" spans="1:4">
      <c r="A13890" s="1">
        <v>38427</v>
      </c>
      <c r="B13890">
        <v>1188.07</v>
      </c>
      <c r="C13890">
        <f t="shared" si="452"/>
        <v>-8.0818200793154361E-3</v>
      </c>
      <c r="D13890">
        <f t="shared" si="451"/>
        <v>-0.88634095016705639</v>
      </c>
    </row>
    <row r="13891" spans="1:4">
      <c r="A13891" s="1">
        <v>38428</v>
      </c>
      <c r="B13891">
        <v>1190.21</v>
      </c>
      <c r="C13891">
        <f t="shared" si="452"/>
        <v>1.8012406676375132E-3</v>
      </c>
      <c r="D13891">
        <f t="shared" ref="D13891:D13954" si="453">(C13891-avg)/sd</f>
        <v>0.15730690529560154</v>
      </c>
    </row>
    <row r="13892" spans="1:4">
      <c r="A13892" s="1">
        <v>38429</v>
      </c>
      <c r="B13892">
        <v>1189.6500000000001</v>
      </c>
      <c r="C13892">
        <f t="shared" ref="C13892:C13955" si="454">(B13892-B13891)/B13891</f>
        <v>-4.7050520496378403E-4</v>
      </c>
      <c r="D13892">
        <f t="shared" si="453"/>
        <v>-8.2588686647153908E-2</v>
      </c>
    </row>
    <row r="13893" spans="1:4">
      <c r="A13893" s="1">
        <v>38432</v>
      </c>
      <c r="B13893">
        <v>1183.78</v>
      </c>
      <c r="C13893">
        <f t="shared" si="454"/>
        <v>-4.9342243517001786E-3</v>
      </c>
      <c r="D13893">
        <f t="shared" si="453"/>
        <v>-0.5539559112506578</v>
      </c>
    </row>
    <row r="13894" spans="1:4">
      <c r="A13894" s="1">
        <v>38433</v>
      </c>
      <c r="B13894">
        <v>1171.71</v>
      </c>
      <c r="C13894">
        <f t="shared" si="454"/>
        <v>-1.0196151311899116E-2</v>
      </c>
      <c r="D13894">
        <f t="shared" si="453"/>
        <v>-1.1096136096317875</v>
      </c>
    </row>
    <row r="13895" spans="1:4">
      <c r="A13895" s="1">
        <v>38434</v>
      </c>
      <c r="B13895">
        <v>1172.53</v>
      </c>
      <c r="C13895">
        <f t="shared" si="454"/>
        <v>6.9983186966052723E-4</v>
      </c>
      <c r="D13895">
        <f t="shared" si="453"/>
        <v>4.0998510616272771E-2</v>
      </c>
    </row>
    <row r="13896" spans="1:4">
      <c r="A13896" s="1">
        <v>38435</v>
      </c>
      <c r="B13896">
        <v>1171.42</v>
      </c>
      <c r="C13896">
        <f t="shared" si="454"/>
        <v>-9.4667087409268846E-4</v>
      </c>
      <c r="D13896">
        <f t="shared" si="453"/>
        <v>-0.13287161945059109</v>
      </c>
    </row>
    <row r="13897" spans="1:4">
      <c r="A13897" s="1">
        <v>38439</v>
      </c>
      <c r="B13897">
        <v>1174.28</v>
      </c>
      <c r="C13897">
        <f t="shared" si="454"/>
        <v>2.4414812791312252E-3</v>
      </c>
      <c r="D13897">
        <f t="shared" si="453"/>
        <v>0.22491609624097966</v>
      </c>
    </row>
    <row r="13898" spans="1:4">
      <c r="A13898" s="1">
        <v>38440</v>
      </c>
      <c r="B13898">
        <v>1165.3599999999999</v>
      </c>
      <c r="C13898">
        <f t="shared" si="454"/>
        <v>-7.5961440201656105E-3</v>
      </c>
      <c r="D13898">
        <f t="shared" si="453"/>
        <v>-0.83505372341014872</v>
      </c>
    </row>
    <row r="13899" spans="1:4">
      <c r="A13899" s="1">
        <v>38441</v>
      </c>
      <c r="B13899">
        <v>1181.4100000000001</v>
      </c>
      <c r="C13899">
        <f t="shared" si="454"/>
        <v>1.3772568133452481E-2</v>
      </c>
      <c r="D13899">
        <f t="shared" si="453"/>
        <v>1.4214750164337417</v>
      </c>
    </row>
    <row r="13900" spans="1:4">
      <c r="A13900" s="1">
        <v>38442</v>
      </c>
      <c r="B13900">
        <v>1180.5899999999999</v>
      </c>
      <c r="C13900">
        <f t="shared" si="454"/>
        <v>-6.9408588043114888E-4</v>
      </c>
      <c r="D13900">
        <f t="shared" si="453"/>
        <v>-0.10619872997774345</v>
      </c>
    </row>
    <row r="13901" spans="1:4">
      <c r="A13901" s="1">
        <v>38443</v>
      </c>
      <c r="B13901">
        <v>1172.92</v>
      </c>
      <c r="C13901">
        <f t="shared" si="454"/>
        <v>-6.4967516241877755E-3</v>
      </c>
      <c r="D13901">
        <f t="shared" si="453"/>
        <v>-0.71895826009652186</v>
      </c>
    </row>
    <row r="13902" spans="1:4">
      <c r="A13902" s="1">
        <v>38446</v>
      </c>
      <c r="B13902">
        <v>1176.1199999999999</v>
      </c>
      <c r="C13902">
        <f t="shared" si="454"/>
        <v>2.7282338096373307E-3</v>
      </c>
      <c r="D13902">
        <f t="shared" si="453"/>
        <v>0.25519706599050335</v>
      </c>
    </row>
    <row r="13903" spans="1:4">
      <c r="A13903" s="1">
        <v>38447</v>
      </c>
      <c r="B13903">
        <v>1181.3900000000001</v>
      </c>
      <c r="C13903">
        <f t="shared" si="454"/>
        <v>4.4808352889162753E-3</v>
      </c>
      <c r="D13903">
        <f t="shared" si="453"/>
        <v>0.44027118646417163</v>
      </c>
    </row>
    <row r="13904" spans="1:4">
      <c r="A13904" s="1">
        <v>38448</v>
      </c>
      <c r="B13904">
        <v>1184.07</v>
      </c>
      <c r="C13904">
        <f t="shared" si="454"/>
        <v>2.2685142078397785E-3</v>
      </c>
      <c r="D13904">
        <f t="shared" si="453"/>
        <v>0.2066508323069671</v>
      </c>
    </row>
    <row r="13905" spans="1:4">
      <c r="A13905" s="1">
        <v>38449</v>
      </c>
      <c r="B13905">
        <v>1191.1400000000001</v>
      </c>
      <c r="C13905">
        <f t="shared" si="454"/>
        <v>5.9709307726740516E-3</v>
      </c>
      <c r="D13905">
        <f t="shared" si="453"/>
        <v>0.59762476304092793</v>
      </c>
    </row>
    <row r="13906" spans="1:4">
      <c r="A13906" s="1">
        <v>38450</v>
      </c>
      <c r="B13906">
        <v>1181.2</v>
      </c>
      <c r="C13906">
        <f t="shared" si="454"/>
        <v>-8.3449468576322298E-3</v>
      </c>
      <c r="D13906">
        <f t="shared" si="453"/>
        <v>-0.9141270485161721</v>
      </c>
    </row>
    <row r="13907" spans="1:4">
      <c r="A13907" s="1">
        <v>38453</v>
      </c>
      <c r="B13907">
        <v>1181.21</v>
      </c>
      <c r="C13907">
        <f t="shared" si="454"/>
        <v>8.465966813402392E-6</v>
      </c>
      <c r="D13907">
        <f t="shared" si="453"/>
        <v>-3.2009493717694848E-2</v>
      </c>
    </row>
    <row r="13908" spans="1:4">
      <c r="A13908" s="1">
        <v>38454</v>
      </c>
      <c r="B13908">
        <v>1187.76</v>
      </c>
      <c r="C13908">
        <f t="shared" si="454"/>
        <v>5.5451613176318816E-3</v>
      </c>
      <c r="D13908">
        <f t="shared" si="453"/>
        <v>0.55266365331454437</v>
      </c>
    </row>
    <row r="13909" spans="1:4">
      <c r="A13909" s="1">
        <v>38455</v>
      </c>
      <c r="B13909">
        <v>1173.79</v>
      </c>
      <c r="C13909">
        <f t="shared" si="454"/>
        <v>-1.1761635347208213E-2</v>
      </c>
      <c r="D13909">
        <f t="shared" si="453"/>
        <v>-1.2749281916265494</v>
      </c>
    </row>
    <row r="13910" spans="1:4">
      <c r="A13910" s="1">
        <v>38456</v>
      </c>
      <c r="B13910">
        <v>1162.05</v>
      </c>
      <c r="C13910">
        <f t="shared" si="454"/>
        <v>-1.0001789076410609E-2</v>
      </c>
      <c r="D13910">
        <f t="shared" si="453"/>
        <v>-1.089089023631135</v>
      </c>
    </row>
    <row r="13911" spans="1:4">
      <c r="A13911" s="1">
        <v>38457</v>
      </c>
      <c r="B13911">
        <v>1142.6199999999999</v>
      </c>
      <c r="C13911">
        <f t="shared" si="454"/>
        <v>-1.6720450927240709E-2</v>
      </c>
      <c r="D13911">
        <f t="shared" si="453"/>
        <v>-1.7985774312946672</v>
      </c>
    </row>
    <row r="13912" spans="1:4">
      <c r="A13912" s="1">
        <v>38460</v>
      </c>
      <c r="B13912">
        <v>1145.98</v>
      </c>
      <c r="C13912">
        <f t="shared" si="454"/>
        <v>2.9406101766117588E-3</v>
      </c>
      <c r="D13912">
        <f t="shared" si="453"/>
        <v>0.27762393815276831</v>
      </c>
    </row>
    <row r="13913" spans="1:4">
      <c r="A13913" s="1">
        <v>38461</v>
      </c>
      <c r="B13913">
        <v>1152.78</v>
      </c>
      <c r="C13913">
        <f t="shared" si="454"/>
        <v>5.9337859299463816E-3</v>
      </c>
      <c r="D13913">
        <f t="shared" si="453"/>
        <v>0.59370228027503147</v>
      </c>
    </row>
    <row r="13914" spans="1:4">
      <c r="A13914" s="1">
        <v>38462</v>
      </c>
      <c r="B13914">
        <v>1137.5</v>
      </c>
      <c r="C13914">
        <f t="shared" si="454"/>
        <v>-1.3254914207394275E-2</v>
      </c>
      <c r="D13914">
        <f t="shared" si="453"/>
        <v>-1.4326179316720504</v>
      </c>
    </row>
    <row r="13915" spans="1:4">
      <c r="A13915" s="1">
        <v>38463</v>
      </c>
      <c r="B13915">
        <v>1159.95</v>
      </c>
      <c r="C13915">
        <f t="shared" si="454"/>
        <v>1.9736263736263776E-2</v>
      </c>
      <c r="D13915">
        <f t="shared" si="453"/>
        <v>2.0512392449319843</v>
      </c>
    </row>
    <row r="13916" spans="1:4">
      <c r="A13916" s="1">
        <v>38464</v>
      </c>
      <c r="B13916">
        <v>1152.1199999999999</v>
      </c>
      <c r="C13916">
        <f t="shared" si="454"/>
        <v>-6.7502909608174099E-3</v>
      </c>
      <c r="D13916">
        <f t="shared" si="453"/>
        <v>-0.74573192786240339</v>
      </c>
    </row>
    <row r="13917" spans="1:4">
      <c r="A13917" s="1">
        <v>38467</v>
      </c>
      <c r="B13917">
        <v>1162.0999999999999</v>
      </c>
      <c r="C13917">
        <f t="shared" si="454"/>
        <v>8.6622921223483834E-3</v>
      </c>
      <c r="D13917">
        <f t="shared" si="453"/>
        <v>0.88183160672836503</v>
      </c>
    </row>
    <row r="13918" spans="1:4">
      <c r="A13918" s="1">
        <v>38468</v>
      </c>
      <c r="B13918">
        <v>1151.83</v>
      </c>
      <c r="C13918">
        <f t="shared" si="454"/>
        <v>-8.8374494449702974E-3</v>
      </c>
      <c r="D13918">
        <f t="shared" si="453"/>
        <v>-0.96613515432930863</v>
      </c>
    </row>
    <row r="13919" spans="1:4">
      <c r="A13919" s="1">
        <v>38469</v>
      </c>
      <c r="B13919">
        <v>1156.3800000000001</v>
      </c>
      <c r="C13919">
        <f t="shared" si="454"/>
        <v>3.9502357118673609E-3</v>
      </c>
      <c r="D13919">
        <f t="shared" si="453"/>
        <v>0.38424005148736579</v>
      </c>
    </row>
    <row r="13920" spans="1:4">
      <c r="A13920" s="1">
        <v>38470</v>
      </c>
      <c r="B13920">
        <v>1143.22</v>
      </c>
      <c r="C13920">
        <f t="shared" si="454"/>
        <v>-1.1380342102077242E-2</v>
      </c>
      <c r="D13920">
        <f t="shared" si="453"/>
        <v>-1.2346637545485901</v>
      </c>
    </row>
    <row r="13921" spans="1:4">
      <c r="A13921" s="1">
        <v>38471</v>
      </c>
      <c r="B13921">
        <v>1156.8499999999999</v>
      </c>
      <c r="C13921">
        <f t="shared" si="454"/>
        <v>1.1922464617483846E-2</v>
      </c>
      <c r="D13921">
        <f t="shared" si="453"/>
        <v>1.2261047140281947</v>
      </c>
    </row>
    <row r="13922" spans="1:4">
      <c r="A13922" s="1">
        <v>38474</v>
      </c>
      <c r="B13922">
        <v>1162.1600000000001</v>
      </c>
      <c r="C13922">
        <f t="shared" si="454"/>
        <v>4.5900505683538692E-3</v>
      </c>
      <c r="D13922">
        <f t="shared" si="453"/>
        <v>0.45180428284870428</v>
      </c>
    </row>
    <row r="13923" spans="1:4">
      <c r="A13923" s="1">
        <v>38475</v>
      </c>
      <c r="B13923">
        <v>1161.17</v>
      </c>
      <c r="C13923">
        <f t="shared" si="454"/>
        <v>-8.5186204997591468E-4</v>
      </c>
      <c r="D13923">
        <f t="shared" si="453"/>
        <v>-0.12285983985094491</v>
      </c>
    </row>
    <row r="13924" spans="1:4">
      <c r="A13924" s="1">
        <v>38476</v>
      </c>
      <c r="B13924">
        <v>1175.6500000000001</v>
      </c>
      <c r="C13924">
        <f t="shared" si="454"/>
        <v>1.2470180938191666E-2</v>
      </c>
      <c r="D13924">
        <f t="shared" si="453"/>
        <v>1.2839433713171171</v>
      </c>
    </row>
    <row r="13925" spans="1:4">
      <c r="A13925" s="1">
        <v>38477</v>
      </c>
      <c r="B13925">
        <v>1172.6300000000001</v>
      </c>
      <c r="C13925">
        <f t="shared" si="454"/>
        <v>-2.5687917322332172E-3</v>
      </c>
      <c r="D13925">
        <f t="shared" si="453"/>
        <v>-0.30416703068456075</v>
      </c>
    </row>
    <row r="13926" spans="1:4">
      <c r="A13926" s="1">
        <v>38478</v>
      </c>
      <c r="B13926">
        <v>1171.3499999999999</v>
      </c>
      <c r="C13926">
        <f t="shared" si="454"/>
        <v>-1.0915634087480279E-3</v>
      </c>
      <c r="D13926">
        <f t="shared" si="453"/>
        <v>-0.14817222185882936</v>
      </c>
    </row>
    <row r="13927" spans="1:4">
      <c r="A13927" s="1">
        <v>38481</v>
      </c>
      <c r="B13927">
        <v>1178.8399999999999</v>
      </c>
      <c r="C13927">
        <f t="shared" si="454"/>
        <v>6.3943313271012164E-3</v>
      </c>
      <c r="D13927">
        <f t="shared" si="453"/>
        <v>0.64233571766759534</v>
      </c>
    </row>
    <row r="13928" spans="1:4">
      <c r="A13928" s="1">
        <v>38482</v>
      </c>
      <c r="B13928">
        <v>1166.22</v>
      </c>
      <c r="C13928">
        <f t="shared" si="454"/>
        <v>-1.0705439245359754E-2</v>
      </c>
      <c r="D13928">
        <f t="shared" si="453"/>
        <v>-1.1633942422898509</v>
      </c>
    </row>
    <row r="13929" spans="1:4">
      <c r="A13929" s="1">
        <v>38483</v>
      </c>
      <c r="B13929">
        <v>1171.1099999999999</v>
      </c>
      <c r="C13929">
        <f t="shared" si="454"/>
        <v>4.1930339044090074E-3</v>
      </c>
      <c r="D13929">
        <f t="shared" si="453"/>
        <v>0.40987945808864801</v>
      </c>
    </row>
    <row r="13930" spans="1:4">
      <c r="A13930" s="1">
        <v>38484</v>
      </c>
      <c r="B13930">
        <v>1159.3599999999999</v>
      </c>
      <c r="C13930">
        <f t="shared" si="454"/>
        <v>-1.0033216350300144E-2</v>
      </c>
      <c r="D13930">
        <f t="shared" si="453"/>
        <v>-1.0924077330712203</v>
      </c>
    </row>
    <row r="13931" spans="1:4">
      <c r="A13931" s="1">
        <v>38485</v>
      </c>
      <c r="B13931">
        <v>1154.05</v>
      </c>
      <c r="C13931">
        <f t="shared" si="454"/>
        <v>-4.5801131658845797E-3</v>
      </c>
      <c r="D13931">
        <f t="shared" si="453"/>
        <v>-0.51656189039677103</v>
      </c>
    </row>
    <row r="13932" spans="1:4">
      <c r="A13932" s="1">
        <v>38488</v>
      </c>
      <c r="B13932">
        <v>1165.69</v>
      </c>
      <c r="C13932">
        <f t="shared" si="454"/>
        <v>1.0086218101468827E-2</v>
      </c>
      <c r="D13932">
        <f t="shared" si="453"/>
        <v>1.0321977061075265</v>
      </c>
    </row>
    <row r="13933" spans="1:4">
      <c r="A13933" s="1">
        <v>38489</v>
      </c>
      <c r="B13933">
        <v>1173.8</v>
      </c>
      <c r="C13933">
        <f t="shared" si="454"/>
        <v>6.9572527859035416E-3</v>
      </c>
      <c r="D13933">
        <f t="shared" si="453"/>
        <v>0.70178003237081998</v>
      </c>
    </row>
    <row r="13934" spans="1:4">
      <c r="A13934" s="1">
        <v>38490</v>
      </c>
      <c r="B13934">
        <v>1185.56</v>
      </c>
      <c r="C13934">
        <f t="shared" si="454"/>
        <v>1.0018742545578456E-2</v>
      </c>
      <c r="D13934">
        <f t="shared" si="453"/>
        <v>1.0250723103415591</v>
      </c>
    </row>
    <row r="13935" spans="1:4">
      <c r="A13935" s="1">
        <v>38491</v>
      </c>
      <c r="B13935">
        <v>1191.08</v>
      </c>
      <c r="C13935">
        <f t="shared" si="454"/>
        <v>4.6560275312932135E-3</v>
      </c>
      <c r="D13935">
        <f t="shared" si="453"/>
        <v>0.45877142770843971</v>
      </c>
    </row>
    <row r="13936" spans="1:4">
      <c r="A13936" s="1">
        <v>38492</v>
      </c>
      <c r="B13936">
        <v>1189.28</v>
      </c>
      <c r="C13936">
        <f t="shared" si="454"/>
        <v>-1.511233502367561E-3</v>
      </c>
      <c r="D13936">
        <f t="shared" si="453"/>
        <v>-0.19248924109225612</v>
      </c>
    </row>
    <row r="13937" spans="1:4">
      <c r="A13937" s="1">
        <v>38495</v>
      </c>
      <c r="B13937">
        <v>1193.8599999999999</v>
      </c>
      <c r="C13937">
        <f t="shared" si="454"/>
        <v>3.85106955468849E-3</v>
      </c>
      <c r="D13937">
        <f t="shared" si="453"/>
        <v>0.37376813899749162</v>
      </c>
    </row>
    <row r="13938" spans="1:4">
      <c r="A13938" s="1">
        <v>38496</v>
      </c>
      <c r="B13938">
        <v>1194.07</v>
      </c>
      <c r="C13938">
        <f t="shared" si="454"/>
        <v>1.7590002177812842E-4</v>
      </c>
      <c r="D13938">
        <f t="shared" si="453"/>
        <v>-1.432851442702035E-2</v>
      </c>
    </row>
    <row r="13939" spans="1:4">
      <c r="A13939" s="1">
        <v>38497</v>
      </c>
      <c r="B13939">
        <v>1190.01</v>
      </c>
      <c r="C13939">
        <f t="shared" si="454"/>
        <v>-3.4001356704380361E-3</v>
      </c>
      <c r="D13939">
        <f t="shared" si="453"/>
        <v>-0.39195666797145484</v>
      </c>
    </row>
    <row r="13940" spans="1:4">
      <c r="A13940" s="1">
        <v>38498</v>
      </c>
      <c r="B13940">
        <v>1197.6199999999999</v>
      </c>
      <c r="C13940">
        <f t="shared" si="454"/>
        <v>6.3949042445020634E-3</v>
      </c>
      <c r="D13940">
        <f t="shared" si="453"/>
        <v>0.64239621755038068</v>
      </c>
    </row>
    <row r="13941" spans="1:4">
      <c r="A13941" s="1">
        <v>38499</v>
      </c>
      <c r="B13941">
        <v>1198.78</v>
      </c>
      <c r="C13941">
        <f t="shared" si="454"/>
        <v>9.685876989362919E-4</v>
      </c>
      <c r="D13941">
        <f t="shared" si="453"/>
        <v>6.9379034833248462E-2</v>
      </c>
    </row>
    <row r="13942" spans="1:4">
      <c r="A13942" s="1">
        <v>38503</v>
      </c>
      <c r="B13942">
        <v>1191.5</v>
      </c>
      <c r="C13942">
        <f t="shared" si="454"/>
        <v>-6.0728407214000676E-3</v>
      </c>
      <c r="D13942">
        <f t="shared" si="453"/>
        <v>-0.67419341285645695</v>
      </c>
    </row>
    <row r="13943" spans="1:4">
      <c r="A13943" s="1">
        <v>38504</v>
      </c>
      <c r="B13943">
        <v>1202.22</v>
      </c>
      <c r="C13943">
        <f t="shared" si="454"/>
        <v>8.997062526227468E-3</v>
      </c>
      <c r="D13943">
        <f t="shared" si="453"/>
        <v>0.91718324758400704</v>
      </c>
    </row>
    <row r="13944" spans="1:4">
      <c r="A13944" s="1">
        <v>38505</v>
      </c>
      <c r="B13944">
        <v>1204.29</v>
      </c>
      <c r="C13944">
        <f t="shared" si="454"/>
        <v>1.7218146429105624E-3</v>
      </c>
      <c r="D13944">
        <f t="shared" si="453"/>
        <v>0.14891954408265309</v>
      </c>
    </row>
    <row r="13945" spans="1:4">
      <c r="A13945" s="1">
        <v>38506</v>
      </c>
      <c r="B13945">
        <v>1196.02</v>
      </c>
      <c r="C13945">
        <f t="shared" si="454"/>
        <v>-6.8671167243770041E-3</v>
      </c>
      <c r="D13945">
        <f t="shared" si="453"/>
        <v>-0.75806868878329003</v>
      </c>
    </row>
    <row r="13946" spans="1:4">
      <c r="A13946" s="1">
        <v>38509</v>
      </c>
      <c r="B13946">
        <v>1197.51</v>
      </c>
      <c r="C13946">
        <f t="shared" si="454"/>
        <v>1.2457985652413915E-3</v>
      </c>
      <c r="D13946">
        <f t="shared" si="453"/>
        <v>9.8652408086515195E-2</v>
      </c>
    </row>
    <row r="13947" spans="1:4">
      <c r="A13947" s="1">
        <v>38510</v>
      </c>
      <c r="B13947">
        <v>1197.26</v>
      </c>
      <c r="C13947">
        <f t="shared" si="454"/>
        <v>-2.0876652387036434E-4</v>
      </c>
      <c r="D13947">
        <f t="shared" si="453"/>
        <v>-5.4949170892989285E-2</v>
      </c>
    </row>
    <row r="13948" spans="1:4">
      <c r="A13948" s="1">
        <v>38511</v>
      </c>
      <c r="B13948">
        <v>1194.67</v>
      </c>
      <c r="C13948">
        <f t="shared" si="454"/>
        <v>-2.1632728062408483E-3</v>
      </c>
      <c r="D13948">
        <f t="shared" si="453"/>
        <v>-0.261344369942347</v>
      </c>
    </row>
    <row r="13949" spans="1:4">
      <c r="A13949" s="1">
        <v>38512</v>
      </c>
      <c r="B13949">
        <v>1200.93</v>
      </c>
      <c r="C13949">
        <f t="shared" si="454"/>
        <v>5.2399407367724896E-3</v>
      </c>
      <c r="D13949">
        <f t="shared" si="453"/>
        <v>0.52043246372530894</v>
      </c>
    </row>
    <row r="13950" spans="1:4">
      <c r="A13950" s="1">
        <v>38513</v>
      </c>
      <c r="B13950">
        <v>1198.1099999999999</v>
      </c>
      <c r="C13950">
        <f t="shared" si="454"/>
        <v>-2.348180160375845E-3</v>
      </c>
      <c r="D13950">
        <f t="shared" si="453"/>
        <v>-0.28087052368593907</v>
      </c>
    </row>
    <row r="13951" spans="1:4">
      <c r="A13951" s="1">
        <v>38516</v>
      </c>
      <c r="B13951">
        <v>1200.82</v>
      </c>
      <c r="C13951">
        <f t="shared" si="454"/>
        <v>2.2618958192486805E-3</v>
      </c>
      <c r="D13951">
        <f t="shared" si="453"/>
        <v>0.20595193272144674</v>
      </c>
    </row>
    <row r="13952" spans="1:4">
      <c r="A13952" s="1">
        <v>38517</v>
      </c>
      <c r="B13952">
        <v>1203.9100000000001</v>
      </c>
      <c r="C13952">
        <f t="shared" si="454"/>
        <v>2.5732416182276657E-3</v>
      </c>
      <c r="D13952">
        <f t="shared" si="453"/>
        <v>0.2388299432620484</v>
      </c>
    </row>
    <row r="13953" spans="1:4">
      <c r="A13953" s="1">
        <v>38518</v>
      </c>
      <c r="B13953">
        <v>1206.58</v>
      </c>
      <c r="C13953">
        <f t="shared" si="454"/>
        <v>2.2177737538519034E-3</v>
      </c>
      <c r="D13953">
        <f t="shared" si="453"/>
        <v>0.20129265761336579</v>
      </c>
    </row>
    <row r="13954" spans="1:4">
      <c r="A13954" s="1">
        <v>38519</v>
      </c>
      <c r="B13954">
        <v>1210.96</v>
      </c>
      <c r="C13954">
        <f t="shared" si="454"/>
        <v>3.6300949791974917E-3</v>
      </c>
      <c r="D13954">
        <f t="shared" si="453"/>
        <v>0.35043329893854996</v>
      </c>
    </row>
    <row r="13955" spans="1:4">
      <c r="A13955" s="1">
        <v>38520</v>
      </c>
      <c r="B13955">
        <v>1216.96</v>
      </c>
      <c r="C13955">
        <f t="shared" si="454"/>
        <v>4.9547466472881019E-3</v>
      </c>
      <c r="D13955">
        <f t="shared" ref="D13955:D14018" si="455">(C13955-avg)/sd</f>
        <v>0.49031606481793882</v>
      </c>
    </row>
    <row r="13956" spans="1:4">
      <c r="A13956" s="1">
        <v>38523</v>
      </c>
      <c r="B13956">
        <v>1216.0999999999999</v>
      </c>
      <c r="C13956">
        <f t="shared" ref="C13956:C14019" si="456">(B13956-B13955)/B13955</f>
        <v>-7.0667893768088289E-4</v>
      </c>
      <c r="D13956">
        <f t="shared" si="455"/>
        <v>-0.10752855254272721</v>
      </c>
    </row>
    <row r="13957" spans="1:4">
      <c r="A13957" s="1">
        <v>38524</v>
      </c>
      <c r="B13957">
        <v>1213.6099999999999</v>
      </c>
      <c r="C13957">
        <f t="shared" si="456"/>
        <v>-2.0475289861031244E-3</v>
      </c>
      <c r="D13957">
        <f t="shared" si="455"/>
        <v>-0.2491218618790394</v>
      </c>
    </row>
    <row r="13958" spans="1:4">
      <c r="A13958" s="1">
        <v>38525</v>
      </c>
      <c r="B13958">
        <v>1213.8800000000001</v>
      </c>
      <c r="C13958">
        <f t="shared" si="456"/>
        <v>2.2247674294065573E-4</v>
      </c>
      <c r="D13958">
        <f t="shared" si="455"/>
        <v>-9.4100285044542362E-3</v>
      </c>
    </row>
    <row r="13959" spans="1:4">
      <c r="A13959" s="1">
        <v>38526</v>
      </c>
      <c r="B13959">
        <v>1200.73</v>
      </c>
      <c r="C13959">
        <f t="shared" si="456"/>
        <v>-1.0833031271624946E-2</v>
      </c>
      <c r="D13959">
        <f t="shared" si="455"/>
        <v>-1.1768679168928182</v>
      </c>
    </row>
    <row r="13960" spans="1:4">
      <c r="A13960" s="1">
        <v>38527</v>
      </c>
      <c r="B13960">
        <v>1191.57</v>
      </c>
      <c r="C13960">
        <f t="shared" si="456"/>
        <v>-7.628692545368302E-3</v>
      </c>
      <c r="D13960">
        <f t="shared" si="455"/>
        <v>-0.83849083660777157</v>
      </c>
    </row>
    <row r="13961" spans="1:4">
      <c r="A13961" s="1">
        <v>38530</v>
      </c>
      <c r="B13961">
        <v>1190.69</v>
      </c>
      <c r="C13961">
        <f t="shared" si="456"/>
        <v>-7.3852144649486128E-4</v>
      </c>
      <c r="D13961">
        <f t="shared" si="455"/>
        <v>-0.11089111064968869</v>
      </c>
    </row>
    <row r="13962" spans="1:4">
      <c r="A13962" s="1">
        <v>38531</v>
      </c>
      <c r="B13962">
        <v>1201.57</v>
      </c>
      <c r="C13962">
        <f t="shared" si="456"/>
        <v>9.1375588944224619E-3</v>
      </c>
      <c r="D13962">
        <f t="shared" si="455"/>
        <v>0.9320196163083625</v>
      </c>
    </row>
    <row r="13963" spans="1:4">
      <c r="A13963" s="1">
        <v>38532</v>
      </c>
      <c r="B13963">
        <v>1199.8499999999999</v>
      </c>
      <c r="C13963">
        <f t="shared" si="456"/>
        <v>-1.4314605058382177E-3</v>
      </c>
      <c r="D13963">
        <f t="shared" si="455"/>
        <v>-0.18406523977491648</v>
      </c>
    </row>
    <row r="13964" spans="1:4">
      <c r="A13964" s="1">
        <v>38533</v>
      </c>
      <c r="B13964">
        <v>1191.33</v>
      </c>
      <c r="C13964">
        <f t="shared" si="456"/>
        <v>-7.1008876109513539E-3</v>
      </c>
      <c r="D13964">
        <f t="shared" si="455"/>
        <v>-0.78275481494295618</v>
      </c>
    </row>
    <row r="13965" spans="1:4">
      <c r="A13965" s="1">
        <v>38534</v>
      </c>
      <c r="B13965">
        <v>1194.44</v>
      </c>
      <c r="C13965">
        <f t="shared" si="456"/>
        <v>2.6105277295125008E-3</v>
      </c>
      <c r="D13965">
        <f t="shared" si="455"/>
        <v>0.24276734393956195</v>
      </c>
    </row>
    <row r="13966" spans="1:4">
      <c r="A13966" s="1">
        <v>38538</v>
      </c>
      <c r="B13966">
        <v>1204.99</v>
      </c>
      <c r="C13966">
        <f t="shared" si="456"/>
        <v>8.8325910049897472E-3</v>
      </c>
      <c r="D13966">
        <f t="shared" si="455"/>
        <v>0.89981511084789023</v>
      </c>
    </row>
    <row r="13967" spans="1:4">
      <c r="A13967" s="1">
        <v>38539</v>
      </c>
      <c r="B13967">
        <v>1194.94</v>
      </c>
      <c r="C13967">
        <f t="shared" si="456"/>
        <v>-8.3403181769142933E-3</v>
      </c>
      <c r="D13967">
        <f t="shared" si="455"/>
        <v>-0.91363826140572302</v>
      </c>
    </row>
    <row r="13968" spans="1:4">
      <c r="A13968" s="1">
        <v>38540</v>
      </c>
      <c r="B13968">
        <v>1197.8699999999999</v>
      </c>
      <c r="C13968">
        <f t="shared" si="456"/>
        <v>2.4520059584580279E-3</v>
      </c>
      <c r="D13968">
        <f t="shared" si="455"/>
        <v>0.2260274988003777</v>
      </c>
    </row>
    <row r="13969" spans="1:4">
      <c r="A13969" s="1">
        <v>38541</v>
      </c>
      <c r="B13969">
        <v>1211.8599999999999</v>
      </c>
      <c r="C13969">
        <f t="shared" si="456"/>
        <v>1.1679063671349988E-2</v>
      </c>
      <c r="D13969">
        <f t="shared" si="455"/>
        <v>1.2004016568524609</v>
      </c>
    </row>
    <row r="13970" spans="1:4">
      <c r="A13970" s="1">
        <v>38544</v>
      </c>
      <c r="B13970">
        <v>1219.44</v>
      </c>
      <c r="C13970">
        <f t="shared" si="456"/>
        <v>6.2548479197268294E-3</v>
      </c>
      <c r="D13970">
        <f t="shared" si="455"/>
        <v>0.6276063172615739</v>
      </c>
    </row>
    <row r="13971" spans="1:4">
      <c r="A13971" s="1">
        <v>38545</v>
      </c>
      <c r="B13971">
        <v>1222.21</v>
      </c>
      <c r="C13971">
        <f t="shared" si="456"/>
        <v>2.2715344748408957E-3</v>
      </c>
      <c r="D13971">
        <f t="shared" si="455"/>
        <v>0.20696977147564644</v>
      </c>
    </row>
    <row r="13972" spans="1:4">
      <c r="A13972" s="1">
        <v>38546</v>
      </c>
      <c r="B13972">
        <v>1223.29</v>
      </c>
      <c r="C13972">
        <f t="shared" si="456"/>
        <v>8.8364520008830493E-4</v>
      </c>
      <c r="D13972">
        <f t="shared" si="455"/>
        <v>6.0409135828259276E-2</v>
      </c>
    </row>
    <row r="13973" spans="1:4">
      <c r="A13973" s="1">
        <v>38547</v>
      </c>
      <c r="B13973">
        <v>1226.5</v>
      </c>
      <c r="C13973">
        <f t="shared" si="456"/>
        <v>2.6240711523841742E-3</v>
      </c>
      <c r="D13973">
        <f t="shared" si="455"/>
        <v>0.24419752479117757</v>
      </c>
    </row>
    <row r="13974" spans="1:4">
      <c r="A13974" s="1">
        <v>38548</v>
      </c>
      <c r="B13974">
        <v>1227.92</v>
      </c>
      <c r="C13974">
        <f t="shared" si="456"/>
        <v>1.1577660008153874E-3</v>
      </c>
      <c r="D13974">
        <f t="shared" si="455"/>
        <v>8.9356199206851741E-2</v>
      </c>
    </row>
    <row r="13975" spans="1:4">
      <c r="A13975" s="1">
        <v>38551</v>
      </c>
      <c r="B13975">
        <v>1221.1300000000001</v>
      </c>
      <c r="C13975">
        <f t="shared" si="456"/>
        <v>-5.5296762004039051E-3</v>
      </c>
      <c r="D13975">
        <f t="shared" si="455"/>
        <v>-0.6168354240698537</v>
      </c>
    </row>
    <row r="13976" spans="1:4">
      <c r="A13976" s="1">
        <v>38552</v>
      </c>
      <c r="B13976">
        <v>1229.3499999999999</v>
      </c>
      <c r="C13976">
        <f t="shared" si="456"/>
        <v>6.7314700318555762E-3</v>
      </c>
      <c r="D13976">
        <f t="shared" si="455"/>
        <v>0.6779374502906419</v>
      </c>
    </row>
    <row r="13977" spans="1:4">
      <c r="A13977" s="1">
        <v>38553</v>
      </c>
      <c r="B13977">
        <v>1235.2</v>
      </c>
      <c r="C13977">
        <f t="shared" si="456"/>
        <v>4.7586122747794663E-3</v>
      </c>
      <c r="D13977">
        <f t="shared" si="455"/>
        <v>0.46960434175033944</v>
      </c>
    </row>
    <row r="13978" spans="1:4">
      <c r="A13978" s="1">
        <v>38554</v>
      </c>
      <c r="B13978">
        <v>1227.04</v>
      </c>
      <c r="C13978">
        <f t="shared" si="456"/>
        <v>-6.6062176165803772E-3</v>
      </c>
      <c r="D13978">
        <f t="shared" si="455"/>
        <v>-0.73051783168388196</v>
      </c>
    </row>
    <row r="13979" spans="1:4">
      <c r="A13979" s="1">
        <v>38555</v>
      </c>
      <c r="B13979">
        <v>1233.68</v>
      </c>
      <c r="C13979">
        <f t="shared" si="456"/>
        <v>5.4113965314904981E-3</v>
      </c>
      <c r="D13979">
        <f t="shared" si="455"/>
        <v>0.53853813736687439</v>
      </c>
    </row>
    <row r="13980" spans="1:4">
      <c r="A13980" s="1">
        <v>38558</v>
      </c>
      <c r="B13980">
        <v>1229.03</v>
      </c>
      <c r="C13980">
        <f t="shared" si="456"/>
        <v>-3.7692108164192424E-3</v>
      </c>
      <c r="D13980">
        <f t="shared" si="455"/>
        <v>-0.43093087793233259</v>
      </c>
    </row>
    <row r="13981" spans="1:4">
      <c r="A13981" s="1">
        <v>38559</v>
      </c>
      <c r="B13981">
        <v>1231.1600000000001</v>
      </c>
      <c r="C13981">
        <f t="shared" si="456"/>
        <v>1.7330740502673728E-3</v>
      </c>
      <c r="D13981">
        <f t="shared" si="455"/>
        <v>0.15010853367227375</v>
      </c>
    </row>
    <row r="13982" spans="1:4">
      <c r="A13982" s="1">
        <v>38560</v>
      </c>
      <c r="B13982">
        <v>1236.79</v>
      </c>
      <c r="C13982">
        <f t="shared" si="456"/>
        <v>4.5729230969166323E-3</v>
      </c>
      <c r="D13982">
        <f t="shared" si="455"/>
        <v>0.44999562768684248</v>
      </c>
    </row>
    <row r="13983" spans="1:4">
      <c r="A13983" s="1">
        <v>38561</v>
      </c>
      <c r="B13983">
        <v>1243.72</v>
      </c>
      <c r="C13983">
        <f t="shared" si="456"/>
        <v>5.6032147737288176E-3</v>
      </c>
      <c r="D13983">
        <f t="shared" si="455"/>
        <v>0.55879407854505236</v>
      </c>
    </row>
    <row r="13984" spans="1:4">
      <c r="A13984" s="1">
        <v>38562</v>
      </c>
      <c r="B13984">
        <v>1234.18</v>
      </c>
      <c r="C13984">
        <f t="shared" si="456"/>
        <v>-7.6705367767664449E-3</v>
      </c>
      <c r="D13984">
        <f t="shared" si="455"/>
        <v>-0.84290957321987003</v>
      </c>
    </row>
    <row r="13985" spans="1:4">
      <c r="A13985" s="1">
        <v>38565</v>
      </c>
      <c r="B13985">
        <v>1235.3499999999999</v>
      </c>
      <c r="C13985">
        <f t="shared" si="456"/>
        <v>9.4799786092777819E-4</v>
      </c>
      <c r="D13985">
        <f t="shared" si="455"/>
        <v>6.7204754938375411E-2</v>
      </c>
    </row>
    <row r="13986" spans="1:4">
      <c r="A13986" s="1">
        <v>38566</v>
      </c>
      <c r="B13986">
        <v>1244.1199999999999</v>
      </c>
      <c r="C13986">
        <f t="shared" si="456"/>
        <v>7.0992026551179683E-3</v>
      </c>
      <c r="D13986">
        <f t="shared" si="455"/>
        <v>0.71676989030875848</v>
      </c>
    </row>
    <row r="13987" spans="1:4">
      <c r="A13987" s="1">
        <v>38567</v>
      </c>
      <c r="B13987">
        <v>1245.04</v>
      </c>
      <c r="C13987">
        <f t="shared" si="456"/>
        <v>7.3947850689649939E-4</v>
      </c>
      <c r="D13987">
        <f t="shared" si="455"/>
        <v>4.5185182031844642E-2</v>
      </c>
    </row>
    <row r="13988" spans="1:4">
      <c r="A13988" s="1">
        <v>38568</v>
      </c>
      <c r="B13988">
        <v>1235.8599999999999</v>
      </c>
      <c r="C13988">
        <f t="shared" si="456"/>
        <v>-7.3732570841097992E-3</v>
      </c>
      <c r="D13988">
        <f t="shared" si="455"/>
        <v>-0.81151693872560571</v>
      </c>
    </row>
    <row r="13989" spans="1:4">
      <c r="A13989" s="1">
        <v>38569</v>
      </c>
      <c r="B13989">
        <v>1226.42</v>
      </c>
      <c r="C13989">
        <f t="shared" si="456"/>
        <v>-7.6384056446521676E-3</v>
      </c>
      <c r="D13989">
        <f t="shared" si="455"/>
        <v>-0.83951653659050485</v>
      </c>
    </row>
    <row r="13990" spans="1:4">
      <c r="A13990" s="1">
        <v>38572</v>
      </c>
      <c r="B13990">
        <v>1223.1300000000001</v>
      </c>
      <c r="C13990">
        <f t="shared" si="456"/>
        <v>-2.6826046541967379E-3</v>
      </c>
      <c r="D13990">
        <f t="shared" si="455"/>
        <v>-0.3161856365570167</v>
      </c>
    </row>
    <row r="13991" spans="1:4">
      <c r="A13991" s="1">
        <v>38573</v>
      </c>
      <c r="B13991">
        <v>1231.3800000000001</v>
      </c>
      <c r="C13991">
        <f t="shared" si="456"/>
        <v>6.7449903117411877E-3</v>
      </c>
      <c r="D13991">
        <f t="shared" si="455"/>
        <v>0.67936518725079609</v>
      </c>
    </row>
    <row r="13992" spans="1:4">
      <c r="A13992" s="1">
        <v>38574</v>
      </c>
      <c r="B13992">
        <v>1229.1300000000001</v>
      </c>
      <c r="C13992">
        <f t="shared" si="456"/>
        <v>-1.8272182429469373E-3</v>
      </c>
      <c r="D13992">
        <f t="shared" si="455"/>
        <v>-0.22585712228900626</v>
      </c>
    </row>
    <row r="13993" spans="1:4">
      <c r="A13993" s="1">
        <v>38575</v>
      </c>
      <c r="B13993">
        <v>1237.81</v>
      </c>
      <c r="C13993">
        <f t="shared" si="456"/>
        <v>7.0619055754882198E-3</v>
      </c>
      <c r="D13993">
        <f t="shared" si="455"/>
        <v>0.71283133137775045</v>
      </c>
    </row>
    <row r="13994" spans="1:4">
      <c r="A13994" s="1">
        <v>38576</v>
      </c>
      <c r="B13994">
        <v>1230.3900000000001</v>
      </c>
      <c r="C13994">
        <f t="shared" si="456"/>
        <v>-5.9944579539669626E-3</v>
      </c>
      <c r="D13994">
        <f t="shared" si="455"/>
        <v>-0.66591621925911826</v>
      </c>
    </row>
    <row r="13995" spans="1:4">
      <c r="A13995" s="1">
        <v>38579</v>
      </c>
      <c r="B13995">
        <v>1233.8699999999999</v>
      </c>
      <c r="C13995">
        <f t="shared" si="456"/>
        <v>2.8283714919657916E-3</v>
      </c>
      <c r="D13995">
        <f t="shared" si="455"/>
        <v>0.26577157120593675</v>
      </c>
    </row>
    <row r="13996" spans="1:4">
      <c r="A13996" s="1">
        <v>38580</v>
      </c>
      <c r="B13996">
        <v>1219.3399999999999</v>
      </c>
      <c r="C13996">
        <f t="shared" si="456"/>
        <v>-1.1775956948462944E-2</v>
      </c>
      <c r="D13996">
        <f t="shared" si="455"/>
        <v>-1.2764405478509002</v>
      </c>
    </row>
    <row r="13997" spans="1:4">
      <c r="A13997" s="1">
        <v>38581</v>
      </c>
      <c r="B13997">
        <v>1220.24</v>
      </c>
      <c r="C13997">
        <f t="shared" si="456"/>
        <v>7.3810422031598329E-4</v>
      </c>
      <c r="D13997">
        <f t="shared" si="455"/>
        <v>4.5040057836084849E-2</v>
      </c>
    </row>
    <row r="13998" spans="1:4">
      <c r="A13998" s="1">
        <v>38582</v>
      </c>
      <c r="B13998">
        <v>1219.02</v>
      </c>
      <c r="C13998">
        <f t="shared" si="456"/>
        <v>-9.9980331738020985E-4</v>
      </c>
      <c r="D13998">
        <f t="shared" si="455"/>
        <v>-0.13848238740115834</v>
      </c>
    </row>
    <row r="13999" spans="1:4">
      <c r="A13999" s="1">
        <v>38583</v>
      </c>
      <c r="B13999">
        <v>1219.71</v>
      </c>
      <c r="C13999">
        <f t="shared" si="456"/>
        <v>5.6602844908209432E-4</v>
      </c>
      <c r="D13999">
        <f t="shared" si="455"/>
        <v>2.6868914885182768E-2</v>
      </c>
    </row>
    <row r="14000" spans="1:4">
      <c r="A14000" s="1">
        <v>38586</v>
      </c>
      <c r="B14000">
        <v>1221.73</v>
      </c>
      <c r="C14000">
        <f t="shared" si="456"/>
        <v>1.6561313754908805E-3</v>
      </c>
      <c r="D14000">
        <f t="shared" si="455"/>
        <v>0.14198341336996209</v>
      </c>
    </row>
    <row r="14001" spans="1:4">
      <c r="A14001" s="1">
        <v>38587</v>
      </c>
      <c r="B14001">
        <v>1217.5899999999999</v>
      </c>
      <c r="C14001">
        <f t="shared" si="456"/>
        <v>-3.3886374239808304E-3</v>
      </c>
      <c r="D14001">
        <f t="shared" si="455"/>
        <v>-0.39074245705401778</v>
      </c>
    </row>
    <row r="14002" spans="1:4">
      <c r="A14002" s="1">
        <v>38588</v>
      </c>
      <c r="B14002">
        <v>1209.5899999999999</v>
      </c>
      <c r="C14002">
        <f t="shared" si="456"/>
        <v>-6.5703561954352455E-3</v>
      </c>
      <c r="D14002">
        <f t="shared" si="455"/>
        <v>-0.72673087780084533</v>
      </c>
    </row>
    <row r="14003" spans="1:4">
      <c r="A14003" s="1">
        <v>38589</v>
      </c>
      <c r="B14003">
        <v>1212.3699999999999</v>
      </c>
      <c r="C14003">
        <f t="shared" si="456"/>
        <v>2.298299423771669E-3</v>
      </c>
      <c r="D14003">
        <f t="shared" si="455"/>
        <v>0.20979614098488791</v>
      </c>
    </row>
    <row r="14004" spans="1:4">
      <c r="A14004" s="1">
        <v>38590</v>
      </c>
      <c r="B14004">
        <v>1205.0999999999999</v>
      </c>
      <c r="C14004">
        <f t="shared" si="456"/>
        <v>-5.9965192144312233E-3</v>
      </c>
      <c r="D14004">
        <f t="shared" si="455"/>
        <v>-0.6661338876634878</v>
      </c>
    </row>
    <row r="14005" spans="1:4">
      <c r="A14005" s="1">
        <v>38593</v>
      </c>
      <c r="B14005">
        <v>1212.28</v>
      </c>
      <c r="C14005">
        <f t="shared" si="456"/>
        <v>5.958011783254555E-3</v>
      </c>
      <c r="D14005">
        <f t="shared" si="455"/>
        <v>0.5962605221496069</v>
      </c>
    </row>
    <row r="14006" spans="1:4">
      <c r="A14006" s="1">
        <v>38594</v>
      </c>
      <c r="B14006">
        <v>1208.4100000000001</v>
      </c>
      <c r="C14006">
        <f t="shared" si="456"/>
        <v>-3.1923318045335163E-3</v>
      </c>
      <c r="D14006">
        <f t="shared" si="455"/>
        <v>-0.37001265036790359</v>
      </c>
    </row>
    <row r="14007" spans="1:4">
      <c r="A14007" s="1">
        <v>38595</v>
      </c>
      <c r="B14007">
        <v>1220.33</v>
      </c>
      <c r="C14007">
        <f t="shared" si="456"/>
        <v>9.8642017196149019E-3</v>
      </c>
      <c r="D14007">
        <f t="shared" si="455"/>
        <v>1.0087528516507869</v>
      </c>
    </row>
    <row r="14008" spans="1:4">
      <c r="A14008" s="1">
        <v>38596</v>
      </c>
      <c r="B14008">
        <v>1221.5899999999999</v>
      </c>
      <c r="C14008">
        <f t="shared" si="456"/>
        <v>1.0325076004031623E-3</v>
      </c>
      <c r="D14008">
        <f t="shared" si="455"/>
        <v>7.6128954700719786E-2</v>
      </c>
    </row>
    <row r="14009" spans="1:4">
      <c r="A14009" s="1">
        <v>38597</v>
      </c>
      <c r="B14009">
        <v>1218.02</v>
      </c>
      <c r="C14009">
        <f t="shared" si="456"/>
        <v>-2.9224207794758769E-3</v>
      </c>
      <c r="D14009">
        <f t="shared" si="455"/>
        <v>-0.34151013786903206</v>
      </c>
    </row>
    <row r="14010" spans="1:4">
      <c r="A14010" s="1">
        <v>38601</v>
      </c>
      <c r="B14010">
        <v>1233.3900000000001</v>
      </c>
      <c r="C14010">
        <f t="shared" si="456"/>
        <v>1.2618840413129603E-2</v>
      </c>
      <c r="D14010">
        <f t="shared" si="455"/>
        <v>1.2996417613387525</v>
      </c>
    </row>
    <row r="14011" spans="1:4">
      <c r="A14011" s="1">
        <v>38602</v>
      </c>
      <c r="B14011">
        <v>1236.3599999999999</v>
      </c>
      <c r="C14011">
        <f t="shared" si="456"/>
        <v>2.4079974703863334E-3</v>
      </c>
      <c r="D14011">
        <f t="shared" si="455"/>
        <v>0.22138021741921868</v>
      </c>
    </row>
    <row r="14012" spans="1:4">
      <c r="A14012" s="1">
        <v>38603</v>
      </c>
      <c r="B14012">
        <v>1231.67</v>
      </c>
      <c r="C14012">
        <f t="shared" si="456"/>
        <v>-3.7933935099807724E-3</v>
      </c>
      <c r="D14012">
        <f t="shared" si="455"/>
        <v>-0.43348456215233316</v>
      </c>
    </row>
    <row r="14013" spans="1:4">
      <c r="A14013" s="1">
        <v>38604</v>
      </c>
      <c r="B14013">
        <v>1241.48</v>
      </c>
      <c r="C14013">
        <f t="shared" si="456"/>
        <v>7.964795765099373E-3</v>
      </c>
      <c r="D14013">
        <f t="shared" si="455"/>
        <v>0.80817622849340087</v>
      </c>
    </row>
    <row r="14014" spans="1:4">
      <c r="A14014" s="1">
        <v>38607</v>
      </c>
      <c r="B14014">
        <v>1240.56</v>
      </c>
      <c r="C14014">
        <f t="shared" si="456"/>
        <v>-7.4105100364087444E-4</v>
      </c>
      <c r="D14014">
        <f t="shared" si="455"/>
        <v>-0.11115823102446942</v>
      </c>
    </row>
    <row r="14015" spans="1:4">
      <c r="A14015" s="1">
        <v>38608</v>
      </c>
      <c r="B14015">
        <v>1231.2</v>
      </c>
      <c r="C14015">
        <f t="shared" si="456"/>
        <v>-7.5449796865930709E-3</v>
      </c>
      <c r="D14015">
        <f t="shared" si="455"/>
        <v>-0.82965078717649043</v>
      </c>
    </row>
    <row r="14016" spans="1:4">
      <c r="A14016" s="1">
        <v>38609</v>
      </c>
      <c r="B14016">
        <v>1227.1600000000001</v>
      </c>
      <c r="C14016">
        <f t="shared" si="456"/>
        <v>-3.2813515269655325E-3</v>
      </c>
      <c r="D14016">
        <f t="shared" si="455"/>
        <v>-0.37941310279745061</v>
      </c>
    </row>
    <row r="14017" spans="1:4">
      <c r="A14017" s="1">
        <v>38610</v>
      </c>
      <c r="B14017">
        <v>1227.73</v>
      </c>
      <c r="C14017">
        <f t="shared" si="456"/>
        <v>4.6448710844546455E-4</v>
      </c>
      <c r="D14017">
        <f t="shared" si="455"/>
        <v>1.6146183829533371E-2</v>
      </c>
    </row>
    <row r="14018" spans="1:4">
      <c r="A14018" s="1">
        <v>38611</v>
      </c>
      <c r="B14018">
        <v>1237.9100000000001</v>
      </c>
      <c r="C14018">
        <f t="shared" si="456"/>
        <v>8.2917253793587057E-3</v>
      </c>
      <c r="D14018">
        <f t="shared" si="455"/>
        <v>0.84269988463041112</v>
      </c>
    </row>
    <row r="14019" spans="1:4">
      <c r="A14019" s="1">
        <v>38614</v>
      </c>
      <c r="B14019">
        <v>1231.02</v>
      </c>
      <c r="C14019">
        <f t="shared" si="456"/>
        <v>-5.5658327342053135E-3</v>
      </c>
      <c r="D14019">
        <f t="shared" ref="D14019:D14082" si="457">(C14019-avg)/sd</f>
        <v>-0.62065354174907938</v>
      </c>
    </row>
    <row r="14020" spans="1:4">
      <c r="A14020" s="1">
        <v>38615</v>
      </c>
      <c r="B14020">
        <v>1221.3399999999999</v>
      </c>
      <c r="C14020">
        <f t="shared" ref="C14020:C14083" si="458">(B14020-B14019)/B14019</f>
        <v>-7.8633978326916407E-3</v>
      </c>
      <c r="D14020">
        <f t="shared" si="457"/>
        <v>-0.86327563516891259</v>
      </c>
    </row>
    <row r="14021" spans="1:4">
      <c r="A14021" s="1">
        <v>38616</v>
      </c>
      <c r="B14021">
        <v>1210.2</v>
      </c>
      <c r="C14021">
        <f t="shared" si="458"/>
        <v>-9.1211292514777817E-3</v>
      </c>
      <c r="D14021">
        <f t="shared" si="457"/>
        <v>-0.99609164546904749</v>
      </c>
    </row>
    <row r="14022" spans="1:4">
      <c r="A14022" s="1">
        <v>38617</v>
      </c>
      <c r="B14022">
        <v>1214.6199999999999</v>
      </c>
      <c r="C14022">
        <f t="shared" si="458"/>
        <v>3.6522888778712983E-3</v>
      </c>
      <c r="D14022">
        <f t="shared" si="457"/>
        <v>0.35277696709443124</v>
      </c>
    </row>
    <row r="14023" spans="1:4">
      <c r="A14023" s="1">
        <v>38618</v>
      </c>
      <c r="B14023">
        <v>1215.29</v>
      </c>
      <c r="C14023">
        <f t="shared" si="458"/>
        <v>5.5161285010955918E-4</v>
      </c>
      <c r="D14023">
        <f t="shared" si="457"/>
        <v>2.534663253378323E-2</v>
      </c>
    </row>
    <row r="14024" spans="1:4">
      <c r="A14024" s="1">
        <v>38621</v>
      </c>
      <c r="B14024">
        <v>1215.6300000000001</v>
      </c>
      <c r="C14024">
        <f t="shared" si="458"/>
        <v>2.7976861489862134E-4</v>
      </c>
      <c r="D14024">
        <f t="shared" si="457"/>
        <v>-3.3600263001465607E-3</v>
      </c>
    </row>
    <row r="14025" spans="1:4">
      <c r="A14025" s="1">
        <v>38622</v>
      </c>
      <c r="B14025">
        <v>1215.6600000000001</v>
      </c>
      <c r="C14025">
        <f t="shared" si="458"/>
        <v>2.4678561733399728E-5</v>
      </c>
      <c r="D14025">
        <f t="shared" si="457"/>
        <v>-3.0297449205071901E-2</v>
      </c>
    </row>
    <row r="14026" spans="1:4">
      <c r="A14026" s="1">
        <v>38623</v>
      </c>
      <c r="B14026">
        <v>1216.8900000000001</v>
      </c>
      <c r="C14026">
        <f t="shared" si="458"/>
        <v>1.0117960613987612E-3</v>
      </c>
      <c r="D14026">
        <f t="shared" si="457"/>
        <v>7.3941823222049216E-2</v>
      </c>
    </row>
    <row r="14027" spans="1:4">
      <c r="A14027" s="1">
        <v>38624</v>
      </c>
      <c r="B14027">
        <v>1227.68</v>
      </c>
      <c r="C14027">
        <f t="shared" si="458"/>
        <v>8.8668655342717603E-3</v>
      </c>
      <c r="D14027">
        <f t="shared" si="457"/>
        <v>0.90343448948959226</v>
      </c>
    </row>
    <row r="14028" spans="1:4">
      <c r="A14028" s="1">
        <v>38625</v>
      </c>
      <c r="B14028">
        <v>1228.81</v>
      </c>
      <c r="C14028">
        <f t="shared" si="458"/>
        <v>9.204352925842905E-4</v>
      </c>
      <c r="D14028">
        <f t="shared" si="457"/>
        <v>6.4294157090275292E-2</v>
      </c>
    </row>
    <row r="14029" spans="1:4">
      <c r="A14029" s="1">
        <v>38628</v>
      </c>
      <c r="B14029">
        <v>1226.7</v>
      </c>
      <c r="C14029">
        <f t="shared" si="458"/>
        <v>-1.717108421969141E-3</v>
      </c>
      <c r="D14029">
        <f t="shared" si="457"/>
        <v>-0.21422956262189763</v>
      </c>
    </row>
    <row r="14030" spans="1:4">
      <c r="A14030" s="1">
        <v>38629</v>
      </c>
      <c r="B14030">
        <v>1214.47</v>
      </c>
      <c r="C14030">
        <f t="shared" si="458"/>
        <v>-9.969837776147402E-3</v>
      </c>
      <c r="D14030">
        <f t="shared" si="457"/>
        <v>-1.0857149771841148</v>
      </c>
    </row>
    <row r="14031" spans="1:4">
      <c r="A14031" s="1">
        <v>38630</v>
      </c>
      <c r="B14031">
        <v>1196.3900000000001</v>
      </c>
      <c r="C14031">
        <f t="shared" si="458"/>
        <v>-1.4887152420397315E-2</v>
      </c>
      <c r="D14031">
        <f t="shared" si="457"/>
        <v>-1.6049817321404454</v>
      </c>
    </row>
    <row r="14032" spans="1:4">
      <c r="A14032" s="1">
        <v>38631</v>
      </c>
      <c r="B14032">
        <v>1191.49</v>
      </c>
      <c r="C14032">
        <f t="shared" si="458"/>
        <v>-4.0956544270681723E-3</v>
      </c>
      <c r="D14032">
        <f t="shared" si="457"/>
        <v>-0.4654032122532849</v>
      </c>
    </row>
    <row r="14033" spans="1:4">
      <c r="A14033" s="1">
        <v>38632</v>
      </c>
      <c r="B14033">
        <v>1195.9000000000001</v>
      </c>
      <c r="C14033">
        <f t="shared" si="458"/>
        <v>3.701248017188631E-3</v>
      </c>
      <c r="D14033">
        <f t="shared" si="457"/>
        <v>0.3579470355643215</v>
      </c>
    </row>
    <row r="14034" spans="1:4">
      <c r="A14034" s="1">
        <v>38635</v>
      </c>
      <c r="B14034">
        <v>1187.33</v>
      </c>
      <c r="C14034">
        <f t="shared" si="458"/>
        <v>-7.1661510159713717E-3</v>
      </c>
      <c r="D14034">
        <f t="shared" si="457"/>
        <v>-0.78964660832896083</v>
      </c>
    </row>
    <row r="14035" spans="1:4">
      <c r="A14035" s="1">
        <v>38636</v>
      </c>
      <c r="B14035">
        <v>1184.8699999999999</v>
      </c>
      <c r="C14035">
        <f t="shared" si="458"/>
        <v>-2.0718755527107348E-3</v>
      </c>
      <c r="D14035">
        <f t="shared" si="457"/>
        <v>-0.25169285103700295</v>
      </c>
    </row>
    <row r="14036" spans="1:4">
      <c r="A14036" s="1">
        <v>38637</v>
      </c>
      <c r="B14036">
        <v>1177.68</v>
      </c>
      <c r="C14036">
        <f t="shared" si="458"/>
        <v>-6.0681762556228343E-3</v>
      </c>
      <c r="D14036">
        <f t="shared" si="457"/>
        <v>-0.67370084685591014</v>
      </c>
    </row>
    <row r="14037" spans="1:4">
      <c r="A14037" s="1">
        <v>38638</v>
      </c>
      <c r="B14037">
        <v>1176.8399999999999</v>
      </c>
      <c r="C14037">
        <f t="shared" si="458"/>
        <v>-7.1326676176902508E-4</v>
      </c>
      <c r="D14037">
        <f t="shared" si="457"/>
        <v>-0.10822422452712484</v>
      </c>
    </row>
    <row r="14038" spans="1:4">
      <c r="A14038" s="1">
        <v>38639</v>
      </c>
      <c r="B14038">
        <v>1186.57</v>
      </c>
      <c r="C14038">
        <f t="shared" si="458"/>
        <v>8.2679038781822665E-3</v>
      </c>
      <c r="D14038">
        <f t="shared" si="457"/>
        <v>0.8401843422035008</v>
      </c>
    </row>
    <row r="14039" spans="1:4">
      <c r="A14039" s="1">
        <v>38642</v>
      </c>
      <c r="B14039">
        <v>1190.0999999999999</v>
      </c>
      <c r="C14039">
        <f t="shared" si="458"/>
        <v>2.974961443488351E-3</v>
      </c>
      <c r="D14039">
        <f t="shared" si="457"/>
        <v>0.28125142025837346</v>
      </c>
    </row>
    <row r="14040" spans="1:4">
      <c r="A14040" s="1">
        <v>38643</v>
      </c>
      <c r="B14040">
        <v>1178.1400000000001</v>
      </c>
      <c r="C14040">
        <f t="shared" si="458"/>
        <v>-1.0049575665910268E-2</v>
      </c>
      <c r="D14040">
        <f t="shared" si="457"/>
        <v>-1.0941352712388479</v>
      </c>
    </row>
    <row r="14041" spans="1:4">
      <c r="A14041" s="1">
        <v>38644</v>
      </c>
      <c r="B14041">
        <v>1195.76</v>
      </c>
      <c r="C14041">
        <f t="shared" si="458"/>
        <v>1.495577775137071E-2</v>
      </c>
      <c r="D14041">
        <f t="shared" si="457"/>
        <v>1.5464215498934162</v>
      </c>
    </row>
    <row r="14042" spans="1:4">
      <c r="A14042" s="1">
        <v>38645</v>
      </c>
      <c r="B14042">
        <v>1177.8</v>
      </c>
      <c r="C14042">
        <f t="shared" si="458"/>
        <v>-1.5019736401953599E-2</v>
      </c>
      <c r="D14042">
        <f t="shared" si="457"/>
        <v>-1.6189825555253039</v>
      </c>
    </row>
    <row r="14043" spans="1:4">
      <c r="A14043" s="1">
        <v>38646</v>
      </c>
      <c r="B14043">
        <v>1179.5899999999999</v>
      </c>
      <c r="C14043">
        <f t="shared" si="458"/>
        <v>1.5197826456104294E-3</v>
      </c>
      <c r="D14043">
        <f t="shared" si="457"/>
        <v>0.12758503384177164</v>
      </c>
    </row>
    <row r="14044" spans="1:4">
      <c r="A14044" s="1">
        <v>38649</v>
      </c>
      <c r="B14044">
        <v>1199.3800000000001</v>
      </c>
      <c r="C14044">
        <f t="shared" si="458"/>
        <v>1.677701574275824E-2</v>
      </c>
      <c r="D14044">
        <f t="shared" si="457"/>
        <v>1.7387436627150668</v>
      </c>
    </row>
    <row r="14045" spans="1:4">
      <c r="A14045" s="1">
        <v>38650</v>
      </c>
      <c r="B14045">
        <v>1196.54</v>
      </c>
      <c r="C14045">
        <f t="shared" si="458"/>
        <v>-2.3678900765396666E-3</v>
      </c>
      <c r="D14045">
        <f t="shared" si="457"/>
        <v>-0.28295188413311262</v>
      </c>
    </row>
    <row r="14046" spans="1:4">
      <c r="A14046" s="1">
        <v>38651</v>
      </c>
      <c r="B14046">
        <v>1191.3800000000001</v>
      </c>
      <c r="C14046">
        <f t="shared" si="458"/>
        <v>-4.3124341852339701E-3</v>
      </c>
      <c r="D14046">
        <f t="shared" si="457"/>
        <v>-0.48829508102857305</v>
      </c>
    </row>
    <row r="14047" spans="1:4">
      <c r="A14047" s="1">
        <v>38652</v>
      </c>
      <c r="B14047">
        <v>1178.9000000000001</v>
      </c>
      <c r="C14047">
        <f t="shared" si="458"/>
        <v>-1.0475247192331597E-2</v>
      </c>
      <c r="D14047">
        <f t="shared" si="457"/>
        <v>-1.1390860397361582</v>
      </c>
    </row>
    <row r="14048" spans="1:4">
      <c r="A14048" s="1">
        <v>38653</v>
      </c>
      <c r="B14048">
        <v>1198.4100000000001</v>
      </c>
      <c r="C14048">
        <f t="shared" si="458"/>
        <v>1.6549325642548129E-2</v>
      </c>
      <c r="D14048">
        <f t="shared" si="457"/>
        <v>1.7146996655285047</v>
      </c>
    </row>
    <row r="14049" spans="1:4">
      <c r="A14049" s="1">
        <v>38656</v>
      </c>
      <c r="B14049">
        <v>1207.01</v>
      </c>
      <c r="C14049">
        <f t="shared" si="458"/>
        <v>7.1761750986723315E-3</v>
      </c>
      <c r="D14049">
        <f t="shared" si="457"/>
        <v>0.72489815418389447</v>
      </c>
    </row>
    <row r="14050" spans="1:4">
      <c r="A14050" s="1">
        <v>38657</v>
      </c>
      <c r="B14050">
        <v>1202.76</v>
      </c>
      <c r="C14050">
        <f t="shared" si="458"/>
        <v>-3.5210975882552756E-3</v>
      </c>
      <c r="D14050">
        <f t="shared" si="457"/>
        <v>-0.40473020537600168</v>
      </c>
    </row>
    <row r="14051" spans="1:4">
      <c r="A14051" s="1">
        <v>38658</v>
      </c>
      <c r="B14051">
        <v>1214.76</v>
      </c>
      <c r="C14051">
        <f t="shared" si="458"/>
        <v>9.9770527786091981E-3</v>
      </c>
      <c r="D14051">
        <f t="shared" si="457"/>
        <v>1.0206698851206457</v>
      </c>
    </row>
    <row r="14052" spans="1:4">
      <c r="A14052" s="1">
        <v>38659</v>
      </c>
      <c r="B14052">
        <v>1219.94</v>
      </c>
      <c r="C14052">
        <f t="shared" si="458"/>
        <v>4.2642168000263953E-3</v>
      </c>
      <c r="D14052">
        <f t="shared" si="457"/>
        <v>0.41739634766960226</v>
      </c>
    </row>
    <row r="14053" spans="1:4">
      <c r="A14053" s="1">
        <v>38660</v>
      </c>
      <c r="B14053">
        <v>1220.1400000000001</v>
      </c>
      <c r="C14053">
        <f t="shared" si="458"/>
        <v>1.6394248897490487E-4</v>
      </c>
      <c r="D14053">
        <f t="shared" si="457"/>
        <v>-1.5591225826477869E-2</v>
      </c>
    </row>
    <row r="14054" spans="1:4">
      <c r="A14054" s="1">
        <v>38663</v>
      </c>
      <c r="B14054">
        <v>1222.81</v>
      </c>
      <c r="C14054">
        <f t="shared" si="458"/>
        <v>2.188273476814009E-3</v>
      </c>
      <c r="D14054">
        <f t="shared" si="457"/>
        <v>0.19817743838579555</v>
      </c>
    </row>
    <row r="14055" spans="1:4">
      <c r="A14055" s="1">
        <v>38664</v>
      </c>
      <c r="B14055">
        <v>1218.5899999999999</v>
      </c>
      <c r="C14055">
        <f t="shared" si="458"/>
        <v>-3.451067622934084E-3</v>
      </c>
      <c r="D14055">
        <f t="shared" si="457"/>
        <v>-0.39733506484242564</v>
      </c>
    </row>
    <row r="14056" spans="1:4">
      <c r="A14056" s="1">
        <v>38665</v>
      </c>
      <c r="B14056">
        <v>1220.6500000000001</v>
      </c>
      <c r="C14056">
        <f t="shared" si="458"/>
        <v>1.6904783397206386E-3</v>
      </c>
      <c r="D14056">
        <f t="shared" si="457"/>
        <v>0.14561044111752416</v>
      </c>
    </row>
    <row r="14057" spans="1:4">
      <c r="A14057" s="1">
        <v>38666</v>
      </c>
      <c r="B14057">
        <v>1230.96</v>
      </c>
      <c r="C14057">
        <f t="shared" si="458"/>
        <v>8.4463195838282434E-3</v>
      </c>
      <c r="D14057">
        <f t="shared" si="457"/>
        <v>0.85902498007327099</v>
      </c>
    </row>
    <row r="14058" spans="1:4">
      <c r="A14058" s="1">
        <v>38667</v>
      </c>
      <c r="B14058">
        <v>1234.72</v>
      </c>
      <c r="C14058">
        <f t="shared" si="458"/>
        <v>3.0545265483849929E-3</v>
      </c>
      <c r="D14058">
        <f t="shared" si="457"/>
        <v>0.28965346828996563</v>
      </c>
    </row>
    <row r="14059" spans="1:4">
      <c r="A14059" s="1">
        <v>38670</v>
      </c>
      <c r="B14059">
        <v>1233.76</v>
      </c>
      <c r="C14059">
        <f t="shared" si="458"/>
        <v>-7.7750421148117495E-4</v>
      </c>
      <c r="D14059">
        <f t="shared" si="457"/>
        <v>-0.11500767738135778</v>
      </c>
    </row>
    <row r="14060" spans="1:4">
      <c r="A14060" s="1">
        <v>38671</v>
      </c>
      <c r="B14060">
        <v>1229.01</v>
      </c>
      <c r="C14060">
        <f t="shared" si="458"/>
        <v>-3.8500194527298663E-3</v>
      </c>
      <c r="D14060">
        <f t="shared" si="457"/>
        <v>-0.43946424245854437</v>
      </c>
    </row>
    <row r="14061" spans="1:4">
      <c r="A14061" s="1">
        <v>38672</v>
      </c>
      <c r="B14061">
        <v>1231.21</v>
      </c>
      <c r="C14061">
        <f t="shared" si="458"/>
        <v>1.7900586651044706E-3</v>
      </c>
      <c r="D14061">
        <f t="shared" si="457"/>
        <v>0.15612608962905958</v>
      </c>
    </row>
    <row r="14062" spans="1:4">
      <c r="A14062" s="1">
        <v>38673</v>
      </c>
      <c r="B14062">
        <v>1242.8</v>
      </c>
      <c r="C14062">
        <f t="shared" si="458"/>
        <v>9.4135037889555139E-3</v>
      </c>
      <c r="D14062">
        <f t="shared" si="457"/>
        <v>0.96115930337282574</v>
      </c>
    </row>
    <row r="14063" spans="1:4">
      <c r="A14063" s="1">
        <v>38674</v>
      </c>
      <c r="B14063">
        <v>1248.27</v>
      </c>
      <c r="C14063">
        <f t="shared" si="458"/>
        <v>4.4013517862890473E-3</v>
      </c>
      <c r="D14063">
        <f t="shared" si="457"/>
        <v>0.4318777556044916</v>
      </c>
    </row>
    <row r="14064" spans="1:4">
      <c r="A14064" s="1">
        <v>38677</v>
      </c>
      <c r="B14064">
        <v>1254.8499999999999</v>
      </c>
      <c r="C14064">
        <f t="shared" si="458"/>
        <v>5.2712954729344829E-3</v>
      </c>
      <c r="D14064">
        <f t="shared" si="457"/>
        <v>0.52374351320602286</v>
      </c>
    </row>
    <row r="14065" spans="1:4">
      <c r="A14065" s="1">
        <v>38678</v>
      </c>
      <c r="B14065">
        <v>1261.23</v>
      </c>
      <c r="C14065">
        <f t="shared" si="458"/>
        <v>5.0842730206798496E-3</v>
      </c>
      <c r="D14065">
        <f t="shared" si="457"/>
        <v>0.50399400581995391</v>
      </c>
    </row>
    <row r="14066" spans="1:4">
      <c r="A14066" s="1">
        <v>38679</v>
      </c>
      <c r="B14066">
        <v>1265.6099999999999</v>
      </c>
      <c r="C14066">
        <f t="shared" si="458"/>
        <v>3.4728003615517246E-3</v>
      </c>
      <c r="D14066">
        <f t="shared" si="457"/>
        <v>0.33382304078219532</v>
      </c>
    </row>
    <row r="14067" spans="1:4">
      <c r="A14067" s="1">
        <v>38681</v>
      </c>
      <c r="B14067">
        <v>1268.25</v>
      </c>
      <c r="C14067">
        <f t="shared" si="458"/>
        <v>2.0859506483040589E-3</v>
      </c>
      <c r="D14067">
        <f t="shared" si="457"/>
        <v>0.18737218247636414</v>
      </c>
    </row>
    <row r="14068" spans="1:4">
      <c r="A14068" s="1">
        <v>38684</v>
      </c>
      <c r="B14068">
        <v>1257.46</v>
      </c>
      <c r="C14068">
        <f t="shared" si="458"/>
        <v>-8.5077863197318849E-3</v>
      </c>
      <c r="D14068">
        <f t="shared" si="457"/>
        <v>-0.93132284036207313</v>
      </c>
    </row>
    <row r="14069" spans="1:4">
      <c r="A14069" s="1">
        <v>38685</v>
      </c>
      <c r="B14069">
        <v>1257.48</v>
      </c>
      <c r="C14069">
        <f t="shared" si="458"/>
        <v>1.5905078491547891E-5</v>
      </c>
      <c r="D14069">
        <f t="shared" si="457"/>
        <v>-3.1223926053159604E-2</v>
      </c>
    </row>
    <row r="14070" spans="1:4">
      <c r="A14070" s="1">
        <v>38686</v>
      </c>
      <c r="B14070">
        <v>1249.48</v>
      </c>
      <c r="C14070">
        <f t="shared" si="458"/>
        <v>-6.3619302096256007E-3</v>
      </c>
      <c r="D14070">
        <f t="shared" si="457"/>
        <v>-0.70472116454678169</v>
      </c>
    </row>
    <row r="14071" spans="1:4">
      <c r="A14071" s="1">
        <v>38687</v>
      </c>
      <c r="B14071">
        <v>1264.67</v>
      </c>
      <c r="C14071">
        <f t="shared" si="458"/>
        <v>1.2157057335851758E-2</v>
      </c>
      <c r="D14071">
        <f t="shared" si="457"/>
        <v>1.2508776253459069</v>
      </c>
    </row>
    <row r="14072" spans="1:4">
      <c r="A14072" s="1">
        <v>38688</v>
      </c>
      <c r="B14072">
        <v>1265.08</v>
      </c>
      <c r="C14072">
        <f t="shared" si="458"/>
        <v>3.2419524460915058E-4</v>
      </c>
      <c r="D14072">
        <f t="shared" si="457"/>
        <v>1.331410695940152E-3</v>
      </c>
    </row>
    <row r="14073" spans="1:4">
      <c r="A14073" s="1">
        <v>38691</v>
      </c>
      <c r="B14073">
        <v>1262.0899999999999</v>
      </c>
      <c r="C14073">
        <f t="shared" si="458"/>
        <v>-2.3634868941094706E-3</v>
      </c>
      <c r="D14073">
        <f t="shared" si="457"/>
        <v>-0.28248690956519834</v>
      </c>
    </row>
    <row r="14074" spans="1:4">
      <c r="A14074" s="1">
        <v>38692</v>
      </c>
      <c r="B14074">
        <v>1263.7</v>
      </c>
      <c r="C14074">
        <f t="shared" si="458"/>
        <v>1.2756617990794059E-3</v>
      </c>
      <c r="D14074">
        <f t="shared" si="457"/>
        <v>0.10180595542880312</v>
      </c>
    </row>
    <row r="14075" spans="1:4">
      <c r="A14075" s="1">
        <v>38693</v>
      </c>
      <c r="B14075">
        <v>1257.3699999999999</v>
      </c>
      <c r="C14075">
        <f t="shared" si="458"/>
        <v>-5.0091002611380503E-3</v>
      </c>
      <c r="D14075">
        <f t="shared" si="457"/>
        <v>-0.56186278183573879</v>
      </c>
    </row>
    <row r="14076" spans="1:4">
      <c r="A14076" s="1">
        <v>38694</v>
      </c>
      <c r="B14076">
        <v>1255.8399999999999</v>
      </c>
      <c r="C14076">
        <f t="shared" si="458"/>
        <v>-1.2168255962842862E-3</v>
      </c>
      <c r="D14076">
        <f t="shared" si="457"/>
        <v>-0.16139986628397193</v>
      </c>
    </row>
    <row r="14077" spans="1:4">
      <c r="A14077" s="1">
        <v>38695</v>
      </c>
      <c r="B14077">
        <v>1259.3699999999999</v>
      </c>
      <c r="C14077">
        <f t="shared" si="458"/>
        <v>2.8108676264492075E-3</v>
      </c>
      <c r="D14077">
        <f t="shared" si="457"/>
        <v>0.26392316895723844</v>
      </c>
    </row>
    <row r="14078" spans="1:4">
      <c r="A14078" s="1">
        <v>38698</v>
      </c>
      <c r="B14078">
        <v>1260.43</v>
      </c>
      <c r="C14078">
        <f t="shared" si="458"/>
        <v>8.4169068661328508E-4</v>
      </c>
      <c r="D14078">
        <f t="shared" si="457"/>
        <v>5.5978753466329224E-2</v>
      </c>
    </row>
    <row r="14079" spans="1:4">
      <c r="A14079" s="1">
        <v>38699</v>
      </c>
      <c r="B14079">
        <v>1267.43</v>
      </c>
      <c r="C14079">
        <f t="shared" si="458"/>
        <v>5.553660258800568E-3</v>
      </c>
      <c r="D14079">
        <f t="shared" si="457"/>
        <v>0.55356113861302725</v>
      </c>
    </row>
    <row r="14080" spans="1:4">
      <c r="A14080" s="1">
        <v>38700</v>
      </c>
      <c r="B14080">
        <v>1272.74</v>
      </c>
      <c r="C14080">
        <f t="shared" si="458"/>
        <v>4.189580489652245E-3</v>
      </c>
      <c r="D14080">
        <f t="shared" si="457"/>
        <v>0.4095147786642066</v>
      </c>
    </row>
    <row r="14081" spans="1:4">
      <c r="A14081" s="1">
        <v>38701</v>
      </c>
      <c r="B14081">
        <v>1270.94</v>
      </c>
      <c r="C14081">
        <f t="shared" si="458"/>
        <v>-1.4142715715699629E-3</v>
      </c>
      <c r="D14081">
        <f t="shared" si="457"/>
        <v>-0.18225009415899143</v>
      </c>
    </row>
    <row r="14082" spans="1:4">
      <c r="A14082" s="1">
        <v>38702</v>
      </c>
      <c r="B14082">
        <v>1267.32</v>
      </c>
      <c r="C14082">
        <f t="shared" si="458"/>
        <v>-2.8482855209530883E-3</v>
      </c>
      <c r="D14082">
        <f t="shared" si="457"/>
        <v>-0.33368147976882434</v>
      </c>
    </row>
    <row r="14083" spans="1:4">
      <c r="A14083" s="1">
        <v>38705</v>
      </c>
      <c r="B14083">
        <v>1259.92</v>
      </c>
      <c r="C14083">
        <f t="shared" si="458"/>
        <v>-5.8390935201842187E-3</v>
      </c>
      <c r="D14083">
        <f t="shared" ref="D14083:D14146" si="459">(C14083-avg)/sd</f>
        <v>-0.6495097878625975</v>
      </c>
    </row>
    <row r="14084" spans="1:4">
      <c r="A14084" s="1">
        <v>38706</v>
      </c>
      <c r="B14084">
        <v>1259.6199999999999</v>
      </c>
      <c r="C14084">
        <f t="shared" ref="C14084:C14147" si="460">(B14084-B14083)/B14083</f>
        <v>-2.3811035621323725E-4</v>
      </c>
      <c r="D14084">
        <f t="shared" si="459"/>
        <v>-5.8047869613943419E-2</v>
      </c>
    </row>
    <row r="14085" spans="1:4">
      <c r="A14085" s="1">
        <v>38707</v>
      </c>
      <c r="B14085">
        <v>1262.79</v>
      </c>
      <c r="C14085">
        <f t="shared" si="460"/>
        <v>2.5166320001270806E-3</v>
      </c>
      <c r="D14085">
        <f t="shared" si="459"/>
        <v>0.23285198683317077</v>
      </c>
    </row>
    <row r="14086" spans="1:4">
      <c r="A14086" s="1">
        <v>38708</v>
      </c>
      <c r="B14086">
        <v>1268.1199999999999</v>
      </c>
      <c r="C14086">
        <f t="shared" si="460"/>
        <v>4.2208126450161369E-3</v>
      </c>
      <c r="D14086">
        <f t="shared" si="459"/>
        <v>0.41281288365430813</v>
      </c>
    </row>
    <row r="14087" spans="1:4">
      <c r="A14087" s="1">
        <v>38709</v>
      </c>
      <c r="B14087">
        <v>1268.6600000000001</v>
      </c>
      <c r="C14087">
        <f t="shared" si="460"/>
        <v>4.2582720878165395E-4</v>
      </c>
      <c r="D14087">
        <f t="shared" si="459"/>
        <v>1.2063711566173363E-2</v>
      </c>
    </row>
    <row r="14088" spans="1:4">
      <c r="A14088" s="1">
        <v>38713</v>
      </c>
      <c r="B14088">
        <v>1256.54</v>
      </c>
      <c r="C14088">
        <f t="shared" si="460"/>
        <v>-9.5533870382924647E-3</v>
      </c>
      <c r="D14088">
        <f t="shared" si="459"/>
        <v>-1.0417379208251174</v>
      </c>
    </row>
    <row r="14089" spans="1:4">
      <c r="A14089" s="1">
        <v>38714</v>
      </c>
      <c r="B14089">
        <v>1258.17</v>
      </c>
      <c r="C14089">
        <f t="shared" si="460"/>
        <v>1.2972129816799379E-3</v>
      </c>
      <c r="D14089">
        <f t="shared" si="459"/>
        <v>0.10408175298581641</v>
      </c>
    </row>
    <row r="14090" spans="1:4">
      <c r="A14090" s="1">
        <v>38715</v>
      </c>
      <c r="B14090">
        <v>1254.42</v>
      </c>
      <c r="C14090">
        <f t="shared" si="460"/>
        <v>-2.9805193256873075E-3</v>
      </c>
      <c r="D14090">
        <f t="shared" si="459"/>
        <v>-0.34764532460030373</v>
      </c>
    </row>
    <row r="14091" spans="1:4">
      <c r="A14091" s="1">
        <v>38716</v>
      </c>
      <c r="B14091">
        <v>1248.29</v>
      </c>
      <c r="C14091">
        <f t="shared" si="460"/>
        <v>-4.8867205561136688E-3</v>
      </c>
      <c r="D14091">
        <f t="shared" si="459"/>
        <v>-0.5489395265840471</v>
      </c>
    </row>
    <row r="14092" spans="1:4">
      <c r="A14092" s="1">
        <v>38720</v>
      </c>
      <c r="B14092">
        <v>1268.8</v>
      </c>
      <c r="C14092">
        <f t="shared" si="460"/>
        <v>1.643047689238878E-2</v>
      </c>
      <c r="D14092">
        <f t="shared" si="459"/>
        <v>1.7021492779103304</v>
      </c>
    </row>
    <row r="14093" spans="1:4">
      <c r="A14093" s="1">
        <v>38721</v>
      </c>
      <c r="B14093">
        <v>1273.46</v>
      </c>
      <c r="C14093">
        <f t="shared" si="460"/>
        <v>3.6727616645650077E-3</v>
      </c>
      <c r="D14093">
        <f t="shared" si="459"/>
        <v>0.35493888641024862</v>
      </c>
    </row>
    <row r="14094" spans="1:4">
      <c r="A14094" s="1">
        <v>38722</v>
      </c>
      <c r="B14094">
        <v>1273.48</v>
      </c>
      <c r="C14094">
        <f t="shared" si="460"/>
        <v>1.5705243980950961E-5</v>
      </c>
      <c r="D14094">
        <f t="shared" si="459"/>
        <v>-3.1245028509551586E-2</v>
      </c>
    </row>
    <row r="14095" spans="1:4">
      <c r="A14095" s="1">
        <v>38723</v>
      </c>
      <c r="B14095">
        <v>1285.45</v>
      </c>
      <c r="C14095">
        <f t="shared" si="460"/>
        <v>9.3994409020950673E-3</v>
      </c>
      <c r="D14095">
        <f t="shared" si="459"/>
        <v>0.95967426730057004</v>
      </c>
    </row>
    <row r="14096" spans="1:4">
      <c r="A14096" s="1">
        <v>38726</v>
      </c>
      <c r="B14096">
        <v>1290.1500000000001</v>
      </c>
      <c r="C14096">
        <f t="shared" si="460"/>
        <v>3.6563071297989382E-3</v>
      </c>
      <c r="D14096">
        <f t="shared" si="459"/>
        <v>0.35320129313211984</v>
      </c>
    </row>
    <row r="14097" spans="1:4">
      <c r="A14097" s="1">
        <v>38727</v>
      </c>
      <c r="B14097">
        <v>1289.69</v>
      </c>
      <c r="C14097">
        <f t="shared" si="460"/>
        <v>-3.5654768825333207E-4</v>
      </c>
      <c r="D14097">
        <f t="shared" si="459"/>
        <v>-7.0554811618572202E-2</v>
      </c>
    </row>
    <row r="14098" spans="1:4">
      <c r="A14098" s="1">
        <v>38728</v>
      </c>
      <c r="B14098">
        <v>1294.18</v>
      </c>
      <c r="C14098">
        <f t="shared" si="460"/>
        <v>3.4814567841884555E-3</v>
      </c>
      <c r="D14098">
        <f t="shared" si="459"/>
        <v>0.33473715607017307</v>
      </c>
    </row>
    <row r="14099" spans="1:4">
      <c r="A14099" s="1">
        <v>38729</v>
      </c>
      <c r="B14099">
        <v>1286.06</v>
      </c>
      <c r="C14099">
        <f t="shared" si="460"/>
        <v>-6.2742431501028586E-3</v>
      </c>
      <c r="D14099">
        <f t="shared" si="459"/>
        <v>-0.69546144086745987</v>
      </c>
    </row>
    <row r="14100" spans="1:4">
      <c r="A14100" s="1">
        <v>38730</v>
      </c>
      <c r="B14100">
        <v>1287.6099999999999</v>
      </c>
      <c r="C14100">
        <f t="shared" si="460"/>
        <v>1.2052314822014172E-3</v>
      </c>
      <c r="D14100">
        <f t="shared" si="459"/>
        <v>9.4368537906915434E-2</v>
      </c>
    </row>
    <row r="14101" spans="1:4">
      <c r="A14101" s="1">
        <v>38734</v>
      </c>
      <c r="B14101">
        <v>1283.03</v>
      </c>
      <c r="C14101">
        <f t="shared" si="460"/>
        <v>-3.5569776562778539E-3</v>
      </c>
      <c r="D14101">
        <f t="shared" si="459"/>
        <v>-0.40851912836295823</v>
      </c>
    </row>
    <row r="14102" spans="1:4">
      <c r="A14102" s="1">
        <v>38735</v>
      </c>
      <c r="B14102">
        <v>1277.93</v>
      </c>
      <c r="C14102">
        <f t="shared" si="460"/>
        <v>-3.9749655113285806E-3</v>
      </c>
      <c r="D14102">
        <f t="shared" si="459"/>
        <v>-0.45265850377533973</v>
      </c>
    </row>
    <row r="14103" spans="1:4">
      <c r="A14103" s="1">
        <v>38736</v>
      </c>
      <c r="B14103">
        <v>1285.04</v>
      </c>
      <c r="C14103">
        <f t="shared" si="460"/>
        <v>5.5636850218712293E-3</v>
      </c>
      <c r="D14103">
        <f t="shared" si="459"/>
        <v>0.55461975018570653</v>
      </c>
    </row>
    <row r="14104" spans="1:4">
      <c r="A14104" s="1">
        <v>38737</v>
      </c>
      <c r="B14104">
        <v>1261.49</v>
      </c>
      <c r="C14104">
        <f t="shared" si="460"/>
        <v>-1.8326277781236348E-2</v>
      </c>
      <c r="D14104">
        <f t="shared" si="459"/>
        <v>-1.9681522012295376</v>
      </c>
    </row>
    <row r="14105" spans="1:4">
      <c r="A14105" s="1">
        <v>38740</v>
      </c>
      <c r="B14105">
        <v>1263.82</v>
      </c>
      <c r="C14105">
        <f t="shared" si="460"/>
        <v>1.8470221721931424E-3</v>
      </c>
      <c r="D14105">
        <f t="shared" si="459"/>
        <v>0.16214141661478645</v>
      </c>
    </row>
    <row r="14106" spans="1:4">
      <c r="A14106" s="1">
        <v>38741</v>
      </c>
      <c r="B14106">
        <v>1266.8599999999999</v>
      </c>
      <c r="C14106">
        <f t="shared" si="460"/>
        <v>2.4054058331091166E-3</v>
      </c>
      <c r="D14106">
        <f t="shared" si="459"/>
        <v>0.22110654140368491</v>
      </c>
    </row>
    <row r="14107" spans="1:4">
      <c r="A14107" s="1">
        <v>38742</v>
      </c>
      <c r="B14107">
        <v>1264.68</v>
      </c>
      <c r="C14107">
        <f t="shared" si="460"/>
        <v>-1.7207899846864187E-3</v>
      </c>
      <c r="D14107">
        <f t="shared" si="459"/>
        <v>-0.21461833439341818</v>
      </c>
    </row>
    <row r="14108" spans="1:4">
      <c r="A14108" s="1">
        <v>38743</v>
      </c>
      <c r="B14108">
        <v>1273.83</v>
      </c>
      <c r="C14108">
        <f t="shared" si="460"/>
        <v>7.2350317866969214E-3</v>
      </c>
      <c r="D14108">
        <f t="shared" si="459"/>
        <v>0.73111340043293083</v>
      </c>
    </row>
    <row r="14109" spans="1:4">
      <c r="A14109" s="1">
        <v>38744</v>
      </c>
      <c r="B14109">
        <v>1283.72</v>
      </c>
      <c r="C14109">
        <f t="shared" si="460"/>
        <v>7.7639873452502303E-3</v>
      </c>
      <c r="D14109">
        <f t="shared" si="459"/>
        <v>0.78697092761542975</v>
      </c>
    </row>
    <row r="14110" spans="1:4">
      <c r="A14110" s="1">
        <v>38747</v>
      </c>
      <c r="B14110">
        <v>1285.19</v>
      </c>
      <c r="C14110">
        <f t="shared" si="460"/>
        <v>1.1451095254417063E-3</v>
      </c>
      <c r="D14110">
        <f t="shared" si="459"/>
        <v>8.8019679709536017E-2</v>
      </c>
    </row>
    <row r="14111" spans="1:4">
      <c r="A14111" s="1">
        <v>38748</v>
      </c>
      <c r="B14111">
        <v>1280.08</v>
      </c>
      <c r="C14111">
        <f t="shared" si="460"/>
        <v>-3.9760657957190202E-3</v>
      </c>
      <c r="D14111">
        <f t="shared" si="459"/>
        <v>-0.45277469343296534</v>
      </c>
    </row>
    <row r="14112" spans="1:4">
      <c r="A14112" s="1">
        <v>38749</v>
      </c>
      <c r="B14112">
        <v>1282.46</v>
      </c>
      <c r="C14112">
        <f t="shared" si="460"/>
        <v>1.8592587963253151E-3</v>
      </c>
      <c r="D14112">
        <f t="shared" si="459"/>
        <v>0.16343359996371326</v>
      </c>
    </row>
    <row r="14113" spans="1:4">
      <c r="A14113" s="1">
        <v>38750</v>
      </c>
      <c r="B14113">
        <v>1270.8399999999999</v>
      </c>
      <c r="C14113">
        <f t="shared" si="460"/>
        <v>-9.0607114451913655E-3</v>
      </c>
      <c r="D14113">
        <f t="shared" si="459"/>
        <v>-0.9897115456622122</v>
      </c>
    </row>
    <row r="14114" spans="1:4">
      <c r="A14114" s="1">
        <v>38751</v>
      </c>
      <c r="B14114">
        <v>1264.03</v>
      </c>
      <c r="C14114">
        <f t="shared" si="460"/>
        <v>-5.3586604135846729E-3</v>
      </c>
      <c r="D14114">
        <f t="shared" si="459"/>
        <v>-0.59877621511283308</v>
      </c>
    </row>
    <row r="14115" spans="1:4">
      <c r="A14115" s="1">
        <v>38754</v>
      </c>
      <c r="B14115">
        <v>1265.02</v>
      </c>
      <c r="C14115">
        <f t="shared" si="460"/>
        <v>7.8320925927391689E-4</v>
      </c>
      <c r="D14115">
        <f t="shared" si="459"/>
        <v>4.9803134618094956E-2</v>
      </c>
    </row>
    <row r="14116" spans="1:4">
      <c r="A14116" s="1">
        <v>38755</v>
      </c>
      <c r="B14116">
        <v>1254.78</v>
      </c>
      <c r="C14116">
        <f t="shared" si="460"/>
        <v>-8.0947336800999258E-3</v>
      </c>
      <c r="D14116">
        <f t="shared" si="459"/>
        <v>-0.88770462202035227</v>
      </c>
    </row>
    <row r="14117" spans="1:4">
      <c r="A14117" s="1">
        <v>38756</v>
      </c>
      <c r="B14117">
        <v>1265.6500000000001</v>
      </c>
      <c r="C14117">
        <f t="shared" si="460"/>
        <v>8.6628731729865936E-3</v>
      </c>
      <c r="D14117">
        <f t="shared" si="459"/>
        <v>0.88189296547825125</v>
      </c>
    </row>
    <row r="14118" spans="1:4">
      <c r="A14118" s="1">
        <v>38757</v>
      </c>
      <c r="B14118">
        <v>1263.78</v>
      </c>
      <c r="C14118">
        <f t="shared" si="460"/>
        <v>-1.4775016789792741E-3</v>
      </c>
      <c r="D14118">
        <f t="shared" si="459"/>
        <v>-0.18892717200845688</v>
      </c>
    </row>
    <row r="14119" spans="1:4">
      <c r="A14119" s="1">
        <v>38758</v>
      </c>
      <c r="B14119">
        <v>1266.99</v>
      </c>
      <c r="C14119">
        <f t="shared" si="460"/>
        <v>2.5399990504676737E-3</v>
      </c>
      <c r="D14119">
        <f t="shared" si="459"/>
        <v>0.23531953940629105</v>
      </c>
    </row>
    <row r="14120" spans="1:4">
      <c r="A14120" s="1">
        <v>38761</v>
      </c>
      <c r="B14120">
        <v>1262.8599999999999</v>
      </c>
      <c r="C14120">
        <f t="shared" si="460"/>
        <v>-3.2596942359451211E-3</v>
      </c>
      <c r="D14120">
        <f t="shared" si="459"/>
        <v>-0.37712610022736609</v>
      </c>
    </row>
    <row r="14121" spans="1:4">
      <c r="A14121" s="1">
        <v>38762</v>
      </c>
      <c r="B14121">
        <v>1275.53</v>
      </c>
      <c r="C14121">
        <f t="shared" si="460"/>
        <v>1.0032782731260848E-2</v>
      </c>
      <c r="D14121">
        <f t="shared" si="459"/>
        <v>1.0265549491771286</v>
      </c>
    </row>
    <row r="14122" spans="1:4">
      <c r="A14122" s="1">
        <v>38763</v>
      </c>
      <c r="B14122">
        <v>1280</v>
      </c>
      <c r="C14122">
        <f t="shared" si="460"/>
        <v>3.504425611314534E-3</v>
      </c>
      <c r="D14122">
        <f t="shared" si="459"/>
        <v>0.33716265640720328</v>
      </c>
    </row>
    <row r="14123" spans="1:4">
      <c r="A14123" s="1">
        <v>38764</v>
      </c>
      <c r="B14123">
        <v>1289.3800000000001</v>
      </c>
      <c r="C14123">
        <f t="shared" si="460"/>
        <v>7.3281250000000854E-3</v>
      </c>
      <c r="D14123">
        <f t="shared" si="459"/>
        <v>0.74094401211382421</v>
      </c>
    </row>
    <row r="14124" spans="1:4">
      <c r="A14124" s="1">
        <v>38765</v>
      </c>
      <c r="B14124">
        <v>1287.24</v>
      </c>
      <c r="C14124">
        <f t="shared" si="460"/>
        <v>-1.6597124199228309E-3</v>
      </c>
      <c r="D14124">
        <f t="shared" si="459"/>
        <v>-0.20816856431565633</v>
      </c>
    </row>
    <row r="14125" spans="1:4">
      <c r="A14125" s="1">
        <v>38769</v>
      </c>
      <c r="B14125">
        <v>1283.03</v>
      </c>
      <c r="C14125">
        <f t="shared" si="460"/>
        <v>-3.2705633759050655E-3</v>
      </c>
      <c r="D14125">
        <f t="shared" si="459"/>
        <v>-0.37827387771253601</v>
      </c>
    </row>
    <row r="14126" spans="1:4">
      <c r="A14126" s="1">
        <v>38770</v>
      </c>
      <c r="B14126">
        <v>1292.67</v>
      </c>
      <c r="C14126">
        <f t="shared" si="460"/>
        <v>7.513464221413451E-3</v>
      </c>
      <c r="D14126">
        <f t="shared" si="459"/>
        <v>0.76051577089521327</v>
      </c>
    </row>
    <row r="14127" spans="1:4">
      <c r="A14127" s="1">
        <v>38771</v>
      </c>
      <c r="B14127">
        <v>1287.79</v>
      </c>
      <c r="C14127">
        <f t="shared" si="460"/>
        <v>-3.7751320909436351E-3</v>
      </c>
      <c r="D14127">
        <f t="shared" si="459"/>
        <v>-0.43155616250936946</v>
      </c>
    </row>
    <row r="14128" spans="1:4">
      <c r="A14128" s="1">
        <v>38772</v>
      </c>
      <c r="B14128">
        <v>1289.43</v>
      </c>
      <c r="C14128">
        <f t="shared" si="460"/>
        <v>1.2734995612639483E-3</v>
      </c>
      <c r="D14128">
        <f t="shared" si="459"/>
        <v>0.10157762385047114</v>
      </c>
    </row>
    <row r="14129" spans="1:4">
      <c r="A14129" s="1">
        <v>38775</v>
      </c>
      <c r="B14129">
        <v>1294.1199999999999</v>
      </c>
      <c r="C14129">
        <f t="shared" si="460"/>
        <v>3.6372660788098828E-3</v>
      </c>
      <c r="D14129">
        <f t="shared" si="459"/>
        <v>0.35119056462004328</v>
      </c>
    </row>
    <row r="14130" spans="1:4">
      <c r="A14130" s="1">
        <v>38776</v>
      </c>
      <c r="B14130">
        <v>1280.6600000000001</v>
      </c>
      <c r="C14130">
        <f t="shared" si="460"/>
        <v>-1.0400890180199525E-2</v>
      </c>
      <c r="D14130">
        <f t="shared" si="459"/>
        <v>-1.1312339645301879</v>
      </c>
    </row>
    <row r="14131" spans="1:4">
      <c r="A14131" s="1">
        <v>38777</v>
      </c>
      <c r="B14131">
        <v>1291.24</v>
      </c>
      <c r="C14131">
        <f t="shared" si="460"/>
        <v>8.2613652335513932E-3</v>
      </c>
      <c r="D14131">
        <f t="shared" si="459"/>
        <v>0.83949386355307387</v>
      </c>
    </row>
    <row r="14132" spans="1:4">
      <c r="A14132" s="1">
        <v>38778</v>
      </c>
      <c r="B14132">
        <v>1289.1400000000001</v>
      </c>
      <c r="C14132">
        <f t="shared" si="460"/>
        <v>-1.6263436696508078E-3</v>
      </c>
      <c r="D14132">
        <f t="shared" si="459"/>
        <v>-0.20464483562951999</v>
      </c>
    </row>
    <row r="14133" spans="1:4">
      <c r="A14133" s="1">
        <v>38779</v>
      </c>
      <c r="B14133">
        <v>1287.23</v>
      </c>
      <c r="C14133">
        <f t="shared" si="460"/>
        <v>-1.4816078936345793E-3</v>
      </c>
      <c r="D14133">
        <f t="shared" si="459"/>
        <v>-0.18936078688028693</v>
      </c>
    </row>
    <row r="14134" spans="1:4">
      <c r="A14134" s="1">
        <v>38782</v>
      </c>
      <c r="B14134">
        <v>1278.26</v>
      </c>
      <c r="C14134">
        <f t="shared" si="460"/>
        <v>-6.9684516364597058E-3</v>
      </c>
      <c r="D14134">
        <f t="shared" si="459"/>
        <v>-0.76876962105381308</v>
      </c>
    </row>
    <row r="14135" spans="1:4">
      <c r="A14135" s="1">
        <v>38783</v>
      </c>
      <c r="B14135">
        <v>1275.8800000000001</v>
      </c>
      <c r="C14135">
        <f t="shared" si="460"/>
        <v>-1.86190602850741E-3</v>
      </c>
      <c r="D14135">
        <f t="shared" si="459"/>
        <v>-0.22952014065324092</v>
      </c>
    </row>
    <row r="14136" spans="1:4">
      <c r="A14136" s="1">
        <v>38784</v>
      </c>
      <c r="B14136">
        <v>1278.47</v>
      </c>
      <c r="C14136">
        <f t="shared" si="460"/>
        <v>2.0299714706711585E-3</v>
      </c>
      <c r="D14136">
        <f t="shared" si="459"/>
        <v>0.18146080034657688</v>
      </c>
    </row>
    <row r="14137" spans="1:4">
      <c r="A14137" s="1">
        <v>38785</v>
      </c>
      <c r="B14137">
        <v>1272.23</v>
      </c>
      <c r="C14137">
        <f t="shared" si="460"/>
        <v>-4.8808341220365039E-3</v>
      </c>
      <c r="D14137">
        <f t="shared" si="459"/>
        <v>-0.54831792114639466</v>
      </c>
    </row>
    <row r="14138" spans="1:4">
      <c r="A14138" s="1">
        <v>38786</v>
      </c>
      <c r="B14138">
        <v>1281.42</v>
      </c>
      <c r="C14138">
        <f t="shared" si="460"/>
        <v>7.2235366246669666E-3</v>
      </c>
      <c r="D14138">
        <f t="shared" si="459"/>
        <v>0.72989951522996299</v>
      </c>
    </row>
    <row r="14139" spans="1:4">
      <c r="A14139" s="1">
        <v>38789</v>
      </c>
      <c r="B14139">
        <v>1284.1300000000001</v>
      </c>
      <c r="C14139">
        <f t="shared" si="460"/>
        <v>2.1148413478797243E-3</v>
      </c>
      <c r="D14139">
        <f t="shared" si="459"/>
        <v>0.19042303053112847</v>
      </c>
    </row>
    <row r="14140" spans="1:4">
      <c r="A14140" s="1">
        <v>38790</v>
      </c>
      <c r="B14140">
        <v>1297.48</v>
      </c>
      <c r="C14140">
        <f t="shared" si="460"/>
        <v>1.0396143692616719E-2</v>
      </c>
      <c r="D14140">
        <f t="shared" si="459"/>
        <v>1.0649257431839168</v>
      </c>
    </row>
    <row r="14141" spans="1:4">
      <c r="A14141" s="1">
        <v>38791</v>
      </c>
      <c r="B14141">
        <v>1303.02</v>
      </c>
      <c r="C14141">
        <f t="shared" si="460"/>
        <v>4.2698153343403858E-3</v>
      </c>
      <c r="D14141">
        <f t="shared" si="459"/>
        <v>0.41798755099012541</v>
      </c>
    </row>
    <row r="14142" spans="1:4">
      <c r="A14142" s="1">
        <v>38792</v>
      </c>
      <c r="B14142">
        <v>1305.33</v>
      </c>
      <c r="C14142">
        <f t="shared" si="460"/>
        <v>1.7728047152000318E-3</v>
      </c>
      <c r="D14142">
        <f t="shared" si="459"/>
        <v>0.15430407838405338</v>
      </c>
    </row>
    <row r="14143" spans="1:4">
      <c r="A14143" s="1">
        <v>38793</v>
      </c>
      <c r="B14143">
        <v>1307.25</v>
      </c>
      <c r="C14143">
        <f t="shared" si="460"/>
        <v>1.4708924180092948E-3</v>
      </c>
      <c r="D14143">
        <f t="shared" si="459"/>
        <v>0.12242224242568765</v>
      </c>
    </row>
    <row r="14144" spans="1:4">
      <c r="A14144" s="1">
        <v>38796</v>
      </c>
      <c r="B14144">
        <v>1305.08</v>
      </c>
      <c r="C14144">
        <f t="shared" si="460"/>
        <v>-1.6599732262383422E-3</v>
      </c>
      <c r="D14144">
        <f t="shared" si="459"/>
        <v>-0.20819610537392191</v>
      </c>
    </row>
    <row r="14145" spans="1:4">
      <c r="A14145" s="1">
        <v>38797</v>
      </c>
      <c r="B14145">
        <v>1297.23</v>
      </c>
      <c r="C14145">
        <f t="shared" si="460"/>
        <v>-6.0149569375056774E-3</v>
      </c>
      <c r="D14145">
        <f t="shared" si="459"/>
        <v>-0.66808090495286354</v>
      </c>
    </row>
    <row r="14146" spans="1:4">
      <c r="A14146" s="1">
        <v>38798</v>
      </c>
      <c r="B14146">
        <v>1305.04</v>
      </c>
      <c r="C14146">
        <f t="shared" si="460"/>
        <v>6.0205206478418979E-3</v>
      </c>
      <c r="D14146">
        <f t="shared" si="459"/>
        <v>0.60286143700223493</v>
      </c>
    </row>
    <row r="14147" spans="1:4">
      <c r="A14147" s="1">
        <v>38799</v>
      </c>
      <c r="B14147">
        <v>1301.67</v>
      </c>
      <c r="C14147">
        <f t="shared" si="460"/>
        <v>-2.5822963280818143E-3</v>
      </c>
      <c r="D14147">
        <f t="shared" ref="D14147:D14210" si="461">(C14147-avg)/sd</f>
        <v>-0.30559311141573747</v>
      </c>
    </row>
    <row r="14148" spans="1:4">
      <c r="A14148" s="1">
        <v>38800</v>
      </c>
      <c r="B14148">
        <v>1302.95</v>
      </c>
      <c r="C14148">
        <f t="shared" ref="C14148:C14211" si="462">(B14148-B14147)/B14147</f>
        <v>9.8335215530816005E-4</v>
      </c>
      <c r="D14148">
        <f t="shared" si="461"/>
        <v>7.0938156407435171E-2</v>
      </c>
    </row>
    <row r="14149" spans="1:4">
      <c r="A14149" s="1">
        <v>38803</v>
      </c>
      <c r="B14149">
        <v>1301.6099999999999</v>
      </c>
      <c r="C14149">
        <f t="shared" si="462"/>
        <v>-1.0284354733490506E-3</v>
      </c>
      <c r="D14149">
        <f t="shared" si="461"/>
        <v>-0.14150593333892522</v>
      </c>
    </row>
    <row r="14150" spans="1:4">
      <c r="A14150" s="1">
        <v>38804</v>
      </c>
      <c r="B14150">
        <v>1293.23</v>
      </c>
      <c r="C14150">
        <f t="shared" si="462"/>
        <v>-6.4381804073415866E-3</v>
      </c>
      <c r="D14150">
        <f t="shared" si="461"/>
        <v>-0.71277315950688835</v>
      </c>
    </row>
    <row r="14151" spans="1:4">
      <c r="A14151" s="1">
        <v>38805</v>
      </c>
      <c r="B14151">
        <v>1302.8900000000001</v>
      </c>
      <c r="C14151">
        <f t="shared" si="462"/>
        <v>7.4696689683970228E-3</v>
      </c>
      <c r="D14151">
        <f t="shared" si="461"/>
        <v>0.75589100706340828</v>
      </c>
    </row>
    <row r="14152" spans="1:4">
      <c r="A14152" s="1">
        <v>38806</v>
      </c>
      <c r="B14152">
        <v>1300.25</v>
      </c>
      <c r="C14152">
        <f t="shared" si="462"/>
        <v>-2.0262646885002571E-3</v>
      </c>
      <c r="D14152">
        <f t="shared" si="461"/>
        <v>-0.24687635928026255</v>
      </c>
    </row>
    <row r="14153" spans="1:4">
      <c r="A14153" s="1">
        <v>38807</v>
      </c>
      <c r="B14153">
        <v>1294.8699999999999</v>
      </c>
      <c r="C14153">
        <f t="shared" si="462"/>
        <v>-4.1376658334936426E-3</v>
      </c>
      <c r="D14153">
        <f t="shared" si="461"/>
        <v>-0.46983960249144369</v>
      </c>
    </row>
    <row r="14154" spans="1:4">
      <c r="A14154" s="1">
        <v>38810</v>
      </c>
      <c r="B14154">
        <v>1297.81</v>
      </c>
      <c r="C14154">
        <f t="shared" si="462"/>
        <v>2.270498196730216E-3</v>
      </c>
      <c r="D14154">
        <f t="shared" si="461"/>
        <v>0.20686034085940669</v>
      </c>
    </row>
    <row r="14155" spans="1:4">
      <c r="A14155" s="1">
        <v>38811</v>
      </c>
      <c r="B14155">
        <v>1305.93</v>
      </c>
      <c r="C14155">
        <f t="shared" si="462"/>
        <v>6.2566939690710645E-3</v>
      </c>
      <c r="D14155">
        <f t="shared" si="461"/>
        <v>0.62780125944482246</v>
      </c>
    </row>
    <row r="14156" spans="1:4">
      <c r="A14156" s="1">
        <v>38812</v>
      </c>
      <c r="B14156">
        <v>1311.56</v>
      </c>
      <c r="C14156">
        <f t="shared" si="462"/>
        <v>4.3111039642246378E-3</v>
      </c>
      <c r="D14156">
        <f t="shared" si="461"/>
        <v>0.4223476162712152</v>
      </c>
    </row>
    <row r="14157" spans="1:4">
      <c r="A14157" s="1">
        <v>38813</v>
      </c>
      <c r="B14157">
        <v>1309.04</v>
      </c>
      <c r="C14157">
        <f t="shared" si="462"/>
        <v>-1.921376071243391E-3</v>
      </c>
      <c r="D14157">
        <f t="shared" si="461"/>
        <v>-0.23580015695131082</v>
      </c>
    </row>
    <row r="14158" spans="1:4">
      <c r="A14158" s="1">
        <v>38814</v>
      </c>
      <c r="B14158">
        <v>1295.5</v>
      </c>
      <c r="C14158">
        <f t="shared" si="462"/>
        <v>-1.0343457801136683E-2</v>
      </c>
      <c r="D14158">
        <f t="shared" si="461"/>
        <v>-1.125169124823366</v>
      </c>
    </row>
    <row r="14159" spans="1:4">
      <c r="A14159" s="1">
        <v>38817</v>
      </c>
      <c r="B14159">
        <v>1296.6199999999999</v>
      </c>
      <c r="C14159">
        <f t="shared" si="462"/>
        <v>8.6453106908521106E-4</v>
      </c>
      <c r="D14159">
        <f t="shared" si="461"/>
        <v>5.8390690091541381E-2</v>
      </c>
    </row>
    <row r="14160" spans="1:4">
      <c r="A14160" s="1">
        <v>38818</v>
      </c>
      <c r="B14160">
        <v>1286.57</v>
      </c>
      <c r="C14160">
        <f t="shared" si="462"/>
        <v>-7.7509216269993951E-3</v>
      </c>
      <c r="D14160">
        <f t="shared" si="461"/>
        <v>-0.85139818608033146</v>
      </c>
    </row>
    <row r="14161" spans="1:4">
      <c r="A14161" s="1">
        <v>38819</v>
      </c>
      <c r="B14161">
        <v>1288.1199999999999</v>
      </c>
      <c r="C14161">
        <f t="shared" si="462"/>
        <v>1.2047537250207564E-3</v>
      </c>
      <c r="D14161">
        <f t="shared" si="461"/>
        <v>9.4318086911035201E-2</v>
      </c>
    </row>
    <row r="14162" spans="1:4">
      <c r="A14162" s="1">
        <v>38820</v>
      </c>
      <c r="B14162">
        <v>1289.1199999999999</v>
      </c>
      <c r="C14162">
        <f t="shared" si="462"/>
        <v>7.7632518709437018E-4</v>
      </c>
      <c r="D14162">
        <f t="shared" si="461"/>
        <v>4.9076178935944653E-2</v>
      </c>
    </row>
    <row r="14163" spans="1:4">
      <c r="A14163" s="1">
        <v>38824</v>
      </c>
      <c r="B14163">
        <v>1285.33</v>
      </c>
      <c r="C14163">
        <f t="shared" si="462"/>
        <v>-2.9399900707459074E-3</v>
      </c>
      <c r="D14163">
        <f t="shared" si="461"/>
        <v>-0.34336544905505501</v>
      </c>
    </row>
    <row r="14164" spans="1:4">
      <c r="A14164" s="1">
        <v>38825</v>
      </c>
      <c r="B14164">
        <v>1307.28</v>
      </c>
      <c r="C14164">
        <f t="shared" si="462"/>
        <v>1.7077326445348703E-2</v>
      </c>
      <c r="D14164">
        <f t="shared" si="461"/>
        <v>1.7704563708280521</v>
      </c>
    </row>
    <row r="14165" spans="1:4">
      <c r="A14165" s="1">
        <v>38826</v>
      </c>
      <c r="B14165">
        <v>1309.93</v>
      </c>
      <c r="C14165">
        <f t="shared" si="462"/>
        <v>2.0271097240071685E-3</v>
      </c>
      <c r="D14165">
        <f t="shared" si="461"/>
        <v>0.18115860087161448</v>
      </c>
    </row>
    <row r="14166" spans="1:4">
      <c r="A14166" s="1">
        <v>38827</v>
      </c>
      <c r="B14166">
        <v>1311.46</v>
      </c>
      <c r="C14166">
        <f t="shared" si="462"/>
        <v>1.168001343583224E-3</v>
      </c>
      <c r="D14166">
        <f t="shared" si="461"/>
        <v>9.0437047923973238E-2</v>
      </c>
    </row>
    <row r="14167" spans="1:4">
      <c r="A14167" s="1">
        <v>38828</v>
      </c>
      <c r="B14167">
        <v>1311.28</v>
      </c>
      <c r="C14167">
        <f t="shared" si="462"/>
        <v>-1.3725161270649783E-4</v>
      </c>
      <c r="D14167">
        <f t="shared" si="461"/>
        <v>-4.73972205831844E-2</v>
      </c>
    </row>
    <row r="14168" spans="1:4">
      <c r="A14168" s="1">
        <v>38831</v>
      </c>
      <c r="B14168">
        <v>1308.1099999999999</v>
      </c>
      <c r="C14168">
        <f t="shared" si="462"/>
        <v>-2.4174852052956447E-3</v>
      </c>
      <c r="D14168">
        <f t="shared" si="461"/>
        <v>-0.28818911287154053</v>
      </c>
    </row>
    <row r="14169" spans="1:4">
      <c r="A14169" s="1">
        <v>38832</v>
      </c>
      <c r="B14169">
        <v>1301.74</v>
      </c>
      <c r="C14169">
        <f t="shared" si="462"/>
        <v>-4.8696210563330998E-3</v>
      </c>
      <c r="D14169">
        <f t="shared" si="461"/>
        <v>-0.54713382521962139</v>
      </c>
    </row>
    <row r="14170" spans="1:4">
      <c r="A14170" s="1">
        <v>38833</v>
      </c>
      <c r="B14170">
        <v>1305.4100000000001</v>
      </c>
      <c r="C14170">
        <f t="shared" si="462"/>
        <v>2.8193033939189643E-3</v>
      </c>
      <c r="D14170">
        <f t="shared" si="461"/>
        <v>0.26481398313458809</v>
      </c>
    </row>
    <row r="14171" spans="1:4">
      <c r="A14171" s="1">
        <v>38834</v>
      </c>
      <c r="B14171">
        <v>1309.72</v>
      </c>
      <c r="C14171">
        <f t="shared" si="462"/>
        <v>3.3016446940041405E-3</v>
      </c>
      <c r="D14171">
        <f t="shared" si="461"/>
        <v>0.3157490604678086</v>
      </c>
    </row>
    <row r="14172" spans="1:4">
      <c r="A14172" s="1">
        <v>38835</v>
      </c>
      <c r="B14172">
        <v>1310.6099999999999</v>
      </c>
      <c r="C14172">
        <f t="shared" si="462"/>
        <v>6.7953455700445339E-4</v>
      </c>
      <c r="D14172">
        <f t="shared" si="461"/>
        <v>3.8855121299183171E-2</v>
      </c>
    </row>
    <row r="14173" spans="1:4">
      <c r="A14173" s="1">
        <v>38838</v>
      </c>
      <c r="B14173">
        <v>1305.19</v>
      </c>
      <c r="C14173">
        <f t="shared" si="462"/>
        <v>-4.1354788991384518E-3</v>
      </c>
      <c r="D14173">
        <f t="shared" si="461"/>
        <v>-0.46960866296691062</v>
      </c>
    </row>
    <row r="14174" spans="1:4">
      <c r="A14174" s="1">
        <v>38839</v>
      </c>
      <c r="B14174">
        <v>1313.21</v>
      </c>
      <c r="C14174">
        <f t="shared" si="462"/>
        <v>6.1446992391912146E-3</v>
      </c>
      <c r="D14174">
        <f t="shared" si="461"/>
        <v>0.61597465403836871</v>
      </c>
    </row>
    <row r="14175" spans="1:4">
      <c r="A14175" s="1">
        <v>38840</v>
      </c>
      <c r="B14175">
        <v>1308.1199999999999</v>
      </c>
      <c r="C14175">
        <f t="shared" si="462"/>
        <v>-3.8759985074741628E-3</v>
      </c>
      <c r="D14175">
        <f t="shared" si="461"/>
        <v>-0.44220762180883233</v>
      </c>
    </row>
    <row r="14176" spans="1:4">
      <c r="A14176" s="1">
        <v>38841</v>
      </c>
      <c r="B14176">
        <v>1312.25</v>
      </c>
      <c r="C14176">
        <f t="shared" si="462"/>
        <v>3.157202703116006E-3</v>
      </c>
      <c r="D14176">
        <f t="shared" si="461"/>
        <v>0.30049603532823987</v>
      </c>
    </row>
    <row r="14177" spans="1:4">
      <c r="A14177" s="1">
        <v>38842</v>
      </c>
      <c r="B14177">
        <v>1325.76</v>
      </c>
      <c r="C14177">
        <f t="shared" si="462"/>
        <v>1.0295294341779379E-2</v>
      </c>
      <c r="D14177">
        <f t="shared" si="461"/>
        <v>1.0542760860158535</v>
      </c>
    </row>
    <row r="14178" spans="1:4">
      <c r="A14178" s="1">
        <v>38845</v>
      </c>
      <c r="B14178">
        <v>1324.66</v>
      </c>
      <c r="C14178">
        <f t="shared" si="462"/>
        <v>-8.2971276852515468E-4</v>
      </c>
      <c r="D14178">
        <f t="shared" si="461"/>
        <v>-0.12052088325865123</v>
      </c>
    </row>
    <row r="14179" spans="1:4">
      <c r="A14179" s="1">
        <v>38846</v>
      </c>
      <c r="B14179">
        <v>1325.14</v>
      </c>
      <c r="C14179">
        <f t="shared" si="462"/>
        <v>3.6235713315116192E-4</v>
      </c>
      <c r="D14179">
        <f t="shared" si="461"/>
        <v>5.3612931541203637E-3</v>
      </c>
    </row>
    <row r="14180" spans="1:4">
      <c r="A14180" s="1">
        <v>38847</v>
      </c>
      <c r="B14180">
        <v>1322.85</v>
      </c>
      <c r="C14180">
        <f t="shared" si="462"/>
        <v>-1.728119293055972E-3</v>
      </c>
      <c r="D14180">
        <f t="shared" si="461"/>
        <v>-0.21539230686589003</v>
      </c>
    </row>
    <row r="14181" spans="1:4">
      <c r="A14181" s="1">
        <v>38848</v>
      </c>
      <c r="B14181">
        <v>1305.92</v>
      </c>
      <c r="C14181">
        <f t="shared" si="462"/>
        <v>-1.2798125259855492E-2</v>
      </c>
      <c r="D14181">
        <f t="shared" si="461"/>
        <v>-1.3843811740820624</v>
      </c>
    </row>
    <row r="14182" spans="1:4">
      <c r="A14182" s="1">
        <v>38849</v>
      </c>
      <c r="B14182">
        <v>1291.24</v>
      </c>
      <c r="C14182">
        <f t="shared" si="462"/>
        <v>-1.1241117373192893E-2</v>
      </c>
      <c r="D14182">
        <f t="shared" si="461"/>
        <v>-1.2199616705031877</v>
      </c>
    </row>
    <row r="14183" spans="1:4">
      <c r="A14183" s="1">
        <v>38852</v>
      </c>
      <c r="B14183">
        <v>1294.5</v>
      </c>
      <c r="C14183">
        <f t="shared" si="462"/>
        <v>2.5247049347913563E-3</v>
      </c>
      <c r="D14183">
        <f t="shared" si="461"/>
        <v>0.23370448598959445</v>
      </c>
    </row>
    <row r="14184" spans="1:4">
      <c r="A14184" s="1">
        <v>38853</v>
      </c>
      <c r="B14184">
        <v>1292.08</v>
      </c>
      <c r="C14184">
        <f t="shared" si="462"/>
        <v>-1.8694476631904771E-3</v>
      </c>
      <c r="D14184">
        <f t="shared" si="461"/>
        <v>-0.23031653471224664</v>
      </c>
    </row>
    <row r="14185" spans="1:4">
      <c r="A14185" s="1">
        <v>38854</v>
      </c>
      <c r="B14185">
        <v>1270.32</v>
      </c>
      <c r="C14185">
        <f t="shared" si="462"/>
        <v>-1.6841062472911887E-2</v>
      </c>
      <c r="D14185">
        <f t="shared" si="461"/>
        <v>-1.8113139695196872</v>
      </c>
    </row>
    <row r="14186" spans="1:4">
      <c r="A14186" s="1">
        <v>38855</v>
      </c>
      <c r="B14186">
        <v>1261.81</v>
      </c>
      <c r="C14186">
        <f t="shared" si="462"/>
        <v>-6.6990994395112972E-3</v>
      </c>
      <c r="D14186">
        <f t="shared" si="461"/>
        <v>-0.74032612061332148</v>
      </c>
    </row>
    <row r="14187" spans="1:4">
      <c r="A14187" s="1">
        <v>38856</v>
      </c>
      <c r="B14187">
        <v>1267.03</v>
      </c>
      <c r="C14187">
        <f t="shared" si="462"/>
        <v>4.136914432442307E-3</v>
      </c>
      <c r="D14187">
        <f t="shared" si="461"/>
        <v>0.4039532609248998</v>
      </c>
    </row>
    <row r="14188" spans="1:4">
      <c r="A14188" s="1">
        <v>38859</v>
      </c>
      <c r="B14188">
        <v>1262.07</v>
      </c>
      <c r="C14188">
        <f t="shared" si="462"/>
        <v>-3.9146665824803173E-3</v>
      </c>
      <c r="D14188">
        <f t="shared" si="461"/>
        <v>-0.4462909573855649</v>
      </c>
    </row>
    <row r="14189" spans="1:4">
      <c r="A14189" s="1">
        <v>38860</v>
      </c>
      <c r="B14189">
        <v>1256.58</v>
      </c>
      <c r="C14189">
        <f t="shared" si="462"/>
        <v>-4.3499964344291594E-3</v>
      </c>
      <c r="D14189">
        <f t="shared" si="461"/>
        <v>-0.4922616417755562</v>
      </c>
    </row>
    <row r="14190" spans="1:4">
      <c r="A14190" s="1">
        <v>38861</v>
      </c>
      <c r="B14190">
        <v>1258.57</v>
      </c>
      <c r="C14190">
        <f t="shared" si="462"/>
        <v>1.5836635948367865E-3</v>
      </c>
      <c r="D14190">
        <f t="shared" si="461"/>
        <v>0.13433084036588527</v>
      </c>
    </row>
    <row r="14191" spans="1:4">
      <c r="A14191" s="1">
        <v>38862</v>
      </c>
      <c r="B14191">
        <v>1272.8800000000001</v>
      </c>
      <c r="C14191">
        <f t="shared" si="462"/>
        <v>1.1370046958055709E-2</v>
      </c>
      <c r="D14191">
        <f t="shared" si="461"/>
        <v>1.1677695969684696</v>
      </c>
    </row>
    <row r="14192" spans="1:4">
      <c r="A14192" s="1">
        <v>38863</v>
      </c>
      <c r="B14192">
        <v>1280.1600000000001</v>
      </c>
      <c r="C14192">
        <f t="shared" si="462"/>
        <v>5.7193136823580947E-3</v>
      </c>
      <c r="D14192">
        <f t="shared" si="461"/>
        <v>0.57105408383236744</v>
      </c>
    </row>
    <row r="14193" spans="1:4">
      <c r="A14193" s="1">
        <v>38867</v>
      </c>
      <c r="B14193">
        <v>1259.8699999999999</v>
      </c>
      <c r="C14193">
        <f t="shared" si="462"/>
        <v>-1.5849581302337355E-2</v>
      </c>
      <c r="D14193">
        <f t="shared" si="461"/>
        <v>-1.7066138949278415</v>
      </c>
    </row>
    <row r="14194" spans="1:4">
      <c r="A14194" s="1">
        <v>38868</v>
      </c>
      <c r="B14194">
        <v>1270.0899999999999</v>
      </c>
      <c r="C14194">
        <f t="shared" si="462"/>
        <v>8.1119480581330044E-3</v>
      </c>
      <c r="D14194">
        <f t="shared" si="461"/>
        <v>0.82371546061825762</v>
      </c>
    </row>
    <row r="14195" spans="1:4">
      <c r="A14195" s="1">
        <v>38869</v>
      </c>
      <c r="B14195">
        <v>1285.71</v>
      </c>
      <c r="C14195">
        <f t="shared" si="462"/>
        <v>1.2298341062444488E-2</v>
      </c>
      <c r="D14195">
        <f t="shared" si="461"/>
        <v>1.2657971388494271</v>
      </c>
    </row>
    <row r="14196" spans="1:4">
      <c r="A14196" s="1">
        <v>38870</v>
      </c>
      <c r="B14196">
        <v>1288.22</v>
      </c>
      <c r="C14196">
        <f t="shared" si="462"/>
        <v>1.9522287296513138E-3</v>
      </c>
      <c r="D14196">
        <f t="shared" si="461"/>
        <v>0.17325119332092292</v>
      </c>
    </row>
    <row r="14197" spans="1:4">
      <c r="A14197" s="1">
        <v>38873</v>
      </c>
      <c r="B14197">
        <v>1265.29</v>
      </c>
      <c r="C14197">
        <f t="shared" si="462"/>
        <v>-1.7799754700284161E-2</v>
      </c>
      <c r="D14197">
        <f t="shared" si="461"/>
        <v>-1.9125515428548778</v>
      </c>
    </row>
    <row r="14198" spans="1:4">
      <c r="A14198" s="1">
        <v>38874</v>
      </c>
      <c r="B14198">
        <v>1263.8499999999999</v>
      </c>
      <c r="C14198">
        <f t="shared" si="462"/>
        <v>-1.1380790174584914E-3</v>
      </c>
      <c r="D14198">
        <f t="shared" si="461"/>
        <v>-0.15308425432723069</v>
      </c>
    </row>
    <row r="14199" spans="1:4">
      <c r="A14199" s="1">
        <v>38875</v>
      </c>
      <c r="B14199">
        <v>1256.1500000000001</v>
      </c>
      <c r="C14199">
        <f t="shared" si="462"/>
        <v>-6.0924951536968936E-3</v>
      </c>
      <c r="D14199">
        <f t="shared" si="461"/>
        <v>-0.67626891422613566</v>
      </c>
    </row>
    <row r="14200" spans="1:4">
      <c r="A14200" s="1">
        <v>38876</v>
      </c>
      <c r="B14200">
        <v>1257.93</v>
      </c>
      <c r="C14200">
        <f t="shared" si="462"/>
        <v>1.4170282211519107E-3</v>
      </c>
      <c r="D14200">
        <f t="shared" si="461"/>
        <v>0.116734201546878</v>
      </c>
    </row>
    <row r="14201" spans="1:4">
      <c r="A14201" s="1">
        <v>38877</v>
      </c>
      <c r="B14201">
        <v>1252.3</v>
      </c>
      <c r="C14201">
        <f t="shared" si="462"/>
        <v>-4.4756067507731824E-3</v>
      </c>
      <c r="D14201">
        <f t="shared" si="461"/>
        <v>-0.50552604848446392</v>
      </c>
    </row>
    <row r="14202" spans="1:4">
      <c r="A14202" s="1">
        <v>38880</v>
      </c>
      <c r="B14202">
        <v>1237.44</v>
      </c>
      <c r="C14202">
        <f t="shared" si="462"/>
        <v>-1.186616625409239E-2</v>
      </c>
      <c r="D14202">
        <f t="shared" si="461"/>
        <v>-1.2859666198617368</v>
      </c>
    </row>
    <row r="14203" spans="1:4">
      <c r="A14203" s="1">
        <v>38881</v>
      </c>
      <c r="B14203">
        <v>1223.69</v>
      </c>
      <c r="C14203">
        <f t="shared" si="462"/>
        <v>-1.1111649857770882E-2</v>
      </c>
      <c r="D14203">
        <f t="shared" si="461"/>
        <v>-1.20628994488277</v>
      </c>
    </row>
    <row r="14204" spans="1:4">
      <c r="A14204" s="1">
        <v>38882</v>
      </c>
      <c r="B14204">
        <v>1230.04</v>
      </c>
      <c r="C14204">
        <f t="shared" si="462"/>
        <v>5.1892227606664338E-3</v>
      </c>
      <c r="D14204">
        <f t="shared" si="461"/>
        <v>0.51507666268838725</v>
      </c>
    </row>
    <row r="14205" spans="1:4">
      <c r="A14205" s="1">
        <v>38883</v>
      </c>
      <c r="B14205">
        <v>1256.1600000000001</v>
      </c>
      <c r="C14205">
        <f t="shared" si="462"/>
        <v>2.1235081785958277E-2</v>
      </c>
      <c r="D14205">
        <f t="shared" si="461"/>
        <v>2.2095139215067148</v>
      </c>
    </row>
    <row r="14206" spans="1:4">
      <c r="A14206" s="1">
        <v>38884</v>
      </c>
      <c r="B14206">
        <v>1251.54</v>
      </c>
      <c r="C14206">
        <f t="shared" si="462"/>
        <v>-3.6778754298816378E-3</v>
      </c>
      <c r="D14206">
        <f t="shared" si="461"/>
        <v>-0.42128589216036794</v>
      </c>
    </row>
    <row r="14207" spans="1:4">
      <c r="A14207" s="1">
        <v>38887</v>
      </c>
      <c r="B14207">
        <v>1240.1300000000001</v>
      </c>
      <c r="C14207">
        <f t="shared" si="462"/>
        <v>-9.1167681416493718E-3</v>
      </c>
      <c r="D14207">
        <f t="shared" si="461"/>
        <v>-0.99563111375358071</v>
      </c>
    </row>
    <row r="14208" spans="1:4">
      <c r="A14208" s="1">
        <v>38888</v>
      </c>
      <c r="B14208">
        <v>1240.1199999999999</v>
      </c>
      <c r="C14208">
        <f t="shared" si="462"/>
        <v>-8.0636707443721847E-6</v>
      </c>
      <c r="D14208">
        <f t="shared" si="461"/>
        <v>-3.3755017825099036E-2</v>
      </c>
    </row>
    <row r="14209" spans="1:4">
      <c r="A14209" s="1">
        <v>38889</v>
      </c>
      <c r="B14209">
        <v>1252.2</v>
      </c>
      <c r="C14209">
        <f t="shared" si="462"/>
        <v>9.7409928071478212E-3</v>
      </c>
      <c r="D14209">
        <f t="shared" si="461"/>
        <v>0.99574203237500736</v>
      </c>
    </row>
    <row r="14210" spans="1:4">
      <c r="A14210" s="1">
        <v>38890</v>
      </c>
      <c r="B14210">
        <v>1245.5999999999999</v>
      </c>
      <c r="C14210">
        <f t="shared" si="462"/>
        <v>-5.2707235265933051E-3</v>
      </c>
      <c r="D14210">
        <f t="shared" si="461"/>
        <v>-0.58949010973774496</v>
      </c>
    </row>
    <row r="14211" spans="1:4">
      <c r="A14211" s="1">
        <v>38891</v>
      </c>
      <c r="B14211">
        <v>1244.5</v>
      </c>
      <c r="C14211">
        <f t="shared" si="462"/>
        <v>-8.8310854206800665E-4</v>
      </c>
      <c r="D14211">
        <f t="shared" ref="D14211:D14274" si="463">(C14211-avg)/sd</f>
        <v>-0.12615945879467111</v>
      </c>
    </row>
    <row r="14212" spans="1:4">
      <c r="A14212" s="1">
        <v>38894</v>
      </c>
      <c r="B14212">
        <v>1250.56</v>
      </c>
      <c r="C14212">
        <f t="shared" ref="C14212:C14275" si="464">(B14212-B14211)/B14211</f>
        <v>4.8694254720770954E-3</v>
      </c>
      <c r="D14212">
        <f t="shared" si="463"/>
        <v>0.48130617771773315</v>
      </c>
    </row>
    <row r="14213" spans="1:4">
      <c r="A14213" s="1">
        <v>38895</v>
      </c>
      <c r="B14213">
        <v>1239.2</v>
      </c>
      <c r="C14213">
        <f t="shared" si="464"/>
        <v>-9.083930399181088E-3</v>
      </c>
      <c r="D14213">
        <f t="shared" si="463"/>
        <v>-0.9921634593110209</v>
      </c>
    </row>
    <row r="14214" spans="1:4">
      <c r="A14214" s="1">
        <v>38896</v>
      </c>
      <c r="B14214">
        <v>1246</v>
      </c>
      <c r="C14214">
        <f t="shared" si="464"/>
        <v>5.4874112330535463E-3</v>
      </c>
      <c r="D14214">
        <f t="shared" si="463"/>
        <v>0.54656526401327976</v>
      </c>
    </row>
    <row r="14215" spans="1:4">
      <c r="A14215" s="1">
        <v>38897</v>
      </c>
      <c r="B14215">
        <v>1272.8699999999999</v>
      </c>
      <c r="C14215">
        <f t="shared" si="464"/>
        <v>2.1565008025682095E-2</v>
      </c>
      <c r="D14215">
        <f t="shared" si="463"/>
        <v>2.2443540202741721</v>
      </c>
    </row>
    <row r="14216" spans="1:4">
      <c r="A14216" s="1">
        <v>38898</v>
      </c>
      <c r="B14216">
        <v>1270.2</v>
      </c>
      <c r="C14216">
        <f t="shared" si="464"/>
        <v>-2.0976219095428798E-3</v>
      </c>
      <c r="D14216">
        <f t="shared" si="463"/>
        <v>-0.25441165756686557</v>
      </c>
    </row>
    <row r="14217" spans="1:4">
      <c r="A14217" s="1">
        <v>38901</v>
      </c>
      <c r="B14217">
        <v>1280.19</v>
      </c>
      <c r="C14217">
        <f t="shared" si="464"/>
        <v>7.8649031648559357E-3</v>
      </c>
      <c r="D14217">
        <f t="shared" si="463"/>
        <v>0.79762760386283849</v>
      </c>
    </row>
    <row r="14218" spans="1:4">
      <c r="A14218" s="1">
        <v>38903</v>
      </c>
      <c r="B14218">
        <v>1270.9100000000001</v>
      </c>
      <c r="C14218">
        <f t="shared" si="464"/>
        <v>-7.2489239878455328E-3</v>
      </c>
      <c r="D14218">
        <f t="shared" si="463"/>
        <v>-0.79838740602297198</v>
      </c>
    </row>
    <row r="14219" spans="1:4">
      <c r="A14219" s="1">
        <v>38904</v>
      </c>
      <c r="B14219">
        <v>1274.08</v>
      </c>
      <c r="C14219">
        <f t="shared" si="464"/>
        <v>2.4942757551674353E-3</v>
      </c>
      <c r="D14219">
        <f t="shared" si="463"/>
        <v>0.2304911749646891</v>
      </c>
    </row>
    <row r="14220" spans="1:4">
      <c r="A14220" s="1">
        <v>38905</v>
      </c>
      <c r="B14220">
        <v>1265.48</v>
      </c>
      <c r="C14220">
        <f t="shared" si="464"/>
        <v>-6.7499686047971163E-3</v>
      </c>
      <c r="D14220">
        <f t="shared" si="463"/>
        <v>-0.74569788717623453</v>
      </c>
    </row>
    <row r="14221" spans="1:4">
      <c r="A14221" s="1">
        <v>38908</v>
      </c>
      <c r="B14221">
        <v>1267.3399999999999</v>
      </c>
      <c r="C14221">
        <f t="shared" si="464"/>
        <v>1.46979802130409E-3</v>
      </c>
      <c r="D14221">
        <f t="shared" si="463"/>
        <v>0.12230667450562153</v>
      </c>
    </row>
    <row r="14222" spans="1:4">
      <c r="A14222" s="1">
        <v>38909</v>
      </c>
      <c r="B14222">
        <v>1272.43</v>
      </c>
      <c r="C14222">
        <f t="shared" si="464"/>
        <v>4.0162860795052201E-3</v>
      </c>
      <c r="D14222">
        <f t="shared" si="463"/>
        <v>0.3912149478583129</v>
      </c>
    </row>
    <row r="14223" spans="1:4">
      <c r="A14223" s="1">
        <v>38910</v>
      </c>
      <c r="B14223">
        <v>1258.5999999999999</v>
      </c>
      <c r="C14223">
        <f t="shared" si="464"/>
        <v>-1.0868967251636753E-2</v>
      </c>
      <c r="D14223">
        <f t="shared" si="463"/>
        <v>-1.180662744166832</v>
      </c>
    </row>
    <row r="14224" spans="1:4">
      <c r="A14224" s="1">
        <v>38911</v>
      </c>
      <c r="B14224">
        <v>1242.28</v>
      </c>
      <c r="C14224">
        <f t="shared" si="464"/>
        <v>-1.2966788495153295E-2</v>
      </c>
      <c r="D14224">
        <f t="shared" si="463"/>
        <v>-1.4021919543980912</v>
      </c>
    </row>
    <row r="14225" spans="1:4">
      <c r="A14225" s="1">
        <v>38912</v>
      </c>
      <c r="B14225">
        <v>1236.2</v>
      </c>
      <c r="C14225">
        <f t="shared" si="464"/>
        <v>-4.8942267443731905E-3</v>
      </c>
      <c r="D14225">
        <f t="shared" si="463"/>
        <v>-0.54973217751277514</v>
      </c>
    </row>
    <row r="14226" spans="1:4">
      <c r="A14226" s="1">
        <v>38915</v>
      </c>
      <c r="B14226">
        <v>1234.49</v>
      </c>
      <c r="C14226">
        <f t="shared" si="464"/>
        <v>-1.3832713153211749E-3</v>
      </c>
      <c r="D14226">
        <f t="shared" si="463"/>
        <v>-0.1789764776366185</v>
      </c>
    </row>
    <row r="14227" spans="1:4">
      <c r="A14227" s="1">
        <v>38916</v>
      </c>
      <c r="B14227">
        <v>1236.8599999999999</v>
      </c>
      <c r="C14227">
        <f t="shared" si="464"/>
        <v>1.9198211407138906E-3</v>
      </c>
      <c r="D14227">
        <f t="shared" si="463"/>
        <v>0.16982896294500574</v>
      </c>
    </row>
    <row r="14228" spans="1:4">
      <c r="A14228" s="1">
        <v>38917</v>
      </c>
      <c r="B14228">
        <v>1259.81</v>
      </c>
      <c r="C14228">
        <f t="shared" si="464"/>
        <v>1.8555050692883629E-2</v>
      </c>
      <c r="D14228">
        <f t="shared" si="463"/>
        <v>1.9265035490648628</v>
      </c>
    </row>
    <row r="14229" spans="1:4">
      <c r="A14229" s="1">
        <v>38918</v>
      </c>
      <c r="B14229">
        <v>1249.1300000000001</v>
      </c>
      <c r="C14229">
        <f t="shared" si="464"/>
        <v>-8.4774688246639068E-3</v>
      </c>
      <c r="D14229">
        <f t="shared" si="463"/>
        <v>-0.92812132318831198</v>
      </c>
    </row>
    <row r="14230" spans="1:4">
      <c r="A14230" s="1">
        <v>38919</v>
      </c>
      <c r="B14230">
        <v>1240.29</v>
      </c>
      <c r="C14230">
        <f t="shared" si="464"/>
        <v>-7.0769255401760787E-3</v>
      </c>
      <c r="D14230">
        <f t="shared" si="463"/>
        <v>-0.78022442841419071</v>
      </c>
    </row>
    <row r="14231" spans="1:4">
      <c r="A14231" s="1">
        <v>38922</v>
      </c>
      <c r="B14231">
        <v>1260.9100000000001</v>
      </c>
      <c r="C14231">
        <f t="shared" si="464"/>
        <v>1.662514411952053E-2</v>
      </c>
      <c r="D14231">
        <f t="shared" si="463"/>
        <v>1.7227060709248376</v>
      </c>
    </row>
    <row r="14232" spans="1:4">
      <c r="A14232" s="1">
        <v>38923</v>
      </c>
      <c r="B14232">
        <v>1268.8800000000001</v>
      </c>
      <c r="C14232">
        <f t="shared" si="464"/>
        <v>6.3208317802222417E-3</v>
      </c>
      <c r="D14232">
        <f t="shared" si="463"/>
        <v>0.63457419050088548</v>
      </c>
    </row>
    <row r="14233" spans="1:4">
      <c r="A14233" s="1">
        <v>38924</v>
      </c>
      <c r="B14233">
        <v>1268.4000000000001</v>
      </c>
      <c r="C14233">
        <f t="shared" si="464"/>
        <v>-3.7828636277663618E-4</v>
      </c>
      <c r="D14233">
        <f t="shared" si="463"/>
        <v>-7.2850408258898602E-2</v>
      </c>
    </row>
    <row r="14234" spans="1:4">
      <c r="A14234" s="1">
        <v>38925</v>
      </c>
      <c r="B14234">
        <v>1263.2</v>
      </c>
      <c r="C14234">
        <f t="shared" si="464"/>
        <v>-4.0996531062756584E-3</v>
      </c>
      <c r="D14234">
        <f t="shared" si="463"/>
        <v>-0.46582547141837832</v>
      </c>
    </row>
    <row r="14235" spans="1:4">
      <c r="A14235" s="1">
        <v>38926</v>
      </c>
      <c r="B14235">
        <v>1278.55</v>
      </c>
      <c r="C14235">
        <f t="shared" si="464"/>
        <v>1.2151678277390681E-2</v>
      </c>
      <c r="D14235">
        <f t="shared" si="463"/>
        <v>1.2503095986008479</v>
      </c>
    </row>
    <row r="14236" spans="1:4">
      <c r="A14236" s="1">
        <v>38929</v>
      </c>
      <c r="B14236">
        <v>1276.6600000000001</v>
      </c>
      <c r="C14236">
        <f t="shared" si="464"/>
        <v>-1.478237065425578E-3</v>
      </c>
      <c r="D14236">
        <f t="shared" si="463"/>
        <v>-0.18900482856721659</v>
      </c>
    </row>
    <row r="14237" spans="1:4">
      <c r="A14237" s="1">
        <v>38930</v>
      </c>
      <c r="B14237">
        <v>1270.92</v>
      </c>
      <c r="C14237">
        <f t="shared" si="464"/>
        <v>-4.4961070292795328E-3</v>
      </c>
      <c r="D14237">
        <f t="shared" si="463"/>
        <v>-0.50769087092635135</v>
      </c>
    </row>
    <row r="14238" spans="1:4">
      <c r="A14238" s="1">
        <v>38931</v>
      </c>
      <c r="B14238">
        <v>1277.4100000000001</v>
      </c>
      <c r="C14238">
        <f t="shared" si="464"/>
        <v>5.1065369968212072E-3</v>
      </c>
      <c r="D14238">
        <f t="shared" si="463"/>
        <v>0.506345074132588</v>
      </c>
    </row>
    <row r="14239" spans="1:4">
      <c r="A14239" s="1">
        <v>38932</v>
      </c>
      <c r="B14239">
        <v>1280.27</v>
      </c>
      <c r="C14239">
        <f t="shared" si="464"/>
        <v>2.2389052849123617E-3</v>
      </c>
      <c r="D14239">
        <f t="shared" si="463"/>
        <v>0.2035241401103938</v>
      </c>
    </row>
    <row r="14240" spans="1:4">
      <c r="A14240" s="1">
        <v>38933</v>
      </c>
      <c r="B14240">
        <v>1279.3599999999999</v>
      </c>
      <c r="C14240">
        <f t="shared" si="464"/>
        <v>-7.107875682473868E-4</v>
      </c>
      <c r="D14240">
        <f t="shared" si="463"/>
        <v>-0.10796242253395866</v>
      </c>
    </row>
    <row r="14241" spans="1:4">
      <c r="A14241" s="1">
        <v>38936</v>
      </c>
      <c r="B14241">
        <v>1275.77</v>
      </c>
      <c r="C14241">
        <f t="shared" si="464"/>
        <v>-2.8060905452725726E-3</v>
      </c>
      <c r="D14241">
        <f t="shared" si="463"/>
        <v>-0.329225704679731</v>
      </c>
    </row>
    <row r="14242" spans="1:4">
      <c r="A14242" s="1">
        <v>38937</v>
      </c>
      <c r="B14242">
        <v>1271.48</v>
      </c>
      <c r="C14242">
        <f t="shared" si="464"/>
        <v>-3.3626750903375715E-3</v>
      </c>
      <c r="D14242">
        <f t="shared" si="463"/>
        <v>-0.38800084344631564</v>
      </c>
    </row>
    <row r="14243" spans="1:4">
      <c r="A14243" s="1">
        <v>38938</v>
      </c>
      <c r="B14243">
        <v>1265.95</v>
      </c>
      <c r="C14243">
        <f t="shared" si="464"/>
        <v>-4.3492622770314694E-3</v>
      </c>
      <c r="D14243">
        <f t="shared" si="463"/>
        <v>-0.49218411500391235</v>
      </c>
    </row>
    <row r="14244" spans="1:4">
      <c r="A14244" s="1">
        <v>38939</v>
      </c>
      <c r="B14244">
        <v>1271.81</v>
      </c>
      <c r="C14244">
        <f t="shared" si="464"/>
        <v>4.6289347920533191E-3</v>
      </c>
      <c r="D14244">
        <f t="shared" si="463"/>
        <v>0.45591044365397637</v>
      </c>
    </row>
    <row r="14245" spans="1:4">
      <c r="A14245" s="1">
        <v>38940</v>
      </c>
      <c r="B14245">
        <v>1266.74</v>
      </c>
      <c r="C14245">
        <f t="shared" si="464"/>
        <v>-3.9864445160833276E-3</v>
      </c>
      <c r="D14245">
        <f t="shared" si="463"/>
        <v>-0.45387068277553771</v>
      </c>
    </row>
    <row r="14246" spans="1:4">
      <c r="A14246" s="1">
        <v>38943</v>
      </c>
      <c r="B14246">
        <v>1268.21</v>
      </c>
      <c r="C14246">
        <f t="shared" si="464"/>
        <v>1.1604591313134718E-3</v>
      </c>
      <c r="D14246">
        <f t="shared" si="463"/>
        <v>8.9640592872009914E-2</v>
      </c>
    </row>
    <row r="14247" spans="1:4">
      <c r="A14247" s="1">
        <v>38944</v>
      </c>
      <c r="B14247">
        <v>1285.58</v>
      </c>
      <c r="C14247">
        <f t="shared" si="464"/>
        <v>1.3696469827552132E-2</v>
      </c>
      <c r="D14247">
        <f t="shared" si="463"/>
        <v>1.4134390611977359</v>
      </c>
    </row>
    <row r="14248" spans="1:4">
      <c r="A14248" s="1">
        <v>38945</v>
      </c>
      <c r="B14248">
        <v>1295.43</v>
      </c>
      <c r="C14248">
        <f t="shared" si="464"/>
        <v>7.6619113551860928E-3</v>
      </c>
      <c r="D14248">
        <f t="shared" si="463"/>
        <v>0.7761917377619717</v>
      </c>
    </row>
    <row r="14249" spans="1:4">
      <c r="A14249" s="1">
        <v>38946</v>
      </c>
      <c r="B14249">
        <v>1297.48</v>
      </c>
      <c r="C14249">
        <f t="shared" si="464"/>
        <v>1.5824861242984603E-3</v>
      </c>
      <c r="D14249">
        <f t="shared" si="463"/>
        <v>0.13420649987727973</v>
      </c>
    </row>
    <row r="14250" spans="1:4">
      <c r="A14250" s="1">
        <v>38947</v>
      </c>
      <c r="B14250">
        <v>1302.3</v>
      </c>
      <c r="C14250">
        <f t="shared" si="464"/>
        <v>3.7148934858340292E-3</v>
      </c>
      <c r="D14250">
        <f t="shared" si="463"/>
        <v>0.35938799241495539</v>
      </c>
    </row>
    <row r="14251" spans="1:4">
      <c r="A14251" s="1">
        <v>38950</v>
      </c>
      <c r="B14251">
        <v>1297.52</v>
      </c>
      <c r="C14251">
        <f t="shared" si="464"/>
        <v>-3.6704292405743476E-3</v>
      </c>
      <c r="D14251">
        <f t="shared" si="463"/>
        <v>-0.42049957710060076</v>
      </c>
    </row>
    <row r="14252" spans="1:4">
      <c r="A14252" s="1">
        <v>38951</v>
      </c>
      <c r="B14252">
        <v>1298.82</v>
      </c>
      <c r="C14252">
        <f t="shared" si="464"/>
        <v>1.0019113385535132E-3</v>
      </c>
      <c r="D14252">
        <f t="shared" si="463"/>
        <v>7.2897999849571571E-2</v>
      </c>
    </row>
    <row r="14253" spans="1:4">
      <c r="A14253" s="1">
        <v>38952</v>
      </c>
      <c r="B14253">
        <v>1292.99</v>
      </c>
      <c r="C14253">
        <f t="shared" si="464"/>
        <v>-4.4886897337582787E-3</v>
      </c>
      <c r="D14253">
        <f t="shared" si="463"/>
        <v>-0.50690760704056814</v>
      </c>
    </row>
    <row r="14254" spans="1:4">
      <c r="A14254" s="1">
        <v>38953</v>
      </c>
      <c r="B14254">
        <v>1296.06</v>
      </c>
      <c r="C14254">
        <f t="shared" si="464"/>
        <v>2.3743416422400301E-3</v>
      </c>
      <c r="D14254">
        <f t="shared" si="463"/>
        <v>0.21782617340714089</v>
      </c>
    </row>
    <row r="14255" spans="1:4">
      <c r="A14255" s="1">
        <v>38954</v>
      </c>
      <c r="B14255">
        <v>1295.0899999999999</v>
      </c>
      <c r="C14255">
        <f t="shared" si="464"/>
        <v>-7.4842214095028573E-4</v>
      </c>
      <c r="D14255">
        <f t="shared" si="463"/>
        <v>-0.11193662061877195</v>
      </c>
    </row>
    <row r="14256" spans="1:4">
      <c r="A14256" s="1">
        <v>38957</v>
      </c>
      <c r="B14256">
        <v>1301.78</v>
      </c>
      <c r="C14256">
        <f t="shared" si="464"/>
        <v>5.1656641623362507E-3</v>
      </c>
      <c r="D14256">
        <f t="shared" si="463"/>
        <v>0.51258888271267655</v>
      </c>
    </row>
    <row r="14257" spans="1:4">
      <c r="A14257" s="1">
        <v>38958</v>
      </c>
      <c r="B14257">
        <v>1304.28</v>
      </c>
      <c r="C14257">
        <f t="shared" si="464"/>
        <v>1.9204473874233742E-3</v>
      </c>
      <c r="D14257">
        <f t="shared" si="463"/>
        <v>0.16989509438465561</v>
      </c>
    </row>
    <row r="14258" spans="1:4">
      <c r="A14258" s="1">
        <v>38959</v>
      </c>
      <c r="B14258">
        <v>1305.3699999999999</v>
      </c>
      <c r="C14258">
        <f t="shared" si="464"/>
        <v>8.3571012359303081E-4</v>
      </c>
      <c r="D14258">
        <f t="shared" si="463"/>
        <v>5.534720804428251E-2</v>
      </c>
    </row>
    <row r="14259" spans="1:4">
      <c r="A14259" s="1">
        <v>38960</v>
      </c>
      <c r="B14259">
        <v>1303.82</v>
      </c>
      <c r="C14259">
        <f t="shared" si="464"/>
        <v>-1.1874028053348511E-3</v>
      </c>
      <c r="D14259">
        <f t="shared" si="463"/>
        <v>-0.15829282956100416</v>
      </c>
    </row>
    <row r="14260" spans="1:4">
      <c r="A14260" s="1">
        <v>38961</v>
      </c>
      <c r="B14260">
        <v>1311.01</v>
      </c>
      <c r="C14260">
        <f t="shared" si="464"/>
        <v>5.5145648939271177E-3</v>
      </c>
      <c r="D14260">
        <f t="shared" si="463"/>
        <v>0.5494326813715511</v>
      </c>
    </row>
    <row r="14261" spans="1:4">
      <c r="A14261" s="1">
        <v>38965</v>
      </c>
      <c r="B14261">
        <v>1313.25</v>
      </c>
      <c r="C14261">
        <f t="shared" si="464"/>
        <v>1.7086063416755089E-3</v>
      </c>
      <c r="D14261">
        <f t="shared" si="463"/>
        <v>0.14752475196195119</v>
      </c>
    </row>
    <row r="14262" spans="1:4">
      <c r="A14262" s="1">
        <v>38966</v>
      </c>
      <c r="B14262">
        <v>1300.26</v>
      </c>
      <c r="C14262">
        <f t="shared" si="464"/>
        <v>-9.8914905768132562E-3</v>
      </c>
      <c r="D14262">
        <f t="shared" si="463"/>
        <v>-1.077441539565936</v>
      </c>
    </row>
    <row r="14263" spans="1:4">
      <c r="A14263" s="1">
        <v>38967</v>
      </c>
      <c r="B14263">
        <v>1294.02</v>
      </c>
      <c r="C14263">
        <f t="shared" si="464"/>
        <v>-4.7990401919616151E-3</v>
      </c>
      <c r="D14263">
        <f t="shared" si="463"/>
        <v>-0.53968050993359407</v>
      </c>
    </row>
    <row r="14264" spans="1:4">
      <c r="A14264" s="1">
        <v>38968</v>
      </c>
      <c r="B14264">
        <v>1298.92</v>
      </c>
      <c r="C14264">
        <f t="shared" si="464"/>
        <v>3.7866493562696796E-3</v>
      </c>
      <c r="D14264">
        <f t="shared" si="463"/>
        <v>0.36696538794195466</v>
      </c>
    </row>
    <row r="14265" spans="1:4">
      <c r="A14265" s="1">
        <v>38971</v>
      </c>
      <c r="B14265">
        <v>1299.54</v>
      </c>
      <c r="C14265">
        <f t="shared" si="464"/>
        <v>4.7731961937601302E-4</v>
      </c>
      <c r="D14265">
        <f t="shared" si="463"/>
        <v>1.7501292621816888E-2</v>
      </c>
    </row>
    <row r="14266" spans="1:4">
      <c r="A14266" s="1">
        <v>38972</v>
      </c>
      <c r="B14266">
        <v>1313</v>
      </c>
      <c r="C14266">
        <f t="shared" si="464"/>
        <v>1.0357511119319172E-2</v>
      </c>
      <c r="D14266">
        <f t="shared" si="463"/>
        <v>1.0608461565755456</v>
      </c>
    </row>
    <row r="14267" spans="1:4">
      <c r="A14267" s="1">
        <v>38973</v>
      </c>
      <c r="B14267">
        <v>1318.07</v>
      </c>
      <c r="C14267">
        <f t="shared" si="464"/>
        <v>3.8613861386138128E-3</v>
      </c>
      <c r="D14267">
        <f t="shared" si="463"/>
        <v>0.37485756675322845</v>
      </c>
    </row>
    <row r="14268" spans="1:4">
      <c r="A14268" s="1">
        <v>38974</v>
      </c>
      <c r="B14268">
        <v>1316.28</v>
      </c>
      <c r="C14268">
        <f t="shared" si="464"/>
        <v>-1.3580462342667413E-3</v>
      </c>
      <c r="D14268">
        <f t="shared" si="463"/>
        <v>-0.17631271765169199</v>
      </c>
    </row>
    <row r="14269" spans="1:4">
      <c r="A14269" s="1">
        <v>38975</v>
      </c>
      <c r="B14269">
        <v>1319.66</v>
      </c>
      <c r="C14269">
        <f t="shared" si="464"/>
        <v>2.5678427082384517E-3</v>
      </c>
      <c r="D14269">
        <f t="shared" si="463"/>
        <v>0.23825982020236608</v>
      </c>
    </row>
    <row r="14270" spans="1:4">
      <c r="A14270" s="1">
        <v>38978</v>
      </c>
      <c r="B14270">
        <v>1321.18</v>
      </c>
      <c r="C14270">
        <f t="shared" si="464"/>
        <v>1.151811830319917E-3</v>
      </c>
      <c r="D14270">
        <f t="shared" si="463"/>
        <v>8.872744082645094E-2</v>
      </c>
    </row>
    <row r="14271" spans="1:4">
      <c r="A14271" s="1">
        <v>38979</v>
      </c>
      <c r="B14271">
        <v>1317.64</v>
      </c>
      <c r="C14271">
        <f t="shared" si="464"/>
        <v>-2.6794229400989747E-3</v>
      </c>
      <c r="D14271">
        <f t="shared" si="463"/>
        <v>-0.31584964862981008</v>
      </c>
    </row>
    <row r="14272" spans="1:4">
      <c r="A14272" s="1">
        <v>38980</v>
      </c>
      <c r="B14272">
        <v>1325.18</v>
      </c>
      <c r="C14272">
        <f t="shared" si="464"/>
        <v>5.7223520840289938E-3</v>
      </c>
      <c r="D14272">
        <f t="shared" si="463"/>
        <v>0.57137493801601158</v>
      </c>
    </row>
    <row r="14273" spans="1:4">
      <c r="A14273" s="1">
        <v>38981</v>
      </c>
      <c r="B14273">
        <v>1318.03</v>
      </c>
      <c r="C14273">
        <f t="shared" si="464"/>
        <v>-5.3954934424003459E-3</v>
      </c>
      <c r="D14273">
        <f t="shared" si="463"/>
        <v>-0.60266577043561342</v>
      </c>
    </row>
    <row r="14274" spans="1:4">
      <c r="A14274" s="1">
        <v>38982</v>
      </c>
      <c r="B14274">
        <v>1314.78</v>
      </c>
      <c r="C14274">
        <f t="shared" si="464"/>
        <v>-2.4658012336593251E-3</v>
      </c>
      <c r="D14274">
        <f t="shared" si="463"/>
        <v>-0.29329126904332919</v>
      </c>
    </row>
    <row r="14275" spans="1:4">
      <c r="A14275" s="1">
        <v>38985</v>
      </c>
      <c r="B14275">
        <v>1326.37</v>
      </c>
      <c r="C14275">
        <f t="shared" si="464"/>
        <v>8.8151629930482041E-3</v>
      </c>
      <c r="D14275">
        <f t="shared" ref="D14275:D14338" si="465">(C14275-avg)/sd</f>
        <v>0.89797471871093237</v>
      </c>
    </row>
    <row r="14276" spans="1:4">
      <c r="A14276" s="1">
        <v>38986</v>
      </c>
      <c r="B14276">
        <v>1336.35</v>
      </c>
      <c r="C14276">
        <f t="shared" ref="C14276:C14339" si="466">(B14276-B14275)/B14275</f>
        <v>7.5242956339483091E-3</v>
      </c>
      <c r="D14276">
        <f t="shared" si="465"/>
        <v>0.76165956437711824</v>
      </c>
    </row>
    <row r="14277" spans="1:4">
      <c r="A14277" s="1">
        <v>38987</v>
      </c>
      <c r="B14277">
        <v>1336.59</v>
      </c>
      <c r="C14277">
        <f t="shared" si="466"/>
        <v>1.7959366932316316E-4</v>
      </c>
      <c r="D14277">
        <f t="shared" si="465"/>
        <v>-1.3938466501796485E-2</v>
      </c>
    </row>
    <row r="14278" spans="1:4">
      <c r="A14278" s="1">
        <v>38988</v>
      </c>
      <c r="B14278">
        <v>1338.88</v>
      </c>
      <c r="C14278">
        <f t="shared" si="466"/>
        <v>1.7133152275568358E-3</v>
      </c>
      <c r="D14278">
        <f t="shared" si="465"/>
        <v>0.14802200871039123</v>
      </c>
    </row>
    <row r="14279" spans="1:4">
      <c r="A14279" s="1">
        <v>38989</v>
      </c>
      <c r="B14279">
        <v>1335.85</v>
      </c>
      <c r="C14279">
        <f t="shared" si="466"/>
        <v>-2.2630855640536868E-3</v>
      </c>
      <c r="D14279">
        <f t="shared" si="465"/>
        <v>-0.27188456323937787</v>
      </c>
    </row>
    <row r="14280" spans="1:4">
      <c r="A14280" s="1">
        <v>38992</v>
      </c>
      <c r="B14280">
        <v>1331.32</v>
      </c>
      <c r="C14280">
        <f t="shared" si="466"/>
        <v>-3.3910993000710954E-3</v>
      </c>
      <c r="D14280">
        <f t="shared" si="465"/>
        <v>-0.39100243033231741</v>
      </c>
    </row>
    <row r="14281" spans="1:4">
      <c r="A14281" s="1">
        <v>38993</v>
      </c>
      <c r="B14281">
        <v>1334.11</v>
      </c>
      <c r="C14281">
        <f t="shared" si="466"/>
        <v>2.0956644533244926E-3</v>
      </c>
      <c r="D14281">
        <f t="shared" si="465"/>
        <v>0.18839795698463921</v>
      </c>
    </row>
    <row r="14282" spans="1:4">
      <c r="A14282" s="1">
        <v>38994</v>
      </c>
      <c r="B14282">
        <v>1350.2</v>
      </c>
      <c r="C14282">
        <f t="shared" si="466"/>
        <v>1.2060474773444579E-2</v>
      </c>
      <c r="D14282">
        <f t="shared" si="465"/>
        <v>1.2406785395857167</v>
      </c>
    </row>
    <row r="14283" spans="1:4">
      <c r="A14283" s="1">
        <v>38995</v>
      </c>
      <c r="B14283">
        <v>1353.22</v>
      </c>
      <c r="C14283">
        <f t="shared" si="466"/>
        <v>2.2367056732335816E-3</v>
      </c>
      <c r="D14283">
        <f t="shared" si="465"/>
        <v>0.20329186186479895</v>
      </c>
    </row>
    <row r="14284" spans="1:4">
      <c r="A14284" s="1">
        <v>38996</v>
      </c>
      <c r="B14284">
        <v>1349.59</v>
      </c>
      <c r="C14284">
        <f t="shared" si="466"/>
        <v>-2.6824906519265965E-3</v>
      </c>
      <c r="D14284">
        <f t="shared" si="465"/>
        <v>-0.316173597956041</v>
      </c>
    </row>
    <row r="14285" spans="1:4">
      <c r="A14285" s="1">
        <v>38999</v>
      </c>
      <c r="B14285">
        <v>1350.66</v>
      </c>
      <c r="C14285">
        <f t="shared" si="466"/>
        <v>7.9283337902634411E-4</v>
      </c>
      <c r="D14285">
        <f t="shared" si="465"/>
        <v>5.0819438392554019E-2</v>
      </c>
    </row>
    <row r="14286" spans="1:4">
      <c r="A14286" s="1">
        <v>39000</v>
      </c>
      <c r="B14286">
        <v>1353.42</v>
      </c>
      <c r="C14286">
        <f t="shared" si="466"/>
        <v>2.0434454266802828E-3</v>
      </c>
      <c r="D14286">
        <f t="shared" si="465"/>
        <v>0.18288364552112021</v>
      </c>
    </row>
    <row r="14287" spans="1:4">
      <c r="A14287" s="1">
        <v>39001</v>
      </c>
      <c r="B14287">
        <v>1349.95</v>
      </c>
      <c r="C14287">
        <f t="shared" si="466"/>
        <v>-2.5638752198135295E-3</v>
      </c>
      <c r="D14287">
        <f t="shared" si="465"/>
        <v>-0.30364784864424554</v>
      </c>
    </row>
    <row r="14288" spans="1:4">
      <c r="A14288" s="1">
        <v>39002</v>
      </c>
      <c r="B14288">
        <v>1362.83</v>
      </c>
      <c r="C14288">
        <f t="shared" si="466"/>
        <v>9.5410941145967487E-3</v>
      </c>
      <c r="D14288">
        <f t="shared" si="465"/>
        <v>0.97463279839048123</v>
      </c>
    </row>
    <row r="14289" spans="1:4">
      <c r="A14289" s="1">
        <v>39003</v>
      </c>
      <c r="B14289">
        <v>1365.62</v>
      </c>
      <c r="C14289">
        <f t="shared" si="466"/>
        <v>2.0472105838585616E-3</v>
      </c>
      <c r="D14289">
        <f t="shared" si="465"/>
        <v>0.18328124483930736</v>
      </c>
    </row>
    <row r="14290" spans="1:4">
      <c r="A14290" s="1">
        <v>39006</v>
      </c>
      <c r="B14290">
        <v>1369.06</v>
      </c>
      <c r="C14290">
        <f t="shared" si="466"/>
        <v>2.5190023579034103E-3</v>
      </c>
      <c r="D14290">
        <f t="shared" si="465"/>
        <v>0.2331022958086274</v>
      </c>
    </row>
    <row r="14291" spans="1:4">
      <c r="A14291" s="1">
        <v>39007</v>
      </c>
      <c r="B14291">
        <v>1364.05</v>
      </c>
      <c r="C14291">
        <f t="shared" si="466"/>
        <v>-3.6594451667567463E-3</v>
      </c>
      <c r="D14291">
        <f t="shared" si="465"/>
        <v>-0.4193396626391302</v>
      </c>
    </row>
    <row r="14292" spans="1:4">
      <c r="A14292" s="1">
        <v>39008</v>
      </c>
      <c r="B14292">
        <v>1365.8</v>
      </c>
      <c r="C14292">
        <f t="shared" si="466"/>
        <v>1.2829441736006745E-3</v>
      </c>
      <c r="D14292">
        <f t="shared" si="465"/>
        <v>0.10257497170284971</v>
      </c>
    </row>
    <row r="14293" spans="1:4">
      <c r="A14293" s="1">
        <v>39009</v>
      </c>
      <c r="B14293">
        <v>1366.96</v>
      </c>
      <c r="C14293">
        <f t="shared" si="466"/>
        <v>8.4931908039250392E-4</v>
      </c>
      <c r="D14293">
        <f t="shared" si="465"/>
        <v>5.6784309256397707E-2</v>
      </c>
    </row>
    <row r="14294" spans="1:4">
      <c r="A14294" s="1">
        <v>39010</v>
      </c>
      <c r="B14294">
        <v>1368.6</v>
      </c>
      <c r="C14294">
        <f t="shared" si="466"/>
        <v>1.1997424942938144E-3</v>
      </c>
      <c r="D14294">
        <f t="shared" si="465"/>
        <v>9.3788902649670214E-2</v>
      </c>
    </row>
    <row r="14295" spans="1:4">
      <c r="A14295" s="1">
        <v>39013</v>
      </c>
      <c r="B14295">
        <v>1377.02</v>
      </c>
      <c r="C14295">
        <f t="shared" si="466"/>
        <v>6.1522723951483805E-3</v>
      </c>
      <c r="D14295">
        <f t="shared" si="465"/>
        <v>0.61677437673320457</v>
      </c>
    </row>
    <row r="14296" spans="1:4">
      <c r="A14296" s="1">
        <v>39014</v>
      </c>
      <c r="B14296">
        <v>1377.38</v>
      </c>
      <c r="C14296">
        <f t="shared" si="466"/>
        <v>2.6143411134197568E-4</v>
      </c>
      <c r="D14296">
        <f t="shared" si="465"/>
        <v>-5.2961436435277768E-3</v>
      </c>
    </row>
    <row r="14297" spans="1:4">
      <c r="A14297" s="1">
        <v>39015</v>
      </c>
      <c r="B14297">
        <v>1382.22</v>
      </c>
      <c r="C14297">
        <f t="shared" si="466"/>
        <v>3.5139177278600804E-3</v>
      </c>
      <c r="D14297">
        <f t="shared" si="465"/>
        <v>0.33816502068788584</v>
      </c>
    </row>
    <row r="14298" spans="1:4">
      <c r="A14298" s="1">
        <v>39016</v>
      </c>
      <c r="B14298">
        <v>1389.08</v>
      </c>
      <c r="C14298">
        <f t="shared" si="466"/>
        <v>4.9630304871872057E-3</v>
      </c>
      <c r="D14298">
        <f t="shared" si="465"/>
        <v>0.49119083549547021</v>
      </c>
    </row>
    <row r="14299" spans="1:4">
      <c r="A14299" s="1">
        <v>39017</v>
      </c>
      <c r="B14299">
        <v>1377.34</v>
      </c>
      <c r="C14299">
        <f t="shared" si="466"/>
        <v>-8.4516370547412754E-3</v>
      </c>
      <c r="D14299">
        <f t="shared" si="465"/>
        <v>-0.9253934970651273</v>
      </c>
    </row>
    <row r="14300" spans="1:4">
      <c r="A14300" s="1">
        <v>39020</v>
      </c>
      <c r="B14300">
        <v>1377.93</v>
      </c>
      <c r="C14300">
        <f t="shared" si="466"/>
        <v>4.2836191499567687E-4</v>
      </c>
      <c r="D14300">
        <f t="shared" si="465"/>
        <v>1.2331375680785678E-2</v>
      </c>
    </row>
    <row r="14301" spans="1:4">
      <c r="A14301" s="1">
        <v>39021</v>
      </c>
      <c r="B14301">
        <v>1377.94</v>
      </c>
      <c r="C14301">
        <f t="shared" si="466"/>
        <v>7.2572627056460808E-6</v>
      </c>
      <c r="D14301">
        <f t="shared" si="465"/>
        <v>-3.2137132460615427E-2</v>
      </c>
    </row>
    <row r="14302" spans="1:4">
      <c r="A14302" s="1">
        <v>39022</v>
      </c>
      <c r="B14302">
        <v>1367.81</v>
      </c>
      <c r="C14302">
        <f t="shared" si="466"/>
        <v>-7.3515537686692518E-3</v>
      </c>
      <c r="D14302">
        <f t="shared" si="465"/>
        <v>-0.80922507599239923</v>
      </c>
    </row>
    <row r="14303" spans="1:4">
      <c r="A14303" s="1">
        <v>39023</v>
      </c>
      <c r="B14303">
        <v>1367.34</v>
      </c>
      <c r="C14303">
        <f t="shared" si="466"/>
        <v>-3.4361497576419775E-4</v>
      </c>
      <c r="D14303">
        <f t="shared" si="465"/>
        <v>-6.918912157576218E-2</v>
      </c>
    </row>
    <row r="14304" spans="1:4">
      <c r="A14304" s="1">
        <v>39024</v>
      </c>
      <c r="B14304">
        <v>1364.3</v>
      </c>
      <c r="C14304">
        <f t="shared" si="466"/>
        <v>-2.2232948644813752E-3</v>
      </c>
      <c r="D14304">
        <f t="shared" si="465"/>
        <v>-0.2676826788900577</v>
      </c>
    </row>
    <row r="14305" spans="1:4">
      <c r="A14305" s="1">
        <v>39027</v>
      </c>
      <c r="B14305">
        <v>1379.78</v>
      </c>
      <c r="C14305">
        <f t="shared" si="466"/>
        <v>1.1346478047350303E-2</v>
      </c>
      <c r="D14305">
        <f t="shared" si="465"/>
        <v>1.1652807280094406</v>
      </c>
    </row>
    <row r="14306" spans="1:4">
      <c r="A14306" s="1">
        <v>39028</v>
      </c>
      <c r="B14306">
        <v>1382.84</v>
      </c>
      <c r="C14306">
        <f t="shared" si="466"/>
        <v>2.2177448578758539E-3</v>
      </c>
      <c r="D14306">
        <f t="shared" si="465"/>
        <v>0.2012896062081172</v>
      </c>
    </row>
    <row r="14307" spans="1:4">
      <c r="A14307" s="1">
        <v>39029</v>
      </c>
      <c r="B14307">
        <v>1385.72</v>
      </c>
      <c r="C14307">
        <f t="shared" si="466"/>
        <v>2.082670446327926E-3</v>
      </c>
      <c r="D14307">
        <f t="shared" si="465"/>
        <v>0.18702579426267935</v>
      </c>
    </row>
    <row r="14308" spans="1:4">
      <c r="A14308" s="1">
        <v>39030</v>
      </c>
      <c r="B14308">
        <v>1378.33</v>
      </c>
      <c r="C14308">
        <f t="shared" si="466"/>
        <v>-5.3329676991023438E-3</v>
      </c>
      <c r="D14308">
        <f t="shared" si="465"/>
        <v>-0.59606307319687712</v>
      </c>
    </row>
    <row r="14309" spans="1:4">
      <c r="A14309" s="1">
        <v>39031</v>
      </c>
      <c r="B14309">
        <v>1380.9</v>
      </c>
      <c r="C14309">
        <f t="shared" si="466"/>
        <v>1.8645752468568224E-3</v>
      </c>
      <c r="D14309">
        <f t="shared" si="465"/>
        <v>0.16399501533269109</v>
      </c>
    </row>
    <row r="14310" spans="1:4">
      <c r="A14310" s="1">
        <v>39034</v>
      </c>
      <c r="B14310">
        <v>1384.42</v>
      </c>
      <c r="C14310">
        <f t="shared" si="466"/>
        <v>2.5490622058077931E-3</v>
      </c>
      <c r="D14310">
        <f t="shared" si="465"/>
        <v>0.23627660552949148</v>
      </c>
    </row>
    <row r="14311" spans="1:4">
      <c r="A14311" s="1">
        <v>39035</v>
      </c>
      <c r="B14311">
        <v>1393.22</v>
      </c>
      <c r="C14311">
        <f t="shared" si="466"/>
        <v>6.3564525216335752E-3</v>
      </c>
      <c r="D14311">
        <f t="shared" si="465"/>
        <v>0.63833572868584398</v>
      </c>
    </row>
    <row r="14312" spans="1:4">
      <c r="A14312" s="1">
        <v>39036</v>
      </c>
      <c r="B14312">
        <v>1396.57</v>
      </c>
      <c r="C14312">
        <f t="shared" si="466"/>
        <v>2.4045018015818815E-3</v>
      </c>
      <c r="D14312">
        <f t="shared" si="465"/>
        <v>0.22101107598170411</v>
      </c>
    </row>
    <row r="14313" spans="1:4">
      <c r="A14313" s="1">
        <v>39037</v>
      </c>
      <c r="B14313">
        <v>1399.76</v>
      </c>
      <c r="C14313">
        <f t="shared" si="466"/>
        <v>2.2841676392877227E-3</v>
      </c>
      <c r="D14313">
        <f t="shared" si="465"/>
        <v>0.20830382934701011</v>
      </c>
    </row>
    <row r="14314" spans="1:4">
      <c r="A14314" s="1">
        <v>39038</v>
      </c>
      <c r="B14314">
        <v>1401.2</v>
      </c>
      <c r="C14314">
        <f t="shared" si="466"/>
        <v>1.0287477853346677E-3</v>
      </c>
      <c r="D14314">
        <f t="shared" si="465"/>
        <v>7.5731919507510001E-2</v>
      </c>
    </row>
    <row r="14315" spans="1:4">
      <c r="A14315" s="1">
        <v>39041</v>
      </c>
      <c r="B14315">
        <v>1400.5</v>
      </c>
      <c r="C14315">
        <f t="shared" si="466"/>
        <v>-4.9957179560380059E-4</v>
      </c>
      <c r="D14315">
        <f t="shared" si="465"/>
        <v>-8.5658108738525432E-2</v>
      </c>
    </row>
    <row r="14316" spans="1:4">
      <c r="A14316" s="1">
        <v>39042</v>
      </c>
      <c r="B14316">
        <v>1402.81</v>
      </c>
      <c r="C14316">
        <f t="shared" si="466"/>
        <v>1.6494109246697219E-3</v>
      </c>
      <c r="D14316">
        <f t="shared" si="465"/>
        <v>0.14127373604763999</v>
      </c>
    </row>
    <row r="14317" spans="1:4">
      <c r="A14317" s="1">
        <v>39043</v>
      </c>
      <c r="B14317">
        <v>1406.09</v>
      </c>
      <c r="C14317">
        <f t="shared" si="466"/>
        <v>2.3381641134579685E-3</v>
      </c>
      <c r="D14317">
        <f t="shared" si="465"/>
        <v>0.21400583866509471</v>
      </c>
    </row>
    <row r="14318" spans="1:4">
      <c r="A14318" s="1">
        <v>39045</v>
      </c>
      <c r="B14318">
        <v>1400.95</v>
      </c>
      <c r="C14318">
        <f t="shared" si="466"/>
        <v>-3.6555270288529704E-3</v>
      </c>
      <c r="D14318">
        <f t="shared" si="465"/>
        <v>-0.41892590860833118</v>
      </c>
    </row>
    <row r="14319" spans="1:4">
      <c r="A14319" s="1">
        <v>39048</v>
      </c>
      <c r="B14319">
        <v>1381.96</v>
      </c>
      <c r="C14319">
        <f t="shared" si="466"/>
        <v>-1.3555087619115606E-2</v>
      </c>
      <c r="D14319">
        <f t="shared" si="465"/>
        <v>-1.4643161419159227</v>
      </c>
    </row>
    <row r="14320" spans="1:4">
      <c r="A14320" s="1">
        <v>39049</v>
      </c>
      <c r="B14320">
        <v>1386.72</v>
      </c>
      <c r="C14320">
        <f t="shared" si="466"/>
        <v>3.4443833396046127E-3</v>
      </c>
      <c r="D14320">
        <f t="shared" si="465"/>
        <v>0.33082221292399538</v>
      </c>
    </row>
    <row r="14321" spans="1:4">
      <c r="A14321" s="1">
        <v>39050</v>
      </c>
      <c r="B14321">
        <v>1399.48</v>
      </c>
      <c r="C14321">
        <f t="shared" si="466"/>
        <v>9.2015691704165157E-3</v>
      </c>
      <c r="D14321">
        <f t="shared" si="465"/>
        <v>0.93877907969518459</v>
      </c>
    </row>
    <row r="14322" spans="1:4">
      <c r="A14322" s="1">
        <v>39051</v>
      </c>
      <c r="B14322">
        <v>1400.63</v>
      </c>
      <c r="C14322">
        <f t="shared" si="466"/>
        <v>8.217337868351752E-4</v>
      </c>
      <c r="D14322">
        <f t="shared" si="465"/>
        <v>5.3871311633440659E-2</v>
      </c>
    </row>
    <row r="14323" spans="1:4">
      <c r="A14323" s="1">
        <v>39052</v>
      </c>
      <c r="B14323">
        <v>1396.71</v>
      </c>
      <c r="C14323">
        <f t="shared" si="466"/>
        <v>-2.7987405667450165E-3</v>
      </c>
      <c r="D14323">
        <f t="shared" si="465"/>
        <v>-0.32844954944560018</v>
      </c>
    </row>
    <row r="14324" spans="1:4">
      <c r="A14324" s="1">
        <v>39055</v>
      </c>
      <c r="B14324">
        <v>1409.12</v>
      </c>
      <c r="C14324">
        <f t="shared" si="466"/>
        <v>8.8851658540426096E-3</v>
      </c>
      <c r="D14324">
        <f t="shared" si="465"/>
        <v>0.905366997036813</v>
      </c>
    </row>
    <row r="14325" spans="1:4">
      <c r="A14325" s="1">
        <v>39056</v>
      </c>
      <c r="B14325">
        <v>1414.76</v>
      </c>
      <c r="C14325">
        <f t="shared" si="466"/>
        <v>4.0024980129443203E-3</v>
      </c>
      <c r="D14325">
        <f t="shared" si="465"/>
        <v>0.38975893271627338</v>
      </c>
    </row>
    <row r="14326" spans="1:4">
      <c r="A14326" s="1">
        <v>39057</v>
      </c>
      <c r="B14326">
        <v>1412.9</v>
      </c>
      <c r="C14326">
        <f t="shared" si="466"/>
        <v>-1.3147106222962904E-3</v>
      </c>
      <c r="D14326">
        <f t="shared" si="465"/>
        <v>-0.17173649175810257</v>
      </c>
    </row>
    <row r="14327" spans="1:4">
      <c r="A14327" s="1">
        <v>39058</v>
      </c>
      <c r="B14327">
        <v>1407.29</v>
      </c>
      <c r="C14327">
        <f t="shared" si="466"/>
        <v>-3.970557010404223E-3</v>
      </c>
      <c r="D14327">
        <f t="shared" si="465"/>
        <v>-0.45219296757624983</v>
      </c>
    </row>
    <row r="14328" spans="1:4">
      <c r="A14328" s="1">
        <v>39059</v>
      </c>
      <c r="B14328">
        <v>1409.84</v>
      </c>
      <c r="C14328">
        <f t="shared" si="466"/>
        <v>1.8119932636485405E-3</v>
      </c>
      <c r="D14328">
        <f t="shared" si="465"/>
        <v>0.15844237577938106</v>
      </c>
    </row>
    <row r="14329" spans="1:4">
      <c r="A14329" s="1">
        <v>39062</v>
      </c>
      <c r="B14329">
        <v>1413.04</v>
      </c>
      <c r="C14329">
        <f t="shared" si="466"/>
        <v>2.2697611076434531E-3</v>
      </c>
      <c r="D14329">
        <f t="shared" si="465"/>
        <v>0.2067825045023933</v>
      </c>
    </row>
    <row r="14330" spans="1:4">
      <c r="A14330" s="1">
        <v>39063</v>
      </c>
      <c r="B14330">
        <v>1411.56</v>
      </c>
      <c r="C14330">
        <f t="shared" si="466"/>
        <v>-1.0473871935684895E-3</v>
      </c>
      <c r="D14330">
        <f t="shared" si="465"/>
        <v>-0.14350722855209527</v>
      </c>
    </row>
    <row r="14331" spans="1:4">
      <c r="A14331" s="1">
        <v>39064</v>
      </c>
      <c r="B14331">
        <v>1413.21</v>
      </c>
      <c r="C14331">
        <f t="shared" si="466"/>
        <v>1.1689194933265968E-3</v>
      </c>
      <c r="D14331">
        <f t="shared" si="465"/>
        <v>9.0534004224779141E-2</v>
      </c>
    </row>
    <row r="14332" spans="1:4">
      <c r="A14332" s="1">
        <v>39065</v>
      </c>
      <c r="B14332">
        <v>1425.49</v>
      </c>
      <c r="C14332">
        <f t="shared" si="466"/>
        <v>8.6894375216705032E-3</v>
      </c>
      <c r="D14332">
        <f t="shared" si="465"/>
        <v>0.8846981516696113</v>
      </c>
    </row>
    <row r="14333" spans="1:4">
      <c r="A14333" s="1">
        <v>39066</v>
      </c>
      <c r="B14333">
        <v>1427.09</v>
      </c>
      <c r="C14333">
        <f t="shared" si="466"/>
        <v>1.122421062231169E-3</v>
      </c>
      <c r="D14333">
        <f t="shared" si="465"/>
        <v>8.5623785706686634E-2</v>
      </c>
    </row>
    <row r="14334" spans="1:4">
      <c r="A14334" s="1">
        <v>39069</v>
      </c>
      <c r="B14334">
        <v>1422.48</v>
      </c>
      <c r="C14334">
        <f t="shared" si="466"/>
        <v>-3.2303498728180426E-3</v>
      </c>
      <c r="D14334">
        <f t="shared" si="465"/>
        <v>-0.37402734545578026</v>
      </c>
    </row>
    <row r="14335" spans="1:4">
      <c r="A14335" s="1">
        <v>39070</v>
      </c>
      <c r="B14335">
        <v>1425.55</v>
      </c>
      <c r="C14335">
        <f t="shared" si="466"/>
        <v>2.1582025757830945E-3</v>
      </c>
      <c r="D14335">
        <f t="shared" si="465"/>
        <v>0.19500196145852686</v>
      </c>
    </row>
    <row r="14336" spans="1:4">
      <c r="A14336" s="1">
        <v>39071</v>
      </c>
      <c r="B14336">
        <v>1423.53</v>
      </c>
      <c r="C14336">
        <f t="shared" si="466"/>
        <v>-1.4169969485461624E-3</v>
      </c>
      <c r="D14336">
        <f t="shared" si="465"/>
        <v>-0.18253789304127743</v>
      </c>
    </row>
    <row r="14337" spans="1:4">
      <c r="A14337" s="1">
        <v>39072</v>
      </c>
      <c r="B14337">
        <v>1418.3</v>
      </c>
      <c r="C14337">
        <f t="shared" si="466"/>
        <v>-3.6739654239812424E-3</v>
      </c>
      <c r="D14337">
        <f t="shared" si="465"/>
        <v>-0.4208729968663617</v>
      </c>
    </row>
    <row r="14338" spans="1:4">
      <c r="A14338" s="1">
        <v>39073</v>
      </c>
      <c r="B14338">
        <v>1410.76</v>
      </c>
      <c r="C14338">
        <f t="shared" si="466"/>
        <v>-5.3162236480293057E-3</v>
      </c>
      <c r="D14338">
        <f t="shared" si="465"/>
        <v>-0.59429490709514388</v>
      </c>
    </row>
    <row r="14339" spans="1:4">
      <c r="A14339" s="1">
        <v>39077</v>
      </c>
      <c r="B14339">
        <v>1416.9</v>
      </c>
      <c r="C14339">
        <f t="shared" si="466"/>
        <v>4.3522640278999261E-3</v>
      </c>
      <c r="D14339">
        <f t="shared" ref="D14339:D14402" si="467">(C14339-avg)/sd</f>
        <v>0.42669410500434024</v>
      </c>
    </row>
    <row r="14340" spans="1:4">
      <c r="A14340" s="1">
        <v>39078</v>
      </c>
      <c r="B14340">
        <v>1426.84</v>
      </c>
      <c r="C14340">
        <f t="shared" ref="C14340:C14403" si="468">(B14340-B14339)/B14339</f>
        <v>7.0153151245675961E-3</v>
      </c>
      <c r="D14340">
        <f t="shared" si="467"/>
        <v>0.70791139559739624</v>
      </c>
    </row>
    <row r="14341" spans="1:4">
      <c r="A14341" s="1">
        <v>39079</v>
      </c>
      <c r="B14341">
        <v>1424.73</v>
      </c>
      <c r="C14341">
        <f t="shared" si="468"/>
        <v>-1.4787922962630007E-3</v>
      </c>
      <c r="D14341">
        <f t="shared" si="467"/>
        <v>-0.18906346075491628</v>
      </c>
    </row>
    <row r="14342" spans="1:4">
      <c r="A14342" s="1">
        <v>39080</v>
      </c>
      <c r="B14342">
        <v>1418.3</v>
      </c>
      <c r="C14342">
        <f t="shared" si="468"/>
        <v>-4.5131358222260101E-3</v>
      </c>
      <c r="D14342">
        <f t="shared" si="467"/>
        <v>-0.50948910567313133</v>
      </c>
    </row>
    <row r="14343" spans="1:4">
      <c r="A14343" s="1">
        <v>39085</v>
      </c>
      <c r="B14343">
        <v>1416.6</v>
      </c>
      <c r="C14343">
        <f t="shared" si="468"/>
        <v>-1.1986180638793242E-3</v>
      </c>
      <c r="D14343">
        <f t="shared" si="467"/>
        <v>-0.1594771570510489</v>
      </c>
    </row>
    <row r="14344" spans="1:4">
      <c r="A14344" s="1">
        <v>39086</v>
      </c>
      <c r="B14344">
        <v>1418.34</v>
      </c>
      <c r="C14344">
        <f t="shared" si="468"/>
        <v>1.2282930961457074E-3</v>
      </c>
      <c r="D14344">
        <f t="shared" si="467"/>
        <v>9.680383650040901E-2</v>
      </c>
    </row>
    <row r="14345" spans="1:4">
      <c r="A14345" s="1">
        <v>39087</v>
      </c>
      <c r="B14345">
        <v>1409.71</v>
      </c>
      <c r="C14345">
        <f t="shared" si="468"/>
        <v>-6.0845777458154475E-3</v>
      </c>
      <c r="D14345">
        <f t="shared" si="467"/>
        <v>-0.67543283864511272</v>
      </c>
    </row>
    <row r="14346" spans="1:4">
      <c r="A14346" s="1">
        <v>39090</v>
      </c>
      <c r="B14346">
        <v>1412.84</v>
      </c>
      <c r="C14346">
        <f t="shared" si="468"/>
        <v>2.2203148165224631E-3</v>
      </c>
      <c r="D14346">
        <f t="shared" si="467"/>
        <v>0.20156099296762772</v>
      </c>
    </row>
    <row r="14347" spans="1:4">
      <c r="A14347" s="1">
        <v>39091</v>
      </c>
      <c r="B14347">
        <v>1412.11</v>
      </c>
      <c r="C14347">
        <f t="shared" si="468"/>
        <v>-5.1668978794486157E-4</v>
      </c>
      <c r="D14347">
        <f t="shared" si="467"/>
        <v>-8.7465762911053166E-2</v>
      </c>
    </row>
    <row r="14348" spans="1:4">
      <c r="A14348" s="1">
        <v>39092</v>
      </c>
      <c r="B14348">
        <v>1414.85</v>
      </c>
      <c r="C14348">
        <f t="shared" si="468"/>
        <v>1.9403587539214434E-3</v>
      </c>
      <c r="D14348">
        <f t="shared" si="467"/>
        <v>0.1719977279186494</v>
      </c>
    </row>
    <row r="14349" spans="1:4">
      <c r="A14349" s="1">
        <v>39093</v>
      </c>
      <c r="B14349">
        <v>1423.82</v>
      </c>
      <c r="C14349">
        <f t="shared" si="468"/>
        <v>6.3398946884828979E-3</v>
      </c>
      <c r="D14349">
        <f t="shared" si="467"/>
        <v>0.63658722713341342</v>
      </c>
    </row>
    <row r="14350" spans="1:4">
      <c r="A14350" s="1">
        <v>39094</v>
      </c>
      <c r="B14350">
        <v>1430.73</v>
      </c>
      <c r="C14350">
        <f t="shared" si="468"/>
        <v>4.8531415487913371E-3</v>
      </c>
      <c r="D14350">
        <f t="shared" si="467"/>
        <v>0.47958660095393152</v>
      </c>
    </row>
    <row r="14351" spans="1:4">
      <c r="A14351" s="1">
        <v>39098</v>
      </c>
      <c r="B14351">
        <v>1431.9</v>
      </c>
      <c r="C14351">
        <f t="shared" si="468"/>
        <v>8.1776435805502976E-4</v>
      </c>
      <c r="D14351">
        <f t="shared" si="467"/>
        <v>5.3452141303531701E-2</v>
      </c>
    </row>
    <row r="14352" spans="1:4">
      <c r="A14352" s="1">
        <v>39099</v>
      </c>
      <c r="B14352">
        <v>1430.62</v>
      </c>
      <c r="C14352">
        <f t="shared" si="468"/>
        <v>-8.939171729870801E-4</v>
      </c>
      <c r="D14352">
        <f t="shared" si="467"/>
        <v>-0.1273008465456931</v>
      </c>
    </row>
    <row r="14353" spans="1:4">
      <c r="A14353" s="1">
        <v>39100</v>
      </c>
      <c r="B14353">
        <v>1426.37</v>
      </c>
      <c r="C14353">
        <f t="shared" si="468"/>
        <v>-2.970739958898939E-3</v>
      </c>
      <c r="D14353">
        <f t="shared" si="467"/>
        <v>-0.3466126267916203</v>
      </c>
    </row>
    <row r="14354" spans="1:4">
      <c r="A14354" s="1">
        <v>39101</v>
      </c>
      <c r="B14354">
        <v>1430.5</v>
      </c>
      <c r="C14354">
        <f t="shared" si="468"/>
        <v>2.8954619067984529E-3</v>
      </c>
      <c r="D14354">
        <f t="shared" si="467"/>
        <v>0.27285629620712576</v>
      </c>
    </row>
    <row r="14355" spans="1:4">
      <c r="A14355" s="1">
        <v>39104</v>
      </c>
      <c r="B14355">
        <v>1422.95</v>
      </c>
      <c r="C14355">
        <f t="shared" si="468"/>
        <v>-5.2778748689269166E-3</v>
      </c>
      <c r="D14355">
        <f t="shared" si="467"/>
        <v>-0.59024528905731488</v>
      </c>
    </row>
    <row r="14356" spans="1:4">
      <c r="A14356" s="1">
        <v>39105</v>
      </c>
      <c r="B14356">
        <v>1427.99</v>
      </c>
      <c r="C14356">
        <f t="shared" si="468"/>
        <v>3.5419375241575344E-3</v>
      </c>
      <c r="D14356">
        <f t="shared" si="467"/>
        <v>0.34112390165250545</v>
      </c>
    </row>
    <row r="14357" spans="1:4">
      <c r="A14357" s="1">
        <v>39106</v>
      </c>
      <c r="B14357">
        <v>1440.13</v>
      </c>
      <c r="C14357">
        <f t="shared" si="468"/>
        <v>8.5014600942584333E-3</v>
      </c>
      <c r="D14357">
        <f t="shared" si="467"/>
        <v>0.86484779923152888</v>
      </c>
    </row>
    <row r="14358" spans="1:4">
      <c r="A14358" s="1">
        <v>39107</v>
      </c>
      <c r="B14358">
        <v>1423.9</v>
      </c>
      <c r="C14358">
        <f t="shared" si="468"/>
        <v>-1.1269815919396178E-2</v>
      </c>
      <c r="D14358">
        <f t="shared" si="467"/>
        <v>-1.2229922272271447</v>
      </c>
    </row>
    <row r="14359" spans="1:4">
      <c r="A14359" s="1">
        <v>39108</v>
      </c>
      <c r="B14359">
        <v>1422.18</v>
      </c>
      <c r="C14359">
        <f t="shared" si="468"/>
        <v>-1.2079499964885365E-3</v>
      </c>
      <c r="D14359">
        <f t="shared" si="467"/>
        <v>-0.1604626059625037</v>
      </c>
    </row>
    <row r="14360" spans="1:4">
      <c r="A14360" s="1">
        <v>39111</v>
      </c>
      <c r="B14360">
        <v>1420.62</v>
      </c>
      <c r="C14360">
        <f t="shared" si="468"/>
        <v>-1.0969075644434408E-3</v>
      </c>
      <c r="D14360">
        <f t="shared" si="467"/>
        <v>-0.14873656288369819</v>
      </c>
    </row>
    <row r="14361" spans="1:4">
      <c r="A14361" s="1">
        <v>39112</v>
      </c>
      <c r="B14361">
        <v>1428.82</v>
      </c>
      <c r="C14361">
        <f t="shared" si="468"/>
        <v>5.7721276625698967E-3</v>
      </c>
      <c r="D14361">
        <f t="shared" si="467"/>
        <v>0.57663122219038965</v>
      </c>
    </row>
    <row r="14362" spans="1:4">
      <c r="A14362" s="1">
        <v>39113</v>
      </c>
      <c r="B14362">
        <v>1438.24</v>
      </c>
      <c r="C14362">
        <f t="shared" si="468"/>
        <v>6.5928528436052635E-3</v>
      </c>
      <c r="D14362">
        <f t="shared" si="467"/>
        <v>0.66329952232968048</v>
      </c>
    </row>
    <row r="14363" spans="1:4">
      <c r="A14363" s="1">
        <v>39114</v>
      </c>
      <c r="B14363">
        <v>1445.94</v>
      </c>
      <c r="C14363">
        <f t="shared" si="468"/>
        <v>5.3537657136500487E-3</v>
      </c>
      <c r="D14363">
        <f t="shared" si="467"/>
        <v>0.53245234259258967</v>
      </c>
    </row>
    <row r="14364" spans="1:4">
      <c r="A14364" s="1">
        <v>39115</v>
      </c>
      <c r="B14364">
        <v>1448.39</v>
      </c>
      <c r="C14364">
        <f t="shared" si="468"/>
        <v>1.6943994909885925E-3</v>
      </c>
      <c r="D14364">
        <f t="shared" si="467"/>
        <v>0.14602451335855601</v>
      </c>
    </row>
    <row r="14365" spans="1:4">
      <c r="A14365" s="1">
        <v>39118</v>
      </c>
      <c r="B14365">
        <v>1446.99</v>
      </c>
      <c r="C14365">
        <f t="shared" si="468"/>
        <v>-9.6659049013048343E-4</v>
      </c>
      <c r="D14365">
        <f t="shared" si="467"/>
        <v>-0.13497512413317575</v>
      </c>
    </row>
    <row r="14366" spans="1:4">
      <c r="A14366" s="1">
        <v>39119</v>
      </c>
      <c r="B14366">
        <v>1448</v>
      </c>
      <c r="C14366">
        <f t="shared" si="468"/>
        <v>6.9800067726797765E-4</v>
      </c>
      <c r="D14366">
        <f t="shared" si="467"/>
        <v>4.0805137322072076E-2</v>
      </c>
    </row>
    <row r="14367" spans="1:4">
      <c r="A14367" s="1">
        <v>39120</v>
      </c>
      <c r="B14367">
        <v>1450.02</v>
      </c>
      <c r="C14367">
        <f t="shared" si="468"/>
        <v>1.3950276243093797E-3</v>
      </c>
      <c r="D14367">
        <f t="shared" si="467"/>
        <v>0.11441094599867295</v>
      </c>
    </row>
    <row r="14368" spans="1:4">
      <c r="A14368" s="1">
        <v>39121</v>
      </c>
      <c r="B14368">
        <v>1448.31</v>
      </c>
      <c r="C14368">
        <f t="shared" si="468"/>
        <v>-1.1792940787023879E-3</v>
      </c>
      <c r="D14368">
        <f t="shared" si="467"/>
        <v>-0.15743655078490615</v>
      </c>
    </row>
    <row r="14369" spans="1:4">
      <c r="A14369" s="1">
        <v>39122</v>
      </c>
      <c r="B14369">
        <v>1438.06</v>
      </c>
      <c r="C14369">
        <f t="shared" si="468"/>
        <v>-7.0772141323335478E-3</v>
      </c>
      <c r="D14369">
        <f t="shared" si="467"/>
        <v>-0.78025490364792216</v>
      </c>
    </row>
    <row r="14370" spans="1:4">
      <c r="A14370" s="1">
        <v>39125</v>
      </c>
      <c r="B14370">
        <v>1433.37</v>
      </c>
      <c r="C14370">
        <f t="shared" si="468"/>
        <v>-3.2613381917305641E-3</v>
      </c>
      <c r="D14370">
        <f t="shared" si="467"/>
        <v>-0.37729970139950114</v>
      </c>
    </row>
    <row r="14371" spans="1:4">
      <c r="A14371" s="1">
        <v>39126</v>
      </c>
      <c r="B14371">
        <v>1444.26</v>
      </c>
      <c r="C14371">
        <f t="shared" si="468"/>
        <v>7.597480064463538E-3</v>
      </c>
      <c r="D14371">
        <f t="shared" si="467"/>
        <v>0.76938781536292977</v>
      </c>
    </row>
    <row r="14372" spans="1:4">
      <c r="A14372" s="1">
        <v>39127</v>
      </c>
      <c r="B14372">
        <v>1455.3</v>
      </c>
      <c r="C14372">
        <f t="shared" si="468"/>
        <v>7.6440530098458477E-3</v>
      </c>
      <c r="D14372">
        <f t="shared" si="467"/>
        <v>0.77430590256438836</v>
      </c>
    </row>
    <row r="14373" spans="1:4">
      <c r="A14373" s="1">
        <v>39128</v>
      </c>
      <c r="B14373">
        <v>1456.81</v>
      </c>
      <c r="C14373">
        <f t="shared" si="468"/>
        <v>1.03758675187246E-3</v>
      </c>
      <c r="D14373">
        <f t="shared" si="467"/>
        <v>7.6665311369390157E-2</v>
      </c>
    </row>
    <row r="14374" spans="1:4">
      <c r="A14374" s="1">
        <v>39129</v>
      </c>
      <c r="B14374">
        <v>1455.54</v>
      </c>
      <c r="C14374">
        <f t="shared" si="468"/>
        <v>-8.7176776655842683E-4</v>
      </c>
      <c r="D14374">
        <f t="shared" si="467"/>
        <v>-0.12496187675577636</v>
      </c>
    </row>
    <row r="14375" spans="1:4">
      <c r="A14375" s="1">
        <v>39133</v>
      </c>
      <c r="B14375">
        <v>1459.68</v>
      </c>
      <c r="C14375">
        <f t="shared" si="468"/>
        <v>2.844305206315251E-3</v>
      </c>
      <c r="D14375">
        <f t="shared" si="467"/>
        <v>0.26745416602510702</v>
      </c>
    </row>
    <row r="14376" spans="1:4">
      <c r="A14376" s="1">
        <v>39134</v>
      </c>
      <c r="B14376">
        <v>1457.63</v>
      </c>
      <c r="C14376">
        <f t="shared" si="468"/>
        <v>-1.4044174065548302E-3</v>
      </c>
      <c r="D14376">
        <f t="shared" si="467"/>
        <v>-0.18120949768298686</v>
      </c>
    </row>
    <row r="14377" spans="1:4">
      <c r="A14377" s="1">
        <v>39135</v>
      </c>
      <c r="B14377">
        <v>1456.38</v>
      </c>
      <c r="C14377">
        <f t="shared" si="468"/>
        <v>-8.5755644436516802E-4</v>
      </c>
      <c r="D14377">
        <f t="shared" si="467"/>
        <v>-0.12346116596283137</v>
      </c>
    </row>
    <row r="14378" spans="1:4">
      <c r="A14378" s="1">
        <v>39136</v>
      </c>
      <c r="B14378">
        <v>1451.19</v>
      </c>
      <c r="C14378">
        <f t="shared" si="468"/>
        <v>-3.5636303711943686E-3</v>
      </c>
      <c r="D14378">
        <f t="shared" si="467"/>
        <v>-0.40922165279677453</v>
      </c>
    </row>
    <row r="14379" spans="1:4">
      <c r="A14379" s="1">
        <v>39139</v>
      </c>
      <c r="B14379">
        <v>1449.37</v>
      </c>
      <c r="C14379">
        <f t="shared" si="468"/>
        <v>-1.2541431514826891E-3</v>
      </c>
      <c r="D14379">
        <f t="shared" si="467"/>
        <v>-0.16534058742806992</v>
      </c>
    </row>
    <row r="14380" spans="1:4">
      <c r="A14380" s="1">
        <v>39140</v>
      </c>
      <c r="B14380">
        <v>1399.04</v>
      </c>
      <c r="C14380">
        <f t="shared" si="468"/>
        <v>-3.4725432429262321E-2</v>
      </c>
      <c r="D14380">
        <f t="shared" si="467"/>
        <v>-3.6998973577175716</v>
      </c>
    </row>
    <row r="14381" spans="1:4">
      <c r="A14381" s="1">
        <v>39141</v>
      </c>
      <c r="B14381">
        <v>1406.82</v>
      </c>
      <c r="C14381">
        <f t="shared" si="468"/>
        <v>5.5609560841719842E-3</v>
      </c>
      <c r="D14381">
        <f t="shared" si="467"/>
        <v>0.55433157529227728</v>
      </c>
    </row>
    <row r="14382" spans="1:4">
      <c r="A14382" s="1">
        <v>39142</v>
      </c>
      <c r="B14382">
        <v>1403.17</v>
      </c>
      <c r="C14382">
        <f t="shared" si="468"/>
        <v>-2.5945039166345826E-3</v>
      </c>
      <c r="D14382">
        <f t="shared" si="467"/>
        <v>-0.30688222861734882</v>
      </c>
    </row>
    <row r="14383" spans="1:4">
      <c r="A14383" s="1">
        <v>39143</v>
      </c>
      <c r="B14383">
        <v>1387.17</v>
      </c>
      <c r="C14383">
        <f t="shared" si="468"/>
        <v>-1.1402752339345909E-2</v>
      </c>
      <c r="D14383">
        <f t="shared" si="467"/>
        <v>-1.2370302679865517</v>
      </c>
    </row>
    <row r="14384" spans="1:4">
      <c r="A14384" s="1">
        <v>39146</v>
      </c>
      <c r="B14384">
        <v>1374.12</v>
      </c>
      <c r="C14384">
        <f t="shared" si="468"/>
        <v>-9.407642898851749E-3</v>
      </c>
      <c r="D14384">
        <f t="shared" si="467"/>
        <v>-1.0263473892410178</v>
      </c>
    </row>
    <row r="14385" spans="1:4">
      <c r="A14385" s="1">
        <v>39147</v>
      </c>
      <c r="B14385">
        <v>1395.41</v>
      </c>
      <c r="C14385">
        <f t="shared" si="468"/>
        <v>1.5493552237068227E-2</v>
      </c>
      <c r="D14385">
        <f t="shared" si="467"/>
        <v>1.6032103527846444</v>
      </c>
    </row>
    <row r="14386" spans="1:4">
      <c r="A14386" s="1">
        <v>39148</v>
      </c>
      <c r="B14386">
        <v>1391.97</v>
      </c>
      <c r="C14386">
        <f t="shared" si="468"/>
        <v>-2.4652252742921824E-3</v>
      </c>
      <c r="D14386">
        <f t="shared" si="467"/>
        <v>-0.29323044792993702</v>
      </c>
    </row>
    <row r="14387" spans="1:4">
      <c r="A14387" s="1">
        <v>39149</v>
      </c>
      <c r="B14387">
        <v>1401.89</v>
      </c>
      <c r="C14387">
        <f t="shared" si="468"/>
        <v>7.1265903719189873E-3</v>
      </c>
      <c r="D14387">
        <f t="shared" si="467"/>
        <v>0.71966202389340883</v>
      </c>
    </row>
    <row r="14388" spans="1:4">
      <c r="A14388" s="1">
        <v>39150</v>
      </c>
      <c r="B14388">
        <v>1402.84</v>
      </c>
      <c r="C14388">
        <f t="shared" si="468"/>
        <v>6.7765659217186656E-4</v>
      </c>
      <c r="D14388">
        <f t="shared" si="467"/>
        <v>3.865680885121326E-2</v>
      </c>
    </row>
    <row r="14389" spans="1:4">
      <c r="A14389" s="1">
        <v>39153</v>
      </c>
      <c r="B14389">
        <v>1406.6</v>
      </c>
      <c r="C14389">
        <f t="shared" si="468"/>
        <v>2.6802771520629516E-3</v>
      </c>
      <c r="D14389">
        <f t="shared" si="467"/>
        <v>0.25013285925190887</v>
      </c>
    </row>
    <row r="14390" spans="1:4">
      <c r="A14390" s="1">
        <v>39154</v>
      </c>
      <c r="B14390">
        <v>1377.95</v>
      </c>
      <c r="C14390">
        <f t="shared" si="468"/>
        <v>-2.0368263898762878E-2</v>
      </c>
      <c r="D14390">
        <f t="shared" si="467"/>
        <v>-2.1837852411355332</v>
      </c>
    </row>
    <row r="14391" spans="1:4">
      <c r="A14391" s="1">
        <v>39155</v>
      </c>
      <c r="B14391">
        <v>1387.17</v>
      </c>
      <c r="C14391">
        <f t="shared" si="468"/>
        <v>6.6910990964839266E-3</v>
      </c>
      <c r="D14391">
        <f t="shared" si="467"/>
        <v>0.67367429323814343</v>
      </c>
    </row>
    <row r="14392" spans="1:4">
      <c r="A14392" s="1">
        <v>39156</v>
      </c>
      <c r="B14392">
        <v>1392.28</v>
      </c>
      <c r="C14392">
        <f t="shared" si="468"/>
        <v>3.6837590201632821E-3</v>
      </c>
      <c r="D14392">
        <f t="shared" si="467"/>
        <v>0.35610020342324361</v>
      </c>
    </row>
    <row r="14393" spans="1:4">
      <c r="A14393" s="1">
        <v>39157</v>
      </c>
      <c r="B14393">
        <v>1386.95</v>
      </c>
      <c r="C14393">
        <f t="shared" si="468"/>
        <v>-3.8282529376274365E-3</v>
      </c>
      <c r="D14393">
        <f t="shared" si="467"/>
        <v>-0.43716570586252579</v>
      </c>
    </row>
    <row r="14394" spans="1:4">
      <c r="A14394" s="1">
        <v>39160</v>
      </c>
      <c r="B14394">
        <v>1402.06</v>
      </c>
      <c r="C14394">
        <f t="shared" si="468"/>
        <v>1.0894408594397708E-2</v>
      </c>
      <c r="D14394">
        <f t="shared" si="467"/>
        <v>1.1175423474435198</v>
      </c>
    </row>
    <row r="14395" spans="1:4">
      <c r="A14395" s="1">
        <v>39161</v>
      </c>
      <c r="B14395">
        <v>1410.94</v>
      </c>
      <c r="C14395">
        <f t="shared" si="468"/>
        <v>6.3335377943883357E-3</v>
      </c>
      <c r="D14395">
        <f t="shared" si="467"/>
        <v>0.6359159412778409</v>
      </c>
    </row>
    <row r="14396" spans="1:4">
      <c r="A14396" s="1">
        <v>39162</v>
      </c>
      <c r="B14396">
        <v>1435.04</v>
      </c>
      <c r="C14396">
        <f t="shared" si="468"/>
        <v>1.7080811373977565E-2</v>
      </c>
      <c r="D14396">
        <f t="shared" si="467"/>
        <v>1.770824378106675</v>
      </c>
    </row>
    <row r="14397" spans="1:4">
      <c r="A14397" s="1">
        <v>39163</v>
      </c>
      <c r="B14397">
        <v>1434.54</v>
      </c>
      <c r="C14397">
        <f t="shared" si="468"/>
        <v>-3.4842234362805221E-4</v>
      </c>
      <c r="D14397">
        <f t="shared" si="467"/>
        <v>-6.9696777988081479E-2</v>
      </c>
    </row>
    <row r="14398" spans="1:4">
      <c r="A14398" s="1">
        <v>39164</v>
      </c>
      <c r="B14398">
        <v>1436.11</v>
      </c>
      <c r="C14398">
        <f t="shared" si="468"/>
        <v>1.094427481980242E-3</v>
      </c>
      <c r="D14398">
        <f t="shared" si="467"/>
        <v>8.2667673147669013E-2</v>
      </c>
    </row>
    <row r="14399" spans="1:4">
      <c r="A14399" s="1">
        <v>39167</v>
      </c>
      <c r="B14399">
        <v>1437.5</v>
      </c>
      <c r="C14399">
        <f t="shared" si="468"/>
        <v>9.6789243163831475E-4</v>
      </c>
      <c r="D14399">
        <f t="shared" si="467"/>
        <v>6.9305614842914906E-2</v>
      </c>
    </row>
    <row r="14400" spans="1:4">
      <c r="A14400" s="1">
        <v>39168</v>
      </c>
      <c r="B14400">
        <v>1428.61</v>
      </c>
      <c r="C14400">
        <f t="shared" si="468"/>
        <v>-6.1843478260870258E-3</v>
      </c>
      <c r="D14400">
        <f t="shared" si="467"/>
        <v>-0.68596852520829332</v>
      </c>
    </row>
    <row r="14401" spans="1:4">
      <c r="A14401" s="1">
        <v>39169</v>
      </c>
      <c r="B14401">
        <v>1417.23</v>
      </c>
      <c r="C14401">
        <f t="shared" si="468"/>
        <v>-7.9657849238069754E-3</v>
      </c>
      <c r="D14401">
        <f t="shared" si="467"/>
        <v>-0.8740876771876287</v>
      </c>
    </row>
    <row r="14402" spans="1:4">
      <c r="A14402" s="1">
        <v>39170</v>
      </c>
      <c r="B14402">
        <v>1422.53</v>
      </c>
      <c r="C14402">
        <f t="shared" si="468"/>
        <v>3.739689394099726E-3</v>
      </c>
      <c r="D14402">
        <f t="shared" si="467"/>
        <v>0.36200643189927423</v>
      </c>
    </row>
    <row r="14403" spans="1:4">
      <c r="A14403" s="1">
        <v>39171</v>
      </c>
      <c r="B14403">
        <v>1420.86</v>
      </c>
      <c r="C14403">
        <f t="shared" si="468"/>
        <v>-1.1739646967024054E-3</v>
      </c>
      <c r="D14403">
        <f t="shared" ref="D14403:D14466" si="469">(C14403-avg)/sd</f>
        <v>-0.15687376985725296</v>
      </c>
    </row>
    <row r="14404" spans="1:4">
      <c r="A14404" s="1">
        <v>39174</v>
      </c>
      <c r="B14404">
        <v>1424.55</v>
      </c>
      <c r="C14404">
        <f t="shared" ref="C14404:C14467" si="470">(B14404-B14403)/B14403</f>
        <v>2.597018706980318E-3</v>
      </c>
      <c r="D14404">
        <f t="shared" si="469"/>
        <v>0.24134079575210332</v>
      </c>
    </row>
    <row r="14405" spans="1:4">
      <c r="A14405" s="1">
        <v>39175</v>
      </c>
      <c r="B14405">
        <v>1437.77</v>
      </c>
      <c r="C14405">
        <f t="shared" si="470"/>
        <v>9.2801235477870392E-3</v>
      </c>
      <c r="D14405">
        <f t="shared" si="469"/>
        <v>0.94707439524358161</v>
      </c>
    </row>
    <row r="14406" spans="1:4">
      <c r="A14406" s="1">
        <v>39176</v>
      </c>
      <c r="B14406">
        <v>1439.37</v>
      </c>
      <c r="C14406">
        <f t="shared" si="470"/>
        <v>1.1128344589189571E-3</v>
      </c>
      <c r="D14406">
        <f t="shared" si="469"/>
        <v>8.4611443655561863E-2</v>
      </c>
    </row>
    <row r="14407" spans="1:4">
      <c r="A14407" s="1">
        <v>39177</v>
      </c>
      <c r="B14407">
        <v>1443.76</v>
      </c>
      <c r="C14407">
        <f t="shared" si="470"/>
        <v>3.0499454622509156E-3</v>
      </c>
      <c r="D14407">
        <f t="shared" si="469"/>
        <v>0.2891697071513939</v>
      </c>
    </row>
    <row r="14408" spans="1:4">
      <c r="A14408" s="1">
        <v>39181</v>
      </c>
      <c r="B14408">
        <v>1444.61</v>
      </c>
      <c r="C14408">
        <f t="shared" si="470"/>
        <v>5.8874051088817327E-4</v>
      </c>
      <c r="D14408">
        <f t="shared" si="469"/>
        <v>2.926730089169979E-2</v>
      </c>
    </row>
    <row r="14409" spans="1:4">
      <c r="A14409" s="1">
        <v>39182</v>
      </c>
      <c r="B14409">
        <v>1448.39</v>
      </c>
      <c r="C14409">
        <f t="shared" si="470"/>
        <v>2.6166231716520032E-3</v>
      </c>
      <c r="D14409">
        <f t="shared" si="469"/>
        <v>0.24341102055755195</v>
      </c>
    </row>
    <row r="14410" spans="1:4">
      <c r="A14410" s="1">
        <v>39183</v>
      </c>
      <c r="B14410">
        <v>1438.87</v>
      </c>
      <c r="C14410">
        <f t="shared" si="470"/>
        <v>-6.5728153328870045E-3</v>
      </c>
      <c r="D14410">
        <f t="shared" si="469"/>
        <v>-0.72699056187984967</v>
      </c>
    </row>
    <row r="14411" spans="1:4">
      <c r="A14411" s="1">
        <v>39184</v>
      </c>
      <c r="B14411">
        <v>1447.8</v>
      </c>
      <c r="C14411">
        <f t="shared" si="470"/>
        <v>6.2062590783045473E-3</v>
      </c>
      <c r="D14411">
        <f t="shared" si="469"/>
        <v>0.62247535212353056</v>
      </c>
    </row>
    <row r="14412" spans="1:4">
      <c r="A14412" s="1">
        <v>39185</v>
      </c>
      <c r="B14412">
        <v>1452.85</v>
      </c>
      <c r="C14412">
        <f t="shared" si="470"/>
        <v>3.4880508357507632E-3</v>
      </c>
      <c r="D14412">
        <f t="shared" si="469"/>
        <v>0.33543348567372577</v>
      </c>
    </row>
    <row r="14413" spans="1:4">
      <c r="A14413" s="1">
        <v>39188</v>
      </c>
      <c r="B14413">
        <v>1468.33</v>
      </c>
      <c r="C14413">
        <f t="shared" si="470"/>
        <v>1.0654919640706211E-2</v>
      </c>
      <c r="D14413">
        <f t="shared" si="469"/>
        <v>1.0922523953399486</v>
      </c>
    </row>
    <row r="14414" spans="1:4">
      <c r="A14414" s="1">
        <v>39189</v>
      </c>
      <c r="B14414">
        <v>1471.48</v>
      </c>
      <c r="C14414">
        <f t="shared" si="470"/>
        <v>2.1452943139485614E-3</v>
      </c>
      <c r="D14414">
        <f t="shared" si="469"/>
        <v>0.19363885339653156</v>
      </c>
    </row>
    <row r="14415" spans="1:4">
      <c r="A14415" s="1">
        <v>39190</v>
      </c>
      <c r="B14415">
        <v>1472.5</v>
      </c>
      <c r="C14415">
        <f t="shared" si="470"/>
        <v>6.9317965585667608E-4</v>
      </c>
      <c r="D14415">
        <f t="shared" si="469"/>
        <v>4.029603909978343E-2</v>
      </c>
    </row>
    <row r="14416" spans="1:4">
      <c r="A14416" s="1">
        <v>39191</v>
      </c>
      <c r="B14416">
        <v>1470.73</v>
      </c>
      <c r="C14416">
        <f t="shared" si="470"/>
        <v>-1.2020373514431116E-3</v>
      </c>
      <c r="D14416">
        <f t="shared" si="469"/>
        <v>-0.15983823265551253</v>
      </c>
    </row>
    <row r="14417" spans="1:4">
      <c r="A14417" s="1">
        <v>39192</v>
      </c>
      <c r="B14417">
        <v>1484.35</v>
      </c>
      <c r="C14417">
        <f t="shared" si="470"/>
        <v>9.2607072678193084E-3</v>
      </c>
      <c r="D14417">
        <f t="shared" si="469"/>
        <v>0.9450240426789035</v>
      </c>
    </row>
    <row r="14418" spans="1:4">
      <c r="A14418" s="1">
        <v>39195</v>
      </c>
      <c r="B14418">
        <v>1480.93</v>
      </c>
      <c r="C14418">
        <f t="shared" si="470"/>
        <v>-2.304038804863978E-3</v>
      </c>
      <c r="D14418">
        <f t="shared" si="469"/>
        <v>-0.27620921154826172</v>
      </c>
    </row>
    <row r="14419" spans="1:4">
      <c r="A14419" s="1">
        <v>39196</v>
      </c>
      <c r="B14419">
        <v>1480.41</v>
      </c>
      <c r="C14419">
        <f t="shared" si="470"/>
        <v>-3.511307084061919E-4</v>
      </c>
      <c r="D14419">
        <f t="shared" si="469"/>
        <v>-6.9982780388035112E-2</v>
      </c>
    </row>
    <row r="14420" spans="1:4">
      <c r="A14420" s="1">
        <v>39197</v>
      </c>
      <c r="B14420">
        <v>1495.42</v>
      </c>
      <c r="C14420">
        <f t="shared" si="470"/>
        <v>1.0139083091846171E-2</v>
      </c>
      <c r="D14420">
        <f t="shared" si="469"/>
        <v>1.0377802311216906</v>
      </c>
    </row>
    <row r="14421" spans="1:4">
      <c r="A14421" s="1">
        <v>39198</v>
      </c>
      <c r="B14421">
        <v>1494.25</v>
      </c>
      <c r="C14421">
        <f t="shared" si="470"/>
        <v>-7.8238889409000328E-4</v>
      </c>
      <c r="D14421">
        <f t="shared" si="469"/>
        <v>-0.11552349820446575</v>
      </c>
    </row>
    <row r="14422" spans="1:4">
      <c r="A14422" s="1">
        <v>39199</v>
      </c>
      <c r="B14422">
        <v>1494.07</v>
      </c>
      <c r="C14422">
        <f t="shared" si="470"/>
        <v>-1.2046177011883129E-4</v>
      </c>
      <c r="D14422">
        <f t="shared" si="469"/>
        <v>-4.5624218913071606E-2</v>
      </c>
    </row>
    <row r="14423" spans="1:4">
      <c r="A14423" s="1">
        <v>39202</v>
      </c>
      <c r="B14423">
        <v>1482.37</v>
      </c>
      <c r="C14423">
        <f t="shared" si="470"/>
        <v>-7.8309583888305414E-3</v>
      </c>
      <c r="D14423">
        <f t="shared" si="469"/>
        <v>-0.85985004092388329</v>
      </c>
    </row>
    <row r="14424" spans="1:4">
      <c r="A14424" s="1">
        <v>39203</v>
      </c>
      <c r="B14424">
        <v>1486.3</v>
      </c>
      <c r="C14424">
        <f t="shared" si="470"/>
        <v>2.6511599668099491E-3</v>
      </c>
      <c r="D14424">
        <f t="shared" si="469"/>
        <v>0.24705809438660398</v>
      </c>
    </row>
    <row r="14425" spans="1:4">
      <c r="A14425" s="1">
        <v>39204</v>
      </c>
      <c r="B14425">
        <v>1495.92</v>
      </c>
      <c r="C14425">
        <f t="shared" si="470"/>
        <v>6.4724483617036388E-3</v>
      </c>
      <c r="D14425">
        <f t="shared" si="469"/>
        <v>0.65058484996834087</v>
      </c>
    </row>
    <row r="14426" spans="1:4">
      <c r="A14426" s="1">
        <v>39205</v>
      </c>
      <c r="B14426">
        <v>1502.39</v>
      </c>
      <c r="C14426">
        <f t="shared" si="470"/>
        <v>4.3250975988020929E-3</v>
      </c>
      <c r="D14426">
        <f t="shared" si="469"/>
        <v>0.42382533932592698</v>
      </c>
    </row>
    <row r="14427" spans="1:4">
      <c r="A14427" s="1">
        <v>39206</v>
      </c>
      <c r="B14427">
        <v>1505.62</v>
      </c>
      <c r="C14427">
        <f t="shared" si="470"/>
        <v>2.1499078135502705E-3</v>
      </c>
      <c r="D14427">
        <f t="shared" si="469"/>
        <v>0.19412603738626732</v>
      </c>
    </row>
    <row r="14428" spans="1:4">
      <c r="A14428" s="1">
        <v>39209</v>
      </c>
      <c r="B14428">
        <v>1509.48</v>
      </c>
      <c r="C14428">
        <f t="shared" si="470"/>
        <v>2.5637278994700705E-3</v>
      </c>
      <c r="D14428">
        <f t="shared" si="469"/>
        <v>0.23782529779511649</v>
      </c>
    </row>
    <row r="14429" spans="1:4">
      <c r="A14429" s="1">
        <v>39210</v>
      </c>
      <c r="B14429">
        <v>1507.72</v>
      </c>
      <c r="C14429">
        <f t="shared" si="470"/>
        <v>-1.1659644380846324E-3</v>
      </c>
      <c r="D14429">
        <f t="shared" si="469"/>
        <v>-0.15602894526663616</v>
      </c>
    </row>
    <row r="14430" spans="1:4">
      <c r="A14430" s="1">
        <v>39211</v>
      </c>
      <c r="B14430">
        <v>1512.58</v>
      </c>
      <c r="C14430">
        <f t="shared" si="470"/>
        <v>3.2234101822618921E-3</v>
      </c>
      <c r="D14430">
        <f t="shared" si="469"/>
        <v>0.3074875226210298</v>
      </c>
    </row>
    <row r="14431" spans="1:4">
      <c r="A14431" s="1">
        <v>39212</v>
      </c>
      <c r="B14431">
        <v>1491.47</v>
      </c>
      <c r="C14431">
        <f t="shared" si="470"/>
        <v>-1.3956286609633805E-2</v>
      </c>
      <c r="D14431">
        <f t="shared" si="469"/>
        <v>-1.5066826189404816</v>
      </c>
    </row>
    <row r="14432" spans="1:4">
      <c r="A14432" s="1">
        <v>39213</v>
      </c>
      <c r="B14432">
        <v>1505.85</v>
      </c>
      <c r="C14432">
        <f t="shared" si="470"/>
        <v>9.641494632811845E-3</v>
      </c>
      <c r="D14432">
        <f t="shared" si="469"/>
        <v>0.98523505898620101</v>
      </c>
    </row>
    <row r="14433" spans="1:4">
      <c r="A14433" s="1">
        <v>39216</v>
      </c>
      <c r="B14433">
        <v>1503.15</v>
      </c>
      <c r="C14433">
        <f t="shared" si="470"/>
        <v>-1.793007271640481E-3</v>
      </c>
      <c r="D14433">
        <f t="shared" si="469"/>
        <v>-0.22224445534791859</v>
      </c>
    </row>
    <row r="14434" spans="1:4">
      <c r="A14434" s="1">
        <v>39217</v>
      </c>
      <c r="B14434">
        <v>1501.19</v>
      </c>
      <c r="C14434">
        <f t="shared" si="470"/>
        <v>-1.3039284169910096E-3</v>
      </c>
      <c r="D14434">
        <f t="shared" si="469"/>
        <v>-0.1705978945429146</v>
      </c>
    </row>
    <row r="14435" spans="1:4">
      <c r="A14435" s="1">
        <v>39218</v>
      </c>
      <c r="B14435">
        <v>1514.14</v>
      </c>
      <c r="C14435">
        <f t="shared" si="470"/>
        <v>8.62648965154314E-3</v>
      </c>
      <c r="D14435">
        <f t="shared" si="469"/>
        <v>0.87805087798118242</v>
      </c>
    </row>
    <row r="14436" spans="1:4">
      <c r="A14436" s="1">
        <v>39219</v>
      </c>
      <c r="B14436">
        <v>1512.75</v>
      </c>
      <c r="C14436">
        <f t="shared" si="470"/>
        <v>-9.1801286538899967E-4</v>
      </c>
      <c r="D14436">
        <f t="shared" si="469"/>
        <v>-0.12984534347281201</v>
      </c>
    </row>
    <row r="14437" spans="1:4">
      <c r="A14437" s="1">
        <v>39220</v>
      </c>
      <c r="B14437">
        <v>1522.75</v>
      </c>
      <c r="C14437">
        <f t="shared" si="470"/>
        <v>6.6104776070071061E-3</v>
      </c>
      <c r="D14437">
        <f t="shared" si="469"/>
        <v>0.66516069135396694</v>
      </c>
    </row>
    <row r="14438" spans="1:4">
      <c r="A14438" s="1">
        <v>39223</v>
      </c>
      <c r="B14438">
        <v>1525.1</v>
      </c>
      <c r="C14438">
        <f t="shared" si="470"/>
        <v>1.5432605483499649E-3</v>
      </c>
      <c r="D14438">
        <f t="shared" si="469"/>
        <v>0.13006429239053971</v>
      </c>
    </row>
    <row r="14439" spans="1:4">
      <c r="A14439" s="1">
        <v>39224</v>
      </c>
      <c r="B14439">
        <v>1524.12</v>
      </c>
      <c r="C14439">
        <f t="shared" si="470"/>
        <v>-6.4258081437284001E-4</v>
      </c>
      <c r="D14439">
        <f t="shared" si="469"/>
        <v>-0.10075981250940863</v>
      </c>
    </row>
    <row r="14440" spans="1:4">
      <c r="A14440" s="1">
        <v>39225</v>
      </c>
      <c r="B14440">
        <v>1522.28</v>
      </c>
      <c r="C14440">
        <f t="shared" si="470"/>
        <v>-1.2072540219929652E-3</v>
      </c>
      <c r="D14440">
        <f t="shared" si="469"/>
        <v>-0.16038911129234462</v>
      </c>
    </row>
    <row r="14441" spans="1:4">
      <c r="A14441" s="1">
        <v>39226</v>
      </c>
      <c r="B14441">
        <v>1507.51</v>
      </c>
      <c r="C14441">
        <f t="shared" si="470"/>
        <v>-9.7025514360038773E-3</v>
      </c>
      <c r="D14441">
        <f t="shared" si="469"/>
        <v>-1.0574896305200001</v>
      </c>
    </row>
    <row r="14442" spans="1:4">
      <c r="A14442" s="1">
        <v>39227</v>
      </c>
      <c r="B14442">
        <v>1515.73</v>
      </c>
      <c r="C14442">
        <f t="shared" si="470"/>
        <v>5.4527001479260685E-3</v>
      </c>
      <c r="D14442">
        <f t="shared" si="469"/>
        <v>0.54289978522268922</v>
      </c>
    </row>
    <row r="14443" spans="1:4">
      <c r="A14443" s="1">
        <v>39231</v>
      </c>
      <c r="B14443">
        <v>1518.11</v>
      </c>
      <c r="C14443">
        <f t="shared" si="470"/>
        <v>1.5702004974499956E-3</v>
      </c>
      <c r="D14443">
        <f t="shared" si="469"/>
        <v>0.13290914185816932</v>
      </c>
    </row>
    <row r="14444" spans="1:4">
      <c r="A14444" s="1">
        <v>39232</v>
      </c>
      <c r="B14444">
        <v>1530.23</v>
      </c>
      <c r="C14444">
        <f t="shared" si="470"/>
        <v>7.9836112007694564E-3</v>
      </c>
      <c r="D14444">
        <f t="shared" si="469"/>
        <v>0.81016313210448432</v>
      </c>
    </row>
    <row r="14445" spans="1:4">
      <c r="A14445" s="1">
        <v>39233</v>
      </c>
      <c r="B14445">
        <v>1530.62</v>
      </c>
      <c r="C14445">
        <f t="shared" si="470"/>
        <v>2.5486364794826441E-4</v>
      </c>
      <c r="D14445">
        <f t="shared" si="469"/>
        <v>-5.9899823444946633E-3</v>
      </c>
    </row>
    <row r="14446" spans="1:4">
      <c r="A14446" s="1">
        <v>39234</v>
      </c>
      <c r="B14446">
        <v>1536.34</v>
      </c>
      <c r="C14446">
        <f t="shared" si="470"/>
        <v>3.7370477322915077E-3</v>
      </c>
      <c r="D14446">
        <f t="shared" si="469"/>
        <v>0.36172747331027089</v>
      </c>
    </row>
    <row r="14447" spans="1:4">
      <c r="A14447" s="1">
        <v>39237</v>
      </c>
      <c r="B14447">
        <v>1539.18</v>
      </c>
      <c r="C14447">
        <f t="shared" si="470"/>
        <v>1.8485491492769477E-3</v>
      </c>
      <c r="D14447">
        <f t="shared" si="469"/>
        <v>0.16230266487579156</v>
      </c>
    </row>
    <row r="14448" spans="1:4">
      <c r="A14448" s="1">
        <v>39238</v>
      </c>
      <c r="B14448">
        <v>1530.95</v>
      </c>
      <c r="C14448">
        <f t="shared" si="470"/>
        <v>-5.3470029496225377E-3</v>
      </c>
      <c r="D14448">
        <f t="shared" si="469"/>
        <v>-0.59754519088099622</v>
      </c>
    </row>
    <row r="14449" spans="1:4">
      <c r="A14449" s="1">
        <v>39239</v>
      </c>
      <c r="B14449">
        <v>1517.38</v>
      </c>
      <c r="C14449">
        <f t="shared" si="470"/>
        <v>-8.8637773931218751E-3</v>
      </c>
      <c r="D14449">
        <f t="shared" si="469"/>
        <v>-0.96891537670481076</v>
      </c>
    </row>
    <row r="14450" spans="1:4">
      <c r="A14450" s="1">
        <v>39240</v>
      </c>
      <c r="B14450">
        <v>1490.72</v>
      </c>
      <c r="C14450">
        <f t="shared" si="470"/>
        <v>-1.7569758399346293E-2</v>
      </c>
      <c r="D14450">
        <f t="shared" si="469"/>
        <v>-1.8882640116553802</v>
      </c>
    </row>
    <row r="14451" spans="1:4">
      <c r="A14451" s="1">
        <v>39241</v>
      </c>
      <c r="B14451">
        <v>1507.67</v>
      </c>
      <c r="C14451">
        <f t="shared" si="470"/>
        <v>1.1370344531501587E-2</v>
      </c>
      <c r="D14451">
        <f t="shared" si="469"/>
        <v>1.1678010206232041</v>
      </c>
    </row>
    <row r="14452" spans="1:4">
      <c r="A14452" s="1">
        <v>39244</v>
      </c>
      <c r="B14452">
        <v>1509.12</v>
      </c>
      <c r="C14452">
        <f t="shared" si="470"/>
        <v>9.6174892383599729E-4</v>
      </c>
      <c r="D14452">
        <f t="shared" si="469"/>
        <v>6.8656862507269947E-2</v>
      </c>
    </row>
    <row r="14453" spans="1:4">
      <c r="A14453" s="1">
        <v>39245</v>
      </c>
      <c r="B14453">
        <v>1493</v>
      </c>
      <c r="C14453">
        <f t="shared" si="470"/>
        <v>-1.0681721798133941E-2</v>
      </c>
      <c r="D14453">
        <f t="shared" si="469"/>
        <v>-1.160889687924757</v>
      </c>
    </row>
    <row r="14454" spans="1:4">
      <c r="A14454" s="1">
        <v>39246</v>
      </c>
      <c r="B14454">
        <v>1515.67</v>
      </c>
      <c r="C14454">
        <f t="shared" si="470"/>
        <v>1.5184192900200986E-2</v>
      </c>
      <c r="D14454">
        <f t="shared" si="469"/>
        <v>1.5705421119678118</v>
      </c>
    </row>
    <row r="14455" spans="1:4">
      <c r="A14455" s="1">
        <v>39247</v>
      </c>
      <c r="B14455">
        <v>1522.97</v>
      </c>
      <c r="C14455">
        <f t="shared" si="470"/>
        <v>4.8163518443988165E-3</v>
      </c>
      <c r="D14455">
        <f t="shared" si="469"/>
        <v>0.47570162067550947</v>
      </c>
    </row>
    <row r="14456" spans="1:4">
      <c r="A14456" s="1">
        <v>39248</v>
      </c>
      <c r="B14456">
        <v>1532.91</v>
      </c>
      <c r="C14456">
        <f t="shared" si="470"/>
        <v>6.5267208152491873E-3</v>
      </c>
      <c r="D14456">
        <f t="shared" si="469"/>
        <v>0.65631600261464751</v>
      </c>
    </row>
    <row r="14457" spans="1:4">
      <c r="A14457" s="1">
        <v>39251</v>
      </c>
      <c r="B14457">
        <v>1531.05</v>
      </c>
      <c r="C14457">
        <f t="shared" si="470"/>
        <v>-1.2133784762315644E-3</v>
      </c>
      <c r="D14457">
        <f t="shared" si="469"/>
        <v>-0.16103585157813752</v>
      </c>
    </row>
    <row r="14458" spans="1:4">
      <c r="A14458" s="1">
        <v>39252</v>
      </c>
      <c r="B14458">
        <v>1533.7</v>
      </c>
      <c r="C14458">
        <f t="shared" si="470"/>
        <v>1.7308383135757101E-3</v>
      </c>
      <c r="D14458">
        <f t="shared" si="469"/>
        <v>0.149872440637598</v>
      </c>
    </row>
    <row r="14459" spans="1:4">
      <c r="A14459" s="1">
        <v>39253</v>
      </c>
      <c r="B14459">
        <v>1512.84</v>
      </c>
      <c r="C14459">
        <f t="shared" si="470"/>
        <v>-1.3601095390232854E-2</v>
      </c>
      <c r="D14459">
        <f t="shared" si="469"/>
        <v>-1.4691745469071029</v>
      </c>
    </row>
    <row r="14460" spans="1:4">
      <c r="A14460" s="1">
        <v>39254</v>
      </c>
      <c r="B14460">
        <v>1522.19</v>
      </c>
      <c r="C14460">
        <f t="shared" si="470"/>
        <v>6.1804288622723733E-3</v>
      </c>
      <c r="D14460">
        <f t="shared" si="469"/>
        <v>0.61974769009065001</v>
      </c>
    </row>
    <row r="14461" spans="1:4">
      <c r="A14461" s="1">
        <v>39255</v>
      </c>
      <c r="B14461">
        <v>1502.56</v>
      </c>
      <c r="C14461">
        <f t="shared" si="470"/>
        <v>-1.289589341672203E-2</v>
      </c>
      <c r="D14461">
        <f t="shared" si="469"/>
        <v>-1.3947054582141576</v>
      </c>
    </row>
    <row r="14462" spans="1:4">
      <c r="A14462" s="1">
        <v>39258</v>
      </c>
      <c r="B14462">
        <v>1497.74</v>
      </c>
      <c r="C14462">
        <f t="shared" si="470"/>
        <v>-3.2078585880097542E-3</v>
      </c>
      <c r="D14462">
        <f t="shared" si="469"/>
        <v>-0.37165227342518414</v>
      </c>
    </row>
    <row r="14463" spans="1:4">
      <c r="A14463" s="1">
        <v>39259</v>
      </c>
      <c r="B14463">
        <v>1492.89</v>
      </c>
      <c r="C14463">
        <f t="shared" si="470"/>
        <v>-3.238212239774533E-3</v>
      </c>
      <c r="D14463">
        <f t="shared" si="469"/>
        <v>-0.37485760873383728</v>
      </c>
    </row>
    <row r="14464" spans="1:4">
      <c r="A14464" s="1">
        <v>39260</v>
      </c>
      <c r="B14464">
        <v>1506.34</v>
      </c>
      <c r="C14464">
        <f t="shared" si="470"/>
        <v>9.0093710856123475E-3</v>
      </c>
      <c r="D14464">
        <f t="shared" si="469"/>
        <v>0.91848302727116771</v>
      </c>
    </row>
    <row r="14465" spans="1:4">
      <c r="A14465" s="1">
        <v>39261</v>
      </c>
      <c r="B14465">
        <v>1505.71</v>
      </c>
      <c r="C14465">
        <f t="shared" si="470"/>
        <v>-4.18232271598631E-4</v>
      </c>
      <c r="D14465">
        <f t="shared" si="469"/>
        <v>-7.7068682652227119E-2</v>
      </c>
    </row>
    <row r="14466" spans="1:4">
      <c r="A14466" s="1">
        <v>39262</v>
      </c>
      <c r="B14466">
        <v>1503.35</v>
      </c>
      <c r="C14466">
        <f t="shared" si="470"/>
        <v>-1.567366890038671E-3</v>
      </c>
      <c r="D14466">
        <f t="shared" si="469"/>
        <v>-0.19841690774965978</v>
      </c>
    </row>
    <row r="14467" spans="1:4">
      <c r="A14467" s="1">
        <v>39265</v>
      </c>
      <c r="B14467">
        <v>1519.43</v>
      </c>
      <c r="C14467">
        <f t="shared" si="470"/>
        <v>1.0696112016496595E-2</v>
      </c>
      <c r="D14467">
        <f t="shared" ref="D14467:D14530" si="471">(C14467-avg)/sd</f>
        <v>1.0966022962214441</v>
      </c>
    </row>
    <row r="14468" spans="1:4">
      <c r="A14468" s="1">
        <v>39266</v>
      </c>
      <c r="B14468">
        <v>1524.87</v>
      </c>
      <c r="C14468">
        <f t="shared" ref="C14468:C14531" si="472">(B14468-B14467)/B14467</f>
        <v>3.5802899771623748E-3</v>
      </c>
      <c r="D14468">
        <f t="shared" si="471"/>
        <v>0.3451739076531844</v>
      </c>
    </row>
    <row r="14469" spans="1:4">
      <c r="A14469" s="1">
        <v>39268</v>
      </c>
      <c r="B14469">
        <v>1525.4</v>
      </c>
      <c r="C14469">
        <f t="shared" si="472"/>
        <v>3.4757061257694106E-4</v>
      </c>
      <c r="D14469">
        <f t="shared" si="471"/>
        <v>3.7998416076651933E-3</v>
      </c>
    </row>
    <row r="14470" spans="1:4">
      <c r="A14470" s="1">
        <v>39269</v>
      </c>
      <c r="B14470">
        <v>1530.44</v>
      </c>
      <c r="C14470">
        <f t="shared" si="472"/>
        <v>3.3040513963550305E-3</v>
      </c>
      <c r="D14470">
        <f t="shared" si="471"/>
        <v>0.31600320741798471</v>
      </c>
    </row>
    <row r="14471" spans="1:4">
      <c r="A14471" s="1">
        <v>39272</v>
      </c>
      <c r="B14471">
        <v>1531.85</v>
      </c>
      <c r="C14471">
        <f t="shared" si="472"/>
        <v>9.2130367737373203E-4</v>
      </c>
      <c r="D14471">
        <f t="shared" si="471"/>
        <v>6.4385858228862003E-2</v>
      </c>
    </row>
    <row r="14472" spans="1:4">
      <c r="A14472" s="1">
        <v>39273</v>
      </c>
      <c r="B14472">
        <v>1510.12</v>
      </c>
      <c r="C14472">
        <f t="shared" si="472"/>
        <v>-1.4185462023044045E-2</v>
      </c>
      <c r="D14472">
        <f t="shared" si="471"/>
        <v>-1.5308834646960949</v>
      </c>
    </row>
    <row r="14473" spans="1:4">
      <c r="A14473" s="1">
        <v>39274</v>
      </c>
      <c r="B14473">
        <v>1518.76</v>
      </c>
      <c r="C14473">
        <f t="shared" si="472"/>
        <v>5.7213996238710176E-3</v>
      </c>
      <c r="D14473">
        <f t="shared" si="471"/>
        <v>0.57127435854708619</v>
      </c>
    </row>
    <row r="14474" spans="1:4">
      <c r="A14474" s="1">
        <v>39275</v>
      </c>
      <c r="B14474">
        <v>1547.7</v>
      </c>
      <c r="C14474">
        <f t="shared" si="472"/>
        <v>1.9055018567779015E-2</v>
      </c>
      <c r="D14474">
        <f t="shared" si="471"/>
        <v>1.9792999867064776</v>
      </c>
    </row>
    <row r="14475" spans="1:4">
      <c r="A14475" s="1">
        <v>39276</v>
      </c>
      <c r="B14475">
        <v>1552.5</v>
      </c>
      <c r="C14475">
        <f t="shared" si="472"/>
        <v>3.1013762357045642E-3</v>
      </c>
      <c r="D14475">
        <f t="shared" si="471"/>
        <v>0.29460077934592988</v>
      </c>
    </row>
    <row r="14476" spans="1:4">
      <c r="A14476" s="1">
        <v>39279</v>
      </c>
      <c r="B14476">
        <v>1549.52</v>
      </c>
      <c r="C14476">
        <f t="shared" si="472"/>
        <v>-1.9194847020934094E-3</v>
      </c>
      <c r="D14476">
        <f t="shared" si="471"/>
        <v>-0.23560042901198036</v>
      </c>
    </row>
    <row r="14477" spans="1:4">
      <c r="A14477" s="1">
        <v>39280</v>
      </c>
      <c r="B14477">
        <v>1549.37</v>
      </c>
      <c r="C14477">
        <f t="shared" si="472"/>
        <v>-9.6804171614494131E-5</v>
      </c>
      <c r="D14477">
        <f t="shared" si="471"/>
        <v>-4.3125984552622058E-2</v>
      </c>
    </row>
    <row r="14478" spans="1:4">
      <c r="A14478" s="1">
        <v>39281</v>
      </c>
      <c r="B14478">
        <v>1546.17</v>
      </c>
      <c r="C14478">
        <f t="shared" si="472"/>
        <v>-2.065355596145413E-3</v>
      </c>
      <c r="D14478">
        <f t="shared" si="471"/>
        <v>-0.25100434583994591</v>
      </c>
    </row>
    <row r="14479" spans="1:4">
      <c r="A14479" s="1">
        <v>39282</v>
      </c>
      <c r="B14479">
        <v>1553.08</v>
      </c>
      <c r="C14479">
        <f t="shared" si="472"/>
        <v>4.4691075366873334E-3</v>
      </c>
      <c r="D14479">
        <f t="shared" si="471"/>
        <v>0.43903273981525204</v>
      </c>
    </row>
    <row r="14480" spans="1:4">
      <c r="A14480" s="1">
        <v>39283</v>
      </c>
      <c r="B14480">
        <v>1534.1</v>
      </c>
      <c r="C14480">
        <f t="shared" si="472"/>
        <v>-1.2220877224611751E-2</v>
      </c>
      <c r="D14480">
        <f t="shared" si="471"/>
        <v>-1.323423977776464</v>
      </c>
    </row>
    <row r="14481" spans="1:4">
      <c r="A14481" s="1">
        <v>39286</v>
      </c>
      <c r="B14481">
        <v>1541.57</v>
      </c>
      <c r="C14481">
        <f t="shared" si="472"/>
        <v>4.8693044781957032E-3</v>
      </c>
      <c r="D14481">
        <f t="shared" si="471"/>
        <v>0.48129340080498595</v>
      </c>
    </row>
    <row r="14482" spans="1:4">
      <c r="A14482" s="1">
        <v>39287</v>
      </c>
      <c r="B14482">
        <v>1511.04</v>
      </c>
      <c r="C14482">
        <f t="shared" si="472"/>
        <v>-1.9804485037980744E-2</v>
      </c>
      <c r="D14482">
        <f t="shared" si="471"/>
        <v>-2.1242503850746854</v>
      </c>
    </row>
    <row r="14483" spans="1:4">
      <c r="A14483" s="1">
        <v>39288</v>
      </c>
      <c r="B14483">
        <v>1518.09</v>
      </c>
      <c r="C14483">
        <f t="shared" si="472"/>
        <v>4.6656607369758279E-3</v>
      </c>
      <c r="D14483">
        <f t="shared" si="471"/>
        <v>0.45978869095403807</v>
      </c>
    </row>
    <row r="14484" spans="1:4">
      <c r="A14484" s="1">
        <v>39289</v>
      </c>
      <c r="B14484">
        <v>1482.66</v>
      </c>
      <c r="C14484">
        <f t="shared" si="472"/>
        <v>-2.3338537240874941E-2</v>
      </c>
      <c r="D14484">
        <f t="shared" si="471"/>
        <v>-2.4974450964176018</v>
      </c>
    </row>
    <row r="14485" spans="1:4">
      <c r="A14485" s="1">
        <v>39290</v>
      </c>
      <c r="B14485">
        <v>1458.95</v>
      </c>
      <c r="C14485">
        <f t="shared" si="472"/>
        <v>-1.5991528738888237E-2</v>
      </c>
      <c r="D14485">
        <f t="shared" si="471"/>
        <v>-1.7216034959773365</v>
      </c>
    </row>
    <row r="14486" spans="1:4">
      <c r="A14486" s="1">
        <v>39293</v>
      </c>
      <c r="B14486">
        <v>1473.91</v>
      </c>
      <c r="C14486">
        <f t="shared" si="472"/>
        <v>1.0253949758387906E-2</v>
      </c>
      <c r="D14486">
        <f t="shared" si="471"/>
        <v>1.0499101120634209</v>
      </c>
    </row>
    <row r="14487" spans="1:4">
      <c r="A14487" s="1">
        <v>39294</v>
      </c>
      <c r="B14487">
        <v>1455.27</v>
      </c>
      <c r="C14487">
        <f t="shared" si="472"/>
        <v>-1.264663378360965E-2</v>
      </c>
      <c r="D14487">
        <f t="shared" si="471"/>
        <v>-1.3683837256849563</v>
      </c>
    </row>
    <row r="14488" spans="1:4">
      <c r="A14488" s="1">
        <v>39295</v>
      </c>
      <c r="B14488">
        <v>1465.81</v>
      </c>
      <c r="C14488">
        <f t="shared" si="472"/>
        <v>7.2426422588247981E-3</v>
      </c>
      <c r="D14488">
        <f t="shared" si="471"/>
        <v>0.73191706370270937</v>
      </c>
    </row>
    <row r="14489" spans="1:4">
      <c r="A14489" s="1">
        <v>39296</v>
      </c>
      <c r="B14489">
        <v>1472.2</v>
      </c>
      <c r="C14489">
        <f t="shared" si="472"/>
        <v>4.359364446961134E-3</v>
      </c>
      <c r="D14489">
        <f t="shared" si="471"/>
        <v>0.42744390684365408</v>
      </c>
    </row>
    <row r="14490" spans="1:4">
      <c r="A14490" s="1">
        <v>39297</v>
      </c>
      <c r="B14490">
        <v>1433.06</v>
      </c>
      <c r="C14490">
        <f t="shared" si="472"/>
        <v>-2.658606167640273E-2</v>
      </c>
      <c r="D14490">
        <f t="shared" si="471"/>
        <v>-2.8403825729221457</v>
      </c>
    </row>
    <row r="14491" spans="1:4">
      <c r="A14491" s="1">
        <v>39300</v>
      </c>
      <c r="B14491">
        <v>1467.67</v>
      </c>
      <c r="C14491">
        <f t="shared" si="472"/>
        <v>2.415111718978977E-2</v>
      </c>
      <c r="D14491">
        <f t="shared" si="471"/>
        <v>2.5174462689427264</v>
      </c>
    </row>
    <row r="14492" spans="1:4">
      <c r="A14492" s="1">
        <v>39301</v>
      </c>
      <c r="B14492">
        <v>1476.71</v>
      </c>
      <c r="C14492">
        <f t="shared" si="472"/>
        <v>6.159422758521986E-3</v>
      </c>
      <c r="D14492">
        <f t="shared" si="471"/>
        <v>0.61752945267493076</v>
      </c>
    </row>
    <row r="14493" spans="1:4">
      <c r="A14493" s="1">
        <v>39302</v>
      </c>
      <c r="B14493">
        <v>1497.49</v>
      </c>
      <c r="C14493">
        <f t="shared" si="472"/>
        <v>1.4071821820127155E-2</v>
      </c>
      <c r="D14493">
        <f t="shared" si="471"/>
        <v>1.4530761040253168</v>
      </c>
    </row>
    <row r="14494" spans="1:4">
      <c r="A14494" s="1">
        <v>39303</v>
      </c>
      <c r="B14494">
        <v>1453.09</v>
      </c>
      <c r="C14494">
        <f t="shared" si="472"/>
        <v>-2.9649613686902811E-2</v>
      </c>
      <c r="D14494">
        <f t="shared" si="471"/>
        <v>-3.163892623879029</v>
      </c>
    </row>
    <row r="14495" spans="1:4">
      <c r="A14495" s="1">
        <v>39304</v>
      </c>
      <c r="B14495">
        <v>1453.64</v>
      </c>
      <c r="C14495">
        <f t="shared" si="472"/>
        <v>3.7850374030526802E-4</v>
      </c>
      <c r="D14495">
        <f t="shared" si="471"/>
        <v>7.0663693810955235E-3</v>
      </c>
    </row>
    <row r="14496" spans="1:4">
      <c r="A14496" s="1">
        <v>39307</v>
      </c>
      <c r="B14496">
        <v>1452.92</v>
      </c>
      <c r="C14496">
        <f t="shared" si="472"/>
        <v>-4.9530832943509202E-4</v>
      </c>
      <c r="D14496">
        <f t="shared" si="471"/>
        <v>-8.5207888160332382E-2</v>
      </c>
    </row>
    <row r="14497" spans="1:4">
      <c r="A14497" s="1">
        <v>39308</v>
      </c>
      <c r="B14497">
        <v>1426.54</v>
      </c>
      <c r="C14497">
        <f t="shared" si="472"/>
        <v>-1.8156539933375623E-2</v>
      </c>
      <c r="D14497">
        <f t="shared" si="471"/>
        <v>-1.9502279421921429</v>
      </c>
    </row>
    <row r="14498" spans="1:4">
      <c r="A14498" s="1">
        <v>39309</v>
      </c>
      <c r="B14498">
        <v>1406.7</v>
      </c>
      <c r="C14498">
        <f t="shared" si="472"/>
        <v>-1.3907776858693004E-2</v>
      </c>
      <c r="D14498">
        <f t="shared" si="471"/>
        <v>-1.5015600057303986</v>
      </c>
    </row>
    <row r="14499" spans="1:4">
      <c r="A14499" s="1">
        <v>39310</v>
      </c>
      <c r="B14499">
        <v>1411.27</v>
      </c>
      <c r="C14499">
        <f t="shared" si="472"/>
        <v>3.2487381815596334E-3</v>
      </c>
      <c r="D14499">
        <f t="shared" si="471"/>
        <v>0.310162150737466</v>
      </c>
    </row>
    <row r="14500" spans="1:4">
      <c r="A14500" s="1">
        <v>39311</v>
      </c>
      <c r="B14500">
        <v>1445.94</v>
      </c>
      <c r="C14500">
        <f t="shared" si="472"/>
        <v>2.4566525186534165E-2</v>
      </c>
      <c r="D14500">
        <f t="shared" si="471"/>
        <v>2.5613132121948956</v>
      </c>
    </row>
    <row r="14501" spans="1:4">
      <c r="A14501" s="1">
        <v>39314</v>
      </c>
      <c r="B14501">
        <v>1445.55</v>
      </c>
      <c r="C14501">
        <f t="shared" si="472"/>
        <v>-2.6972073530028912E-4</v>
      </c>
      <c r="D14501">
        <f t="shared" si="471"/>
        <v>-6.1385914900646175E-2</v>
      </c>
    </row>
    <row r="14502" spans="1:4">
      <c r="A14502" s="1">
        <v>39315</v>
      </c>
      <c r="B14502">
        <v>1447.12</v>
      </c>
      <c r="C14502">
        <f t="shared" si="472"/>
        <v>1.0860917989692065E-3</v>
      </c>
      <c r="D14502">
        <f t="shared" si="471"/>
        <v>8.1787427855139982E-2</v>
      </c>
    </row>
    <row r="14503" spans="1:4">
      <c r="A14503" s="1">
        <v>39316</v>
      </c>
      <c r="B14503">
        <v>1464.07</v>
      </c>
      <c r="C14503">
        <f t="shared" si="472"/>
        <v>1.171291945381174E-2</v>
      </c>
      <c r="D14503">
        <f t="shared" si="471"/>
        <v>1.2039768159722823</v>
      </c>
    </row>
    <row r="14504" spans="1:4">
      <c r="A14504" s="1">
        <v>39317</v>
      </c>
      <c r="B14504">
        <v>1462.5</v>
      </c>
      <c r="C14504">
        <f t="shared" si="472"/>
        <v>-1.0723530978709601E-3</v>
      </c>
      <c r="D14504">
        <f t="shared" si="471"/>
        <v>-0.14614361956011296</v>
      </c>
    </row>
    <row r="14505" spans="1:4">
      <c r="A14505" s="1">
        <v>39318</v>
      </c>
      <c r="B14505">
        <v>1479.37</v>
      </c>
      <c r="C14505">
        <f t="shared" si="472"/>
        <v>1.1535042735042661E-2</v>
      </c>
      <c r="D14505">
        <f t="shared" si="471"/>
        <v>1.1851930949335019</v>
      </c>
    </row>
    <row r="14506" spans="1:4">
      <c r="A14506" s="1">
        <v>39321</v>
      </c>
      <c r="B14506">
        <v>1466.79</v>
      </c>
      <c r="C14506">
        <f t="shared" si="472"/>
        <v>-8.5036197840972355E-3</v>
      </c>
      <c r="D14506">
        <f t="shared" si="471"/>
        <v>-0.93088285561532846</v>
      </c>
    </row>
    <row r="14507" spans="1:4">
      <c r="A14507" s="1">
        <v>39322</v>
      </c>
      <c r="B14507">
        <v>1432.36</v>
      </c>
      <c r="C14507">
        <f t="shared" si="472"/>
        <v>-2.3473026131893497E-2</v>
      </c>
      <c r="D14507">
        <f t="shared" si="471"/>
        <v>-2.5116470775941662</v>
      </c>
    </row>
    <row r="14508" spans="1:4">
      <c r="A14508" s="1">
        <v>39323</v>
      </c>
      <c r="B14508">
        <v>1463.76</v>
      </c>
      <c r="C14508">
        <f t="shared" si="472"/>
        <v>2.1921863218743957E-2</v>
      </c>
      <c r="D14508">
        <f t="shared" si="471"/>
        <v>2.2820378073605307</v>
      </c>
    </row>
    <row r="14509" spans="1:4">
      <c r="A14509" s="1">
        <v>39324</v>
      </c>
      <c r="B14509">
        <v>1457.64</v>
      </c>
      <c r="C14509">
        <f t="shared" si="472"/>
        <v>-4.1810132808656414E-3</v>
      </c>
      <c r="D14509">
        <f t="shared" si="471"/>
        <v>-0.47441707819941348</v>
      </c>
    </row>
    <row r="14510" spans="1:4">
      <c r="A14510" s="1">
        <v>39325</v>
      </c>
      <c r="B14510">
        <v>1473.99</v>
      </c>
      <c r="C14510">
        <f t="shared" si="472"/>
        <v>1.1216761340248557E-2</v>
      </c>
      <c r="D14510">
        <f t="shared" si="471"/>
        <v>1.1515826878323474</v>
      </c>
    </row>
    <row r="14511" spans="1:4">
      <c r="A14511" s="1">
        <v>39329</v>
      </c>
      <c r="B14511">
        <v>1489.42</v>
      </c>
      <c r="C14511">
        <f t="shared" si="472"/>
        <v>1.0468184994470834E-2</v>
      </c>
      <c r="D14511">
        <f t="shared" si="471"/>
        <v>1.0725332801716829</v>
      </c>
    </row>
    <row r="14512" spans="1:4">
      <c r="A14512" s="1">
        <v>39330</v>
      </c>
      <c r="B14512">
        <v>1472.29</v>
      </c>
      <c r="C14512">
        <f t="shared" si="472"/>
        <v>-1.150112124182575E-2</v>
      </c>
      <c r="D14512">
        <f t="shared" si="471"/>
        <v>-1.2474179906512082</v>
      </c>
    </row>
    <row r="14513" spans="1:4">
      <c r="A14513" s="1">
        <v>39331</v>
      </c>
      <c r="B14513">
        <v>1478.55</v>
      </c>
      <c r="C14513">
        <f t="shared" si="472"/>
        <v>4.2518797247824754E-3</v>
      </c>
      <c r="D14513">
        <f t="shared" si="471"/>
        <v>0.41609355671741999</v>
      </c>
    </row>
    <row r="14514" spans="1:4">
      <c r="A14514" s="1">
        <v>39332</v>
      </c>
      <c r="B14514">
        <v>1453.55</v>
      </c>
      <c r="C14514">
        <f t="shared" si="472"/>
        <v>-1.6908457610496769E-2</v>
      </c>
      <c r="D14514">
        <f t="shared" si="471"/>
        <v>-1.8184308731399306</v>
      </c>
    </row>
    <row r="14515" spans="1:4">
      <c r="A14515" s="1">
        <v>39335</v>
      </c>
      <c r="B14515">
        <v>1451.7</v>
      </c>
      <c r="C14515">
        <f t="shared" si="472"/>
        <v>-1.2727460355680294E-3</v>
      </c>
      <c r="D14515">
        <f t="shared" si="471"/>
        <v>-0.16730504566405432</v>
      </c>
    </row>
    <row r="14516" spans="1:4">
      <c r="A14516" s="1">
        <v>39336</v>
      </c>
      <c r="B14516">
        <v>1471.49</v>
      </c>
      <c r="C14516">
        <f t="shared" si="472"/>
        <v>1.3632293173520674E-2</v>
      </c>
      <c r="D14516">
        <f t="shared" si="471"/>
        <v>1.4066620283467186</v>
      </c>
    </row>
    <row r="14517" spans="1:4">
      <c r="A14517" s="1">
        <v>39337</v>
      </c>
      <c r="B14517">
        <v>1471.56</v>
      </c>
      <c r="C14517">
        <f t="shared" si="472"/>
        <v>4.7570829567266057E-5</v>
      </c>
      <c r="D14517">
        <f t="shared" si="471"/>
        <v>-2.7880033503275538E-2</v>
      </c>
    </row>
    <row r="14518" spans="1:4">
      <c r="A14518" s="1">
        <v>39338</v>
      </c>
      <c r="B14518">
        <v>1483.95</v>
      </c>
      <c r="C14518">
        <f t="shared" si="472"/>
        <v>8.4196363043301664E-3</v>
      </c>
      <c r="D14518">
        <f t="shared" si="471"/>
        <v>0.85620723482836147</v>
      </c>
    </row>
    <row r="14519" spans="1:4">
      <c r="A14519" s="1">
        <v>39339</v>
      </c>
      <c r="B14519">
        <v>1484.25</v>
      </c>
      <c r="C14519">
        <f t="shared" si="472"/>
        <v>2.0216314565851579E-4</v>
      </c>
      <c r="D14519">
        <f t="shared" si="471"/>
        <v>-1.1555137472521005E-2</v>
      </c>
    </row>
    <row r="14520" spans="1:4">
      <c r="A14520" s="1">
        <v>39342</v>
      </c>
      <c r="B14520">
        <v>1476.65</v>
      </c>
      <c r="C14520">
        <f t="shared" si="472"/>
        <v>-5.1204311942057669E-3</v>
      </c>
      <c r="D14520">
        <f t="shared" si="471"/>
        <v>-0.57361929052446681</v>
      </c>
    </row>
    <row r="14521" spans="1:4">
      <c r="A14521" s="1">
        <v>39343</v>
      </c>
      <c r="B14521">
        <v>1519.78</v>
      </c>
      <c r="C14521">
        <f t="shared" si="472"/>
        <v>2.9208004605018035E-2</v>
      </c>
      <c r="D14521">
        <f t="shared" si="471"/>
        <v>3.0514518610712806</v>
      </c>
    </row>
    <row r="14522" spans="1:4">
      <c r="A14522" s="1">
        <v>39344</v>
      </c>
      <c r="B14522">
        <v>1529.03</v>
      </c>
      <c r="C14522">
        <f t="shared" si="472"/>
        <v>6.0864072431536147E-3</v>
      </c>
      <c r="D14522">
        <f t="shared" si="471"/>
        <v>0.60981903907121027</v>
      </c>
    </row>
    <row r="14523" spans="1:4">
      <c r="A14523" s="1">
        <v>39345</v>
      </c>
      <c r="B14523">
        <v>1518.75</v>
      </c>
      <c r="C14523">
        <f t="shared" si="472"/>
        <v>-6.7232166798558389E-3</v>
      </c>
      <c r="D14523">
        <f t="shared" si="471"/>
        <v>-0.74287289299585679</v>
      </c>
    </row>
    <row r="14524" spans="1:4">
      <c r="A14524" s="1">
        <v>39346</v>
      </c>
      <c r="B14524">
        <v>1525.75</v>
      </c>
      <c r="C14524">
        <f t="shared" si="472"/>
        <v>4.6090534979423871E-3</v>
      </c>
      <c r="D14524">
        <f t="shared" si="471"/>
        <v>0.45381098575384216</v>
      </c>
    </row>
    <row r="14525" spans="1:4">
      <c r="A14525" s="1">
        <v>39349</v>
      </c>
      <c r="B14525">
        <v>1517.73</v>
      </c>
      <c r="C14525">
        <f t="shared" si="472"/>
        <v>-5.2564312633131124E-3</v>
      </c>
      <c r="D14525">
        <f t="shared" si="471"/>
        <v>-0.58798085159353286</v>
      </c>
    </row>
    <row r="14526" spans="1:4">
      <c r="A14526" s="1">
        <v>39350</v>
      </c>
      <c r="B14526">
        <v>1517.21</v>
      </c>
      <c r="C14526">
        <f t="shared" si="472"/>
        <v>-3.4261693450085443E-4</v>
      </c>
      <c r="D14526">
        <f t="shared" si="471"/>
        <v>-6.9083728757603838E-2</v>
      </c>
    </row>
    <row r="14527" spans="1:4">
      <c r="A14527" s="1">
        <v>39351</v>
      </c>
      <c r="B14527">
        <v>1525.42</v>
      </c>
      <c r="C14527">
        <f t="shared" si="472"/>
        <v>5.4112482780894113E-3</v>
      </c>
      <c r="D14527">
        <f t="shared" si="471"/>
        <v>0.53852248185811336</v>
      </c>
    </row>
    <row r="14528" spans="1:4">
      <c r="A14528" s="1">
        <v>39352</v>
      </c>
      <c r="B14528">
        <v>1531.38</v>
      </c>
      <c r="C14528">
        <f t="shared" si="472"/>
        <v>3.9071206618505301E-3</v>
      </c>
      <c r="D14528">
        <f t="shared" si="471"/>
        <v>0.37968711686110601</v>
      </c>
    </row>
    <row r="14529" spans="1:4">
      <c r="A14529" s="1">
        <v>39353</v>
      </c>
      <c r="B14529">
        <v>1526.75</v>
      </c>
      <c r="C14529">
        <f t="shared" si="472"/>
        <v>-3.023416787472808E-3</v>
      </c>
      <c r="D14529">
        <f t="shared" si="471"/>
        <v>-0.35217528198329684</v>
      </c>
    </row>
    <row r="14530" spans="1:4">
      <c r="A14530" s="1">
        <v>39356</v>
      </c>
      <c r="B14530">
        <v>1547.04</v>
      </c>
      <c r="C14530">
        <f t="shared" si="472"/>
        <v>1.3289667594563591E-2</v>
      </c>
      <c r="D14530">
        <f t="shared" si="471"/>
        <v>1.3704808836729436</v>
      </c>
    </row>
    <row r="14531" spans="1:4">
      <c r="A14531" s="1">
        <v>39357</v>
      </c>
      <c r="B14531">
        <v>1546.63</v>
      </c>
      <c r="C14531">
        <f t="shared" si="472"/>
        <v>-2.6502223601190307E-4</v>
      </c>
      <c r="D14531">
        <f t="shared" ref="D14531:D14594" si="473">(C14531-avg)/sd</f>
        <v>-6.0889754972890113E-2</v>
      </c>
    </row>
    <row r="14532" spans="1:4">
      <c r="A14532" s="1">
        <v>39358</v>
      </c>
      <c r="B14532">
        <v>1539.59</v>
      </c>
      <c r="C14532">
        <f t="shared" ref="C14532:C14595" si="474">(B14532-B14531)/B14531</f>
        <v>-4.5518320477426341E-3</v>
      </c>
      <c r="D14532">
        <f t="shared" si="473"/>
        <v>-0.5135754139342007</v>
      </c>
    </row>
    <row r="14533" spans="1:4">
      <c r="A14533" s="1">
        <v>39359</v>
      </c>
      <c r="B14533">
        <v>1542.84</v>
      </c>
      <c r="C14533">
        <f t="shared" si="474"/>
        <v>2.1109516169889389E-3</v>
      </c>
      <c r="D14533">
        <f t="shared" si="473"/>
        <v>0.19001227627124531</v>
      </c>
    </row>
    <row r="14534" spans="1:4">
      <c r="A14534" s="1">
        <v>39360</v>
      </c>
      <c r="B14534">
        <v>1557.59</v>
      </c>
      <c r="C14534">
        <f t="shared" si="474"/>
        <v>9.5602914106453045E-3</v>
      </c>
      <c r="D14534">
        <f t="shared" si="473"/>
        <v>0.97666002632773075</v>
      </c>
    </row>
    <row r="14535" spans="1:4">
      <c r="A14535" s="1">
        <v>39363</v>
      </c>
      <c r="B14535">
        <v>1552.58</v>
      </c>
      <c r="C14535">
        <f t="shared" si="474"/>
        <v>-3.2165075533355961E-3</v>
      </c>
      <c r="D14535">
        <f t="shared" si="473"/>
        <v>-0.37256560122366689</v>
      </c>
    </row>
    <row r="14536" spans="1:4">
      <c r="A14536" s="1">
        <v>39364</v>
      </c>
      <c r="B14536">
        <v>1565.15</v>
      </c>
      <c r="C14536">
        <f t="shared" si="474"/>
        <v>8.0962011619370115E-3</v>
      </c>
      <c r="D14536">
        <f t="shared" si="473"/>
        <v>0.82205259373259087</v>
      </c>
    </row>
    <row r="14537" spans="1:4">
      <c r="A14537" s="1">
        <v>39365</v>
      </c>
      <c r="B14537">
        <v>1562.47</v>
      </c>
      <c r="C14537">
        <f t="shared" si="474"/>
        <v>-1.7122959460754966E-3</v>
      </c>
      <c r="D14537">
        <f t="shared" si="473"/>
        <v>-0.21372136680336881</v>
      </c>
    </row>
    <row r="14538" spans="1:4">
      <c r="A14538" s="1">
        <v>39366</v>
      </c>
      <c r="B14538">
        <v>1554.41</v>
      </c>
      <c r="C14538">
        <f t="shared" si="474"/>
        <v>-5.1584990431815941E-3</v>
      </c>
      <c r="D14538">
        <f t="shared" si="473"/>
        <v>-0.57763924243642362</v>
      </c>
    </row>
    <row r="14539" spans="1:4">
      <c r="A14539" s="1">
        <v>39367</v>
      </c>
      <c r="B14539">
        <v>1561.8</v>
      </c>
      <c r="C14539">
        <f t="shared" si="474"/>
        <v>4.7542154257884809E-3</v>
      </c>
      <c r="D14539">
        <f t="shared" si="473"/>
        <v>0.46914003599145293</v>
      </c>
    </row>
    <row r="14540" spans="1:4">
      <c r="A14540" s="1">
        <v>39370</v>
      </c>
      <c r="B14540">
        <v>1548.71</v>
      </c>
      <c r="C14540">
        <f t="shared" si="474"/>
        <v>-8.3813548469713912E-3</v>
      </c>
      <c r="D14540">
        <f t="shared" si="473"/>
        <v>-0.91797171981471071</v>
      </c>
    </row>
    <row r="14541" spans="1:4">
      <c r="A14541" s="1">
        <v>39371</v>
      </c>
      <c r="B14541">
        <v>1538.53</v>
      </c>
      <c r="C14541">
        <f t="shared" si="474"/>
        <v>-6.5732125446339622E-3</v>
      </c>
      <c r="D14541">
        <f t="shared" si="473"/>
        <v>-0.72703250730530955</v>
      </c>
    </row>
    <row r="14542" spans="1:4">
      <c r="A14542" s="1">
        <v>39372</v>
      </c>
      <c r="B14542">
        <v>1541.24</v>
      </c>
      <c r="C14542">
        <f t="shared" si="474"/>
        <v>1.7614216167380788E-3</v>
      </c>
      <c r="D14542">
        <f t="shared" si="473"/>
        <v>0.1531020270557743</v>
      </c>
    </row>
    <row r="14543" spans="1:4">
      <c r="A14543" s="1">
        <v>39373</v>
      </c>
      <c r="B14543">
        <v>1540.08</v>
      </c>
      <c r="C14543">
        <f t="shared" si="474"/>
        <v>-7.5264073084015592E-4</v>
      </c>
      <c r="D14543">
        <f t="shared" si="473"/>
        <v>-0.11238210227717386</v>
      </c>
    </row>
    <row r="14544" spans="1:4">
      <c r="A14544" s="1">
        <v>39374</v>
      </c>
      <c r="B14544">
        <v>1500.63</v>
      </c>
      <c r="C14544">
        <f t="shared" si="474"/>
        <v>-2.5615552438834229E-2</v>
      </c>
      <c r="D14544">
        <f t="shared" si="473"/>
        <v>-2.7378971273270305</v>
      </c>
    </row>
    <row r="14545" spans="1:4">
      <c r="A14545" s="1">
        <v>39377</v>
      </c>
      <c r="B14545">
        <v>1506.33</v>
      </c>
      <c r="C14545">
        <f t="shared" si="474"/>
        <v>3.7984046700384622E-3</v>
      </c>
      <c r="D14545">
        <f t="shared" si="473"/>
        <v>0.36820674508011281</v>
      </c>
    </row>
    <row r="14546" spans="1:4">
      <c r="A14546" s="1">
        <v>39378</v>
      </c>
      <c r="B14546">
        <v>1519.59</v>
      </c>
      <c r="C14546">
        <f t="shared" si="474"/>
        <v>8.8028519647089225E-3</v>
      </c>
      <c r="D14546">
        <f t="shared" si="473"/>
        <v>0.89667467830302605</v>
      </c>
    </row>
    <row r="14547" spans="1:4">
      <c r="A14547" s="1">
        <v>39379</v>
      </c>
      <c r="B14547">
        <v>1515.88</v>
      </c>
      <c r="C14547">
        <f t="shared" si="474"/>
        <v>-2.4414480221637475E-3</v>
      </c>
      <c r="D14547">
        <f t="shared" si="473"/>
        <v>-0.29071957818745497</v>
      </c>
    </row>
    <row r="14548" spans="1:4">
      <c r="A14548" s="1">
        <v>39380</v>
      </c>
      <c r="B14548">
        <v>1514.4</v>
      </c>
      <c r="C14548">
        <f t="shared" si="474"/>
        <v>-9.7633058025702437E-4</v>
      </c>
      <c r="D14548">
        <f t="shared" si="473"/>
        <v>-0.13600367433972096</v>
      </c>
    </row>
    <row r="14549" spans="1:4">
      <c r="A14549" s="1">
        <v>39381</v>
      </c>
      <c r="B14549">
        <v>1535.28</v>
      </c>
      <c r="C14549">
        <f t="shared" si="474"/>
        <v>1.3787638668779635E-2</v>
      </c>
      <c r="D14549">
        <f t="shared" si="473"/>
        <v>1.4230664598415654</v>
      </c>
    </row>
    <row r="14550" spans="1:4">
      <c r="A14550" s="1">
        <v>39384</v>
      </c>
      <c r="B14550">
        <v>1540.98</v>
      </c>
      <c r="C14550">
        <f t="shared" si="474"/>
        <v>3.7126778177270893E-3</v>
      </c>
      <c r="D14550">
        <f t="shared" si="473"/>
        <v>0.35915401861600477</v>
      </c>
    </row>
    <row r="14551" spans="1:4">
      <c r="A14551" s="1">
        <v>39385</v>
      </c>
      <c r="B14551">
        <v>1531.02</v>
      </c>
      <c r="C14551">
        <f t="shared" si="474"/>
        <v>-6.4634193824709184E-3</v>
      </c>
      <c r="D14551">
        <f t="shared" si="473"/>
        <v>-0.71543838670140125</v>
      </c>
    </row>
    <row r="14552" spans="1:4">
      <c r="A14552" s="1">
        <v>39386</v>
      </c>
      <c r="B14552">
        <v>1549.38</v>
      </c>
      <c r="C14552">
        <f t="shared" si="474"/>
        <v>1.1992005329780229E-2</v>
      </c>
      <c r="D14552">
        <f t="shared" si="473"/>
        <v>1.2334481896086562</v>
      </c>
    </row>
    <row r="14553" spans="1:4">
      <c r="A14553" s="1">
        <v>39387</v>
      </c>
      <c r="B14553">
        <v>1508.44</v>
      </c>
      <c r="C14553">
        <f t="shared" si="474"/>
        <v>-2.6423472614852426E-2</v>
      </c>
      <c r="D14553">
        <f t="shared" si="473"/>
        <v>-2.8232132232891409</v>
      </c>
    </row>
    <row r="14554" spans="1:4">
      <c r="A14554" s="1">
        <v>39388</v>
      </c>
      <c r="B14554">
        <v>1509.65</v>
      </c>
      <c r="C14554">
        <f t="shared" si="474"/>
        <v>8.0215321789400731E-4</v>
      </c>
      <c r="D14554">
        <f t="shared" si="473"/>
        <v>5.1803610209012092E-2</v>
      </c>
    </row>
    <row r="14555" spans="1:4">
      <c r="A14555" s="1">
        <v>39391</v>
      </c>
      <c r="B14555">
        <v>1502.17</v>
      </c>
      <c r="C14555">
        <f t="shared" si="474"/>
        <v>-4.9547908455602413E-3</v>
      </c>
      <c r="D14555">
        <f t="shared" si="473"/>
        <v>-0.55612772601138949</v>
      </c>
    </row>
    <row r="14556" spans="1:4">
      <c r="A14556" s="1">
        <v>39392</v>
      </c>
      <c r="B14556">
        <v>1520.27</v>
      </c>
      <c r="C14556">
        <f t="shared" si="474"/>
        <v>1.204923543939761E-2</v>
      </c>
      <c r="D14556">
        <f t="shared" si="473"/>
        <v>1.2394916697307923</v>
      </c>
    </row>
    <row r="14557" spans="1:4">
      <c r="A14557" s="1">
        <v>39393</v>
      </c>
      <c r="B14557">
        <v>1475.62</v>
      </c>
      <c r="C14557">
        <f t="shared" si="474"/>
        <v>-2.9369782999072593E-2</v>
      </c>
      <c r="D14557">
        <f t="shared" si="473"/>
        <v>-3.1343425983632303</v>
      </c>
    </row>
    <row r="14558" spans="1:4">
      <c r="A14558" s="1">
        <v>39394</v>
      </c>
      <c r="B14558">
        <v>1474.77</v>
      </c>
      <c r="C14558">
        <f t="shared" si="474"/>
        <v>-5.7602905897176046E-4</v>
      </c>
      <c r="D14558">
        <f t="shared" si="473"/>
        <v>-9.3731969761095435E-2</v>
      </c>
    </row>
    <row r="14559" spans="1:4">
      <c r="A14559" s="1">
        <v>39395</v>
      </c>
      <c r="B14559">
        <v>1453.7</v>
      </c>
      <c r="C14559">
        <f t="shared" si="474"/>
        <v>-1.4286973561979112E-2</v>
      </c>
      <c r="D14559">
        <f t="shared" si="473"/>
        <v>-1.5416030487021894</v>
      </c>
    </row>
    <row r="14560" spans="1:4">
      <c r="A14560" s="1">
        <v>39398</v>
      </c>
      <c r="B14560">
        <v>1439.18</v>
      </c>
      <c r="C14560">
        <f t="shared" si="474"/>
        <v>-9.988305702689675E-3</v>
      </c>
      <c r="D14560">
        <f t="shared" si="473"/>
        <v>-1.0876651839494258</v>
      </c>
    </row>
    <row r="14561" spans="1:4">
      <c r="A14561" s="1">
        <v>39399</v>
      </c>
      <c r="B14561">
        <v>1481.05</v>
      </c>
      <c r="C14561">
        <f t="shared" si="474"/>
        <v>2.9092955710890846E-2</v>
      </c>
      <c r="D14561">
        <f t="shared" si="473"/>
        <v>3.0393027369584686</v>
      </c>
    </row>
    <row r="14562" spans="1:4">
      <c r="A14562" s="1">
        <v>39400</v>
      </c>
      <c r="B14562">
        <v>1470.58</v>
      </c>
      <c r="C14562">
        <f t="shared" si="474"/>
        <v>-7.069308936227695E-3</v>
      </c>
      <c r="D14562">
        <f t="shared" si="473"/>
        <v>-0.77942011762625085</v>
      </c>
    </row>
    <row r="14563" spans="1:4">
      <c r="A14563" s="1">
        <v>39401</v>
      </c>
      <c r="B14563">
        <v>1451.15</v>
      </c>
      <c r="C14563">
        <f t="shared" si="474"/>
        <v>-1.3212473989854232E-2</v>
      </c>
      <c r="D14563">
        <f t="shared" si="473"/>
        <v>-1.4281362591259528</v>
      </c>
    </row>
    <row r="14564" spans="1:4">
      <c r="A14564" s="1">
        <v>39402</v>
      </c>
      <c r="B14564">
        <v>1458.74</v>
      </c>
      <c r="C14564">
        <f t="shared" si="474"/>
        <v>5.230334562243681E-3</v>
      </c>
      <c r="D14564">
        <f t="shared" si="473"/>
        <v>0.51941805496036419</v>
      </c>
    </row>
    <row r="14565" spans="1:4">
      <c r="A14565" s="1">
        <v>39405</v>
      </c>
      <c r="B14565">
        <v>1433.27</v>
      </c>
      <c r="C14565">
        <f t="shared" si="474"/>
        <v>-1.7460273935039846E-2</v>
      </c>
      <c r="D14565">
        <f t="shared" si="473"/>
        <v>-1.8767024894401971</v>
      </c>
    </row>
    <row r="14566" spans="1:4">
      <c r="A14566" s="1">
        <v>39406</v>
      </c>
      <c r="B14566">
        <v>1439.7</v>
      </c>
      <c r="C14566">
        <f t="shared" si="474"/>
        <v>4.4862447410467417E-3</v>
      </c>
      <c r="D14566">
        <f t="shared" si="473"/>
        <v>0.44084242277038677</v>
      </c>
    </row>
    <row r="14567" spans="1:4">
      <c r="A14567" s="1">
        <v>39407</v>
      </c>
      <c r="B14567">
        <v>1416.77</v>
      </c>
      <c r="C14567">
        <f t="shared" si="474"/>
        <v>-1.5926929221365606E-2</v>
      </c>
      <c r="D14567">
        <f t="shared" si="473"/>
        <v>-1.7147818088853897</v>
      </c>
    </row>
    <row r="14568" spans="1:4">
      <c r="A14568" s="1">
        <v>39409</v>
      </c>
      <c r="B14568">
        <v>1440.7</v>
      </c>
      <c r="C14568">
        <f t="shared" si="474"/>
        <v>1.6890532690556733E-2</v>
      </c>
      <c r="D14568">
        <f t="shared" si="473"/>
        <v>1.7507310138163024</v>
      </c>
    </row>
    <row r="14569" spans="1:4">
      <c r="A14569" s="1">
        <v>39412</v>
      </c>
      <c r="B14569">
        <v>1407.22</v>
      </c>
      <c r="C14569">
        <f t="shared" si="474"/>
        <v>-2.3238703408065536E-2</v>
      </c>
      <c r="D14569">
        <f t="shared" si="473"/>
        <v>-2.4869026776080974</v>
      </c>
    </row>
    <row r="14570" spans="1:4">
      <c r="A14570" s="1">
        <v>39413</v>
      </c>
      <c r="B14570">
        <v>1428.23</v>
      </c>
      <c r="C14570">
        <f t="shared" si="474"/>
        <v>1.4930145961541188E-2</v>
      </c>
      <c r="D14570">
        <f t="shared" si="473"/>
        <v>1.5437148416000872</v>
      </c>
    </row>
    <row r="14571" spans="1:4">
      <c r="A14571" s="1">
        <v>39414</v>
      </c>
      <c r="B14571">
        <v>1469.02</v>
      </c>
      <c r="C14571">
        <f t="shared" si="474"/>
        <v>2.8559825798365784E-2</v>
      </c>
      <c r="D14571">
        <f t="shared" si="473"/>
        <v>2.9830043994154845</v>
      </c>
    </row>
    <row r="14572" spans="1:4">
      <c r="A14572" s="1">
        <v>39415</v>
      </c>
      <c r="B14572">
        <v>1469.72</v>
      </c>
      <c r="C14572">
        <f t="shared" si="474"/>
        <v>4.7650814828936673E-4</v>
      </c>
      <c r="D14572">
        <f t="shared" si="473"/>
        <v>1.7415601550899464E-2</v>
      </c>
    </row>
    <row r="14573" spans="1:4">
      <c r="A14573" s="1">
        <v>39416</v>
      </c>
      <c r="B14573">
        <v>1481.14</v>
      </c>
      <c r="C14573">
        <f t="shared" si="474"/>
        <v>7.7701875187110962E-3</v>
      </c>
      <c r="D14573">
        <f t="shared" si="473"/>
        <v>0.78762566382535593</v>
      </c>
    </row>
    <row r="14574" spans="1:4">
      <c r="A14574" s="1">
        <v>39419</v>
      </c>
      <c r="B14574">
        <v>1472.42</v>
      </c>
      <c r="C14574">
        <f t="shared" si="474"/>
        <v>-5.8873570357967694E-3</v>
      </c>
      <c r="D14574">
        <f t="shared" si="473"/>
        <v>-0.6546063987057168</v>
      </c>
    </row>
    <row r="14575" spans="1:4">
      <c r="A14575" s="1">
        <v>39420</v>
      </c>
      <c r="B14575">
        <v>1462.79</v>
      </c>
      <c r="C14575">
        <f t="shared" si="474"/>
        <v>-6.5402534602899366E-3</v>
      </c>
      <c r="D14575">
        <f t="shared" si="473"/>
        <v>-0.72355203920191757</v>
      </c>
    </row>
    <row r="14576" spans="1:4">
      <c r="A14576" s="1">
        <v>39421</v>
      </c>
      <c r="B14576">
        <v>1485.01</v>
      </c>
      <c r="C14576">
        <f t="shared" si="474"/>
        <v>1.5190150329165517E-2</v>
      </c>
      <c r="D14576">
        <f t="shared" si="473"/>
        <v>1.5711712144414378</v>
      </c>
    </row>
    <row r="14577" spans="1:4">
      <c r="A14577" s="1">
        <v>39422</v>
      </c>
      <c r="B14577">
        <v>1507.34</v>
      </c>
      <c r="C14577">
        <f t="shared" si="474"/>
        <v>1.5036935778210199E-2</v>
      </c>
      <c r="D14577">
        <f t="shared" si="473"/>
        <v>1.5549918099407125</v>
      </c>
    </row>
    <row r="14578" spans="1:4">
      <c r="A14578" s="1">
        <v>39423</v>
      </c>
      <c r="B14578">
        <v>1504.66</v>
      </c>
      <c r="C14578">
        <f t="shared" si="474"/>
        <v>-1.7779664840048273E-3</v>
      </c>
      <c r="D14578">
        <f t="shared" si="473"/>
        <v>-0.22065615328620569</v>
      </c>
    </row>
    <row r="14579" spans="1:4">
      <c r="A14579" s="1">
        <v>39426</v>
      </c>
      <c r="B14579">
        <v>1515.96</v>
      </c>
      <c r="C14579">
        <f t="shared" si="474"/>
        <v>7.510002259646667E-3</v>
      </c>
      <c r="D14579">
        <f t="shared" si="473"/>
        <v>0.76015018890941888</v>
      </c>
    </row>
    <row r="14580" spans="1:4">
      <c r="A14580" s="1">
        <v>39427</v>
      </c>
      <c r="B14580">
        <v>1477.65</v>
      </c>
      <c r="C14580">
        <f t="shared" si="474"/>
        <v>-2.5271115332858349E-2</v>
      </c>
      <c r="D14580">
        <f t="shared" si="473"/>
        <v>-2.7015246860158384</v>
      </c>
    </row>
    <row r="14581" spans="1:4">
      <c r="A14581" s="1">
        <v>39428</v>
      </c>
      <c r="B14581">
        <v>1486.59</v>
      </c>
      <c r="C14581">
        <f t="shared" si="474"/>
        <v>6.0501471931782404E-3</v>
      </c>
      <c r="D14581">
        <f t="shared" si="473"/>
        <v>0.60598999011920063</v>
      </c>
    </row>
    <row r="14582" spans="1:4">
      <c r="A14582" s="1">
        <v>39429</v>
      </c>
      <c r="B14582">
        <v>1488.41</v>
      </c>
      <c r="C14582">
        <f t="shared" si="474"/>
        <v>1.2242783820691407E-3</v>
      </c>
      <c r="D14582">
        <f t="shared" si="473"/>
        <v>9.63798840585912E-2</v>
      </c>
    </row>
    <row r="14583" spans="1:4">
      <c r="A14583" s="1">
        <v>39430</v>
      </c>
      <c r="B14583">
        <v>1467.95</v>
      </c>
      <c r="C14583">
        <f t="shared" si="474"/>
        <v>-1.3746212401152931E-2</v>
      </c>
      <c r="D14583">
        <f t="shared" si="473"/>
        <v>-1.4844988539325943</v>
      </c>
    </row>
    <row r="14584" spans="1:4">
      <c r="A14584" s="1">
        <v>39433</v>
      </c>
      <c r="B14584">
        <v>1445.9</v>
      </c>
      <c r="C14584">
        <f t="shared" si="474"/>
        <v>-1.5020947579958414E-2</v>
      </c>
      <c r="D14584">
        <f t="shared" si="473"/>
        <v>-1.6191104555109128</v>
      </c>
    </row>
    <row r="14585" spans="1:4">
      <c r="A14585" s="1">
        <v>39434</v>
      </c>
      <c r="B14585">
        <v>1454.98</v>
      </c>
      <c r="C14585">
        <f t="shared" si="474"/>
        <v>6.2798257140880605E-3</v>
      </c>
      <c r="D14585">
        <f t="shared" si="473"/>
        <v>0.6302439638557551</v>
      </c>
    </row>
    <row r="14586" spans="1:4">
      <c r="A14586" s="1">
        <v>39435</v>
      </c>
      <c r="B14586">
        <v>1453</v>
      </c>
      <c r="C14586">
        <f t="shared" si="474"/>
        <v>-1.3608434480199166E-3</v>
      </c>
      <c r="D14586">
        <f t="shared" si="473"/>
        <v>-0.17660810247320813</v>
      </c>
    </row>
    <row r="14587" spans="1:4">
      <c r="A14587" s="1">
        <v>39436</v>
      </c>
      <c r="B14587">
        <v>1460.12</v>
      </c>
      <c r="C14587">
        <f t="shared" si="474"/>
        <v>4.9002064693736344E-3</v>
      </c>
      <c r="D14587">
        <f t="shared" si="473"/>
        <v>0.48455664056927833</v>
      </c>
    </row>
    <row r="14588" spans="1:4">
      <c r="A14588" s="1">
        <v>39437</v>
      </c>
      <c r="B14588">
        <v>1484.46</v>
      </c>
      <c r="C14588">
        <f t="shared" si="474"/>
        <v>1.6669862751006868E-2</v>
      </c>
      <c r="D14588">
        <f t="shared" si="473"/>
        <v>1.7274283432091935</v>
      </c>
    </row>
    <row r="14589" spans="1:4">
      <c r="A14589" s="1">
        <v>39440</v>
      </c>
      <c r="B14589">
        <v>1496.45</v>
      </c>
      <c r="C14589">
        <f t="shared" si="474"/>
        <v>8.0770111690446414E-3</v>
      </c>
      <c r="D14589">
        <f t="shared" si="473"/>
        <v>0.82002613700615212</v>
      </c>
    </row>
    <row r="14590" spans="1:4">
      <c r="A14590" s="1">
        <v>39442</v>
      </c>
      <c r="B14590">
        <v>1497.66</v>
      </c>
      <c r="C14590">
        <f t="shared" si="474"/>
        <v>8.0858030672594232E-4</v>
      </c>
      <c r="D14590">
        <f t="shared" si="473"/>
        <v>5.2482308604990799E-2</v>
      </c>
    </row>
    <row r="14591" spans="1:4">
      <c r="A14591" s="1">
        <v>39443</v>
      </c>
      <c r="B14591">
        <v>1476.27</v>
      </c>
      <c r="C14591">
        <f t="shared" si="474"/>
        <v>-1.4282280357357544E-2</v>
      </c>
      <c r="D14591">
        <f t="shared" si="473"/>
        <v>-1.5411074478894495</v>
      </c>
    </row>
    <row r="14592" spans="1:4">
      <c r="A14592" s="1">
        <v>39444</v>
      </c>
      <c r="B14592">
        <v>1478.49</v>
      </c>
      <c r="C14592">
        <f t="shared" si="474"/>
        <v>1.5037899571216833E-3</v>
      </c>
      <c r="D14592">
        <f t="shared" si="473"/>
        <v>0.12589621137353901</v>
      </c>
    </row>
    <row r="14593" spans="1:4">
      <c r="A14593" s="1">
        <v>39447</v>
      </c>
      <c r="B14593">
        <v>1468.36</v>
      </c>
      <c r="C14593">
        <f t="shared" si="474"/>
        <v>-6.8515850631388165E-3</v>
      </c>
      <c r="D14593">
        <f t="shared" si="473"/>
        <v>-0.75642855063600567</v>
      </c>
    </row>
    <row r="14594" spans="1:4">
      <c r="A14594" s="1">
        <v>39449</v>
      </c>
      <c r="B14594">
        <v>1447.16</v>
      </c>
      <c r="C14594">
        <f t="shared" si="474"/>
        <v>-1.443787627012437E-2</v>
      </c>
      <c r="D14594">
        <f t="shared" si="473"/>
        <v>-1.5575383233880058</v>
      </c>
    </row>
    <row r="14595" spans="1:4">
      <c r="A14595" s="1">
        <v>39450</v>
      </c>
      <c r="B14595">
        <v>1447.16</v>
      </c>
      <c r="C14595">
        <f t="shared" si="474"/>
        <v>0</v>
      </c>
      <c r="D14595">
        <f t="shared" ref="D14595:D14658" si="475">(C14595-avg)/sd</f>
        <v>-3.29034969354682E-2</v>
      </c>
    </row>
    <row r="14596" spans="1:4">
      <c r="A14596" s="1">
        <v>39451</v>
      </c>
      <c r="B14596">
        <v>1411.63</v>
      </c>
      <c r="C14596">
        <f t="shared" ref="C14596:C14659" si="476">(B14596-B14595)/B14595</f>
        <v>-2.4551535421100619E-2</v>
      </c>
      <c r="D14596">
        <f t="shared" si="475"/>
        <v>-2.6255372919313182</v>
      </c>
    </row>
    <row r="14597" spans="1:4">
      <c r="A14597" s="1">
        <v>39454</v>
      </c>
      <c r="B14597">
        <v>1416.18</v>
      </c>
      <c r="C14597">
        <f t="shared" si="476"/>
        <v>3.223224215977242E-3</v>
      </c>
      <c r="D14597">
        <f t="shared" si="475"/>
        <v>0.30746788464458374</v>
      </c>
    </row>
    <row r="14598" spans="1:4">
      <c r="A14598" s="1">
        <v>39455</v>
      </c>
      <c r="B14598">
        <v>1390.19</v>
      </c>
      <c r="C14598">
        <f t="shared" si="476"/>
        <v>-1.835218686890085E-2</v>
      </c>
      <c r="D14598">
        <f t="shared" si="475"/>
        <v>-1.9708881920799823</v>
      </c>
    </row>
    <row r="14599" spans="1:4">
      <c r="A14599" s="1">
        <v>39456</v>
      </c>
      <c r="B14599">
        <v>1409.13</v>
      </c>
      <c r="C14599">
        <f t="shared" si="476"/>
        <v>1.3624037002136437E-2</v>
      </c>
      <c r="D14599">
        <f t="shared" si="475"/>
        <v>1.4057901794549521</v>
      </c>
    </row>
    <row r="14600" spans="1:4">
      <c r="A14600" s="1">
        <v>39457</v>
      </c>
      <c r="B14600">
        <v>1420.33</v>
      </c>
      <c r="C14600">
        <f t="shared" si="476"/>
        <v>7.9481665992490527E-3</v>
      </c>
      <c r="D14600">
        <f t="shared" si="475"/>
        <v>0.80642019423213518</v>
      </c>
    </row>
    <row r="14601" spans="1:4">
      <c r="A14601" s="1">
        <v>39458</v>
      </c>
      <c r="B14601">
        <v>1401.02</v>
      </c>
      <c r="C14601">
        <f t="shared" si="476"/>
        <v>-1.3595432047481886E-2</v>
      </c>
      <c r="D14601">
        <f t="shared" si="475"/>
        <v>-1.4685764998376645</v>
      </c>
    </row>
    <row r="14602" spans="1:4">
      <c r="A14602" s="1">
        <v>39461</v>
      </c>
      <c r="B14602">
        <v>1416.25</v>
      </c>
      <c r="C14602">
        <f t="shared" si="476"/>
        <v>1.0870651382564146E-2</v>
      </c>
      <c r="D14602">
        <f t="shared" si="475"/>
        <v>1.1150335939493643</v>
      </c>
    </row>
    <row r="14603" spans="1:4">
      <c r="A14603" s="1">
        <v>39462</v>
      </c>
      <c r="B14603">
        <v>1380.95</v>
      </c>
      <c r="C14603">
        <f t="shared" si="476"/>
        <v>-2.4924977934686642E-2</v>
      </c>
      <c r="D14603">
        <f t="shared" si="475"/>
        <v>-2.6649726944267242</v>
      </c>
    </row>
    <row r="14604" spans="1:4">
      <c r="A14604" s="1">
        <v>39463</v>
      </c>
      <c r="B14604">
        <v>1373.2</v>
      </c>
      <c r="C14604">
        <f t="shared" si="476"/>
        <v>-5.6120786415148989E-3</v>
      </c>
      <c r="D14604">
        <f t="shared" si="475"/>
        <v>-0.62553709384122391</v>
      </c>
    </row>
    <row r="14605" spans="1:4">
      <c r="A14605" s="1">
        <v>39464</v>
      </c>
      <c r="B14605">
        <v>1333.25</v>
      </c>
      <c r="C14605">
        <f t="shared" si="476"/>
        <v>-2.9092630352461436E-2</v>
      </c>
      <c r="D14605">
        <f t="shared" si="475"/>
        <v>-3.1050753730898544</v>
      </c>
    </row>
    <row r="14606" spans="1:4">
      <c r="A14606" s="1">
        <v>39465</v>
      </c>
      <c r="B14606">
        <v>1325.19</v>
      </c>
      <c r="C14606">
        <f t="shared" si="476"/>
        <v>-6.0453778361147159E-3</v>
      </c>
      <c r="D14606">
        <f t="shared" si="475"/>
        <v>-0.67129334150541209</v>
      </c>
    </row>
    <row r="14607" spans="1:4">
      <c r="A14607" s="1">
        <v>39469</v>
      </c>
      <c r="B14607">
        <v>1310.5</v>
      </c>
      <c r="C14607">
        <f t="shared" si="476"/>
        <v>-1.1085202876568685E-2</v>
      </c>
      <c r="D14607">
        <f t="shared" si="475"/>
        <v>-1.2034971526575837</v>
      </c>
    </row>
    <row r="14608" spans="1:4">
      <c r="A14608" s="1">
        <v>39470</v>
      </c>
      <c r="B14608">
        <v>1338.6</v>
      </c>
      <c r="C14608">
        <f t="shared" si="476"/>
        <v>2.1442197634490585E-2</v>
      </c>
      <c r="D14608">
        <f t="shared" si="475"/>
        <v>2.2313852847096287</v>
      </c>
    </row>
    <row r="14609" spans="1:4">
      <c r="A14609" s="1">
        <v>39471</v>
      </c>
      <c r="B14609">
        <v>1352.07</v>
      </c>
      <c r="C14609">
        <f t="shared" si="476"/>
        <v>1.0062752129090115E-2</v>
      </c>
      <c r="D14609">
        <f t="shared" si="475"/>
        <v>1.029719707400806</v>
      </c>
    </row>
    <row r="14610" spans="1:4">
      <c r="A14610" s="1">
        <v>39472</v>
      </c>
      <c r="B14610">
        <v>1330.61</v>
      </c>
      <c r="C14610">
        <f t="shared" si="476"/>
        <v>-1.5871959292048515E-2</v>
      </c>
      <c r="D14610">
        <f t="shared" si="475"/>
        <v>-1.7089770030346918</v>
      </c>
    </row>
    <row r="14611" spans="1:4">
      <c r="A14611" s="1">
        <v>39475</v>
      </c>
      <c r="B14611">
        <v>1353.96</v>
      </c>
      <c r="C14611">
        <f t="shared" si="476"/>
        <v>1.754834248953498E-2</v>
      </c>
      <c r="D14611">
        <f t="shared" si="475"/>
        <v>1.8201955049879903</v>
      </c>
    </row>
    <row r="14612" spans="1:4">
      <c r="A14612" s="1">
        <v>39476</v>
      </c>
      <c r="B14612">
        <v>1362.3</v>
      </c>
      <c r="C14612">
        <f t="shared" si="476"/>
        <v>6.1597092971726773E-3</v>
      </c>
      <c r="D14612">
        <f t="shared" si="475"/>
        <v>0.6175597110590445</v>
      </c>
    </row>
    <row r="14613" spans="1:4">
      <c r="A14613" s="1">
        <v>39477</v>
      </c>
      <c r="B14613">
        <v>1355.81</v>
      </c>
      <c r="C14613">
        <f t="shared" si="476"/>
        <v>-4.7640020553475805E-3</v>
      </c>
      <c r="D14613">
        <f t="shared" si="475"/>
        <v>-0.53598049461719333</v>
      </c>
    </row>
    <row r="14614" spans="1:4">
      <c r="A14614" s="1">
        <v>39478</v>
      </c>
      <c r="B14614">
        <v>1378.55</v>
      </c>
      <c r="C14614">
        <f t="shared" si="476"/>
        <v>1.6772261600076714E-2</v>
      </c>
      <c r="D14614">
        <f t="shared" si="475"/>
        <v>1.7382416268639094</v>
      </c>
    </row>
    <row r="14615" spans="1:4">
      <c r="A14615" s="1">
        <v>39479</v>
      </c>
      <c r="B14615">
        <v>1395.42</v>
      </c>
      <c r="C14615">
        <f t="shared" si="476"/>
        <v>1.2237495919625779E-2</v>
      </c>
      <c r="D14615">
        <f t="shared" si="475"/>
        <v>1.2593719124500404</v>
      </c>
    </row>
    <row r="14616" spans="1:4">
      <c r="A14616" s="1">
        <v>39482</v>
      </c>
      <c r="B14616">
        <v>1380.82</v>
      </c>
      <c r="C14616">
        <f t="shared" si="476"/>
        <v>-1.0462799730547173E-2</v>
      </c>
      <c r="D14616">
        <f t="shared" si="475"/>
        <v>-1.1377715920028209</v>
      </c>
    </row>
    <row r="14617" spans="1:4">
      <c r="A14617" s="1">
        <v>39483</v>
      </c>
      <c r="B14617">
        <v>1336.64</v>
      </c>
      <c r="C14617">
        <f t="shared" si="476"/>
        <v>-3.1995480946104368E-2</v>
      </c>
      <c r="D14617">
        <f t="shared" si="475"/>
        <v>-3.4116154090516879</v>
      </c>
    </row>
    <row r="14618" spans="1:4">
      <c r="A14618" s="1">
        <v>39484</v>
      </c>
      <c r="B14618">
        <v>1326.45</v>
      </c>
      <c r="C14618">
        <f t="shared" si="476"/>
        <v>-7.6235934881494294E-3</v>
      </c>
      <c r="D14618">
        <f t="shared" si="475"/>
        <v>-0.83795237789871246</v>
      </c>
    </row>
    <row r="14619" spans="1:4">
      <c r="A14619" s="1">
        <v>39485</v>
      </c>
      <c r="B14619">
        <v>1336.91</v>
      </c>
      <c r="C14619">
        <f t="shared" si="476"/>
        <v>7.8857099777602142E-3</v>
      </c>
      <c r="D14619">
        <f t="shared" si="475"/>
        <v>0.799824796232951</v>
      </c>
    </row>
    <row r="14620" spans="1:4">
      <c r="A14620" s="1">
        <v>39486</v>
      </c>
      <c r="B14620">
        <v>1331.29</v>
      </c>
      <c r="C14620">
        <f t="shared" si="476"/>
        <v>-4.2037235116800069E-3</v>
      </c>
      <c r="D14620">
        <f t="shared" si="475"/>
        <v>-0.47681527085382791</v>
      </c>
    </row>
    <row r="14621" spans="1:4">
      <c r="A14621" s="1">
        <v>39489</v>
      </c>
      <c r="B14621">
        <v>1339.13</v>
      </c>
      <c r="C14621">
        <f t="shared" si="476"/>
        <v>5.889024930706417E-3</v>
      </c>
      <c r="D14621">
        <f t="shared" si="475"/>
        <v>0.58897553397029412</v>
      </c>
    </row>
    <row r="14622" spans="1:4">
      <c r="A14622" s="1">
        <v>39490</v>
      </c>
      <c r="B14622">
        <v>1348.86</v>
      </c>
      <c r="C14622">
        <f t="shared" si="476"/>
        <v>7.2659114499710933E-3</v>
      </c>
      <c r="D14622">
        <f t="shared" si="475"/>
        <v>0.73437428237817581</v>
      </c>
    </row>
    <row r="14623" spans="1:4">
      <c r="A14623" s="1">
        <v>39491</v>
      </c>
      <c r="B14623">
        <v>1367.21</v>
      </c>
      <c r="C14623">
        <f t="shared" si="476"/>
        <v>1.3604080482778152E-2</v>
      </c>
      <c r="D14623">
        <f t="shared" si="475"/>
        <v>1.4036827777942678</v>
      </c>
    </row>
    <row r="14624" spans="1:4">
      <c r="A14624" s="1">
        <v>39492</v>
      </c>
      <c r="B14624">
        <v>1348.86</v>
      </c>
      <c r="C14624">
        <f t="shared" si="476"/>
        <v>-1.3421493406280042E-2</v>
      </c>
      <c r="D14624">
        <f t="shared" si="475"/>
        <v>-1.4502086384513666</v>
      </c>
    </row>
    <row r="14625" spans="1:4">
      <c r="A14625" s="1">
        <v>39493</v>
      </c>
      <c r="B14625">
        <v>1349.99</v>
      </c>
      <c r="C14625">
        <f t="shared" si="476"/>
        <v>8.3774446569703993E-4</v>
      </c>
      <c r="D14625">
        <f t="shared" si="475"/>
        <v>5.5562033878959395E-2</v>
      </c>
    </row>
    <row r="14626" spans="1:4">
      <c r="A14626" s="1">
        <v>39497</v>
      </c>
      <c r="B14626">
        <v>1348.78</v>
      </c>
      <c r="C14626">
        <f t="shared" si="476"/>
        <v>-8.963029355773275E-4</v>
      </c>
      <c r="D14626">
        <f t="shared" si="475"/>
        <v>-0.12755278226426311</v>
      </c>
    </row>
    <row r="14627" spans="1:4">
      <c r="A14627" s="1">
        <v>39498</v>
      </c>
      <c r="B14627">
        <v>1360.03</v>
      </c>
      <c r="C14627">
        <f t="shared" si="476"/>
        <v>8.3408710093566037E-3</v>
      </c>
      <c r="D14627">
        <f t="shared" si="475"/>
        <v>0.84788964645277787</v>
      </c>
    </row>
    <row r="14628" spans="1:4">
      <c r="A14628" s="1">
        <v>39499</v>
      </c>
      <c r="B14628">
        <v>1342.53</v>
      </c>
      <c r="C14628">
        <f t="shared" si="476"/>
        <v>-1.2867363219928972E-2</v>
      </c>
      <c r="D14628">
        <f t="shared" si="475"/>
        <v>-1.3916926791306958</v>
      </c>
    </row>
    <row r="14629" spans="1:4">
      <c r="A14629" s="1">
        <v>39500</v>
      </c>
      <c r="B14629">
        <v>1353.11</v>
      </c>
      <c r="C14629">
        <f t="shared" si="476"/>
        <v>7.8806432630927625E-3</v>
      </c>
      <c r="D14629">
        <f t="shared" si="475"/>
        <v>0.79928975288632809</v>
      </c>
    </row>
    <row r="14630" spans="1:4">
      <c r="A14630" s="1">
        <v>39503</v>
      </c>
      <c r="B14630">
        <v>1371.8</v>
      </c>
      <c r="C14630">
        <f t="shared" si="476"/>
        <v>1.381262425080005E-2</v>
      </c>
      <c r="D14630">
        <f t="shared" si="475"/>
        <v>1.4257049288099093</v>
      </c>
    </row>
    <row r="14631" spans="1:4">
      <c r="A14631" s="1">
        <v>39504</v>
      </c>
      <c r="B14631">
        <v>1381.29</v>
      </c>
      <c r="C14631">
        <f t="shared" si="476"/>
        <v>6.917918063857712E-3</v>
      </c>
      <c r="D14631">
        <f t="shared" si="475"/>
        <v>0.69762629909330198</v>
      </c>
    </row>
    <row r="14632" spans="1:4">
      <c r="A14632" s="1">
        <v>39505</v>
      </c>
      <c r="B14632">
        <v>1380.02</v>
      </c>
      <c r="C14632">
        <f t="shared" si="476"/>
        <v>-9.1943038753627537E-4</v>
      </c>
      <c r="D14632">
        <f t="shared" si="475"/>
        <v>-0.12999503332972512</v>
      </c>
    </row>
    <row r="14633" spans="1:4">
      <c r="A14633" s="1">
        <v>39506</v>
      </c>
      <c r="B14633">
        <v>1367.68</v>
      </c>
      <c r="C14633">
        <f t="shared" si="476"/>
        <v>-8.941899392762364E-3</v>
      </c>
      <c r="D14633">
        <f t="shared" si="475"/>
        <v>-0.97716503331188853</v>
      </c>
    </row>
    <row r="14634" spans="1:4">
      <c r="A14634" s="1">
        <v>39507</v>
      </c>
      <c r="B14634">
        <v>1330.63</v>
      </c>
      <c r="C14634">
        <f t="shared" si="476"/>
        <v>-2.7089670098268567E-2</v>
      </c>
      <c r="D14634">
        <f t="shared" si="475"/>
        <v>-2.8935634510863579</v>
      </c>
    </row>
    <row r="14635" spans="1:4">
      <c r="A14635" s="1">
        <v>39510</v>
      </c>
      <c r="B14635">
        <v>1331.34</v>
      </c>
      <c r="C14635">
        <f t="shared" si="476"/>
        <v>5.3358183717472851E-4</v>
      </c>
      <c r="D14635">
        <f t="shared" si="475"/>
        <v>2.3442563696904204E-2</v>
      </c>
    </row>
    <row r="14636" spans="1:4">
      <c r="A14636" s="1">
        <v>39511</v>
      </c>
      <c r="B14636">
        <v>1326.75</v>
      </c>
      <c r="C14636">
        <f t="shared" si="476"/>
        <v>-3.4476542430933632E-3</v>
      </c>
      <c r="D14636">
        <f t="shared" si="475"/>
        <v>-0.39697461309150972</v>
      </c>
    </row>
    <row r="14637" spans="1:4">
      <c r="A14637" s="1">
        <v>39512</v>
      </c>
      <c r="B14637">
        <v>1333.7</v>
      </c>
      <c r="C14637">
        <f t="shared" si="476"/>
        <v>5.2383644243452383E-3</v>
      </c>
      <c r="D14637">
        <f t="shared" si="475"/>
        <v>0.52026600566880588</v>
      </c>
    </row>
    <row r="14638" spans="1:4">
      <c r="A14638" s="1">
        <v>39513</v>
      </c>
      <c r="B14638">
        <v>1304.3399999999999</v>
      </c>
      <c r="C14638">
        <f t="shared" si="476"/>
        <v>-2.2013946164804774E-2</v>
      </c>
      <c r="D14638">
        <f t="shared" si="475"/>
        <v>-2.3575687290349756</v>
      </c>
    </row>
    <row r="14639" spans="1:4">
      <c r="A14639" s="1">
        <v>39514</v>
      </c>
      <c r="B14639">
        <v>1293.3699999999999</v>
      </c>
      <c r="C14639">
        <f t="shared" si="476"/>
        <v>-8.4103837956361286E-3</v>
      </c>
      <c r="D14639">
        <f t="shared" si="475"/>
        <v>-0.9210371669262879</v>
      </c>
    </row>
    <row r="14640" spans="1:4">
      <c r="A14640" s="1">
        <v>39517</v>
      </c>
      <c r="B14640">
        <v>1273.3699999999999</v>
      </c>
      <c r="C14640">
        <f t="shared" si="476"/>
        <v>-1.5463479128169049E-2</v>
      </c>
      <c r="D14640">
        <f t="shared" si="475"/>
        <v>-1.6658416365781739</v>
      </c>
    </row>
    <row r="14641" spans="1:4">
      <c r="A14641" s="1">
        <v>39518</v>
      </c>
      <c r="B14641">
        <v>1320.65</v>
      </c>
      <c r="C14641">
        <f t="shared" si="476"/>
        <v>3.7129820869032729E-2</v>
      </c>
      <c r="D14641">
        <f t="shared" si="475"/>
        <v>3.8879929657950503</v>
      </c>
    </row>
    <row r="14642" spans="1:4">
      <c r="A14642" s="1">
        <v>39519</v>
      </c>
      <c r="B14642">
        <v>1308.77</v>
      </c>
      <c r="C14642">
        <f t="shared" si="476"/>
        <v>-8.9955703630788687E-3</v>
      </c>
      <c r="D14642">
        <f t="shared" si="475"/>
        <v>-0.98283266953366222</v>
      </c>
    </row>
    <row r="14643" spans="1:4">
      <c r="A14643" s="1">
        <v>39520</v>
      </c>
      <c r="B14643">
        <v>1315.48</v>
      </c>
      <c r="C14643">
        <f t="shared" si="476"/>
        <v>5.1269512595796332E-3</v>
      </c>
      <c r="D14643">
        <f t="shared" si="475"/>
        <v>0.50850081334073272</v>
      </c>
    </row>
    <row r="14644" spans="1:4">
      <c r="A14644" s="1">
        <v>39521</v>
      </c>
      <c r="B14644">
        <v>1288.1400000000001</v>
      </c>
      <c r="C14644">
        <f t="shared" si="476"/>
        <v>-2.0783288229391489E-2</v>
      </c>
      <c r="D14644">
        <f t="shared" si="475"/>
        <v>-2.22761166937629</v>
      </c>
    </row>
    <row r="14645" spans="1:4">
      <c r="A14645" s="1">
        <v>39524</v>
      </c>
      <c r="B14645">
        <v>1276.5999999999999</v>
      </c>
      <c r="C14645">
        <f t="shared" si="476"/>
        <v>-8.9586535625011173E-3</v>
      </c>
      <c r="D14645">
        <f t="shared" si="475"/>
        <v>-0.97893426794128191</v>
      </c>
    </row>
    <row r="14646" spans="1:4">
      <c r="A14646" s="1">
        <v>39525</v>
      </c>
      <c r="B14646">
        <v>1330.74</v>
      </c>
      <c r="C14646">
        <f t="shared" si="476"/>
        <v>4.2409525301582408E-2</v>
      </c>
      <c r="D14646">
        <f t="shared" si="475"/>
        <v>4.4455279592135613</v>
      </c>
    </row>
    <row r="14647" spans="1:4">
      <c r="A14647" s="1">
        <v>39526</v>
      </c>
      <c r="B14647">
        <v>1298.42</v>
      </c>
      <c r="C14647">
        <f t="shared" si="476"/>
        <v>-2.4287238679231056E-2</v>
      </c>
      <c r="D14647">
        <f t="shared" si="475"/>
        <v>-2.5976276458287204</v>
      </c>
    </row>
    <row r="14648" spans="1:4">
      <c r="A14648" s="1">
        <v>39527</v>
      </c>
      <c r="B14648">
        <v>1329.51</v>
      </c>
      <c r="C14648">
        <f t="shared" si="476"/>
        <v>2.3944486375748922E-2</v>
      </c>
      <c r="D14648">
        <f t="shared" si="475"/>
        <v>2.4956261252172389</v>
      </c>
    </row>
    <row r="14649" spans="1:4">
      <c r="A14649" s="1">
        <v>39531</v>
      </c>
      <c r="B14649">
        <v>1349.88</v>
      </c>
      <c r="C14649">
        <f t="shared" si="476"/>
        <v>1.5321434212604733E-2</v>
      </c>
      <c r="D14649">
        <f t="shared" si="475"/>
        <v>1.5850347479070586</v>
      </c>
    </row>
    <row r="14650" spans="1:4">
      <c r="A14650" s="1">
        <v>39532</v>
      </c>
      <c r="B14650">
        <v>1352.99</v>
      </c>
      <c r="C14650">
        <f t="shared" si="476"/>
        <v>2.3039084955699023E-3</v>
      </c>
      <c r="D14650">
        <f t="shared" si="475"/>
        <v>0.21038845706016521</v>
      </c>
    </row>
    <row r="14651" spans="1:4">
      <c r="A14651" s="1">
        <v>39533</v>
      </c>
      <c r="B14651">
        <v>1341.13</v>
      </c>
      <c r="C14651">
        <f t="shared" si="476"/>
        <v>-8.765770626538185E-3</v>
      </c>
      <c r="D14651">
        <f t="shared" si="475"/>
        <v>-0.95856589546769178</v>
      </c>
    </row>
    <row r="14652" spans="1:4">
      <c r="A14652" s="1">
        <v>39534</v>
      </c>
      <c r="B14652">
        <v>1325.76</v>
      </c>
      <c r="C14652">
        <f t="shared" si="476"/>
        <v>-1.1460484815044117E-2</v>
      </c>
      <c r="D14652">
        <f t="shared" si="475"/>
        <v>-1.2431267977960605</v>
      </c>
    </row>
    <row r="14653" spans="1:4">
      <c r="A14653" s="1">
        <v>39535</v>
      </c>
      <c r="B14653">
        <v>1315.22</v>
      </c>
      <c r="C14653">
        <f t="shared" si="476"/>
        <v>-7.9501568911416569E-3</v>
      </c>
      <c r="D14653">
        <f t="shared" si="475"/>
        <v>-0.87243736225039747</v>
      </c>
    </row>
    <row r="14654" spans="1:4">
      <c r="A14654" s="1">
        <v>39538</v>
      </c>
      <c r="B14654">
        <v>1322.7</v>
      </c>
      <c r="C14654">
        <f t="shared" si="476"/>
        <v>5.6872614467541691E-3</v>
      </c>
      <c r="D14654">
        <f t="shared" si="475"/>
        <v>0.56766937864767719</v>
      </c>
    </row>
    <row r="14655" spans="1:4">
      <c r="A14655" s="1">
        <v>39539</v>
      </c>
      <c r="B14655">
        <v>1370.18</v>
      </c>
      <c r="C14655">
        <f t="shared" si="476"/>
        <v>3.5896272775383695E-2</v>
      </c>
      <c r="D14655">
        <f t="shared" si="475"/>
        <v>3.7577307064090819</v>
      </c>
    </row>
    <row r="14656" spans="1:4">
      <c r="A14656" s="1">
        <v>39540</v>
      </c>
      <c r="B14656">
        <v>1367.53</v>
      </c>
      <c r="C14656">
        <f t="shared" si="476"/>
        <v>-1.9340524602607619E-3</v>
      </c>
      <c r="D14656">
        <f t="shared" si="475"/>
        <v>-0.23713877932263122</v>
      </c>
    </row>
    <row r="14657" spans="1:4">
      <c r="A14657" s="1">
        <v>39541</v>
      </c>
      <c r="B14657">
        <v>1369.31</v>
      </c>
      <c r="C14657">
        <f t="shared" si="476"/>
        <v>1.3016167835440339E-3</v>
      </c>
      <c r="D14657">
        <f t="shared" si="475"/>
        <v>0.10454679296573996</v>
      </c>
    </row>
    <row r="14658" spans="1:4">
      <c r="A14658" s="1">
        <v>39542</v>
      </c>
      <c r="B14658">
        <v>1370.4</v>
      </c>
      <c r="C14658">
        <f t="shared" si="476"/>
        <v>7.9602135382064363E-4</v>
      </c>
      <c r="D14658">
        <f t="shared" si="475"/>
        <v>5.1156087447186763E-2</v>
      </c>
    </row>
    <row r="14659" spans="1:4">
      <c r="A14659" s="1">
        <v>39545</v>
      </c>
      <c r="B14659">
        <v>1372.54</v>
      </c>
      <c r="C14659">
        <f t="shared" si="476"/>
        <v>1.5615878575597436E-3</v>
      </c>
      <c r="D14659">
        <f t="shared" ref="D14659:D14722" si="477">(C14659-avg)/sd</f>
        <v>0.13199965001333724</v>
      </c>
    </row>
    <row r="14660" spans="1:4">
      <c r="A14660" s="1">
        <v>39546</v>
      </c>
      <c r="B14660">
        <v>1365.54</v>
      </c>
      <c r="C14660">
        <f t="shared" ref="C14660:C14723" si="478">(B14660-B14659)/B14659</f>
        <v>-5.1000335145059529E-3</v>
      </c>
      <c r="D14660">
        <f t="shared" si="477"/>
        <v>-0.57146530248167471</v>
      </c>
    </row>
    <row r="14661" spans="1:4">
      <c r="A14661" s="1">
        <v>39547</v>
      </c>
      <c r="B14661">
        <v>1354.49</v>
      </c>
      <c r="C14661">
        <f t="shared" si="478"/>
        <v>-8.0920368498908525E-3</v>
      </c>
      <c r="D14661">
        <f t="shared" si="477"/>
        <v>-0.8874198376669713</v>
      </c>
    </row>
    <row r="14662" spans="1:4">
      <c r="A14662" s="1">
        <v>39548</v>
      </c>
      <c r="B14662">
        <v>1360.55</v>
      </c>
      <c r="C14662">
        <f t="shared" si="478"/>
        <v>4.4740086674688959E-3</v>
      </c>
      <c r="D14662">
        <f t="shared" si="477"/>
        <v>0.43955029755980973</v>
      </c>
    </row>
    <row r="14663" spans="1:4">
      <c r="A14663" s="1">
        <v>39549</v>
      </c>
      <c r="B14663">
        <v>1332.83</v>
      </c>
      <c r="C14663">
        <f t="shared" si="478"/>
        <v>-2.0374113410018029E-2</v>
      </c>
      <c r="D14663">
        <f t="shared" si="477"/>
        <v>-2.1844029475357316</v>
      </c>
    </row>
    <row r="14664" spans="1:4">
      <c r="A14664" s="1">
        <v>39552</v>
      </c>
      <c r="B14664">
        <v>1328.32</v>
      </c>
      <c r="C14664">
        <f t="shared" si="478"/>
        <v>-3.3837773759594183E-3</v>
      </c>
      <c r="D14664">
        <f t="shared" si="477"/>
        <v>-0.39022923763496725</v>
      </c>
    </row>
    <row r="14665" spans="1:4">
      <c r="A14665" s="1">
        <v>39553</v>
      </c>
      <c r="B14665">
        <v>1334.43</v>
      </c>
      <c r="C14665">
        <f t="shared" si="478"/>
        <v>4.5997952300651408E-3</v>
      </c>
      <c r="D14665">
        <f t="shared" si="477"/>
        <v>0.45283331581304315</v>
      </c>
    </row>
    <row r="14666" spans="1:4">
      <c r="A14666" s="1">
        <v>39554</v>
      </c>
      <c r="B14666">
        <v>1364.71</v>
      </c>
      <c r="C14666">
        <f t="shared" si="478"/>
        <v>2.2691336375830859E-2</v>
      </c>
      <c r="D14666">
        <f t="shared" si="477"/>
        <v>2.3632939111922733</v>
      </c>
    </row>
    <row r="14667" spans="1:4">
      <c r="A14667" s="1">
        <v>39555</v>
      </c>
      <c r="B14667">
        <v>1365.56</v>
      </c>
      <c r="C14667">
        <f t="shared" si="478"/>
        <v>6.2284294831862379E-4</v>
      </c>
      <c r="D14667">
        <f t="shared" si="477"/>
        <v>3.2868506692373657E-2</v>
      </c>
    </row>
    <row r="14668" spans="1:4">
      <c r="A14668" s="1">
        <v>39556</v>
      </c>
      <c r="B14668">
        <v>1390.33</v>
      </c>
      <c r="C14668">
        <f t="shared" si="478"/>
        <v>1.8139078473300319E-2</v>
      </c>
      <c r="D14668">
        <f t="shared" si="477"/>
        <v>1.8825770240726927</v>
      </c>
    </row>
    <row r="14669" spans="1:4">
      <c r="A14669" s="1">
        <v>39559</v>
      </c>
      <c r="B14669">
        <v>1388.17</v>
      </c>
      <c r="C14669">
        <f t="shared" si="478"/>
        <v>-1.5535879970941106E-3</v>
      </c>
      <c r="D14669">
        <f t="shared" si="477"/>
        <v>-0.19696186133838747</v>
      </c>
    </row>
    <row r="14670" spans="1:4">
      <c r="A14670" s="1">
        <v>39560</v>
      </c>
      <c r="B14670">
        <v>1375.94</v>
      </c>
      <c r="C14670">
        <f t="shared" si="478"/>
        <v>-8.8101601388879004E-3</v>
      </c>
      <c r="D14670">
        <f t="shared" si="477"/>
        <v>-0.9632534128830933</v>
      </c>
    </row>
    <row r="14671" spans="1:4">
      <c r="A14671" s="1">
        <v>39561</v>
      </c>
      <c r="B14671">
        <v>1379.93</v>
      </c>
      <c r="C14671">
        <f t="shared" si="478"/>
        <v>2.8998357486518371E-3</v>
      </c>
      <c r="D14671">
        <f t="shared" si="477"/>
        <v>0.27331817242010203</v>
      </c>
    </row>
    <row r="14672" spans="1:4">
      <c r="A14672" s="1">
        <v>39562</v>
      </c>
      <c r="B14672">
        <v>1388.82</v>
      </c>
      <c r="C14672">
        <f t="shared" si="478"/>
        <v>6.4423557716694847E-3</v>
      </c>
      <c r="D14672">
        <f t="shared" si="477"/>
        <v>0.6474070826897026</v>
      </c>
    </row>
    <row r="14673" spans="1:4">
      <c r="A14673" s="1">
        <v>39563</v>
      </c>
      <c r="B14673">
        <v>1397.84</v>
      </c>
      <c r="C14673">
        <f t="shared" si="478"/>
        <v>6.4947221382180426E-3</v>
      </c>
      <c r="D14673">
        <f t="shared" si="477"/>
        <v>0.65293695319703748</v>
      </c>
    </row>
    <row r="14674" spans="1:4">
      <c r="A14674" s="1">
        <v>39566</v>
      </c>
      <c r="B14674">
        <v>1396.37</v>
      </c>
      <c r="C14674">
        <f t="shared" si="478"/>
        <v>-1.051622503290811E-3</v>
      </c>
      <c r="D14674">
        <f t="shared" si="477"/>
        <v>-0.14395447581912069</v>
      </c>
    </row>
    <row r="14675" spans="1:4">
      <c r="A14675" s="1">
        <v>39567</v>
      </c>
      <c r="B14675">
        <v>1390.94</v>
      </c>
      <c r="C14675">
        <f t="shared" si="478"/>
        <v>-3.8886541532687159E-3</v>
      </c>
      <c r="D14675">
        <f t="shared" si="477"/>
        <v>-0.44354405370287409</v>
      </c>
    </row>
    <row r="14676" spans="1:4">
      <c r="A14676" s="1">
        <v>39568</v>
      </c>
      <c r="B14676">
        <v>1385.59</v>
      </c>
      <c r="C14676">
        <f t="shared" si="478"/>
        <v>-3.8463197549859348E-3</v>
      </c>
      <c r="D14676">
        <f t="shared" si="477"/>
        <v>-0.43907355563437361</v>
      </c>
    </row>
    <row r="14677" spans="1:4">
      <c r="A14677" s="1">
        <v>39569</v>
      </c>
      <c r="B14677">
        <v>1409.34</v>
      </c>
      <c r="C14677">
        <f t="shared" si="478"/>
        <v>1.7140712620616488E-2</v>
      </c>
      <c r="D14677">
        <f t="shared" si="477"/>
        <v>1.7771499293903223</v>
      </c>
    </row>
    <row r="14678" spans="1:4">
      <c r="A14678" s="1">
        <v>39570</v>
      </c>
      <c r="B14678">
        <v>1413.9</v>
      </c>
      <c r="C14678">
        <f t="shared" si="478"/>
        <v>3.2355570692665881E-3</v>
      </c>
      <c r="D14678">
        <f t="shared" si="477"/>
        <v>0.30877022975979823</v>
      </c>
    </row>
    <row r="14679" spans="1:4">
      <c r="A14679" s="1">
        <v>39573</v>
      </c>
      <c r="B14679">
        <v>1407.49</v>
      </c>
      <c r="C14679">
        <f t="shared" si="478"/>
        <v>-4.5335596576844767E-3</v>
      </c>
      <c r="D14679">
        <f t="shared" si="477"/>
        <v>-0.51164585575514643</v>
      </c>
    </row>
    <row r="14680" spans="1:4">
      <c r="A14680" s="1">
        <v>39574</v>
      </c>
      <c r="B14680">
        <v>1418.26</v>
      </c>
      <c r="C14680">
        <f t="shared" si="478"/>
        <v>7.6519193742051322E-3</v>
      </c>
      <c r="D14680">
        <f t="shared" si="477"/>
        <v>0.77513658796682172</v>
      </c>
    </row>
    <row r="14681" spans="1:4">
      <c r="A14681" s="1">
        <v>39575</v>
      </c>
      <c r="B14681">
        <v>1392.57</v>
      </c>
      <c r="C14681">
        <f t="shared" si="478"/>
        <v>-1.8113745011492995E-2</v>
      </c>
      <c r="D14681">
        <f t="shared" si="477"/>
        <v>-1.945708812988038</v>
      </c>
    </row>
    <row r="14682" spans="1:4">
      <c r="A14682" s="1">
        <v>39576</v>
      </c>
      <c r="B14682">
        <v>1397.68</v>
      </c>
      <c r="C14682">
        <f t="shared" si="478"/>
        <v>3.6694744249841141E-3</v>
      </c>
      <c r="D14682">
        <f t="shared" si="477"/>
        <v>0.35459175502789331</v>
      </c>
    </row>
    <row r="14683" spans="1:4">
      <c r="A14683" s="1">
        <v>39577</v>
      </c>
      <c r="B14683">
        <v>1388.28</v>
      </c>
      <c r="C14683">
        <f t="shared" si="478"/>
        <v>-6.7254307137542858E-3</v>
      </c>
      <c r="D14683">
        <f t="shared" si="477"/>
        <v>-0.74310669422294606</v>
      </c>
    </row>
    <row r="14684" spans="1:4">
      <c r="A14684" s="1">
        <v>39580</v>
      </c>
      <c r="B14684">
        <v>1403.58</v>
      </c>
      <c r="C14684">
        <f t="shared" si="478"/>
        <v>1.1020831532543835E-2</v>
      </c>
      <c r="D14684">
        <f t="shared" si="477"/>
        <v>1.1308925667385064</v>
      </c>
    </row>
    <row r="14685" spans="1:4">
      <c r="A14685" s="1">
        <v>39581</v>
      </c>
      <c r="B14685">
        <v>1403.04</v>
      </c>
      <c r="C14685">
        <f t="shared" si="478"/>
        <v>-3.8473047492837149E-4</v>
      </c>
      <c r="D14685">
        <f t="shared" si="477"/>
        <v>-7.3530904311661718E-2</v>
      </c>
    </row>
    <row r="14686" spans="1:4">
      <c r="A14686" s="1">
        <v>39582</v>
      </c>
      <c r="B14686">
        <v>1408.66</v>
      </c>
      <c r="C14686">
        <f t="shared" si="478"/>
        <v>4.005587866347444E-3</v>
      </c>
      <c r="D14686">
        <f t="shared" si="477"/>
        <v>0.39008522018535108</v>
      </c>
    </row>
    <row r="14687" spans="1:4">
      <c r="A14687" s="1">
        <v>39583</v>
      </c>
      <c r="B14687">
        <v>1423.57</v>
      </c>
      <c r="C14687">
        <f t="shared" si="478"/>
        <v>1.0584527139267001E-2</v>
      </c>
      <c r="D14687">
        <f t="shared" si="477"/>
        <v>1.0848189711155416</v>
      </c>
    </row>
    <row r="14688" spans="1:4">
      <c r="A14688" s="1">
        <v>39584</v>
      </c>
      <c r="B14688">
        <v>1425.35</v>
      </c>
      <c r="C14688">
        <f t="shared" si="478"/>
        <v>1.2503775718791298E-3</v>
      </c>
      <c r="D14688">
        <f t="shared" si="477"/>
        <v>9.913594963098038E-2</v>
      </c>
    </row>
    <row r="14689" spans="1:4">
      <c r="A14689" s="1">
        <v>39587</v>
      </c>
      <c r="B14689">
        <v>1426.63</v>
      </c>
      <c r="C14689">
        <f t="shared" si="478"/>
        <v>8.9802504647995237E-4</v>
      </c>
      <c r="D14689">
        <f t="shared" si="477"/>
        <v>6.1927642719269961E-2</v>
      </c>
    </row>
    <row r="14690" spans="1:4">
      <c r="A14690" s="1">
        <v>39588</v>
      </c>
      <c r="B14690">
        <v>1413.4</v>
      </c>
      <c r="C14690">
        <f t="shared" si="478"/>
        <v>-9.2736028262408732E-3</v>
      </c>
      <c r="D14690">
        <f t="shared" si="477"/>
        <v>-1.0121928031357437</v>
      </c>
    </row>
    <row r="14691" spans="1:4">
      <c r="A14691" s="1">
        <v>39589</v>
      </c>
      <c r="B14691">
        <v>1390.71</v>
      </c>
      <c r="C14691">
        <f t="shared" si="478"/>
        <v>-1.6053488043016876E-2</v>
      </c>
      <c r="D14691">
        <f t="shared" si="477"/>
        <v>-1.7281463774323302</v>
      </c>
    </row>
    <row r="14692" spans="1:4">
      <c r="A14692" s="1">
        <v>39590</v>
      </c>
      <c r="B14692">
        <v>1394.35</v>
      </c>
      <c r="C14692">
        <f t="shared" si="478"/>
        <v>2.6173681069380909E-3</v>
      </c>
      <c r="D14692">
        <f t="shared" si="477"/>
        <v>0.243489685470547</v>
      </c>
    </row>
    <row r="14693" spans="1:4">
      <c r="A14693" s="1">
        <v>39591</v>
      </c>
      <c r="B14693">
        <v>1375.93</v>
      </c>
      <c r="C14693">
        <f t="shared" si="478"/>
        <v>-1.3210456485100474E-2</v>
      </c>
      <c r="D14693">
        <f t="shared" si="477"/>
        <v>-1.4279232113097391</v>
      </c>
    </row>
    <row r="14694" spans="1:4">
      <c r="A14694" s="1">
        <v>39595</v>
      </c>
      <c r="B14694">
        <v>1385.35</v>
      </c>
      <c r="C14694">
        <f t="shared" si="478"/>
        <v>6.8462785170756105E-3</v>
      </c>
      <c r="D14694">
        <f t="shared" si="477"/>
        <v>0.69006118730457722</v>
      </c>
    </row>
    <row r="14695" spans="1:4">
      <c r="A14695" s="1">
        <v>39596</v>
      </c>
      <c r="B14695">
        <v>1390.84</v>
      </c>
      <c r="C14695">
        <f t="shared" si="478"/>
        <v>3.9628974627350559E-3</v>
      </c>
      <c r="D14695">
        <f t="shared" si="477"/>
        <v>0.38557712807505612</v>
      </c>
    </row>
    <row r="14696" spans="1:4">
      <c r="A14696" s="1">
        <v>39597</v>
      </c>
      <c r="B14696">
        <v>1398.26</v>
      </c>
      <c r="C14696">
        <f t="shared" si="478"/>
        <v>5.3349055247189272E-3</v>
      </c>
      <c r="D14696">
        <f t="shared" si="477"/>
        <v>0.53046071305235298</v>
      </c>
    </row>
    <row r="14697" spans="1:4">
      <c r="A14697" s="1">
        <v>39598</v>
      </c>
      <c r="B14697">
        <v>1400.38</v>
      </c>
      <c r="C14697">
        <f t="shared" si="478"/>
        <v>1.5161700971207917E-3</v>
      </c>
      <c r="D14697">
        <f t="shared" si="477"/>
        <v>0.1272035499492308</v>
      </c>
    </row>
    <row r="14698" spans="1:4">
      <c r="A14698" s="1">
        <v>39601</v>
      </c>
      <c r="B14698">
        <v>1385.67</v>
      </c>
      <c r="C14698">
        <f t="shared" si="478"/>
        <v>-1.0504291692254985E-2</v>
      </c>
      <c r="D14698">
        <f t="shared" si="477"/>
        <v>-1.1421531290553626</v>
      </c>
    </row>
    <row r="14699" spans="1:4">
      <c r="A14699" s="1">
        <v>39602</v>
      </c>
      <c r="B14699">
        <v>1377.65</v>
      </c>
      <c r="C14699">
        <f t="shared" si="478"/>
        <v>-5.7878138373494278E-3</v>
      </c>
      <c r="D14699">
        <f t="shared" si="477"/>
        <v>-0.64409467078605476</v>
      </c>
    </row>
    <row r="14700" spans="1:4">
      <c r="A14700" s="1">
        <v>39603</v>
      </c>
      <c r="B14700">
        <v>1377.2</v>
      </c>
      <c r="C14700">
        <f t="shared" si="478"/>
        <v>-3.266431967481185E-4</v>
      </c>
      <c r="D14700">
        <f t="shared" si="477"/>
        <v>-6.7396907480652204E-2</v>
      </c>
    </row>
    <row r="14701" spans="1:4">
      <c r="A14701" s="1">
        <v>39604</v>
      </c>
      <c r="B14701">
        <v>1404.05</v>
      </c>
      <c r="C14701">
        <f t="shared" si="478"/>
        <v>1.9496079000871268E-2</v>
      </c>
      <c r="D14701">
        <f t="shared" si="477"/>
        <v>2.025875818517294</v>
      </c>
    </row>
    <row r="14702" spans="1:4">
      <c r="A14702" s="1">
        <v>39605</v>
      </c>
      <c r="B14702">
        <v>1360.68</v>
      </c>
      <c r="C14702">
        <f t="shared" si="478"/>
        <v>-3.0889213347102946E-2</v>
      </c>
      <c r="D14702">
        <f t="shared" si="477"/>
        <v>-3.2947939266357658</v>
      </c>
    </row>
    <row r="14703" spans="1:4">
      <c r="A14703" s="1">
        <v>39608</v>
      </c>
      <c r="B14703">
        <v>1361.76</v>
      </c>
      <c r="C14703">
        <f t="shared" si="478"/>
        <v>7.9372078666543726E-4</v>
      </c>
      <c r="D14703">
        <f t="shared" si="477"/>
        <v>5.091314833759774E-2</v>
      </c>
    </row>
    <row r="14704" spans="1:4">
      <c r="A14704" s="1">
        <v>39609</v>
      </c>
      <c r="B14704">
        <v>1358.44</v>
      </c>
      <c r="C14704">
        <f t="shared" si="478"/>
        <v>-2.4380213840911294E-3</v>
      </c>
      <c r="D14704">
        <f t="shared" si="477"/>
        <v>-0.29035772637175739</v>
      </c>
    </row>
    <row r="14705" spans="1:4">
      <c r="A14705" s="1">
        <v>39610</v>
      </c>
      <c r="B14705">
        <v>1335.49</v>
      </c>
      <c r="C14705">
        <f t="shared" si="478"/>
        <v>-1.6894378846323756E-2</v>
      </c>
      <c r="D14705">
        <f t="shared" si="477"/>
        <v>-1.8169441604288648</v>
      </c>
    </row>
    <row r="14706" spans="1:4">
      <c r="A14706" s="1">
        <v>39611</v>
      </c>
      <c r="B14706">
        <v>1339.87</v>
      </c>
      <c r="C14706">
        <f t="shared" si="478"/>
        <v>3.2796950931866819E-3</v>
      </c>
      <c r="D14706">
        <f t="shared" si="477"/>
        <v>0.3134311900825168</v>
      </c>
    </row>
    <row r="14707" spans="1:4">
      <c r="A14707" s="1">
        <v>39612</v>
      </c>
      <c r="B14707">
        <v>1360.03</v>
      </c>
      <c r="C14707">
        <f t="shared" si="478"/>
        <v>1.504623582884913E-2</v>
      </c>
      <c r="D14707">
        <f t="shared" si="477"/>
        <v>1.5559738921269428</v>
      </c>
    </row>
    <row r="14708" spans="1:4">
      <c r="A14708" s="1">
        <v>39615</v>
      </c>
      <c r="B14708">
        <v>1360.14</v>
      </c>
      <c r="C14708">
        <f t="shared" si="478"/>
        <v>8.088056881107574E-5</v>
      </c>
      <c r="D14708">
        <f t="shared" si="477"/>
        <v>-2.4362536361659737E-2</v>
      </c>
    </row>
    <row r="14709" spans="1:4">
      <c r="A14709" s="1">
        <v>39616</v>
      </c>
      <c r="B14709">
        <v>1350.93</v>
      </c>
      <c r="C14709">
        <f t="shared" si="478"/>
        <v>-6.7713617715823632E-3</v>
      </c>
      <c r="D14709">
        <f t="shared" si="477"/>
        <v>-0.74795699831686591</v>
      </c>
    </row>
    <row r="14710" spans="1:4">
      <c r="A14710" s="1">
        <v>39617</v>
      </c>
      <c r="B14710">
        <v>1337.81</v>
      </c>
      <c r="C14710">
        <f t="shared" si="478"/>
        <v>-9.7118281480166394E-3</v>
      </c>
      <c r="D14710">
        <f t="shared" si="477"/>
        <v>-1.0584692481552402</v>
      </c>
    </row>
    <row r="14711" spans="1:4">
      <c r="A14711" s="1">
        <v>39618</v>
      </c>
      <c r="B14711">
        <v>1342.83</v>
      </c>
      <c r="C14711">
        <f t="shared" si="478"/>
        <v>3.7524013125929557E-3</v>
      </c>
      <c r="D14711">
        <f t="shared" si="477"/>
        <v>0.36334880617116827</v>
      </c>
    </row>
    <row r="14712" spans="1:4">
      <c r="A14712" s="1">
        <v>39619</v>
      </c>
      <c r="B14712">
        <v>1317.93</v>
      </c>
      <c r="C14712">
        <f t="shared" si="478"/>
        <v>-1.8542927995352999E-2</v>
      </c>
      <c r="D14712">
        <f t="shared" si="477"/>
        <v>-1.9910303901972701</v>
      </c>
    </row>
    <row r="14713" spans="1:4">
      <c r="A14713" s="1">
        <v>39622</v>
      </c>
      <c r="B14713">
        <v>1318</v>
      </c>
      <c r="C14713">
        <f t="shared" si="478"/>
        <v>5.3113594803924591E-5</v>
      </c>
      <c r="D14713">
        <f t="shared" si="477"/>
        <v>-2.7294719378361844E-2</v>
      </c>
    </row>
    <row r="14714" spans="1:4">
      <c r="A14714" s="1">
        <v>39623</v>
      </c>
      <c r="B14714">
        <v>1314.29</v>
      </c>
      <c r="C14714">
        <f t="shared" si="478"/>
        <v>-2.8148710166919851E-3</v>
      </c>
      <c r="D14714">
        <f t="shared" si="477"/>
        <v>-0.33015291947699371</v>
      </c>
    </row>
    <row r="14715" spans="1:4">
      <c r="A14715" s="1">
        <v>39624</v>
      </c>
      <c r="B14715">
        <v>1321.97</v>
      </c>
      <c r="C14715">
        <f t="shared" si="478"/>
        <v>5.8434592061113334E-3</v>
      </c>
      <c r="D14715">
        <f t="shared" si="477"/>
        <v>0.58416380894159559</v>
      </c>
    </row>
    <row r="14716" spans="1:4">
      <c r="A14716" s="1">
        <v>39625</v>
      </c>
      <c r="B14716">
        <v>1283.1500000000001</v>
      </c>
      <c r="C14716">
        <f t="shared" si="478"/>
        <v>-2.936526547501073E-2</v>
      </c>
      <c r="D14716">
        <f t="shared" si="477"/>
        <v>-3.1338655493578789</v>
      </c>
    </row>
    <row r="14717" spans="1:4">
      <c r="A14717" s="1">
        <v>39626</v>
      </c>
      <c r="B14717">
        <v>1278.3800000000001</v>
      </c>
      <c r="C14717">
        <f t="shared" si="478"/>
        <v>-3.7174141760511099E-3</v>
      </c>
      <c r="D14717">
        <f t="shared" si="477"/>
        <v>-0.42546117031599134</v>
      </c>
    </row>
    <row r="14718" spans="1:4">
      <c r="A14718" s="1">
        <v>39629</v>
      </c>
      <c r="B14718">
        <v>1280</v>
      </c>
      <c r="C14718">
        <f t="shared" si="478"/>
        <v>1.267228836496105E-3</v>
      </c>
      <c r="D14718">
        <f t="shared" si="477"/>
        <v>0.10091543744650981</v>
      </c>
    </row>
    <row r="14719" spans="1:4">
      <c r="A14719" s="1">
        <v>39630</v>
      </c>
      <c r="B14719">
        <v>1284.9100000000001</v>
      </c>
      <c r="C14719">
        <f t="shared" si="478"/>
        <v>3.8359375000000641E-3</v>
      </c>
      <c r="D14719">
        <f t="shared" si="477"/>
        <v>0.37217019916602917</v>
      </c>
    </row>
    <row r="14720" spans="1:4">
      <c r="A14720" s="1">
        <v>39631</v>
      </c>
      <c r="B14720">
        <v>1261.52</v>
      </c>
      <c r="C14720">
        <f t="shared" si="478"/>
        <v>-1.8203609591333322E-2</v>
      </c>
      <c r="D14720">
        <f t="shared" si="477"/>
        <v>-1.9551984820727217</v>
      </c>
    </row>
    <row r="14721" spans="1:4">
      <c r="A14721" s="1">
        <v>39632</v>
      </c>
      <c r="B14721">
        <v>1262.9000000000001</v>
      </c>
      <c r="C14721">
        <f t="shared" si="478"/>
        <v>1.0939184475871244E-3</v>
      </c>
      <c r="D14721">
        <f t="shared" si="477"/>
        <v>8.261391928878499E-2</v>
      </c>
    </row>
    <row r="14722" spans="1:4">
      <c r="A14722" s="1">
        <v>39636</v>
      </c>
      <c r="B14722">
        <v>1252.31</v>
      </c>
      <c r="C14722">
        <f t="shared" si="478"/>
        <v>-8.3854620318316135E-3</v>
      </c>
      <c r="D14722">
        <f t="shared" si="477"/>
        <v>-0.91840543713985023</v>
      </c>
    </row>
    <row r="14723" spans="1:4">
      <c r="A14723" s="1">
        <v>39637</v>
      </c>
      <c r="B14723">
        <v>1273.7</v>
      </c>
      <c r="C14723">
        <f t="shared" si="478"/>
        <v>1.7080435355463185E-2</v>
      </c>
      <c r="D14723">
        <f t="shared" ref="D14723:D14786" si="479">(C14723-avg)/sd</f>
        <v>1.7707846706793715</v>
      </c>
    </row>
    <row r="14724" spans="1:4">
      <c r="A14724" s="1">
        <v>39638</v>
      </c>
      <c r="B14724">
        <v>1244.69</v>
      </c>
      <c r="C14724">
        <f t="shared" ref="C14724:C14787" si="480">(B14724-B14723)/B14723</f>
        <v>-2.2776163931852077E-2</v>
      </c>
      <c r="D14724">
        <f t="shared" si="479"/>
        <v>-2.4380586661447632</v>
      </c>
    </row>
    <row r="14725" spans="1:4">
      <c r="A14725" s="1">
        <v>39639</v>
      </c>
      <c r="B14725">
        <v>1253.3900000000001</v>
      </c>
      <c r="C14725">
        <f t="shared" si="480"/>
        <v>6.9896922125188164E-3</v>
      </c>
      <c r="D14725">
        <f t="shared" si="479"/>
        <v>0.70520562479469617</v>
      </c>
    </row>
    <row r="14726" spans="1:4">
      <c r="A14726" s="1">
        <v>39640</v>
      </c>
      <c r="B14726">
        <v>1239.49</v>
      </c>
      <c r="C14726">
        <f t="shared" si="480"/>
        <v>-1.1089924125770981E-2</v>
      </c>
      <c r="D14726">
        <f t="shared" si="479"/>
        <v>-1.2039957149685157</v>
      </c>
    </row>
    <row r="14727" spans="1:4">
      <c r="A14727" s="1">
        <v>39643</v>
      </c>
      <c r="B14727">
        <v>1228.3</v>
      </c>
      <c r="C14727">
        <f t="shared" si="480"/>
        <v>-9.0279066390209321E-3</v>
      </c>
      <c r="D14727">
        <f t="shared" si="479"/>
        <v>-0.9862473692815098</v>
      </c>
    </row>
    <row r="14728" spans="1:4">
      <c r="A14728" s="1">
        <v>39644</v>
      </c>
      <c r="B14728">
        <v>1214.9100000000001</v>
      </c>
      <c r="C14728">
        <f t="shared" si="480"/>
        <v>-1.0901245624033114E-2</v>
      </c>
      <c r="D14728">
        <f t="shared" si="479"/>
        <v>-1.1840713293199356</v>
      </c>
    </row>
    <row r="14729" spans="1:4">
      <c r="A14729" s="1">
        <v>39645</v>
      </c>
      <c r="B14729">
        <v>1245.3599999999999</v>
      </c>
      <c r="C14729">
        <f t="shared" si="480"/>
        <v>2.5063584956910238E-2</v>
      </c>
      <c r="D14729">
        <f t="shared" si="479"/>
        <v>2.6138025549877835</v>
      </c>
    </row>
    <row r="14730" spans="1:4">
      <c r="A14730" s="1">
        <v>39646</v>
      </c>
      <c r="B14730">
        <v>1260.32</v>
      </c>
      <c r="C14730">
        <f t="shared" si="480"/>
        <v>1.2012590736815088E-2</v>
      </c>
      <c r="D14730">
        <f t="shared" si="479"/>
        <v>1.2356220015942174</v>
      </c>
    </row>
    <row r="14731" spans="1:4">
      <c r="A14731" s="1">
        <v>39647</v>
      </c>
      <c r="B14731">
        <v>1260.68</v>
      </c>
      <c r="C14731">
        <f t="shared" si="480"/>
        <v>2.856417417799665E-4</v>
      </c>
      <c r="D14731">
        <f t="shared" si="479"/>
        <v>-2.7398260978493383E-3</v>
      </c>
    </row>
    <row r="14732" spans="1:4">
      <c r="A14732" s="1">
        <v>39650</v>
      </c>
      <c r="B14732">
        <v>1260</v>
      </c>
      <c r="C14732">
        <f t="shared" si="480"/>
        <v>-5.3939143954061589E-4</v>
      </c>
      <c r="D14732">
        <f t="shared" si="479"/>
        <v>-8.9863049602898509E-2</v>
      </c>
    </row>
    <row r="14733" spans="1:4">
      <c r="A14733" s="1">
        <v>39651</v>
      </c>
      <c r="B14733">
        <v>1277</v>
      </c>
      <c r="C14733">
        <f t="shared" si="480"/>
        <v>1.3492063492063493E-2</v>
      </c>
      <c r="D14733">
        <f t="shared" si="479"/>
        <v>1.3918538216512248</v>
      </c>
    </row>
    <row r="14734" spans="1:4">
      <c r="A14734" s="1">
        <v>39652</v>
      </c>
      <c r="B14734">
        <v>1282.19</v>
      </c>
      <c r="C14734">
        <f t="shared" si="480"/>
        <v>4.0642129992169576E-3</v>
      </c>
      <c r="D14734">
        <f t="shared" si="479"/>
        <v>0.39627601428872078</v>
      </c>
    </row>
    <row r="14735" spans="1:4">
      <c r="A14735" s="1">
        <v>39653</v>
      </c>
      <c r="B14735">
        <v>1252.54</v>
      </c>
      <c r="C14735">
        <f t="shared" si="480"/>
        <v>-2.3124497929324118E-2</v>
      </c>
      <c r="D14735">
        <f t="shared" si="479"/>
        <v>-2.4748426178733318</v>
      </c>
    </row>
    <row r="14736" spans="1:4">
      <c r="A14736" s="1">
        <v>39654</v>
      </c>
      <c r="B14736">
        <v>1257.76</v>
      </c>
      <c r="C14736">
        <f t="shared" si="480"/>
        <v>4.1675315758379194E-3</v>
      </c>
      <c r="D14736">
        <f t="shared" si="479"/>
        <v>0.40718642086020379</v>
      </c>
    </row>
    <row r="14737" spans="1:4">
      <c r="A14737" s="1">
        <v>39657</v>
      </c>
      <c r="B14737">
        <v>1234.3699999999999</v>
      </c>
      <c r="C14737">
        <f t="shared" si="480"/>
        <v>-1.8596552601450277E-2</v>
      </c>
      <c r="D14737">
        <f t="shared" si="479"/>
        <v>-1.9966931303732534</v>
      </c>
    </row>
    <row r="14738" spans="1:4">
      <c r="A14738" s="1">
        <v>39658</v>
      </c>
      <c r="B14738">
        <v>1263.2</v>
      </c>
      <c r="C14738">
        <f t="shared" si="480"/>
        <v>2.3356043973849137E-2</v>
      </c>
      <c r="D14738">
        <f t="shared" si="479"/>
        <v>2.4334868075979124</v>
      </c>
    </row>
    <row r="14739" spans="1:4">
      <c r="A14739" s="1">
        <v>39659</v>
      </c>
      <c r="B14739">
        <v>1284.26</v>
      </c>
      <c r="C14739">
        <f t="shared" si="480"/>
        <v>1.6671944268524339E-2</v>
      </c>
      <c r="D14739">
        <f t="shared" si="479"/>
        <v>1.7276481507514962</v>
      </c>
    </row>
    <row r="14740" spans="1:4">
      <c r="A14740" s="1">
        <v>39660</v>
      </c>
      <c r="B14740">
        <v>1267.3800000000001</v>
      </c>
      <c r="C14740">
        <f t="shared" si="480"/>
        <v>-1.3143755937271177E-2</v>
      </c>
      <c r="D14740">
        <f t="shared" si="479"/>
        <v>-1.4208796561315831</v>
      </c>
    </row>
    <row r="14741" spans="1:4">
      <c r="A14741" s="1">
        <v>39661</v>
      </c>
      <c r="B14741">
        <v>1260.31</v>
      </c>
      <c r="C14741">
        <f t="shared" si="480"/>
        <v>-5.5784374063028953E-3</v>
      </c>
      <c r="D14741">
        <f t="shared" si="479"/>
        <v>-0.6219845908380478</v>
      </c>
    </row>
    <row r="14742" spans="1:4">
      <c r="A14742" s="1">
        <v>39664</v>
      </c>
      <c r="B14742">
        <v>1249.01</v>
      </c>
      <c r="C14742">
        <f t="shared" si="480"/>
        <v>-8.9660480358006792E-3</v>
      </c>
      <c r="D14742">
        <f t="shared" si="479"/>
        <v>-0.97971512180821196</v>
      </c>
    </row>
    <row r="14743" spans="1:4">
      <c r="A14743" s="1">
        <v>39665</v>
      </c>
      <c r="B14743">
        <v>1284.8800000000001</v>
      </c>
      <c r="C14743">
        <f t="shared" si="480"/>
        <v>2.8718745246235113E-2</v>
      </c>
      <c r="D14743">
        <f t="shared" si="479"/>
        <v>2.9997862390911405</v>
      </c>
    </row>
    <row r="14744" spans="1:4">
      <c r="A14744" s="1">
        <v>39666</v>
      </c>
      <c r="B14744">
        <v>1289.19</v>
      </c>
      <c r="C14744">
        <f t="shared" si="480"/>
        <v>3.3543988543676801E-3</v>
      </c>
      <c r="D14744">
        <f t="shared" si="479"/>
        <v>0.32131988187018801</v>
      </c>
    </row>
    <row r="14745" spans="1:4">
      <c r="A14745" s="1">
        <v>39667</v>
      </c>
      <c r="B14745">
        <v>1266.07</v>
      </c>
      <c r="C14745">
        <f t="shared" si="480"/>
        <v>-1.7933741341462559E-2</v>
      </c>
      <c r="D14745">
        <f t="shared" si="479"/>
        <v>-1.9267004866190445</v>
      </c>
    </row>
    <row r="14746" spans="1:4">
      <c r="A14746" s="1">
        <v>39668</v>
      </c>
      <c r="B14746">
        <v>1296.32</v>
      </c>
      <c r="C14746">
        <f t="shared" si="480"/>
        <v>2.3892833729572616E-2</v>
      </c>
      <c r="D14746">
        <f t="shared" si="479"/>
        <v>2.4901716233386084</v>
      </c>
    </row>
    <row r="14747" spans="1:4">
      <c r="A14747" s="1">
        <v>39671</v>
      </c>
      <c r="B14747">
        <v>1305.32</v>
      </c>
      <c r="C14747">
        <f t="shared" si="480"/>
        <v>6.9427301900765251E-3</v>
      </c>
      <c r="D14747">
        <f t="shared" si="479"/>
        <v>0.70024645118795725</v>
      </c>
    </row>
    <row r="14748" spans="1:4">
      <c r="A14748" s="1">
        <v>39672</v>
      </c>
      <c r="B14748">
        <v>1289.5899999999999</v>
      </c>
      <c r="C14748">
        <f t="shared" si="480"/>
        <v>-1.2050684889529019E-2</v>
      </c>
      <c r="D14748">
        <f t="shared" si="479"/>
        <v>-1.3054517250429132</v>
      </c>
    </row>
    <row r="14749" spans="1:4">
      <c r="A14749" s="1">
        <v>39673</v>
      </c>
      <c r="B14749">
        <v>1285.83</v>
      </c>
      <c r="C14749">
        <f t="shared" si="480"/>
        <v>-2.9156553633325252E-3</v>
      </c>
      <c r="D14749">
        <f t="shared" si="479"/>
        <v>-0.34079571222397076</v>
      </c>
    </row>
    <row r="14750" spans="1:4">
      <c r="A14750" s="1">
        <v>39674</v>
      </c>
      <c r="B14750">
        <v>1292.93</v>
      </c>
      <c r="C14750">
        <f t="shared" si="480"/>
        <v>5.5217252669483036E-3</v>
      </c>
      <c r="D14750">
        <f t="shared" si="479"/>
        <v>0.55018881432865929</v>
      </c>
    </row>
    <row r="14751" spans="1:4">
      <c r="A14751" s="1">
        <v>39675</v>
      </c>
      <c r="B14751">
        <v>1298.2</v>
      </c>
      <c r="C14751">
        <f t="shared" si="480"/>
        <v>4.07601339593016E-3</v>
      </c>
      <c r="D14751">
        <f t="shared" si="479"/>
        <v>0.39752213217048527</v>
      </c>
    </row>
    <row r="14752" spans="1:4">
      <c r="A14752" s="1">
        <v>39678</v>
      </c>
      <c r="B14752">
        <v>1278.5999999999999</v>
      </c>
      <c r="C14752">
        <f t="shared" si="480"/>
        <v>-1.5097827761516049E-2</v>
      </c>
      <c r="D14752">
        <f t="shared" si="479"/>
        <v>-1.6272289765505557</v>
      </c>
    </row>
    <row r="14753" spans="1:4">
      <c r="A14753" s="1">
        <v>39679</v>
      </c>
      <c r="B14753">
        <v>1266.69</v>
      </c>
      <c r="C14753">
        <f t="shared" si="480"/>
        <v>-9.3148756452368642E-3</v>
      </c>
      <c r="D14753">
        <f t="shared" si="479"/>
        <v>-1.0165511987924076</v>
      </c>
    </row>
    <row r="14754" spans="1:4">
      <c r="A14754" s="1">
        <v>39680</v>
      </c>
      <c r="B14754">
        <v>1274.54</v>
      </c>
      <c r="C14754">
        <f t="shared" si="480"/>
        <v>6.1972542611056442E-3</v>
      </c>
      <c r="D14754">
        <f t="shared" si="479"/>
        <v>0.62152444648821248</v>
      </c>
    </row>
    <row r="14755" spans="1:4">
      <c r="A14755" s="1">
        <v>39681</v>
      </c>
      <c r="B14755">
        <v>1277.72</v>
      </c>
      <c r="C14755">
        <f t="shared" si="480"/>
        <v>2.4950178103473127E-3</v>
      </c>
      <c r="D14755">
        <f t="shared" si="479"/>
        <v>0.23056953573944733</v>
      </c>
    </row>
    <row r="14756" spans="1:4">
      <c r="A14756" s="1">
        <v>39682</v>
      </c>
      <c r="B14756">
        <v>1292.2</v>
      </c>
      <c r="C14756">
        <f t="shared" si="480"/>
        <v>1.13326863475566E-2</v>
      </c>
      <c r="D14756">
        <f t="shared" si="479"/>
        <v>1.1638243291992521</v>
      </c>
    </row>
    <row r="14757" spans="1:4">
      <c r="A14757" s="1">
        <v>39685</v>
      </c>
      <c r="B14757">
        <v>1266.8399999999999</v>
      </c>
      <c r="C14757">
        <f t="shared" si="480"/>
        <v>-1.9625444977557752E-2</v>
      </c>
      <c r="D14757">
        <f t="shared" si="479"/>
        <v>-2.1053438155526911</v>
      </c>
    </row>
    <row r="14758" spans="1:4">
      <c r="A14758" s="1">
        <v>39686</v>
      </c>
      <c r="B14758">
        <v>1271.51</v>
      </c>
      <c r="C14758">
        <f t="shared" si="480"/>
        <v>3.6863376590572394E-3</v>
      </c>
      <c r="D14758">
        <f t="shared" si="479"/>
        <v>0.35637250681392357</v>
      </c>
    </row>
    <row r="14759" spans="1:4">
      <c r="A14759" s="1">
        <v>39687</v>
      </c>
      <c r="B14759">
        <v>1281.6600000000001</v>
      </c>
      <c r="C14759">
        <f t="shared" si="480"/>
        <v>7.9826348200172162E-3</v>
      </c>
      <c r="D14759">
        <f t="shared" si="479"/>
        <v>0.81006002662893573</v>
      </c>
    </row>
    <row r="14760" spans="1:4">
      <c r="A14760" s="1">
        <v>39688</v>
      </c>
      <c r="B14760">
        <v>1300.68</v>
      </c>
      <c r="C14760">
        <f t="shared" si="480"/>
        <v>1.4840129207434093E-2</v>
      </c>
      <c r="D14760">
        <f t="shared" si="479"/>
        <v>1.5342091029645595</v>
      </c>
    </row>
    <row r="14761" spans="1:4">
      <c r="A14761" s="1">
        <v>39689</v>
      </c>
      <c r="B14761">
        <v>1282.83</v>
      </c>
      <c r="C14761">
        <f t="shared" si="480"/>
        <v>-1.3723590737152978E-2</v>
      </c>
      <c r="D14761">
        <f t="shared" si="479"/>
        <v>-1.4821100139036765</v>
      </c>
    </row>
    <row r="14762" spans="1:4">
      <c r="A14762" s="1">
        <v>39693</v>
      </c>
      <c r="B14762">
        <v>1277.58</v>
      </c>
      <c r="C14762">
        <f t="shared" si="480"/>
        <v>-4.0925142068707473E-3</v>
      </c>
      <c r="D14762">
        <f t="shared" si="479"/>
        <v>-0.46507160606784953</v>
      </c>
    </row>
    <row r="14763" spans="1:4">
      <c r="A14763" s="1">
        <v>39694</v>
      </c>
      <c r="B14763">
        <v>1274.98</v>
      </c>
      <c r="C14763">
        <f t="shared" si="480"/>
        <v>-2.0350976064120517E-3</v>
      </c>
      <c r="D14763">
        <f t="shared" si="479"/>
        <v>-0.24780911240929338</v>
      </c>
    </row>
    <row r="14764" spans="1:4">
      <c r="A14764" s="1">
        <v>39695</v>
      </c>
      <c r="B14764">
        <v>1236.83</v>
      </c>
      <c r="C14764">
        <f t="shared" si="480"/>
        <v>-2.9922037992752899E-2</v>
      </c>
      <c r="D14764">
        <f t="shared" si="479"/>
        <v>-3.1926605379752777</v>
      </c>
    </row>
    <row r="14765" spans="1:4">
      <c r="A14765" s="1">
        <v>39696</v>
      </c>
      <c r="B14765">
        <v>1242.31</v>
      </c>
      <c r="C14765">
        <f t="shared" si="480"/>
        <v>4.4306816619907492E-3</v>
      </c>
      <c r="D14765">
        <f t="shared" si="479"/>
        <v>0.43497498050888217</v>
      </c>
    </row>
    <row r="14766" spans="1:4">
      <c r="A14766" s="1">
        <v>39699</v>
      </c>
      <c r="B14766">
        <v>1267.79</v>
      </c>
      <c r="C14766">
        <f t="shared" si="480"/>
        <v>2.0510178618863263E-2</v>
      </c>
      <c r="D14766">
        <f t="shared" si="479"/>
        <v>2.1329643934680398</v>
      </c>
    </row>
    <row r="14767" spans="1:4">
      <c r="A14767" s="1">
        <v>39700</v>
      </c>
      <c r="B14767">
        <v>1224.51</v>
      </c>
      <c r="C14767">
        <f t="shared" si="480"/>
        <v>-3.4138145907445218E-2</v>
      </c>
      <c r="D14767">
        <f t="shared" si="479"/>
        <v>-3.6378801006420738</v>
      </c>
    </row>
    <row r="14768" spans="1:4">
      <c r="A14768" s="1">
        <v>39701</v>
      </c>
      <c r="B14768">
        <v>1232.04</v>
      </c>
      <c r="C14768">
        <f t="shared" si="480"/>
        <v>6.1493985349241513E-3</v>
      </c>
      <c r="D14768">
        <f t="shared" si="479"/>
        <v>0.61647089807039857</v>
      </c>
    </row>
    <row r="14769" spans="1:4">
      <c r="A14769" s="1">
        <v>39702</v>
      </c>
      <c r="B14769">
        <v>1249.05</v>
      </c>
      <c r="C14769">
        <f t="shared" si="480"/>
        <v>1.3806369923054439E-2</v>
      </c>
      <c r="D14769">
        <f t="shared" si="479"/>
        <v>1.425044473925922</v>
      </c>
    </row>
    <row r="14770" spans="1:4">
      <c r="A14770" s="1">
        <v>39703</v>
      </c>
      <c r="B14770">
        <v>1251.7</v>
      </c>
      <c r="C14770">
        <f t="shared" si="480"/>
        <v>2.1216124254434098E-3</v>
      </c>
      <c r="D14770">
        <f t="shared" si="479"/>
        <v>0.19113805402025258</v>
      </c>
    </row>
    <row r="14771" spans="1:4">
      <c r="A14771" s="1">
        <v>39706</v>
      </c>
      <c r="B14771">
        <v>1192.7</v>
      </c>
      <c r="C14771">
        <f t="shared" si="480"/>
        <v>-4.7135895182551728E-2</v>
      </c>
      <c r="D14771">
        <f t="shared" si="479"/>
        <v>-5.0104380059436755</v>
      </c>
    </row>
    <row r="14772" spans="1:4">
      <c r="A14772" s="1">
        <v>39707</v>
      </c>
      <c r="B14772">
        <v>1213.5999999999999</v>
      </c>
      <c r="C14772">
        <f t="shared" si="480"/>
        <v>1.7523266538106701E-2</v>
      </c>
      <c r="D14772">
        <f t="shared" si="479"/>
        <v>1.8175474930408941</v>
      </c>
    </row>
    <row r="14773" spans="1:4">
      <c r="A14773" s="1">
        <v>39708</v>
      </c>
      <c r="B14773">
        <v>1156.3900000000001</v>
      </c>
      <c r="C14773">
        <f t="shared" si="480"/>
        <v>-4.7140738299274731E-2</v>
      </c>
      <c r="D14773">
        <f t="shared" si="479"/>
        <v>-5.0109494374233696</v>
      </c>
    </row>
    <row r="14774" spans="1:4">
      <c r="A14774" s="1">
        <v>39709</v>
      </c>
      <c r="B14774">
        <v>1206.51</v>
      </c>
      <c r="C14774">
        <f t="shared" si="480"/>
        <v>4.3341779157550553E-2</v>
      </c>
      <c r="D14774">
        <f t="shared" si="479"/>
        <v>4.5439736495153156</v>
      </c>
    </row>
    <row r="14775" spans="1:4">
      <c r="A14775" s="1">
        <v>39710</v>
      </c>
      <c r="B14775">
        <v>1255.08</v>
      </c>
      <c r="C14775">
        <f t="shared" si="480"/>
        <v>4.0256607902130891E-2</v>
      </c>
      <c r="D14775">
        <f t="shared" si="479"/>
        <v>4.2181806136436624</v>
      </c>
    </row>
    <row r="14776" spans="1:4">
      <c r="A14776" s="1">
        <v>39713</v>
      </c>
      <c r="B14776">
        <v>1207.0899999999999</v>
      </c>
      <c r="C14776">
        <f t="shared" si="480"/>
        <v>-3.8236606431462546E-2</v>
      </c>
      <c r="D14776">
        <f t="shared" si="479"/>
        <v>-4.0706761388438828</v>
      </c>
    </row>
    <row r="14777" spans="1:4">
      <c r="A14777" s="1">
        <v>39714</v>
      </c>
      <c r="B14777">
        <v>1188.22</v>
      </c>
      <c r="C14777">
        <f t="shared" si="480"/>
        <v>-1.5632637168728009E-2</v>
      </c>
      <c r="D14777">
        <f t="shared" si="479"/>
        <v>-1.6837046681615886</v>
      </c>
    </row>
    <row r="14778" spans="1:4">
      <c r="A14778" s="1">
        <v>39715</v>
      </c>
      <c r="B14778">
        <v>1185.8699999999999</v>
      </c>
      <c r="C14778">
        <f t="shared" si="480"/>
        <v>-1.977748228442659E-3</v>
      </c>
      <c r="D14778">
        <f t="shared" si="479"/>
        <v>-0.24175303758972624</v>
      </c>
    </row>
    <row r="14779" spans="1:4">
      <c r="A14779" s="1">
        <v>39716</v>
      </c>
      <c r="B14779">
        <v>1209.18</v>
      </c>
      <c r="C14779">
        <f t="shared" si="480"/>
        <v>1.9656454754737176E-2</v>
      </c>
      <c r="D14779">
        <f t="shared" si="479"/>
        <v>2.0428114436111664</v>
      </c>
    </row>
    <row r="14780" spans="1:4">
      <c r="A14780" s="1">
        <v>39717</v>
      </c>
      <c r="B14780">
        <v>1213.27</v>
      </c>
      <c r="C14780">
        <f t="shared" si="480"/>
        <v>3.3824575332042526E-3</v>
      </c>
      <c r="D14780">
        <f t="shared" si="479"/>
        <v>0.32428286881772173</v>
      </c>
    </row>
    <row r="14781" spans="1:4">
      <c r="A14781" s="1">
        <v>39720</v>
      </c>
      <c r="B14781">
        <v>1106.42</v>
      </c>
      <c r="C14781">
        <f t="shared" si="480"/>
        <v>-8.806778375794333E-2</v>
      </c>
      <c r="D14781">
        <f t="shared" si="479"/>
        <v>-9.3328315260800832</v>
      </c>
    </row>
    <row r="14782" spans="1:4">
      <c r="A14782" s="1">
        <v>39721</v>
      </c>
      <c r="B14782">
        <v>1164.74</v>
      </c>
      <c r="C14782">
        <f t="shared" si="480"/>
        <v>5.2710543916415047E-2</v>
      </c>
      <c r="D14782">
        <f t="shared" si="479"/>
        <v>5.5333120234535329</v>
      </c>
    </row>
    <row r="14783" spans="1:4">
      <c r="A14783" s="1">
        <v>39722</v>
      </c>
      <c r="B14783">
        <v>1161.06</v>
      </c>
      <c r="C14783">
        <f t="shared" si="480"/>
        <v>-3.1595034084860689E-3</v>
      </c>
      <c r="D14783">
        <f t="shared" si="479"/>
        <v>-0.36654598290420715</v>
      </c>
    </row>
    <row r="14784" spans="1:4">
      <c r="A14784" s="1">
        <v>39723</v>
      </c>
      <c r="B14784">
        <v>1114.28</v>
      </c>
      <c r="C14784">
        <f t="shared" si="480"/>
        <v>-4.0290768780252506E-2</v>
      </c>
      <c r="D14784">
        <f t="shared" si="479"/>
        <v>-4.2875949846323946</v>
      </c>
    </row>
    <row r="14785" spans="1:4">
      <c r="A14785" s="1">
        <v>39724</v>
      </c>
      <c r="B14785">
        <v>1099.23</v>
      </c>
      <c r="C14785">
        <f t="shared" si="480"/>
        <v>-1.3506479520407757E-2</v>
      </c>
      <c r="D14785">
        <f t="shared" si="479"/>
        <v>-1.4591831432150695</v>
      </c>
    </row>
    <row r="14786" spans="1:4">
      <c r="A14786" s="1">
        <v>39727</v>
      </c>
      <c r="B14786">
        <v>1056.8900000000001</v>
      </c>
      <c r="C14786">
        <f t="shared" si="480"/>
        <v>-3.8517871601029735E-2</v>
      </c>
      <c r="D14786">
        <f t="shared" si="479"/>
        <v>-4.1003776451435012</v>
      </c>
    </row>
    <row r="14787" spans="1:4">
      <c r="A14787" s="1">
        <v>39728</v>
      </c>
      <c r="B14787">
        <v>996.23</v>
      </c>
      <c r="C14787">
        <f t="shared" si="480"/>
        <v>-5.7394809298981046E-2</v>
      </c>
      <c r="D14787">
        <f t="shared" ref="D14787:D14850" si="481">(C14787-avg)/sd</f>
        <v>-6.0937758494642704</v>
      </c>
    </row>
    <row r="14788" spans="1:4">
      <c r="A14788" s="1">
        <v>39729</v>
      </c>
      <c r="B14788">
        <v>984.94</v>
      </c>
      <c r="C14788">
        <f t="shared" ref="C14788:C14844" si="482">(B14788-B14787)/B14787</f>
        <v>-1.1332724370878174E-2</v>
      </c>
      <c r="D14788">
        <f t="shared" si="481"/>
        <v>-1.2296353383200218</v>
      </c>
    </row>
    <row r="14789" spans="1:4">
      <c r="A14789" s="1">
        <v>39730</v>
      </c>
      <c r="B14789">
        <v>909.92</v>
      </c>
      <c r="C14789">
        <f t="shared" si="482"/>
        <v>-7.6167076167076256E-2</v>
      </c>
      <c r="D14789">
        <f t="shared" si="481"/>
        <v>-8.0761208497315788</v>
      </c>
    </row>
    <row r="14790" spans="1:4">
      <c r="A14790" s="1">
        <v>39731</v>
      </c>
      <c r="B14790">
        <v>899.22</v>
      </c>
      <c r="C14790">
        <f t="shared" si="482"/>
        <v>-1.17592755407068E-2</v>
      </c>
      <c r="D14790">
        <f t="shared" si="481"/>
        <v>-1.2746789968621373</v>
      </c>
    </row>
    <row r="14791" spans="1:4">
      <c r="A14791" s="1">
        <v>39734</v>
      </c>
      <c r="B14791">
        <v>1003.35</v>
      </c>
      <c r="C14791">
        <f t="shared" si="482"/>
        <v>0.11580036031227063</v>
      </c>
      <c r="D14791">
        <f t="shared" si="481"/>
        <v>12.195575189585318</v>
      </c>
    </row>
    <row r="14792" spans="1:4">
      <c r="A14792" s="1">
        <v>39735</v>
      </c>
      <c r="B14792">
        <v>998.01</v>
      </c>
      <c r="C14792">
        <f t="shared" si="482"/>
        <v>-5.3221707280610275E-3</v>
      </c>
      <c r="D14792">
        <f t="shared" si="481"/>
        <v>-0.59492291672498299</v>
      </c>
    </row>
    <row r="14793" spans="1:4">
      <c r="A14793" s="1">
        <v>39736</v>
      </c>
      <c r="B14793">
        <v>907.84</v>
      </c>
      <c r="C14793">
        <f t="shared" si="482"/>
        <v>-9.0349796094227469E-2</v>
      </c>
      <c r="D14793">
        <f t="shared" si="481"/>
        <v>-9.5738112530980075</v>
      </c>
    </row>
    <row r="14794" spans="1:4">
      <c r="A14794" s="1">
        <v>39737</v>
      </c>
      <c r="B14794">
        <v>946.43</v>
      </c>
      <c r="C14794">
        <f t="shared" si="482"/>
        <v>4.2507490306661878E-2</v>
      </c>
      <c r="D14794">
        <f t="shared" si="481"/>
        <v>4.4558730304500305</v>
      </c>
    </row>
    <row r="14795" spans="1:4">
      <c r="A14795" s="1">
        <v>39738</v>
      </c>
      <c r="B14795">
        <v>940.55</v>
      </c>
      <c r="C14795">
        <f t="shared" si="482"/>
        <v>-6.2128208108365073E-3</v>
      </c>
      <c r="D14795">
        <f t="shared" si="481"/>
        <v>-0.68897526271940079</v>
      </c>
    </row>
    <row r="14796" spans="1:4">
      <c r="A14796" s="1">
        <v>39741</v>
      </c>
      <c r="B14796">
        <v>985.4</v>
      </c>
      <c r="C14796">
        <f t="shared" si="482"/>
        <v>4.768486523842435E-2</v>
      </c>
      <c r="D14796">
        <f t="shared" si="481"/>
        <v>5.0026020633688999</v>
      </c>
    </row>
    <row r="14797" spans="1:4">
      <c r="A14797" s="1">
        <v>39742</v>
      </c>
      <c r="B14797">
        <v>955.05</v>
      </c>
      <c r="C14797">
        <f t="shared" si="482"/>
        <v>-3.0799675258778185E-2</v>
      </c>
      <c r="D14797">
        <f t="shared" si="481"/>
        <v>-3.2853387349441463</v>
      </c>
    </row>
    <row r="14798" spans="1:4">
      <c r="A14798" s="1">
        <v>39743</v>
      </c>
      <c r="B14798">
        <v>896.78</v>
      </c>
      <c r="C14798">
        <f t="shared" si="482"/>
        <v>-6.1012512433903966E-2</v>
      </c>
      <c r="D14798">
        <f t="shared" si="481"/>
        <v>-6.4758040707950864</v>
      </c>
    </row>
    <row r="14799" spans="1:4">
      <c r="A14799" s="1">
        <v>39744</v>
      </c>
      <c r="B14799">
        <v>908.11</v>
      </c>
      <c r="C14799">
        <f t="shared" si="482"/>
        <v>1.263409085840456E-2</v>
      </c>
      <c r="D14799">
        <f t="shared" si="481"/>
        <v>1.3012522031759097</v>
      </c>
    </row>
    <row r="14800" spans="1:4">
      <c r="A14800" s="1">
        <v>39745</v>
      </c>
      <c r="B14800">
        <v>876.77</v>
      </c>
      <c r="C14800">
        <f t="shared" si="482"/>
        <v>-3.4511237625397838E-2</v>
      </c>
      <c r="D14800">
        <f t="shared" si="481"/>
        <v>-3.6772784592378338</v>
      </c>
    </row>
    <row r="14801" spans="1:4">
      <c r="A14801" s="1">
        <v>39748</v>
      </c>
      <c r="B14801">
        <v>848.92</v>
      </c>
      <c r="C14801">
        <f t="shared" si="482"/>
        <v>-3.176431675353858E-2</v>
      </c>
      <c r="D14801">
        <f t="shared" si="481"/>
        <v>-3.3872045488932678</v>
      </c>
    </row>
    <row r="14802" spans="1:4">
      <c r="A14802" s="1">
        <v>39749</v>
      </c>
      <c r="B14802">
        <v>940.51</v>
      </c>
      <c r="C14802">
        <f t="shared" si="482"/>
        <v>0.1078900249729068</v>
      </c>
      <c r="D14802">
        <f t="shared" si="481"/>
        <v>11.360246466602122</v>
      </c>
    </row>
    <row r="14803" spans="1:4">
      <c r="A14803" s="1">
        <v>39750</v>
      </c>
      <c r="B14803">
        <v>930.09</v>
      </c>
      <c r="C14803">
        <f t="shared" si="482"/>
        <v>-1.1079095384419048E-2</v>
      </c>
      <c r="D14803">
        <f t="shared" si="481"/>
        <v>-1.2028522035626195</v>
      </c>
    </row>
    <row r="14804" spans="1:4">
      <c r="A14804" s="1">
        <v>39751</v>
      </c>
      <c r="B14804">
        <v>954.09</v>
      </c>
      <c r="C14804">
        <f t="shared" si="482"/>
        <v>2.5803954456020385E-2</v>
      </c>
      <c r="D14804">
        <f t="shared" si="481"/>
        <v>2.6919853224299946</v>
      </c>
    </row>
    <row r="14805" spans="1:4">
      <c r="A14805" s="1">
        <v>39752</v>
      </c>
      <c r="B14805">
        <v>968.75</v>
      </c>
      <c r="C14805">
        <f t="shared" si="482"/>
        <v>1.5365426741711964E-2</v>
      </c>
      <c r="D14805">
        <f t="shared" si="481"/>
        <v>1.5896803440269951</v>
      </c>
    </row>
    <row r="14806" spans="1:4">
      <c r="A14806" s="1">
        <v>39755</v>
      </c>
      <c r="B14806">
        <v>966.3</v>
      </c>
      <c r="C14806">
        <f t="shared" si="482"/>
        <v>-2.5290322580645633E-3</v>
      </c>
      <c r="D14806">
        <f t="shared" si="481"/>
        <v>-0.29996844372725284</v>
      </c>
    </row>
    <row r="14807" spans="1:4">
      <c r="A14807" s="1">
        <v>39756</v>
      </c>
      <c r="B14807">
        <v>1005.75</v>
      </c>
      <c r="C14807">
        <f t="shared" si="482"/>
        <v>4.0825830487426315E-2</v>
      </c>
      <c r="D14807">
        <f t="shared" si="481"/>
        <v>4.2782903251627014</v>
      </c>
    </row>
    <row r="14808" spans="1:4">
      <c r="A14808" s="1">
        <v>39757</v>
      </c>
      <c r="B14808">
        <v>952.77</v>
      </c>
      <c r="C14808">
        <f t="shared" si="482"/>
        <v>-5.2677106636838202E-2</v>
      </c>
      <c r="D14808">
        <f t="shared" si="481"/>
        <v>-5.5955880519670371</v>
      </c>
    </row>
    <row r="14809" spans="1:4">
      <c r="A14809" s="1">
        <v>39758</v>
      </c>
      <c r="B14809">
        <v>904.88</v>
      </c>
      <c r="C14809">
        <f t="shared" si="482"/>
        <v>-5.0263967169411283E-2</v>
      </c>
      <c r="D14809">
        <f t="shared" si="481"/>
        <v>-5.340761344472714</v>
      </c>
    </row>
    <row r="14810" spans="1:4">
      <c r="A14810" s="1">
        <v>39759</v>
      </c>
      <c r="B14810">
        <v>930.99</v>
      </c>
      <c r="C14810">
        <f t="shared" si="482"/>
        <v>2.8854654760852284E-2</v>
      </c>
      <c r="D14810">
        <f t="shared" si="481"/>
        <v>3.0141382376368249</v>
      </c>
    </row>
    <row r="14811" spans="1:4">
      <c r="A14811" s="1">
        <v>39762</v>
      </c>
      <c r="B14811">
        <v>919.21</v>
      </c>
      <c r="C14811">
        <f t="shared" si="482"/>
        <v>-1.2653197134233421E-2</v>
      </c>
      <c r="D14811">
        <f t="shared" si="481"/>
        <v>-1.3690768132798352</v>
      </c>
    </row>
    <row r="14812" spans="1:4">
      <c r="A14812" s="1">
        <v>39763</v>
      </c>
      <c r="B14812">
        <v>898.95</v>
      </c>
      <c r="C14812">
        <f t="shared" si="482"/>
        <v>-2.2040665353945225E-2</v>
      </c>
      <c r="D14812">
        <f t="shared" si="481"/>
        <v>-2.3603902663259135</v>
      </c>
    </row>
    <row r="14813" spans="1:4">
      <c r="A14813" s="1">
        <v>39764</v>
      </c>
      <c r="B14813">
        <v>852.3</v>
      </c>
      <c r="C14813">
        <f t="shared" si="482"/>
        <v>-5.1893876188887134E-2</v>
      </c>
      <c r="D14813">
        <f t="shared" si="481"/>
        <v>-5.512879182896369</v>
      </c>
    </row>
    <row r="14814" spans="1:4">
      <c r="A14814" s="1">
        <v>39765</v>
      </c>
      <c r="B14814">
        <v>911.29</v>
      </c>
      <c r="C14814">
        <f t="shared" si="482"/>
        <v>6.9212718526340505E-2</v>
      </c>
      <c r="D14814">
        <f t="shared" si="481"/>
        <v>7.2759360528999659</v>
      </c>
    </row>
    <row r="14815" spans="1:4">
      <c r="A14815" s="1">
        <v>39766</v>
      </c>
      <c r="B14815">
        <v>873.29</v>
      </c>
      <c r="C14815">
        <f t="shared" si="482"/>
        <v>-4.1699129805001706E-2</v>
      </c>
      <c r="D14815">
        <f t="shared" si="481"/>
        <v>-4.4363174301207371</v>
      </c>
    </row>
    <row r="14816" spans="1:4">
      <c r="A14816" s="1">
        <v>39769</v>
      </c>
      <c r="B14816">
        <v>850.75</v>
      </c>
      <c r="C14816">
        <f t="shared" si="482"/>
        <v>-2.5810440976078926E-2</v>
      </c>
      <c r="D14816">
        <f t="shared" si="481"/>
        <v>-2.7584772906142381</v>
      </c>
    </row>
    <row r="14817" spans="1:4">
      <c r="A14817" s="1">
        <v>39770</v>
      </c>
      <c r="B14817">
        <v>859.12</v>
      </c>
      <c r="C14817">
        <f t="shared" si="482"/>
        <v>9.838377901851313E-3</v>
      </c>
      <c r="D14817">
        <f t="shared" si="481"/>
        <v>1.0060258652728939</v>
      </c>
    </row>
    <row r="14818" spans="1:4">
      <c r="A14818" s="1">
        <v>39771</v>
      </c>
      <c r="B14818">
        <v>806.58</v>
      </c>
      <c r="C14818">
        <f t="shared" si="482"/>
        <v>-6.1155601080175023E-2</v>
      </c>
      <c r="D14818">
        <f t="shared" si="481"/>
        <v>-6.4909141832031159</v>
      </c>
    </row>
    <row r="14819" spans="1:4">
      <c r="A14819" s="1">
        <v>39772</v>
      </c>
      <c r="B14819">
        <v>752.44</v>
      </c>
      <c r="C14819">
        <f t="shared" si="482"/>
        <v>-6.7122914032086076E-2</v>
      </c>
      <c r="D14819">
        <f t="shared" si="481"/>
        <v>-7.1210604025366964</v>
      </c>
    </row>
    <row r="14820" spans="1:4">
      <c r="A14820" s="1">
        <v>39773</v>
      </c>
      <c r="B14820">
        <v>800.03</v>
      </c>
      <c r="C14820">
        <f t="shared" si="482"/>
        <v>6.324756791239157E-2</v>
      </c>
      <c r="D14820">
        <f t="shared" si="481"/>
        <v>6.6460181757201706</v>
      </c>
    </row>
    <row r="14821" spans="1:4">
      <c r="A14821" s="1">
        <v>39776</v>
      </c>
      <c r="B14821">
        <v>851.81</v>
      </c>
      <c r="C14821">
        <f t="shared" si="482"/>
        <v>6.4722572903516087E-2</v>
      </c>
      <c r="D14821">
        <f t="shared" si="481"/>
        <v>6.8017782014043631</v>
      </c>
    </row>
    <row r="14822" spans="1:4">
      <c r="A14822" s="1">
        <v>39777</v>
      </c>
      <c r="B14822">
        <v>857.39</v>
      </c>
      <c r="C14822">
        <f t="shared" si="482"/>
        <v>6.5507566241298429E-3</v>
      </c>
      <c r="D14822">
        <f t="shared" si="481"/>
        <v>0.65885417586227635</v>
      </c>
    </row>
    <row r="14823" spans="1:4">
      <c r="A14823" s="1">
        <v>39778</v>
      </c>
      <c r="B14823">
        <v>887.68</v>
      </c>
      <c r="C14823">
        <f t="shared" si="482"/>
        <v>3.5328147050933609E-2</v>
      </c>
      <c r="D14823">
        <f t="shared" si="481"/>
        <v>3.6977368230224696</v>
      </c>
    </row>
    <row r="14824" spans="1:4">
      <c r="A14824" s="1">
        <v>39780</v>
      </c>
      <c r="B14824">
        <v>896.24</v>
      </c>
      <c r="C14824">
        <f t="shared" si="482"/>
        <v>9.6431146359048977E-3</v>
      </c>
      <c r="D14824">
        <f t="shared" si="481"/>
        <v>0.98540613076216155</v>
      </c>
    </row>
    <row r="14825" spans="1:4">
      <c r="A14825" s="1">
        <v>39783</v>
      </c>
      <c r="B14825">
        <v>816.21</v>
      </c>
      <c r="C14825">
        <f t="shared" si="482"/>
        <v>-8.9295278050522148E-2</v>
      </c>
      <c r="D14825">
        <f t="shared" si="481"/>
        <v>-9.4624545061308236</v>
      </c>
    </row>
    <row r="14826" spans="1:4">
      <c r="A14826" s="1">
        <v>39784</v>
      </c>
      <c r="B14826">
        <v>848.81</v>
      </c>
      <c r="C14826">
        <f t="shared" si="482"/>
        <v>3.9940701535144028E-2</v>
      </c>
      <c r="D14826">
        <f t="shared" si="481"/>
        <v>4.1848210086716415</v>
      </c>
    </row>
    <row r="14827" spans="1:4">
      <c r="A14827" s="1">
        <v>39785</v>
      </c>
      <c r="B14827">
        <v>870.74</v>
      </c>
      <c r="C14827">
        <f t="shared" si="482"/>
        <v>2.583617063889453E-2</v>
      </c>
      <c r="D14827">
        <f t="shared" si="481"/>
        <v>2.6953873403906914</v>
      </c>
    </row>
    <row r="14828" spans="1:4">
      <c r="A14828" s="1">
        <v>39786</v>
      </c>
      <c r="B14828">
        <v>845.22</v>
      </c>
      <c r="C14828">
        <f t="shared" si="482"/>
        <v>-2.93084043457289E-2</v>
      </c>
      <c r="D14828">
        <f t="shared" si="481"/>
        <v>-3.1278610334337547</v>
      </c>
    </row>
    <row r="14829" spans="1:4">
      <c r="A14829" s="1">
        <v>39787</v>
      </c>
      <c r="B14829">
        <v>876.07</v>
      </c>
      <c r="C14829">
        <f t="shared" si="482"/>
        <v>3.6499372944322213E-2</v>
      </c>
      <c r="D14829">
        <f t="shared" si="481"/>
        <v>3.8214178792452813</v>
      </c>
    </row>
    <row r="14830" spans="1:4">
      <c r="A14830" s="1">
        <v>39790</v>
      </c>
      <c r="B14830">
        <v>909.7</v>
      </c>
      <c r="C14830">
        <f t="shared" si="482"/>
        <v>3.8387343477119404E-2</v>
      </c>
      <c r="D14830">
        <f t="shared" si="481"/>
        <v>4.0207869257562994</v>
      </c>
    </row>
    <row r="14831" spans="1:4">
      <c r="A14831" s="1">
        <v>39791</v>
      </c>
      <c r="B14831">
        <v>888.67</v>
      </c>
      <c r="C14831">
        <f t="shared" si="482"/>
        <v>-2.3117511267450902E-2</v>
      </c>
      <c r="D14831">
        <f t="shared" si="481"/>
        <v>-2.4741048287544021</v>
      </c>
    </row>
    <row r="14832" spans="1:4">
      <c r="A14832" s="1">
        <v>39792</v>
      </c>
      <c r="B14832">
        <v>899.24</v>
      </c>
      <c r="C14832">
        <f t="shared" si="482"/>
        <v>1.1894178941564417E-2</v>
      </c>
      <c r="D14832">
        <f t="shared" si="481"/>
        <v>1.2231177562658715</v>
      </c>
    </row>
    <row r="14833" spans="1:4">
      <c r="A14833" s="1">
        <v>39793</v>
      </c>
      <c r="B14833">
        <v>873.59</v>
      </c>
      <c r="C14833">
        <f t="shared" si="482"/>
        <v>-2.8524087006805723E-2</v>
      </c>
      <c r="D14833">
        <f t="shared" si="481"/>
        <v>-3.0450373890458842</v>
      </c>
    </row>
    <row r="14834" spans="1:4">
      <c r="A14834" s="1">
        <v>39794</v>
      </c>
      <c r="B14834">
        <v>879.73</v>
      </c>
      <c r="C14834">
        <f t="shared" si="482"/>
        <v>7.028468732471739E-3</v>
      </c>
      <c r="D14834">
        <f t="shared" si="481"/>
        <v>0.70930041212094519</v>
      </c>
    </row>
    <row r="14835" spans="1:4">
      <c r="A14835" s="1">
        <v>39797</v>
      </c>
      <c r="B14835">
        <v>868.57</v>
      </c>
      <c r="C14835">
        <f t="shared" si="482"/>
        <v>-1.2685710388414592E-2</v>
      </c>
      <c r="D14835">
        <f t="shared" si="481"/>
        <v>-1.3725102018695747</v>
      </c>
    </row>
    <row r="14836" spans="1:4">
      <c r="A14836" s="1">
        <v>39798</v>
      </c>
      <c r="B14836">
        <v>913.18</v>
      </c>
      <c r="C14836">
        <f t="shared" si="482"/>
        <v>5.1360281842568703E-2</v>
      </c>
      <c r="D14836">
        <f t="shared" si="481"/>
        <v>5.390724807431738</v>
      </c>
    </row>
    <row r="14837" spans="1:4">
      <c r="A14837" s="1">
        <v>39799</v>
      </c>
      <c r="B14837">
        <v>904.42</v>
      </c>
      <c r="C14837">
        <f t="shared" si="482"/>
        <v>-9.5928513546069683E-3</v>
      </c>
      <c r="D14837">
        <f t="shared" si="481"/>
        <v>-1.0459053392133559</v>
      </c>
    </row>
    <row r="14838" spans="1:4">
      <c r="A14838" s="1">
        <v>39800</v>
      </c>
      <c r="B14838">
        <v>885.28</v>
      </c>
      <c r="C14838">
        <f t="shared" si="482"/>
        <v>-2.116273412794939E-2</v>
      </c>
      <c r="D14838">
        <f t="shared" si="481"/>
        <v>-2.2676810272840764</v>
      </c>
    </row>
    <row r="14839" spans="1:4">
      <c r="A14839" s="1">
        <v>39801</v>
      </c>
      <c r="B14839">
        <v>887.88</v>
      </c>
      <c r="C14839">
        <f t="shared" si="482"/>
        <v>2.9369239110790066E-3</v>
      </c>
      <c r="D14839">
        <f t="shared" si="481"/>
        <v>0.27723466976553218</v>
      </c>
    </row>
    <row r="14840" spans="1:4">
      <c r="A14840" s="1">
        <v>39804</v>
      </c>
      <c r="B14840">
        <v>871.63</v>
      </c>
      <c r="C14840">
        <f t="shared" si="482"/>
        <v>-1.8302022795873316E-2</v>
      </c>
      <c r="D14840">
        <f t="shared" si="481"/>
        <v>-1.9655908830198716</v>
      </c>
    </row>
    <row r="14841" spans="1:4">
      <c r="A14841" s="1">
        <v>39805</v>
      </c>
      <c r="B14841">
        <v>863.16</v>
      </c>
      <c r="C14841">
        <f t="shared" si="482"/>
        <v>-9.7174259720294483E-3</v>
      </c>
      <c r="D14841">
        <f t="shared" si="481"/>
        <v>-1.0590603764682001</v>
      </c>
    </row>
    <row r="14842" spans="1:4">
      <c r="A14842" s="1">
        <v>39806</v>
      </c>
      <c r="B14842">
        <v>868.15</v>
      </c>
      <c r="C14842">
        <f t="shared" si="482"/>
        <v>5.7810834607720579E-3</v>
      </c>
      <c r="D14842">
        <f t="shared" si="481"/>
        <v>0.57757695143631416</v>
      </c>
    </row>
    <row r="14843" spans="1:4">
      <c r="A14843" s="1">
        <v>39808</v>
      </c>
      <c r="B14843">
        <v>872.8</v>
      </c>
      <c r="C14843">
        <f t="shared" si="482"/>
        <v>5.3562172435638739E-3</v>
      </c>
      <c r="D14843">
        <f t="shared" si="481"/>
        <v>0.53271122331817411</v>
      </c>
    </row>
    <row r="14844" spans="1:4">
      <c r="A14844" s="1">
        <v>39811</v>
      </c>
      <c r="B14844">
        <v>869.42</v>
      </c>
      <c r="C14844">
        <f t="shared" si="482"/>
        <v>-3.8725939505041196E-3</v>
      </c>
      <c r="D14844">
        <f t="shared" si="481"/>
        <v>-0.4418481017500609</v>
      </c>
    </row>
  </sheetData>
  <sheetCalcPr fullCalcOnLoad="1"/>
  <phoneticPr fontId="1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SPX</vt:lpstr>
      <vt:lpstr>avg</vt:lpstr>
      <vt:lpstr>bucketwidth</vt:lpstr>
      <vt:lpstr>num</vt:lpstr>
      <vt:lpstr>sd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plamen</dc:creator>
  <cp:lastModifiedBy>plamen</cp:lastModifiedBy>
  <dcterms:created xsi:type="dcterms:W3CDTF">2008-12-30T10:16:08Z</dcterms:created>
  <dcterms:modified xsi:type="dcterms:W3CDTF">2009-01-16T18:49:33Z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-1610684736</vt:i4>
  </property>
  <property fmtid="{D5CDD505-2E9C-101B-9397-08002B2CF9AE}" pid="3" name="_NewReviewCycle">
    <vt:lpwstr/>
  </property>
  <property fmtid="{D5CDD505-2E9C-101B-9397-08002B2CF9AE}" pid="4" name="_EmailSubject">
    <vt:lpwstr>CQF Lecture tonight</vt:lpwstr>
  </property>
  <property fmtid="{D5CDD505-2E9C-101B-9397-08002B2CF9AE}" pid="5" name="_AuthorEmail">
    <vt:lpwstr>J.Dixon@7city.com</vt:lpwstr>
  </property>
  <property fmtid="{D5CDD505-2E9C-101B-9397-08002B2CF9AE}" pid="6" name="_AuthorEmailDisplayName">
    <vt:lpwstr>James Dixon</vt:lpwstr>
  </property>
  <property fmtid="{D5CDD505-2E9C-101B-9397-08002B2CF9AE}" pid="7" name="_ReviewingToolsShownOnce">
    <vt:lpwstr/>
  </property>
</Properties>
</file>