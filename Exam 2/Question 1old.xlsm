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defaultThemeVersion="124226"/>
  <bookViews>
    <workbookView xWindow="384" yWindow="96" windowWidth="18960" windowHeight="8784" activeTab="1"/>
  </bookViews>
  <sheets>
    <sheet name="Explicit" sheetId="1" r:id="rId1"/>
    <sheet name="Implicit" sheetId="2" r:id="rId2"/>
    <sheet name="Sheet3" sheetId="3" r:id="rId3"/>
  </sheets>
  <calcPr calcId="124519"/>
</workbook>
</file>

<file path=xl/calcChain.xml><?xml version="1.0" encoding="utf-8"?>
<calcChain xmlns="http://schemas.openxmlformats.org/spreadsheetml/2006/main">
  <c r="H5" i="2" a="1"/>
  <c r="H5" s="1"/>
  <c r="L31" a="1"/>
  <c r="L31" s="1"/>
  <c r="F28" a="1"/>
  <c r="F28" s="1"/>
  <c r="H33"/>
  <c r="H32" a="1"/>
  <c r="H32" s="1"/>
  <c r="H31" a="1"/>
  <c r="H31" s="1"/>
  <c r="G21" a="1"/>
  <c r="G21" s="1"/>
  <c r="H21"/>
  <c r="J21"/>
  <c r="H29"/>
  <c r="H30" s="1"/>
  <c r="I28"/>
  <c r="K29"/>
  <c r="K31" a="1"/>
  <c r="K31" s="1"/>
  <c r="K28"/>
  <c r="K30" a="1"/>
  <c r="K30" s="1"/>
  <c r="H1" a="1"/>
  <c r="H1" s="1"/>
  <c r="H2" a="1"/>
  <c r="H2" s="1"/>
  <c r="H3" a="1"/>
  <c r="H3" s="1"/>
  <c r="K26" a="1"/>
  <c r="K26" s="1"/>
  <c r="B24" a="1"/>
  <c r="B24" s="1"/>
  <c r="B23" a="1"/>
  <c r="B23" s="1"/>
  <c r="H28"/>
  <c r="N15" a="1"/>
  <c r="N15" s="1"/>
  <c r="K27"/>
  <c r="L19"/>
  <c r="M19"/>
  <c r="L8" a="1"/>
  <c r="L8" s="1"/>
  <c r="H27" i="1"/>
  <c r="H28"/>
  <c r="H8" i="2" a="1"/>
  <c r="H10" s="1"/>
  <c r="G8" a="1"/>
  <c r="G11" s="1"/>
  <c r="H4" a="1"/>
  <c r="J4" s="1"/>
  <c r="H4" i="1" a="1"/>
  <c r="H4" s="1"/>
  <c r="H8" a="1"/>
  <c r="H8" s="1"/>
  <c r="G8" a="1"/>
  <c r="G8" s="1"/>
  <c r="D15" s="1"/>
  <c r="K5" i="2" l="1"/>
  <c r="I5"/>
  <c r="J5"/>
  <c r="K32" a="1"/>
  <c r="K32" s="1"/>
  <c r="I21"/>
  <c r="K1"/>
  <c r="I1"/>
  <c r="J1"/>
  <c r="K2"/>
  <c r="I2"/>
  <c r="J2"/>
  <c r="K3"/>
  <c r="I3"/>
  <c r="J3"/>
  <c r="E24"/>
  <c r="C24"/>
  <c r="D24"/>
  <c r="E23"/>
  <c r="C23"/>
  <c r="D23"/>
  <c r="N18"/>
  <c r="N16"/>
  <c r="N17"/>
  <c r="M8" a="1"/>
  <c r="L11"/>
  <c r="L9"/>
  <c r="L10"/>
  <c r="E18"/>
  <c r="C18"/>
  <c r="D18"/>
  <c r="B18"/>
  <c r="I4"/>
  <c r="K4"/>
  <c r="G8"/>
  <c r="G10"/>
  <c r="H9"/>
  <c r="H11"/>
  <c r="H4"/>
  <c r="G9"/>
  <c r="H8"/>
  <c r="C15" i="1"/>
  <c r="E15"/>
  <c r="B15"/>
  <c r="K4"/>
  <c r="I4"/>
  <c r="J4"/>
  <c r="H11"/>
  <c r="H9"/>
  <c r="H10"/>
  <c r="G11"/>
  <c r="G9"/>
  <c r="G10"/>
  <c r="M8" i="2" l="1"/>
  <c r="O15" s="1"/>
  <c r="M9"/>
  <c r="O16" s="1"/>
  <c r="M11"/>
  <c r="O18" s="1"/>
  <c r="M10"/>
  <c r="O17" s="1"/>
  <c r="N19"/>
  <c r="D15"/>
  <c r="B15"/>
  <c r="E15"/>
  <c r="C15"/>
  <c r="E16"/>
  <c r="C16"/>
  <c r="D16"/>
  <c r="B16"/>
  <c r="E17"/>
  <c r="C17"/>
  <c r="D17"/>
  <c r="B17"/>
  <c r="D17" i="1"/>
  <c r="B17"/>
  <c r="E17"/>
  <c r="C17"/>
  <c r="D18"/>
  <c r="B18"/>
  <c r="E18"/>
  <c r="C18"/>
  <c r="D16"/>
  <c r="B16"/>
  <c r="E16"/>
  <c r="C16"/>
  <c r="O19" i="2" l="1"/>
  <c r="G15" a="1"/>
  <c r="G15" i="1" a="1"/>
  <c r="G15" s="1"/>
  <c r="J18" i="2" l="1"/>
  <c r="H18"/>
  <c r="J17"/>
  <c r="H17"/>
  <c r="J16"/>
  <c r="H16"/>
  <c r="J15"/>
  <c r="H15"/>
  <c r="I18"/>
  <c r="G18"/>
  <c r="I17"/>
  <c r="G17"/>
  <c r="I16"/>
  <c r="G16"/>
  <c r="I15"/>
  <c r="G15"/>
  <c r="G16" i="1"/>
  <c r="I16"/>
  <c r="H16"/>
  <c r="J16"/>
  <c r="G18"/>
  <c r="H18"/>
  <c r="I18"/>
  <c r="J18"/>
  <c r="G17"/>
  <c r="H15"/>
  <c r="H17"/>
  <c r="I15"/>
  <c r="I17"/>
  <c r="J15"/>
  <c r="J17"/>
  <c r="B22" a="1"/>
  <c r="B21" a="1"/>
  <c r="B22" i="2" l="1" a="1"/>
  <c r="B21" a="1"/>
  <c r="B21" i="1"/>
  <c r="C21"/>
  <c r="E21"/>
  <c r="D21"/>
  <c r="B22"/>
  <c r="E22"/>
  <c r="D22"/>
  <c r="C22"/>
  <c r="E22" i="2" l="1"/>
  <c r="C22"/>
  <c r="D22"/>
  <c r="B22"/>
  <c r="D21"/>
  <c r="B21"/>
  <c r="E21"/>
  <c r="C21"/>
  <c r="B28" i="1" a="1"/>
  <c r="B28" s="1"/>
  <c r="B26"/>
  <c r="B27" a="1"/>
  <c r="B27" s="1"/>
  <c r="H26" s="1"/>
  <c r="B28" i="2" l="1" a="1"/>
  <c r="B28" s="1"/>
  <c r="B27" a="1"/>
  <c r="B27" s="1"/>
  <c r="B26"/>
  <c r="E27" i="1"/>
  <c r="E26"/>
  <c r="M15" a="1"/>
  <c r="E26" i="2" l="1"/>
  <c r="H27"/>
  <c r="M15" a="1"/>
  <c r="E27"/>
  <c r="H26"/>
  <c r="K10" i="1"/>
  <c r="K8"/>
  <c r="K9"/>
  <c r="K11"/>
  <c r="M15"/>
  <c r="M16"/>
  <c r="M18"/>
  <c r="M17"/>
  <c r="M18" i="2" l="1"/>
  <c r="M16"/>
  <c r="M17"/>
  <c r="M15"/>
  <c r="K10"/>
  <c r="K8"/>
  <c r="K11"/>
  <c r="K9"/>
  <c r="L15" i="1" a="1"/>
  <c r="L15" i="2" l="1" a="1"/>
  <c r="L18" i="1"/>
  <c r="L16"/>
  <c r="L15"/>
  <c r="L17"/>
  <c r="L17" i="2" l="1"/>
  <c r="L15"/>
  <c r="L18"/>
  <c r="L16"/>
</calcChain>
</file>

<file path=xl/sharedStrings.xml><?xml version="1.0" encoding="utf-8"?>
<sst xmlns="http://schemas.openxmlformats.org/spreadsheetml/2006/main" count="131" uniqueCount="53">
  <si>
    <t>Assets</t>
  </si>
  <si>
    <t>µ</t>
  </si>
  <si>
    <t>σ</t>
  </si>
  <si>
    <t>Correlation Matrix</t>
  </si>
  <si>
    <t>1 Vec</t>
  </si>
  <si>
    <r>
      <t>σ</t>
    </r>
    <r>
      <rPr>
        <vertAlign val="superscript"/>
        <sz val="11"/>
        <color rgb="FFFF0000"/>
        <rFont val="Calibri"/>
        <family val="2"/>
      </rPr>
      <t>T</t>
    </r>
  </si>
  <si>
    <r>
      <t>µ</t>
    </r>
    <r>
      <rPr>
        <vertAlign val="superscript"/>
        <sz val="11"/>
        <color rgb="FFFF0000"/>
        <rFont val="Calibri"/>
        <family val="2"/>
      </rPr>
      <t>T</t>
    </r>
  </si>
  <si>
    <r>
      <t xml:space="preserve">Covariance Matrix </t>
    </r>
    <r>
      <rPr>
        <sz val="11"/>
        <color rgb="FFFF0000"/>
        <rFont val="Calibri"/>
        <family val="2"/>
      </rPr>
      <t>∑</t>
    </r>
  </si>
  <si>
    <r>
      <t>Inverse Cov Matrix ∑</t>
    </r>
    <r>
      <rPr>
        <vertAlign val="superscript"/>
        <sz val="11"/>
        <color rgb="FFFF0000"/>
        <rFont val="Calibri"/>
        <family val="2"/>
        <scheme val="minor"/>
      </rPr>
      <t>-1</t>
    </r>
  </si>
  <si>
    <r>
      <t>1</t>
    </r>
    <r>
      <rPr>
        <vertAlign val="superscript"/>
        <sz val="11"/>
        <color rgb="FFFF0000"/>
        <rFont val="Calibri"/>
        <family val="2"/>
        <scheme val="minor"/>
      </rPr>
      <t>T</t>
    </r>
  </si>
  <si>
    <r>
      <t>1</t>
    </r>
    <r>
      <rPr>
        <vertAlign val="superscript"/>
        <sz val="11"/>
        <color rgb="FFFF0000"/>
        <rFont val="Calibri"/>
        <family val="2"/>
        <scheme val="minor"/>
      </rPr>
      <t xml:space="preserve">T </t>
    </r>
    <r>
      <rPr>
        <sz val="11"/>
        <color rgb="FFFF0000"/>
        <rFont val="Calibri"/>
        <family val="2"/>
        <scheme val="minor"/>
      </rPr>
      <t xml:space="preserve">x </t>
    </r>
    <r>
      <rPr>
        <sz val="11"/>
        <color rgb="FFFF0000"/>
        <rFont val="Calibri"/>
        <family val="2"/>
      </rPr>
      <t>∑</t>
    </r>
    <r>
      <rPr>
        <vertAlign val="superscript"/>
        <sz val="11"/>
        <color rgb="FFFF0000"/>
        <rFont val="Calibri"/>
        <family val="2"/>
      </rPr>
      <t>-1</t>
    </r>
  </si>
  <si>
    <r>
      <rPr>
        <sz val="11"/>
        <color rgb="FFFF0000"/>
        <rFont val="Calibri"/>
        <family val="2"/>
      </rPr>
      <t>µ</t>
    </r>
    <r>
      <rPr>
        <vertAlign val="superscript"/>
        <sz val="11"/>
        <color rgb="FFFF0000"/>
        <rFont val="Calibri"/>
        <family val="2"/>
        <scheme val="minor"/>
      </rPr>
      <t xml:space="preserve">T </t>
    </r>
    <r>
      <rPr>
        <sz val="11"/>
        <color rgb="FFFF0000"/>
        <rFont val="Calibri"/>
        <family val="2"/>
        <scheme val="minor"/>
      </rPr>
      <t xml:space="preserve">x </t>
    </r>
    <r>
      <rPr>
        <sz val="11"/>
        <color rgb="FFFF0000"/>
        <rFont val="Calibri"/>
        <family val="2"/>
      </rPr>
      <t>∑</t>
    </r>
    <r>
      <rPr>
        <vertAlign val="superscript"/>
        <sz val="11"/>
        <color rgb="FFFF0000"/>
        <rFont val="Calibri"/>
        <family val="2"/>
      </rPr>
      <t>-1</t>
    </r>
  </si>
  <si>
    <r>
      <t>A=1</t>
    </r>
    <r>
      <rPr>
        <vertAlign val="superscript"/>
        <sz val="11"/>
        <color rgb="FFFF0000"/>
        <rFont val="Calibri"/>
        <family val="2"/>
        <scheme val="minor"/>
      </rPr>
      <t xml:space="preserve">T </t>
    </r>
    <r>
      <rPr>
        <sz val="11"/>
        <color rgb="FFFF0000"/>
        <rFont val="Calibri"/>
        <family val="2"/>
        <scheme val="minor"/>
      </rPr>
      <t xml:space="preserve">x </t>
    </r>
    <r>
      <rPr>
        <sz val="11"/>
        <color rgb="FFFF0000"/>
        <rFont val="Calibri"/>
        <family val="2"/>
      </rPr>
      <t>∑</t>
    </r>
    <r>
      <rPr>
        <vertAlign val="superscript"/>
        <sz val="11"/>
        <color rgb="FFFF0000"/>
        <rFont val="Calibri"/>
        <family val="2"/>
      </rPr>
      <t xml:space="preserve">-1 </t>
    </r>
    <r>
      <rPr>
        <sz val="11"/>
        <color rgb="FFFF0000"/>
        <rFont val="Calibri"/>
        <family val="2"/>
      </rPr>
      <t>x 1</t>
    </r>
  </si>
  <si>
    <r>
      <t>B=</t>
    </r>
    <r>
      <rPr>
        <sz val="11"/>
        <color rgb="FFFF0000"/>
        <rFont val="Calibri"/>
        <family val="2"/>
      </rPr>
      <t>µ</t>
    </r>
    <r>
      <rPr>
        <vertAlign val="superscript"/>
        <sz val="11"/>
        <color rgb="FFFF0000"/>
        <rFont val="Calibri"/>
        <family val="2"/>
        <scheme val="minor"/>
      </rPr>
      <t xml:space="preserve">T </t>
    </r>
    <r>
      <rPr>
        <sz val="11"/>
        <color rgb="FFFF0000"/>
        <rFont val="Calibri"/>
        <family val="2"/>
        <scheme val="minor"/>
      </rPr>
      <t xml:space="preserve">x </t>
    </r>
    <r>
      <rPr>
        <sz val="11"/>
        <color rgb="FFFF0000"/>
        <rFont val="Calibri"/>
        <family val="2"/>
      </rPr>
      <t>∑</t>
    </r>
    <r>
      <rPr>
        <vertAlign val="superscript"/>
        <sz val="11"/>
        <color rgb="FFFF0000"/>
        <rFont val="Calibri"/>
        <family val="2"/>
      </rPr>
      <t xml:space="preserve">-1 </t>
    </r>
    <r>
      <rPr>
        <sz val="11"/>
        <color rgb="FFFF0000"/>
        <rFont val="Calibri"/>
        <family val="2"/>
      </rPr>
      <t>x 1</t>
    </r>
  </si>
  <si>
    <r>
      <t>C=</t>
    </r>
    <r>
      <rPr>
        <sz val="11"/>
        <color rgb="FFFF0000"/>
        <rFont val="Calibri"/>
        <family val="2"/>
      </rPr>
      <t>µ</t>
    </r>
    <r>
      <rPr>
        <vertAlign val="superscript"/>
        <sz val="11"/>
        <color rgb="FFFF0000"/>
        <rFont val="Calibri"/>
        <family val="2"/>
        <scheme val="minor"/>
      </rPr>
      <t xml:space="preserve">T </t>
    </r>
    <r>
      <rPr>
        <sz val="11"/>
        <color rgb="FFFF0000"/>
        <rFont val="Calibri"/>
        <family val="2"/>
        <scheme val="minor"/>
      </rPr>
      <t xml:space="preserve">x </t>
    </r>
    <r>
      <rPr>
        <sz val="11"/>
        <color rgb="FFFF0000"/>
        <rFont val="Calibri"/>
        <family val="2"/>
      </rPr>
      <t>∑</t>
    </r>
    <r>
      <rPr>
        <vertAlign val="superscript"/>
        <sz val="11"/>
        <color rgb="FFFF0000"/>
        <rFont val="Calibri"/>
        <family val="2"/>
      </rPr>
      <t xml:space="preserve">-1 </t>
    </r>
    <r>
      <rPr>
        <sz val="11"/>
        <color rgb="FFFF0000"/>
        <rFont val="Calibri"/>
        <family val="2"/>
      </rPr>
      <t>x µ</t>
    </r>
  </si>
  <si>
    <t>λ</t>
  </si>
  <si>
    <t>γ</t>
  </si>
  <si>
    <t>m</t>
  </si>
  <si>
    <t>λµ + λ1</t>
  </si>
  <si>
    <t>w*</t>
  </si>
  <si>
    <r>
      <t>m</t>
    </r>
    <r>
      <rPr>
        <vertAlign val="subscript"/>
        <sz val="11"/>
        <color rgb="FFFF0000"/>
        <rFont val="Calibri"/>
        <family val="2"/>
        <scheme val="minor"/>
      </rPr>
      <t>g</t>
    </r>
  </si>
  <si>
    <r>
      <t>w</t>
    </r>
    <r>
      <rPr>
        <vertAlign val="subscript"/>
        <sz val="11"/>
        <color rgb="FFFF0000"/>
        <rFont val="Calibri"/>
        <family val="2"/>
        <scheme val="minor"/>
      </rPr>
      <t>g</t>
    </r>
  </si>
  <si>
    <r>
      <t>σ</t>
    </r>
    <r>
      <rPr>
        <vertAlign val="subscript"/>
        <sz val="11"/>
        <color rgb="FFFF0000"/>
        <rFont val="Calibri"/>
        <family val="2"/>
      </rPr>
      <t>g</t>
    </r>
    <r>
      <rPr>
        <vertAlign val="superscript"/>
        <sz val="11"/>
        <color rgb="FFFF0000"/>
        <rFont val="Calibri"/>
        <family val="2"/>
      </rPr>
      <t>2</t>
    </r>
  </si>
  <si>
    <t>A</t>
  </si>
  <si>
    <t>B</t>
  </si>
  <si>
    <t>C</t>
  </si>
  <si>
    <t>D</t>
  </si>
  <si>
    <r>
      <t>σ</t>
    </r>
    <r>
      <rPr>
        <vertAlign val="subscript"/>
        <sz val="11"/>
        <color rgb="FFFF0000"/>
        <rFont val="Calibri"/>
        <family val="2"/>
      </rPr>
      <t>g</t>
    </r>
  </si>
  <si>
    <r>
      <t>w</t>
    </r>
    <r>
      <rPr>
        <vertAlign val="subscript"/>
        <sz val="11"/>
        <color rgb="FFFF0000"/>
        <rFont val="Calibri"/>
        <family val="2"/>
        <scheme val="minor"/>
      </rPr>
      <t>d</t>
    </r>
  </si>
  <si>
    <r>
      <t>w</t>
    </r>
    <r>
      <rPr>
        <vertAlign val="subscript"/>
        <sz val="11"/>
        <color rgb="FFFF0000"/>
        <rFont val="Calibri"/>
        <family val="2"/>
        <scheme val="minor"/>
      </rPr>
      <t>ex</t>
    </r>
    <r>
      <rPr>
        <sz val="11"/>
        <color rgb="FFFF0000"/>
        <rFont val="Calibri"/>
        <family val="2"/>
        <scheme val="minor"/>
      </rPr>
      <t>*</t>
    </r>
  </si>
  <si>
    <r>
      <t>w</t>
    </r>
    <r>
      <rPr>
        <vertAlign val="subscript"/>
        <sz val="11"/>
        <color rgb="FFFF0000"/>
        <rFont val="Calibri"/>
        <family val="2"/>
        <scheme val="minor"/>
      </rPr>
      <t>im</t>
    </r>
    <r>
      <rPr>
        <sz val="11"/>
        <color rgb="FFFF0000"/>
        <rFont val="Calibri"/>
        <family val="2"/>
        <scheme val="minor"/>
      </rPr>
      <t>*</t>
    </r>
  </si>
  <si>
    <t>γAwg</t>
  </si>
  <si>
    <r>
      <t>λBw</t>
    </r>
    <r>
      <rPr>
        <vertAlign val="subscript"/>
        <sz val="11"/>
        <color rgb="FFFF0000"/>
        <rFont val="Calibri"/>
        <family val="2"/>
      </rPr>
      <t>d</t>
    </r>
  </si>
  <si>
    <t>γA+λB</t>
  </si>
  <si>
    <r>
      <t>σ</t>
    </r>
    <r>
      <rPr>
        <vertAlign val="subscript"/>
        <sz val="11"/>
        <color rgb="FFFF0000"/>
        <rFont val="Calibri"/>
        <family val="2"/>
      </rPr>
      <t>g,p</t>
    </r>
    <r>
      <rPr>
        <vertAlign val="superscript"/>
        <sz val="11"/>
        <color rgb="FFFF0000"/>
        <rFont val="Calibri"/>
        <family val="2"/>
      </rPr>
      <t>2</t>
    </r>
  </si>
  <si>
    <r>
      <t>w</t>
    </r>
    <r>
      <rPr>
        <vertAlign val="subscript"/>
        <sz val="11"/>
        <color rgb="FFFF0000"/>
        <rFont val="Calibri"/>
        <family val="2"/>
        <scheme val="minor"/>
      </rPr>
      <t>g</t>
    </r>
    <r>
      <rPr>
        <vertAlign val="superscript"/>
        <sz val="11"/>
        <color rgb="FFFF0000"/>
        <rFont val="Calibri"/>
        <family val="2"/>
        <scheme val="minor"/>
      </rPr>
      <t>T</t>
    </r>
  </si>
  <si>
    <r>
      <t>w</t>
    </r>
    <r>
      <rPr>
        <vertAlign val="subscript"/>
        <sz val="11"/>
        <color rgb="FFFF0000"/>
        <rFont val="Calibri"/>
        <family val="2"/>
        <scheme val="minor"/>
      </rPr>
      <t>g</t>
    </r>
    <r>
      <rPr>
        <vertAlign val="superscript"/>
        <sz val="11"/>
        <color rgb="FFFF0000"/>
        <rFont val="Calibri"/>
        <family val="2"/>
        <scheme val="minor"/>
      </rPr>
      <t>T</t>
    </r>
    <r>
      <rPr>
        <sz val="11"/>
        <color rgb="FFFF0000"/>
        <rFont val="Calibri"/>
        <family val="2"/>
      </rPr>
      <t>∑</t>
    </r>
  </si>
  <si>
    <r>
      <t>w</t>
    </r>
    <r>
      <rPr>
        <b/>
        <vertAlign val="subscript"/>
        <sz val="11"/>
        <color rgb="FFFF0000"/>
        <rFont val="Calibri"/>
        <family val="2"/>
        <scheme val="minor"/>
      </rPr>
      <t>d</t>
    </r>
    <r>
      <rPr>
        <b/>
        <vertAlign val="superscript"/>
        <sz val="11"/>
        <color rgb="FFFF0000"/>
        <rFont val="Calibri"/>
        <family val="2"/>
        <scheme val="minor"/>
      </rPr>
      <t>T</t>
    </r>
  </si>
  <si>
    <r>
      <t>1</t>
    </r>
    <r>
      <rPr>
        <vertAlign val="superscript"/>
        <sz val="11"/>
        <color rgb="FFFF0000"/>
        <rFont val="Calibri"/>
        <family val="2"/>
        <scheme val="minor"/>
      </rPr>
      <t>T</t>
    </r>
    <r>
      <rPr>
        <sz val="11"/>
        <color rgb="FFFF0000"/>
        <rFont val="Calibri"/>
        <family val="2"/>
        <scheme val="minor"/>
      </rPr>
      <t>w</t>
    </r>
    <r>
      <rPr>
        <vertAlign val="subscript"/>
        <sz val="11"/>
        <color rgb="FFFF0000"/>
        <rFont val="Calibri"/>
        <family val="2"/>
        <scheme val="minor"/>
      </rPr>
      <t xml:space="preserve">d </t>
    </r>
    <r>
      <rPr>
        <sz val="11"/>
        <color rgb="FFFF0000"/>
        <rFont val="Calibri"/>
        <family val="2"/>
        <scheme val="minor"/>
      </rPr>
      <t>= 1</t>
    </r>
  </si>
  <si>
    <r>
      <t>w</t>
    </r>
    <r>
      <rPr>
        <b/>
        <vertAlign val="subscript"/>
        <sz val="11"/>
        <color rgb="FFFF0000"/>
        <rFont val="Calibri"/>
        <family val="2"/>
        <scheme val="minor"/>
      </rPr>
      <t>d</t>
    </r>
    <r>
      <rPr>
        <b/>
        <vertAlign val="superscript"/>
        <sz val="11"/>
        <color rgb="FFFF0000"/>
        <rFont val="Calibri"/>
        <family val="2"/>
        <scheme val="minor"/>
      </rPr>
      <t>T</t>
    </r>
    <r>
      <rPr>
        <b/>
        <sz val="11"/>
        <color rgb="FFFF0000"/>
        <rFont val="Calibri"/>
        <family val="2"/>
        <scheme val="minor"/>
      </rPr>
      <t>1=1</t>
    </r>
  </si>
  <si>
    <r>
      <t>w</t>
    </r>
    <r>
      <rPr>
        <b/>
        <vertAlign val="subscript"/>
        <sz val="11"/>
        <color rgb="FFFF0000"/>
        <rFont val="Calibri"/>
        <family val="2"/>
        <scheme val="minor"/>
      </rPr>
      <t>g</t>
    </r>
    <r>
      <rPr>
        <b/>
        <vertAlign val="superscript"/>
        <sz val="11"/>
        <color rgb="FFFF0000"/>
        <rFont val="Calibri"/>
        <family val="2"/>
        <scheme val="minor"/>
      </rPr>
      <t>T</t>
    </r>
  </si>
  <si>
    <r>
      <t>w</t>
    </r>
    <r>
      <rPr>
        <b/>
        <vertAlign val="subscript"/>
        <sz val="11"/>
        <color rgb="FFFF0000"/>
        <rFont val="Calibri"/>
        <family val="2"/>
        <scheme val="minor"/>
      </rPr>
      <t>ex</t>
    </r>
    <r>
      <rPr>
        <b/>
        <sz val="11"/>
        <color rgb="FFFF0000"/>
        <rFont val="Calibri"/>
        <family val="2"/>
        <scheme val="minor"/>
      </rPr>
      <t>*</t>
    </r>
    <r>
      <rPr>
        <b/>
        <vertAlign val="superscript"/>
        <sz val="11"/>
        <color rgb="FFFF0000"/>
        <rFont val="Calibri"/>
        <family val="2"/>
        <scheme val="minor"/>
      </rPr>
      <t>T</t>
    </r>
  </si>
  <si>
    <r>
      <t>w</t>
    </r>
    <r>
      <rPr>
        <b/>
        <vertAlign val="subscript"/>
        <sz val="11"/>
        <color rgb="FFFF0000"/>
        <rFont val="Calibri"/>
        <family val="2"/>
        <scheme val="minor"/>
      </rPr>
      <t>g</t>
    </r>
    <r>
      <rPr>
        <b/>
        <vertAlign val="superscript"/>
        <sz val="11"/>
        <color rgb="FFFF0000"/>
        <rFont val="Calibri"/>
        <family val="2"/>
        <scheme val="minor"/>
      </rPr>
      <t>T</t>
    </r>
    <r>
      <rPr>
        <b/>
        <sz val="11"/>
        <color rgb="FFFF0000"/>
        <rFont val="Calibri"/>
        <family val="2"/>
      </rPr>
      <t>µ</t>
    </r>
    <r>
      <rPr>
        <b/>
        <sz val="11"/>
        <color rgb="FFFF0000"/>
        <rFont val="Calibri"/>
        <family val="2"/>
        <scheme val="minor"/>
      </rPr>
      <t>=0.1</t>
    </r>
  </si>
  <si>
    <r>
      <t>σ</t>
    </r>
    <r>
      <rPr>
        <vertAlign val="subscript"/>
        <sz val="11"/>
        <color rgb="FFFF0000"/>
        <rFont val="Calibri"/>
        <family val="2"/>
      </rPr>
      <t>π</t>
    </r>
    <r>
      <rPr>
        <vertAlign val="superscript"/>
        <sz val="11"/>
        <color rgb="FFFF0000"/>
        <rFont val="Calibri"/>
        <family val="2"/>
      </rPr>
      <t>2</t>
    </r>
    <r>
      <rPr>
        <sz val="11"/>
        <color rgb="FFFF0000"/>
        <rFont val="Calibri"/>
        <family val="2"/>
      </rPr>
      <t>(m)</t>
    </r>
  </si>
  <si>
    <r>
      <t>σ</t>
    </r>
    <r>
      <rPr>
        <vertAlign val="subscript"/>
        <sz val="11"/>
        <color rgb="FFFF0000"/>
        <rFont val="Calibri"/>
        <family val="2"/>
      </rPr>
      <t>π</t>
    </r>
    <r>
      <rPr>
        <sz val="11"/>
        <color rgb="FFFF0000"/>
        <rFont val="Calibri"/>
        <family val="2"/>
      </rPr>
      <t>(m)</t>
    </r>
  </si>
  <si>
    <r>
      <t>w</t>
    </r>
    <r>
      <rPr>
        <b/>
        <vertAlign val="subscript"/>
        <sz val="11"/>
        <color rgb="FFFF0000"/>
        <rFont val="Calibri"/>
        <family val="2"/>
        <scheme val="minor"/>
      </rPr>
      <t>ex</t>
    </r>
    <r>
      <rPr>
        <b/>
        <sz val="11"/>
        <color rgb="FFFF0000"/>
        <rFont val="Calibri"/>
        <family val="2"/>
        <scheme val="minor"/>
      </rPr>
      <t>*</t>
    </r>
    <r>
      <rPr>
        <b/>
        <vertAlign val="superscript"/>
        <sz val="11"/>
        <color rgb="FFFF0000"/>
        <rFont val="Calibri"/>
        <family val="2"/>
        <scheme val="minor"/>
      </rPr>
      <t>T</t>
    </r>
    <r>
      <rPr>
        <b/>
        <sz val="11"/>
        <color rgb="FFFF0000"/>
        <rFont val="Calibri"/>
        <family val="2"/>
      </rPr>
      <t>∑</t>
    </r>
  </si>
  <si>
    <r>
      <t>µ</t>
    </r>
    <r>
      <rPr>
        <b/>
        <vertAlign val="subscript"/>
        <sz val="11"/>
        <color rgb="FFFA7D00"/>
        <rFont val="Calibri"/>
        <family val="2"/>
        <scheme val="minor"/>
      </rPr>
      <t>π</t>
    </r>
  </si>
  <si>
    <r>
      <t>σ</t>
    </r>
    <r>
      <rPr>
        <b/>
        <vertAlign val="subscript"/>
        <sz val="11"/>
        <color rgb="FFFA7D00"/>
        <rFont val="Calibri"/>
        <family val="2"/>
        <scheme val="minor"/>
      </rPr>
      <t>π</t>
    </r>
  </si>
  <si>
    <r>
      <t>σ</t>
    </r>
    <r>
      <rPr>
        <b/>
        <vertAlign val="subscript"/>
        <sz val="11"/>
        <color rgb="FFFA7D00"/>
        <rFont val="Calibri"/>
        <family val="2"/>
        <scheme val="minor"/>
      </rPr>
      <t>π</t>
    </r>
    <r>
      <rPr>
        <b/>
        <vertAlign val="superscript"/>
        <sz val="11"/>
        <color rgb="FFFA7D00"/>
        <rFont val="Calibri"/>
        <family val="2"/>
        <scheme val="minor"/>
      </rPr>
      <t>2</t>
    </r>
  </si>
  <si>
    <r>
      <t>w</t>
    </r>
    <r>
      <rPr>
        <b/>
        <vertAlign val="subscript"/>
        <sz val="11"/>
        <color theme="0"/>
        <rFont val="Calibri"/>
        <family val="2"/>
        <scheme val="minor"/>
      </rPr>
      <t>ex</t>
    </r>
    <r>
      <rPr>
        <b/>
        <sz val="11"/>
        <color theme="0"/>
        <rFont val="Calibri"/>
        <family val="2"/>
        <scheme val="minor"/>
      </rPr>
      <t>*</t>
    </r>
    <r>
      <rPr>
        <b/>
        <vertAlign val="superscript"/>
        <sz val="11"/>
        <color theme="0"/>
        <rFont val="Calibri"/>
        <family val="2"/>
        <scheme val="minor"/>
      </rPr>
      <t>T</t>
    </r>
    <r>
      <rPr>
        <b/>
        <sz val="11"/>
        <color theme="0"/>
        <rFont val="Calibri"/>
        <family val="2"/>
        <scheme val="minor"/>
      </rPr>
      <t>µ=0.1</t>
    </r>
  </si>
  <si>
    <r>
      <t>w</t>
    </r>
    <r>
      <rPr>
        <b/>
        <vertAlign val="subscript"/>
        <sz val="11"/>
        <color theme="0"/>
        <rFont val="Calibri"/>
        <family val="2"/>
        <scheme val="minor"/>
      </rPr>
      <t>ex</t>
    </r>
    <r>
      <rPr>
        <b/>
        <sz val="11"/>
        <color theme="0"/>
        <rFont val="Calibri"/>
        <family val="2"/>
        <scheme val="minor"/>
      </rPr>
      <t>*</t>
    </r>
    <r>
      <rPr>
        <b/>
        <vertAlign val="superscript"/>
        <sz val="11"/>
        <color theme="0"/>
        <rFont val="Calibri"/>
        <family val="2"/>
        <scheme val="minor"/>
      </rPr>
      <t>T</t>
    </r>
    <r>
      <rPr>
        <b/>
        <sz val="11"/>
        <color theme="0"/>
        <rFont val="Calibri"/>
        <family val="2"/>
        <scheme val="minor"/>
      </rPr>
      <t>1=1</t>
    </r>
  </si>
  <si>
    <r>
      <t>w</t>
    </r>
    <r>
      <rPr>
        <b/>
        <vertAlign val="subscript"/>
        <sz val="11"/>
        <color rgb="FFFF0000"/>
        <rFont val="Calibri"/>
        <family val="2"/>
        <scheme val="minor"/>
      </rPr>
      <t>im</t>
    </r>
    <r>
      <rPr>
        <b/>
        <sz val="11"/>
        <color rgb="FFFF0000"/>
        <rFont val="Calibri"/>
        <family val="2"/>
        <scheme val="minor"/>
      </rPr>
      <t>*</t>
    </r>
    <r>
      <rPr>
        <b/>
        <vertAlign val="superscript"/>
        <sz val="11"/>
        <color rgb="FFFF0000"/>
        <rFont val="Calibri"/>
        <family val="2"/>
        <scheme val="minor"/>
      </rPr>
      <t>T</t>
    </r>
  </si>
  <si>
    <r>
      <t>w</t>
    </r>
    <r>
      <rPr>
        <b/>
        <vertAlign val="subscript"/>
        <sz val="11"/>
        <color rgb="FFFF0000"/>
        <rFont val="Calibri"/>
        <family val="2"/>
        <scheme val="minor"/>
      </rPr>
      <t>im</t>
    </r>
    <r>
      <rPr>
        <b/>
        <sz val="11"/>
        <color rgb="FFFF0000"/>
        <rFont val="Calibri"/>
        <family val="2"/>
        <scheme val="minor"/>
      </rPr>
      <t>*</t>
    </r>
    <r>
      <rPr>
        <b/>
        <vertAlign val="superscript"/>
        <sz val="11"/>
        <color rgb="FFFF0000"/>
        <rFont val="Calibri"/>
        <family val="2"/>
        <scheme val="minor"/>
      </rPr>
      <t>T</t>
    </r>
    <r>
      <rPr>
        <b/>
        <sz val="11"/>
        <color rgb="FFFF0000"/>
        <rFont val="Calibri"/>
        <family val="2"/>
        <scheme val="minor"/>
      </rPr>
      <t>1=1</t>
    </r>
  </si>
</sst>
</file>

<file path=xl/styles.xml><?xml version="1.0" encoding="utf-8"?>
<styleSheet xmlns="http://schemas.openxmlformats.org/spreadsheetml/2006/main">
  <numFmts count="5">
    <numFmt numFmtId="164" formatCode="0.0000"/>
    <numFmt numFmtId="165" formatCode="0.000000"/>
    <numFmt numFmtId="166" formatCode="0.000"/>
    <numFmt numFmtId="167" formatCode="0.00000"/>
    <numFmt numFmtId="168" formatCode="0.0"/>
  </numFmts>
  <fonts count="2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</font>
    <font>
      <vertAlign val="superscript"/>
      <sz val="11"/>
      <color rgb="FFFF0000"/>
      <name val="Calibri"/>
      <family val="2"/>
    </font>
    <font>
      <vertAlign val="superscript"/>
      <sz val="11"/>
      <color rgb="FFFF0000"/>
      <name val="Calibri"/>
      <family val="2"/>
      <scheme val="minor"/>
    </font>
    <font>
      <vertAlign val="subscript"/>
      <sz val="11"/>
      <color rgb="FFFF0000"/>
      <name val="Calibri"/>
      <family val="2"/>
      <scheme val="minor"/>
    </font>
    <font>
      <vertAlign val="subscript"/>
      <sz val="11"/>
      <color rgb="FFFF0000"/>
      <name val="Calibri"/>
      <family val="2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00B0F0"/>
      <name val="Calibri"/>
      <family val="2"/>
      <scheme val="minor"/>
    </font>
    <font>
      <sz val="11"/>
      <color rgb="FF00B0F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vertAlign val="superscript"/>
      <sz val="11"/>
      <color rgb="FFFF0000"/>
      <name val="Calibri"/>
      <family val="2"/>
      <scheme val="minor"/>
    </font>
    <font>
      <b/>
      <vertAlign val="subscript"/>
      <sz val="11"/>
      <color rgb="FFFF0000"/>
      <name val="Calibri"/>
      <family val="2"/>
      <scheme val="minor"/>
    </font>
    <font>
      <b/>
      <sz val="11"/>
      <color rgb="FFFF0000"/>
      <name val="Calibri"/>
      <family val="2"/>
    </font>
    <font>
      <b/>
      <vertAlign val="subscript"/>
      <sz val="11"/>
      <color rgb="FFFA7D00"/>
      <name val="Calibri"/>
      <family val="2"/>
      <scheme val="minor"/>
    </font>
    <font>
      <b/>
      <vertAlign val="superscript"/>
      <sz val="11"/>
      <color rgb="FFFA7D00"/>
      <name val="Calibri"/>
      <family val="2"/>
      <scheme val="minor"/>
    </font>
    <font>
      <b/>
      <vertAlign val="subscript"/>
      <sz val="11"/>
      <color theme="0"/>
      <name val="Calibri"/>
      <family val="2"/>
      <scheme val="minor"/>
    </font>
    <font>
      <b/>
      <vertAlign val="superscript"/>
      <sz val="11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2F2F2"/>
      </patternFill>
    </fill>
    <fill>
      <patternFill patternType="solid">
        <fgColor theme="4"/>
      </patternFill>
    </fill>
    <fill>
      <patternFill patternType="solid">
        <fgColor rgb="FFFFC000"/>
        <bgColor indexed="64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4">
    <xf numFmtId="0" fontId="0" fillId="0" borderId="0"/>
    <xf numFmtId="0" fontId="8" fillId="3" borderId="1" applyNumberFormat="0" applyAlignment="0" applyProtection="0"/>
    <xf numFmtId="0" fontId="10" fillId="4" borderId="0" applyNumberFormat="0" applyBorder="0" applyAlignment="0" applyProtection="0"/>
    <xf numFmtId="0" fontId="13" fillId="2" borderId="0" applyFont="0" applyFill="0"/>
  </cellStyleXfs>
  <cellXfs count="27">
    <xf numFmtId="0" fontId="0" fillId="0" borderId="0" xfId="0"/>
    <xf numFmtId="2" fontId="0" fillId="0" borderId="0" xfId="0" applyNumberFormat="1"/>
    <xf numFmtId="164" fontId="0" fillId="0" borderId="0" xfId="0" applyNumberFormat="1"/>
    <xf numFmtId="0" fontId="1" fillId="0" borderId="0" xfId="0" applyFont="1"/>
    <xf numFmtId="0" fontId="1" fillId="2" borderId="0" xfId="0" applyFont="1" applyFill="1"/>
    <xf numFmtId="0" fontId="3" fillId="2" borderId="0" xfId="0" applyFont="1" applyFill="1"/>
    <xf numFmtId="49" fontId="1" fillId="2" borderId="0" xfId="0" applyNumberFormat="1" applyFont="1" applyFill="1"/>
    <xf numFmtId="0" fontId="3" fillId="0" borderId="0" xfId="0" applyFont="1" applyFill="1"/>
    <xf numFmtId="0" fontId="1" fillId="0" borderId="0" xfId="0" applyFont="1" applyFill="1"/>
    <xf numFmtId="165" fontId="0" fillId="0" borderId="0" xfId="0" applyNumberFormat="1"/>
    <xf numFmtId="10" fontId="2" fillId="0" borderId="0" xfId="0" applyNumberFormat="1" applyFont="1"/>
    <xf numFmtId="9" fontId="2" fillId="0" borderId="0" xfId="0" applyNumberFormat="1" applyFont="1"/>
    <xf numFmtId="166" fontId="0" fillId="0" borderId="0" xfId="0" applyNumberFormat="1"/>
    <xf numFmtId="167" fontId="0" fillId="0" borderId="0" xfId="0" applyNumberFormat="1"/>
    <xf numFmtId="10" fontId="11" fillId="0" borderId="0" xfId="0" applyNumberFormat="1" applyFont="1"/>
    <xf numFmtId="9" fontId="11" fillId="0" borderId="0" xfId="0" applyNumberFormat="1" applyFont="1"/>
    <xf numFmtId="10" fontId="0" fillId="0" borderId="0" xfId="0" applyNumberFormat="1"/>
    <xf numFmtId="164" fontId="12" fillId="5" borderId="0" xfId="0" applyNumberFormat="1" applyFont="1" applyFill="1"/>
    <xf numFmtId="10" fontId="12" fillId="5" borderId="0" xfId="0" applyNumberFormat="1" applyFont="1" applyFill="1"/>
    <xf numFmtId="164" fontId="11" fillId="0" borderId="0" xfId="0" applyNumberFormat="1" applyFont="1" applyFill="1"/>
    <xf numFmtId="0" fontId="13" fillId="2" borderId="0" xfId="0" applyFont="1" applyFill="1"/>
    <xf numFmtId="0" fontId="0" fillId="0" borderId="0" xfId="0" applyNumberFormat="1" applyFill="1"/>
    <xf numFmtId="164" fontId="2" fillId="0" borderId="0" xfId="0" applyNumberFormat="1" applyFont="1"/>
    <xf numFmtId="0" fontId="8" fillId="3" borderId="1" xfId="1"/>
    <xf numFmtId="164" fontId="8" fillId="3" borderId="1" xfId="1" applyNumberFormat="1"/>
    <xf numFmtId="0" fontId="9" fillId="4" borderId="0" xfId="2" applyFont="1"/>
    <xf numFmtId="168" fontId="9" fillId="4" borderId="0" xfId="2" applyNumberFormat="1" applyFont="1"/>
  </cellXfs>
  <cellStyles count="4">
    <cellStyle name="Accent1" xfId="2" builtinId="29"/>
    <cellStyle name="Calculation" xfId="1" builtinId="22"/>
    <cellStyle name="Normal" xfId="0" builtinId="0"/>
    <cellStyle name="Style 1" xfId="3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2:M29"/>
  <sheetViews>
    <sheetView topLeftCell="A4" workbookViewId="0">
      <selection activeCell="G27" sqref="G27:H27"/>
    </sheetView>
  </sheetViews>
  <sheetFormatPr defaultRowHeight="14.4"/>
  <cols>
    <col min="1" max="1" width="12.21875" customWidth="1"/>
    <col min="5" max="5" width="9.21875" bestFit="1" customWidth="1"/>
    <col min="7" max="8" width="9.33203125" bestFit="1" customWidth="1"/>
    <col min="9" max="10" width="9.21875" bestFit="1" customWidth="1"/>
    <col min="13" max="13" width="9.21875" bestFit="1" customWidth="1"/>
  </cols>
  <sheetData>
    <row r="2" spans="1:13">
      <c r="A2" s="4" t="s">
        <v>0</v>
      </c>
      <c r="B2" s="4" t="s">
        <v>23</v>
      </c>
      <c r="C2" s="4" t="s">
        <v>24</v>
      </c>
      <c r="D2" s="4" t="s">
        <v>25</v>
      </c>
      <c r="E2" s="4" t="s">
        <v>26</v>
      </c>
    </row>
    <row r="3" spans="1:13" ht="16.2">
      <c r="A3" s="5" t="s">
        <v>6</v>
      </c>
      <c r="B3" s="1">
        <v>0.04</v>
      </c>
      <c r="C3" s="1">
        <v>0.08</v>
      </c>
      <c r="D3" s="1">
        <v>0.12</v>
      </c>
      <c r="E3" s="1">
        <v>0.15</v>
      </c>
    </row>
    <row r="4" spans="1:13" ht="16.2">
      <c r="A4" s="5" t="s">
        <v>5</v>
      </c>
      <c r="B4" s="1">
        <v>7.0000000000000007E-2</v>
      </c>
      <c r="C4" s="1">
        <v>0.12</v>
      </c>
      <c r="D4" s="1">
        <v>0.18</v>
      </c>
      <c r="E4" s="1">
        <v>0.26</v>
      </c>
      <c r="G4" s="4" t="s">
        <v>9</v>
      </c>
      <c r="H4">
        <f t="array" ref="H4:K4">TRANSPOSE(I8:I11)</f>
        <v>1</v>
      </c>
      <c r="I4">
        <v>1</v>
      </c>
      <c r="J4">
        <v>1</v>
      </c>
      <c r="K4">
        <v>1</v>
      </c>
    </row>
    <row r="6" spans="1:13">
      <c r="A6" s="4" t="s">
        <v>3</v>
      </c>
      <c r="B6" s="4"/>
    </row>
    <row r="7" spans="1:13">
      <c r="B7" s="4" t="s">
        <v>23</v>
      </c>
      <c r="C7" s="4" t="s">
        <v>24</v>
      </c>
      <c r="D7" s="4" t="s">
        <v>25</v>
      </c>
      <c r="E7" s="4" t="s">
        <v>26</v>
      </c>
      <c r="F7" s="3"/>
      <c r="G7" s="5" t="s">
        <v>2</v>
      </c>
      <c r="H7" s="5" t="s">
        <v>1</v>
      </c>
      <c r="I7" s="6" t="s">
        <v>4</v>
      </c>
      <c r="J7" s="7"/>
      <c r="K7" s="5" t="s">
        <v>18</v>
      </c>
      <c r="M7" s="8"/>
    </row>
    <row r="8" spans="1:13">
      <c r="A8" s="4" t="s">
        <v>23</v>
      </c>
      <c r="B8">
        <v>1</v>
      </c>
      <c r="C8">
        <v>0.2</v>
      </c>
      <c r="D8">
        <v>0.5</v>
      </c>
      <c r="E8">
        <v>0.3</v>
      </c>
      <c r="G8" s="1">
        <f t="array" ref="G8:G11">TRANSPOSE(B4:E4)</f>
        <v>7.0000000000000007E-2</v>
      </c>
      <c r="H8" s="1">
        <f t="array" ref="H8:H11">TRANSPOSE(B3:E3)</f>
        <v>0.04</v>
      </c>
      <c r="I8">
        <v>1</v>
      </c>
      <c r="K8">
        <f>($E$26*H8+($E$27*I8))</f>
        <v>2.2896010870516372E-3</v>
      </c>
    </row>
    <row r="9" spans="1:13">
      <c r="A9" s="4" t="s">
        <v>24</v>
      </c>
      <c r="B9">
        <v>0.2</v>
      </c>
      <c r="C9">
        <v>1</v>
      </c>
      <c r="D9">
        <v>0.7</v>
      </c>
      <c r="E9">
        <v>0.4</v>
      </c>
      <c r="G9" s="1">
        <v>0.12</v>
      </c>
      <c r="H9" s="1">
        <v>0.08</v>
      </c>
      <c r="I9">
        <v>1</v>
      </c>
      <c r="K9">
        <f>($E$26*H9+($E$27*I9))</f>
        <v>1.2460021383339549E-2</v>
      </c>
    </row>
    <row r="10" spans="1:13">
      <c r="A10" s="4" t="s">
        <v>25</v>
      </c>
      <c r="B10">
        <v>0.5</v>
      </c>
      <c r="C10">
        <v>0.7</v>
      </c>
      <c r="D10">
        <v>1</v>
      </c>
      <c r="E10">
        <v>0.9</v>
      </c>
      <c r="G10" s="1">
        <v>0.18</v>
      </c>
      <c r="H10" s="1">
        <v>0.12</v>
      </c>
      <c r="I10">
        <v>1</v>
      </c>
      <c r="K10">
        <f>($E$26*H10+($E$27*I10))</f>
        <v>2.263044167962746E-2</v>
      </c>
    </row>
    <row r="11" spans="1:13">
      <c r="A11" s="4" t="s">
        <v>26</v>
      </c>
      <c r="B11">
        <v>0.3</v>
      </c>
      <c r="C11">
        <v>0.4</v>
      </c>
      <c r="D11">
        <v>0.9</v>
      </c>
      <c r="E11">
        <v>1</v>
      </c>
      <c r="G11" s="1">
        <v>0.26</v>
      </c>
      <c r="H11" s="1">
        <v>0.15</v>
      </c>
      <c r="I11">
        <v>1</v>
      </c>
      <c r="K11">
        <f t="shared" ref="K11" si="0">($E$26*H11+($E$27*I11))</f>
        <v>3.0258256901843392E-2</v>
      </c>
    </row>
    <row r="13" spans="1:13" ht="16.2">
      <c r="A13" s="4" t="s">
        <v>7</v>
      </c>
      <c r="B13" s="4"/>
      <c r="C13" s="3"/>
      <c r="D13" s="3"/>
      <c r="E13" s="3"/>
      <c r="F13" s="3"/>
      <c r="G13" s="4" t="s">
        <v>8</v>
      </c>
      <c r="H13" s="4"/>
    </row>
    <row r="14" spans="1:13" ht="15.6">
      <c r="B14" s="4" t="s">
        <v>23</v>
      </c>
      <c r="C14" s="4" t="s">
        <v>24</v>
      </c>
      <c r="D14" s="4" t="s">
        <v>25</v>
      </c>
      <c r="E14" s="4" t="s">
        <v>26</v>
      </c>
      <c r="F14" s="3"/>
      <c r="G14" s="4" t="s">
        <v>23</v>
      </c>
      <c r="H14" s="4" t="s">
        <v>24</v>
      </c>
      <c r="I14" s="4" t="s">
        <v>25</v>
      </c>
      <c r="J14" s="4" t="s">
        <v>26</v>
      </c>
      <c r="L14" s="4" t="s">
        <v>19</v>
      </c>
      <c r="M14" s="4" t="s">
        <v>21</v>
      </c>
    </row>
    <row r="15" spans="1:13">
      <c r="A15" s="4" t="s">
        <v>23</v>
      </c>
      <c r="B15" s="2">
        <f>B8*$G$8*B$4</f>
        <v>4.9000000000000007E-3</v>
      </c>
      <c r="C15" s="2">
        <f>C8*$G$8*C$4</f>
        <v>1.6800000000000003E-3</v>
      </c>
      <c r="D15" s="2">
        <f>D8*$G$8*D$4</f>
        <v>6.3E-3</v>
      </c>
      <c r="E15" s="2">
        <f>E8*$G$8*E$4</f>
        <v>5.4600000000000004E-3</v>
      </c>
      <c r="G15" s="12">
        <f t="array" ref="G15:J18">MINVERSE(B15:E18)</f>
        <v>1301.3901212658916</v>
      </c>
      <c r="H15" s="12">
        <v>1086.9565217391239</v>
      </c>
      <c r="I15" s="12">
        <v>-1909.3627789279869</v>
      </c>
      <c r="J15" s="12">
        <v>883.89870998566289</v>
      </c>
      <c r="L15" s="10">
        <f t="array" ref="L15:L18">MMULT(G15:J18,K8:K11)</f>
        <v>5.8676968131436524E-2</v>
      </c>
      <c r="M15" s="18">
        <f t="array" ref="M15:M18">MMULT(G15:J18,I8:I11)/B26</f>
        <v>0.90541287333718501</v>
      </c>
    </row>
    <row r="16" spans="1:13">
      <c r="A16" s="4" t="s">
        <v>24</v>
      </c>
      <c r="B16" s="2">
        <f>B9*$G$9*B$4</f>
        <v>1.6800000000000003E-3</v>
      </c>
      <c r="C16" s="2">
        <f>C9*$G$9*C$4</f>
        <v>1.44E-2</v>
      </c>
      <c r="D16" s="2">
        <f>D9*$G$9*D$4</f>
        <v>1.5119999999999998E-2</v>
      </c>
      <c r="E16" s="2">
        <f>E9*$G$9*E$4</f>
        <v>1.2480000000000002E-2</v>
      </c>
      <c r="G16" s="12">
        <v>1086.956521739125</v>
      </c>
      <c r="H16" s="12">
        <v>1207.7294685990285</v>
      </c>
      <c r="I16" s="12">
        <v>-1952.4959742350954</v>
      </c>
      <c r="J16" s="12">
        <v>905.79710144927105</v>
      </c>
      <c r="L16" s="10">
        <v>0.75902695974739132</v>
      </c>
      <c r="M16" s="18">
        <v>0.82908360815160675</v>
      </c>
    </row>
    <row r="17" spans="1:13">
      <c r="A17" s="4" t="s">
        <v>25</v>
      </c>
      <c r="B17" s="2">
        <f>B10*$G$10*B$4</f>
        <v>6.3E-3</v>
      </c>
      <c r="C17" s="2">
        <f>C10*$G$10*C$4</f>
        <v>1.512E-2</v>
      </c>
      <c r="D17" s="2">
        <f>D10*$G$10*D$4</f>
        <v>3.2399999999999998E-2</v>
      </c>
      <c r="E17" s="2">
        <f>E10*$G$10*E$4</f>
        <v>4.2120000000000005E-2</v>
      </c>
      <c r="G17" s="12">
        <v>-1909.3627789279872</v>
      </c>
      <c r="H17" s="12">
        <v>-1952.4959742350957</v>
      </c>
      <c r="I17" s="12">
        <v>3390.5886562891242</v>
      </c>
      <c r="J17" s="12">
        <v>-1597.9189892233301</v>
      </c>
      <c r="L17" s="10">
        <v>-0.31954512255911993</v>
      </c>
      <c r="M17" s="18">
        <v>-1.3746381908285459</v>
      </c>
    </row>
    <row r="18" spans="1:13">
      <c r="A18" s="4" t="s">
        <v>26</v>
      </c>
      <c r="B18" s="2">
        <f>B11*$G$11*B$4</f>
        <v>5.4600000000000004E-3</v>
      </c>
      <c r="C18" s="2">
        <f>C11*$G$11*C$4</f>
        <v>1.248E-2</v>
      </c>
      <c r="D18" s="2">
        <f>D11*$G$11*D$4</f>
        <v>4.2119999999999998E-2</v>
      </c>
      <c r="E18" s="2">
        <f>E11*$G$11*E$4</f>
        <v>6.7600000000000007E-2</v>
      </c>
      <c r="G18" s="12">
        <v>883.89870998566221</v>
      </c>
      <c r="H18" s="12">
        <v>905.79710144927117</v>
      </c>
      <c r="I18" s="12">
        <v>-1597.9189892233298</v>
      </c>
      <c r="J18" s="12">
        <v>771.80344738872839</v>
      </c>
      <c r="L18" s="10">
        <v>0.5018411946803063</v>
      </c>
      <c r="M18" s="18">
        <v>0.64014170933975445</v>
      </c>
    </row>
    <row r="20" spans="1:13">
      <c r="B20" s="4" t="s">
        <v>23</v>
      </c>
      <c r="C20" s="4" t="s">
        <v>24</v>
      </c>
      <c r="D20" s="4" t="s">
        <v>25</v>
      </c>
      <c r="E20" s="4" t="s">
        <v>26</v>
      </c>
    </row>
    <row r="21" spans="1:13" ht="16.2">
      <c r="A21" s="4" t="s">
        <v>10</v>
      </c>
      <c r="B21">
        <f t="array" ref="B21:E21">MMULT(H4:K4,G15:J18)</f>
        <v>1362.8825740626917</v>
      </c>
      <c r="C21">
        <v>1247.9871175523278</v>
      </c>
      <c r="D21">
        <v>-2069.1890860972881</v>
      </c>
      <c r="E21">
        <v>963.58026960033237</v>
      </c>
    </row>
    <row r="22" spans="1:13" ht="16.2">
      <c r="A22" s="4" t="s">
        <v>11</v>
      </c>
      <c r="B22">
        <f t="array" ref="B22:E22">MMULT(B3:E3,G15:J18)</f>
        <v>42.473399616256529</v>
      </c>
      <c r="C22">
        <v>41.66666666666643</v>
      </c>
      <c r="D22">
        <v>-65.391398724731715</v>
      </c>
      <c r="E22">
        <v>31.839954916877858</v>
      </c>
    </row>
    <row r="26" spans="1:13" ht="16.8">
      <c r="A26" s="4" t="s">
        <v>12</v>
      </c>
      <c r="B26" s="1">
        <f>MMULT(B21:E21,I8:I11)</f>
        <v>1505.2608751180637</v>
      </c>
      <c r="D26" s="5" t="s">
        <v>15</v>
      </c>
      <c r="E26" s="9">
        <f>((B26*E28)-B27)/((B26*B28)-(B27*B27))</f>
        <v>0.2542605074071978</v>
      </c>
      <c r="G26" s="4" t="s">
        <v>20</v>
      </c>
      <c r="H26" s="17">
        <f>B27/B26</f>
        <v>3.360787708715357E-2</v>
      </c>
    </row>
    <row r="27" spans="1:13" ht="16.8">
      <c r="A27" s="4" t="s">
        <v>13</v>
      </c>
      <c r="B27" s="1">
        <f t="array" ref="B27">MMULT(B22:E22,I8:I11)</f>
        <v>50.588622475069101</v>
      </c>
      <c r="D27" s="5" t="s">
        <v>16</v>
      </c>
      <c r="E27" s="9">
        <f>(B28-(B27*E28))/((B26*B28)-(B27*B27))</f>
        <v>-7.8808192092362749E-3</v>
      </c>
      <c r="G27" s="5" t="s">
        <v>22</v>
      </c>
      <c r="H27" s="17">
        <f>1/B26</f>
        <v>6.6433667182212914E-4</v>
      </c>
    </row>
    <row r="28" spans="1:13" ht="16.8">
      <c r="A28" s="4" t="s">
        <v>14</v>
      </c>
      <c r="B28" s="1">
        <f t="array" ref="B28">MMULT(B22:E22,H8:H11)</f>
        <v>1.9612947085474488</v>
      </c>
      <c r="D28" s="4" t="s">
        <v>17</v>
      </c>
      <c r="E28" s="11">
        <v>0.1</v>
      </c>
      <c r="G28" s="5" t="s">
        <v>27</v>
      </c>
      <c r="H28" s="17">
        <f>SQRT(1/B26)</f>
        <v>2.5774729325875163E-2</v>
      </c>
    </row>
    <row r="29" spans="1:13">
      <c r="A29" s="8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A1:O33"/>
  <sheetViews>
    <sheetView tabSelected="1" topLeftCell="A5" workbookViewId="0">
      <selection activeCell="H31" sqref="H31"/>
    </sheetView>
  </sheetViews>
  <sheetFormatPr defaultRowHeight="14.4"/>
  <cols>
    <col min="7" max="10" width="11.21875" bestFit="1" customWidth="1"/>
    <col min="12" max="12" width="9.21875" bestFit="1" customWidth="1"/>
    <col min="13" max="13" width="10.21875" bestFit="1" customWidth="1"/>
    <col min="14" max="14" width="11.6640625" bestFit="1" customWidth="1"/>
    <col min="15" max="15" width="12.33203125" customWidth="1"/>
  </cols>
  <sheetData>
    <row r="1" spans="1:15" ht="16.8">
      <c r="G1" s="20" t="s">
        <v>41</v>
      </c>
      <c r="H1">
        <f t="array" ref="H1:K1">TRANSPOSE(L15:L18)</f>
        <v>5.8676968131436524E-2</v>
      </c>
      <c r="I1">
        <v>0.75902695974739132</v>
      </c>
      <c r="J1">
        <v>-0.31954512255911993</v>
      </c>
      <c r="K1">
        <v>0.5018411946803063</v>
      </c>
    </row>
    <row r="2" spans="1:15" ht="16.8">
      <c r="A2" s="4" t="s">
        <v>0</v>
      </c>
      <c r="B2" s="4" t="s">
        <v>23</v>
      </c>
      <c r="C2" s="4" t="s">
        <v>24</v>
      </c>
      <c r="D2" s="4" t="s">
        <v>25</v>
      </c>
      <c r="E2" s="4" t="s">
        <v>26</v>
      </c>
      <c r="G2" s="20" t="s">
        <v>40</v>
      </c>
      <c r="H2">
        <f t="array" ref="H2:K2">TRANSPOSE(M15:M18)</f>
        <v>0.90541287333718501</v>
      </c>
      <c r="I2">
        <v>0.82908360815160675</v>
      </c>
      <c r="J2">
        <v>-1.3746381908285459</v>
      </c>
      <c r="K2">
        <v>0.64014170933975445</v>
      </c>
    </row>
    <row r="3" spans="1:15" ht="16.8">
      <c r="A3" s="5" t="s">
        <v>6</v>
      </c>
      <c r="B3" s="1">
        <v>0.04</v>
      </c>
      <c r="C3" s="1">
        <v>0.08</v>
      </c>
      <c r="D3" s="1">
        <v>0.12</v>
      </c>
      <c r="E3" s="1">
        <v>0.15</v>
      </c>
      <c r="G3" s="20" t="s">
        <v>37</v>
      </c>
      <c r="H3">
        <f t="array" ref="H3:K3">TRANSPOSE(N15:N18)</f>
        <v>0.839584031709663</v>
      </c>
      <c r="I3">
        <v>0.82363710708273385</v>
      </c>
      <c r="J3">
        <v>-1.2926107793695651</v>
      </c>
      <c r="K3">
        <v>0.6293896405771694</v>
      </c>
    </row>
    <row r="4" spans="1:15" ht="16.2">
      <c r="A4" s="5" t="s">
        <v>5</v>
      </c>
      <c r="B4" s="1">
        <v>7.0000000000000007E-2</v>
      </c>
      <c r="C4" s="1">
        <v>0.12</v>
      </c>
      <c r="D4" s="1">
        <v>0.18</v>
      </c>
      <c r="E4" s="1">
        <v>0.26</v>
      </c>
      <c r="G4" s="4" t="s">
        <v>9</v>
      </c>
      <c r="H4">
        <f t="array" ref="H4:K4">TRANSPOSE(I8:I11)</f>
        <v>1</v>
      </c>
      <c r="I4">
        <v>1</v>
      </c>
      <c r="J4">
        <v>1</v>
      </c>
      <c r="K4">
        <v>1</v>
      </c>
    </row>
    <row r="5" spans="1:15" ht="16.8">
      <c r="G5" s="20" t="s">
        <v>51</v>
      </c>
      <c r="H5">
        <f t="array" ref="H5:K5">TRANSPOSE(O15:O18)</f>
        <v>5.8676968131440077E-2</v>
      </c>
      <c r="I5">
        <v>0.75902695974738954</v>
      </c>
      <c r="J5">
        <v>-0.31954512255911993</v>
      </c>
      <c r="K5">
        <v>0.50184119468030097</v>
      </c>
    </row>
    <row r="6" spans="1:15">
      <c r="A6" s="4" t="s">
        <v>3</v>
      </c>
      <c r="B6" s="4"/>
    </row>
    <row r="7" spans="1:15" ht="15.6">
      <c r="B7" s="4" t="s">
        <v>23</v>
      </c>
      <c r="C7" s="4" t="s">
        <v>24</v>
      </c>
      <c r="D7" s="4" t="s">
        <v>25</v>
      </c>
      <c r="E7" s="4" t="s">
        <v>26</v>
      </c>
      <c r="F7" s="3"/>
      <c r="G7" s="5" t="s">
        <v>2</v>
      </c>
      <c r="H7" s="5" t="s">
        <v>1</v>
      </c>
      <c r="I7" s="6" t="s">
        <v>4</v>
      </c>
      <c r="J7" s="7"/>
      <c r="K7" s="5" t="s">
        <v>18</v>
      </c>
      <c r="L7" s="5" t="s">
        <v>31</v>
      </c>
      <c r="M7" s="5" t="s">
        <v>32</v>
      </c>
    </row>
    <row r="8" spans="1:15">
      <c r="A8" s="4" t="s">
        <v>23</v>
      </c>
      <c r="B8">
        <v>1</v>
      </c>
      <c r="C8">
        <v>0.2</v>
      </c>
      <c r="D8">
        <v>0.5</v>
      </c>
      <c r="E8">
        <v>0.3</v>
      </c>
      <c r="G8" s="1">
        <f t="array" ref="G8:G11">TRANSPOSE(B4:E4)</f>
        <v>7.0000000000000007E-2</v>
      </c>
      <c r="H8" s="1">
        <f t="array" ref="H8:H11">TRANSPOSE(B3:E3)</f>
        <v>0.04</v>
      </c>
      <c r="I8">
        <v>1</v>
      </c>
      <c r="K8">
        <f>($E$26*H8+($E$27*I8))</f>
        <v>2.2896010870516372E-3</v>
      </c>
      <c r="L8" s="13">
        <f t="array" ref="L8:L11">MMULT(M15:M18,$E$27*$B$26)</f>
        <v>-10.74063116960664</v>
      </c>
      <c r="M8" s="13">
        <f t="array" ref="M8:M11">MMULT(N15:N18,$E$26*$B$27)</f>
        <v>10.79930813773808</v>
      </c>
    </row>
    <row r="9" spans="1:15">
      <c r="A9" s="4" t="s">
        <v>24</v>
      </c>
      <c r="B9">
        <v>0.2</v>
      </c>
      <c r="C9">
        <v>1</v>
      </c>
      <c r="D9">
        <v>0.7</v>
      </c>
      <c r="E9">
        <v>0.4</v>
      </c>
      <c r="G9" s="1">
        <v>0.12</v>
      </c>
      <c r="H9" s="1">
        <v>0.08</v>
      </c>
      <c r="I9">
        <v>1</v>
      </c>
      <c r="K9">
        <f>($E$26*H9+($E$27*I9))</f>
        <v>1.2460021383339549E-2</v>
      </c>
      <c r="L9" s="13">
        <v>-9.8351608488858062</v>
      </c>
      <c r="M9" s="13">
        <v>10.594187808633196</v>
      </c>
    </row>
    <row r="10" spans="1:15">
      <c r="A10" s="4" t="s">
        <v>25</v>
      </c>
      <c r="B10">
        <v>0.5</v>
      </c>
      <c r="C10">
        <v>0.7</v>
      </c>
      <c r="D10">
        <v>1</v>
      </c>
      <c r="E10">
        <v>0.9</v>
      </c>
      <c r="G10" s="1">
        <v>0.18</v>
      </c>
      <c r="H10" s="1">
        <v>0.12</v>
      </c>
      <c r="I10">
        <v>1</v>
      </c>
      <c r="K10">
        <f>($E$26*H10+($E$27*I10))</f>
        <v>2.263044167962746E-2</v>
      </c>
      <c r="L10" s="13">
        <v>16.306905097257566</v>
      </c>
      <c r="M10" s="13">
        <v>-16.626450219816686</v>
      </c>
    </row>
    <row r="11" spans="1:15">
      <c r="A11" s="4" t="s">
        <v>26</v>
      </c>
      <c r="B11">
        <v>0.3</v>
      </c>
      <c r="C11">
        <v>0.4</v>
      </c>
      <c r="D11">
        <v>0.9</v>
      </c>
      <c r="E11">
        <v>1</v>
      </c>
      <c r="G11" s="1">
        <v>0.26</v>
      </c>
      <c r="H11" s="1">
        <v>0.15</v>
      </c>
      <c r="I11">
        <v>1</v>
      </c>
      <c r="K11">
        <f t="shared" ref="K11" si="0">($E$26*H11+($E$27*I11))</f>
        <v>3.0258256901843392E-2</v>
      </c>
      <c r="L11" s="13">
        <v>-7.5938018983073654</v>
      </c>
      <c r="M11" s="13">
        <v>8.0956430929876664</v>
      </c>
    </row>
    <row r="13" spans="1:15" ht="16.2">
      <c r="A13" s="4" t="s">
        <v>7</v>
      </c>
      <c r="B13" s="4"/>
      <c r="C13" s="3"/>
      <c r="D13" s="3"/>
      <c r="E13" s="3"/>
      <c r="F13" s="3"/>
      <c r="G13" s="4" t="s">
        <v>8</v>
      </c>
      <c r="H13" s="4"/>
    </row>
    <row r="14" spans="1:15" ht="15.6">
      <c r="B14" s="4" t="s">
        <v>23</v>
      </c>
      <c r="C14" s="4" t="s">
        <v>24</v>
      </c>
      <c r="D14" s="4" t="s">
        <v>25</v>
      </c>
      <c r="E14" s="4" t="s">
        <v>26</v>
      </c>
      <c r="F14" s="3"/>
      <c r="G14" s="4" t="s">
        <v>23</v>
      </c>
      <c r="H14" s="4" t="s">
        <v>24</v>
      </c>
      <c r="I14" s="4" t="s">
        <v>25</v>
      </c>
      <c r="J14" s="4" t="s">
        <v>26</v>
      </c>
      <c r="L14" s="4" t="s">
        <v>29</v>
      </c>
      <c r="M14" s="4" t="s">
        <v>21</v>
      </c>
      <c r="N14" s="4" t="s">
        <v>28</v>
      </c>
      <c r="O14" s="4" t="s">
        <v>30</v>
      </c>
    </row>
    <row r="15" spans="1:15">
      <c r="A15" s="4" t="s">
        <v>23</v>
      </c>
      <c r="B15" s="2">
        <f>B8*$G$8*B$4</f>
        <v>4.9000000000000007E-3</v>
      </c>
      <c r="C15" s="2">
        <f>C8*$G$8*C$4</f>
        <v>1.6800000000000003E-3</v>
      </c>
      <c r="D15" s="2">
        <f>D8*$G$8*D$4</f>
        <v>6.3E-3</v>
      </c>
      <c r="E15" s="2">
        <f>E8*$G$8*E$4</f>
        <v>5.4600000000000004E-3</v>
      </c>
      <c r="G15" s="13">
        <f t="array" ref="G15:J18">MINVERSE(B15:E18)</f>
        <v>1301.3901212658916</v>
      </c>
      <c r="H15" s="13">
        <v>1086.9565217391239</v>
      </c>
      <c r="I15" s="13">
        <v>-1909.3627789279869</v>
      </c>
      <c r="J15" s="13">
        <v>883.89870998566289</v>
      </c>
      <c r="L15" s="14">
        <f t="array" ref="L15:L18">MMULT(G15:J18,K8:K11)</f>
        <v>5.8676968131436524E-2</v>
      </c>
      <c r="M15" s="10">
        <f t="array" ref="M15:M18">MMULT(G15:J18,I8:I11)/B26</f>
        <v>0.90541287333718501</v>
      </c>
      <c r="N15" s="10">
        <f t="array" ref="N15:N18">MMULT(G15:J18,H8:H11)/B27</f>
        <v>0.839584031709663</v>
      </c>
      <c r="O15" s="14">
        <f>L8+M8</f>
        <v>5.8676968131440077E-2</v>
      </c>
    </row>
    <row r="16" spans="1:15">
      <c r="A16" s="4" t="s">
        <v>24</v>
      </c>
      <c r="B16" s="2">
        <f>B9*$G$9*B$4</f>
        <v>1.6800000000000003E-3</v>
      </c>
      <c r="C16" s="2">
        <f>C9*$G$9*C$4</f>
        <v>1.44E-2</v>
      </c>
      <c r="D16" s="2">
        <f>D9*$G$9*D$4</f>
        <v>1.5119999999999998E-2</v>
      </c>
      <c r="E16" s="2">
        <f>E9*$G$9*E$4</f>
        <v>1.2480000000000002E-2</v>
      </c>
      <c r="G16" s="13">
        <v>1086.956521739125</v>
      </c>
      <c r="H16" s="13">
        <v>1207.7294685990285</v>
      </c>
      <c r="I16" s="13">
        <v>-1952.4959742350954</v>
      </c>
      <c r="J16" s="13">
        <v>905.79710144927105</v>
      </c>
      <c r="L16" s="14">
        <v>0.75902695974739132</v>
      </c>
      <c r="M16" s="10">
        <v>0.82908360815160675</v>
      </c>
      <c r="N16" s="10">
        <v>0.82363710708273385</v>
      </c>
      <c r="O16" s="14">
        <f t="shared" ref="O16:O18" si="1">L9+M9</f>
        <v>0.75902695974738954</v>
      </c>
    </row>
    <row r="17" spans="1:15">
      <c r="A17" s="4" t="s">
        <v>25</v>
      </c>
      <c r="B17" s="2">
        <f>B10*$G$10*B$4</f>
        <v>6.3E-3</v>
      </c>
      <c r="C17" s="2">
        <f>C10*$G$10*C$4</f>
        <v>1.512E-2</v>
      </c>
      <c r="D17" s="2">
        <f>D10*$G$10*D$4</f>
        <v>3.2399999999999998E-2</v>
      </c>
      <c r="E17" s="2">
        <f>E10*$G$10*E$4</f>
        <v>4.2120000000000005E-2</v>
      </c>
      <c r="G17" s="13">
        <v>-1909.3627789279872</v>
      </c>
      <c r="H17" s="13">
        <v>-1952.4959742350957</v>
      </c>
      <c r="I17" s="13">
        <v>3390.5886562891242</v>
      </c>
      <c r="J17" s="13">
        <v>-1597.9189892233301</v>
      </c>
      <c r="L17" s="14">
        <v>-0.31954512255911993</v>
      </c>
      <c r="M17" s="10">
        <v>-1.3746381908285459</v>
      </c>
      <c r="N17" s="10">
        <v>-1.2926107793695651</v>
      </c>
      <c r="O17" s="14">
        <f t="shared" si="1"/>
        <v>-0.31954512255911993</v>
      </c>
    </row>
    <row r="18" spans="1:15">
      <c r="A18" s="4" t="s">
        <v>26</v>
      </c>
      <c r="B18" s="2">
        <f>B11*$G$11*B$4</f>
        <v>5.4600000000000004E-3</v>
      </c>
      <c r="C18" s="2">
        <f>C11*$G$11*C$4</f>
        <v>1.248E-2</v>
      </c>
      <c r="D18" s="2">
        <f>D11*$G$11*D$4</f>
        <v>4.2119999999999998E-2</v>
      </c>
      <c r="E18" s="2">
        <f>E11*$G$11*E$4</f>
        <v>6.7600000000000007E-2</v>
      </c>
      <c r="G18" s="13">
        <v>883.89870998566221</v>
      </c>
      <c r="H18" s="13">
        <v>905.79710144927117</v>
      </c>
      <c r="I18" s="13">
        <v>-1597.9189892233298</v>
      </c>
      <c r="J18" s="13">
        <v>771.80344738872839</v>
      </c>
      <c r="L18" s="14">
        <v>0.5018411946803063</v>
      </c>
      <c r="M18" s="10">
        <v>0.64014170933975445</v>
      </c>
      <c r="N18" s="10">
        <v>0.6293896405771694</v>
      </c>
      <c r="O18" s="14">
        <f t="shared" si="1"/>
        <v>0.50184119468030097</v>
      </c>
    </row>
    <row r="19" spans="1:15">
      <c r="L19" s="16">
        <f>SUM(L15:L18)</f>
        <v>1.0000000000000142</v>
      </c>
      <c r="M19" s="16">
        <f>SUM(M15:M18)</f>
        <v>1.0000000000000004</v>
      </c>
      <c r="N19" s="16">
        <f>SUM(N15:N18)</f>
        <v>1.0000000000000009</v>
      </c>
      <c r="O19" s="16">
        <f>SUM(O15:O18)</f>
        <v>1.0000000000000107</v>
      </c>
    </row>
    <row r="20" spans="1:15">
      <c r="B20" s="4" t="s">
        <v>23</v>
      </c>
      <c r="C20" s="4" t="s">
        <v>24</v>
      </c>
      <c r="D20" s="4" t="s">
        <v>25</v>
      </c>
      <c r="E20" s="4" t="s">
        <v>26</v>
      </c>
      <c r="G20" s="4" t="s">
        <v>23</v>
      </c>
      <c r="H20" s="4" t="s">
        <v>24</v>
      </c>
      <c r="I20" s="4" t="s">
        <v>25</v>
      </c>
      <c r="J20" s="4" t="s">
        <v>26</v>
      </c>
    </row>
    <row r="21" spans="1:15" ht="16.8">
      <c r="A21" s="4" t="s">
        <v>10</v>
      </c>
      <c r="B21">
        <f t="array" ref="B21:E21">MMULT(H4:K4,G15:J18)</f>
        <v>1362.8825740626917</v>
      </c>
      <c r="C21">
        <v>1247.9871175523278</v>
      </c>
      <c r="D21">
        <v>-2069.1890860972881</v>
      </c>
      <c r="E21">
        <v>963.58026960033237</v>
      </c>
      <c r="F21" s="20" t="s">
        <v>45</v>
      </c>
      <c r="G21">
        <f t="array" ref="G21:J21">MMULT(H1:K1,B15:E18)</f>
        <v>2.2896010870516736E-3</v>
      </c>
      <c r="H21">
        <v>1.2460021383339577E-2</v>
      </c>
      <c r="I21">
        <v>2.2630441679627619E-2</v>
      </c>
      <c r="J21">
        <v>3.0258256901843666E-2</v>
      </c>
    </row>
    <row r="22" spans="1:15" ht="16.2">
      <c r="A22" s="4" t="s">
        <v>11</v>
      </c>
      <c r="B22">
        <f t="array" ref="B22:E22">MMULT(B3:E3,G15:J18)</f>
        <v>42.473399616256529</v>
      </c>
      <c r="C22">
        <v>41.66666666666643</v>
      </c>
      <c r="D22">
        <v>-65.391398724731715</v>
      </c>
      <c r="E22">
        <v>31.839954916877858</v>
      </c>
      <c r="F22" s="7"/>
    </row>
    <row r="23" spans="1:15" ht="16.8">
      <c r="A23" s="4" t="s">
        <v>35</v>
      </c>
      <c r="B23">
        <f t="array" ref="B23:E23">TRANSPOSE(M15:M18)</f>
        <v>0.90541287333718501</v>
      </c>
      <c r="C23">
        <v>0.82908360815160675</v>
      </c>
      <c r="D23">
        <v>-1.3746381908285459</v>
      </c>
      <c r="E23">
        <v>0.64014170933975445</v>
      </c>
    </row>
    <row r="24" spans="1:15" ht="16.8">
      <c r="A24" s="4" t="s">
        <v>36</v>
      </c>
      <c r="B24">
        <f t="array" ref="B24:E24">MMULT(B23:E23,B15:E18)</f>
        <v>6.6433667182212719E-4</v>
      </c>
      <c r="C24">
        <v>6.6433667182212892E-4</v>
      </c>
      <c r="D24">
        <v>6.6433667182213413E-4</v>
      </c>
      <c r="E24">
        <v>6.6433667182212719E-4</v>
      </c>
    </row>
    <row r="26" spans="1:15" ht="16.8">
      <c r="A26" s="4" t="s">
        <v>12</v>
      </c>
      <c r="B26" s="1">
        <f>MMULT(B21:E21,I8:I11)</f>
        <v>1505.2608751180637</v>
      </c>
      <c r="D26" s="5" t="s">
        <v>15</v>
      </c>
      <c r="E26" s="13">
        <f>((B26*E28)-B27)/((B26*B28)-(B27*B27))</f>
        <v>0.2542605074071978</v>
      </c>
      <c r="G26" s="4" t="s">
        <v>20</v>
      </c>
      <c r="H26" s="22">
        <f>B27/B26</f>
        <v>3.360787708715357E-2</v>
      </c>
      <c r="J26" s="4" t="s">
        <v>38</v>
      </c>
      <c r="K26">
        <f t="array" ref="K26">MMULT(H4:K4,N15:N18)</f>
        <v>1.0000000000000009</v>
      </c>
    </row>
    <row r="27" spans="1:15" ht="16.8">
      <c r="A27" s="4" t="s">
        <v>13</v>
      </c>
      <c r="B27" s="1">
        <f t="array" ref="B27">MMULT(B22:E22,I8:I11)</f>
        <v>50.588622475069101</v>
      </c>
      <c r="D27" s="5" t="s">
        <v>16</v>
      </c>
      <c r="E27" s="13">
        <f>(B28-(B27*E28))/((B26*B28)-(B27*B27))</f>
        <v>-7.8808192092362749E-3</v>
      </c>
      <c r="G27" s="5" t="s">
        <v>27</v>
      </c>
      <c r="H27" s="22">
        <f>SQRT(1/B26)</f>
        <v>2.5774729325875163E-2</v>
      </c>
      <c r="J27" s="5" t="s">
        <v>33</v>
      </c>
      <c r="K27" s="21">
        <f>E27*B26+E26*B27</f>
        <v>0.99999999999999822</v>
      </c>
    </row>
    <row r="28" spans="1:15" ht="16.8">
      <c r="A28" s="4" t="s">
        <v>14</v>
      </c>
      <c r="B28" s="1">
        <f t="array" ref="B28">MMULT(B22:E22,H8:H11)</f>
        <v>1.9612947085474488</v>
      </c>
      <c r="D28" s="4" t="s">
        <v>17</v>
      </c>
      <c r="E28" s="15">
        <v>0.1</v>
      </c>
      <c r="F28">
        <f t="array" ref="F28">MMULT(B22:E22,K8:K11)</f>
        <v>9.9999999999999756E-2</v>
      </c>
      <c r="G28" s="5" t="s">
        <v>34</v>
      </c>
      <c r="H28" s="19">
        <f>1/B26</f>
        <v>6.6433667182212914E-4</v>
      </c>
      <c r="I28" s="2">
        <f>MMULT(B24:E24,N15:N18)</f>
        <v>6.6433667182212025E-4</v>
      </c>
      <c r="J28" s="20" t="s">
        <v>39</v>
      </c>
      <c r="K28">
        <f>MMULT(H3:K3,I8:I11)</f>
        <v>1.0000000000000009</v>
      </c>
    </row>
    <row r="29" spans="1:15" ht="16.8">
      <c r="G29" s="5" t="s">
        <v>43</v>
      </c>
      <c r="H29" s="2">
        <f>((B26*(E28^2))-(2*B27*E28)+B28)/((B26*B28)-(B27^2))</f>
        <v>1.7545231531483515E-2</v>
      </c>
      <c r="J29" s="20" t="s">
        <v>42</v>
      </c>
      <c r="K29" s="1">
        <f>MMULT(H2:K2,
H8:H11)</f>
        <v>3.3607877087153612E-2</v>
      </c>
    </row>
    <row r="30" spans="1:15" ht="16.8">
      <c r="G30" s="5" t="s">
        <v>44</v>
      </c>
      <c r="H30" s="2">
        <f>SQRT(H29)</f>
        <v>0.13245841434761144</v>
      </c>
      <c r="J30" s="25" t="s">
        <v>49</v>
      </c>
      <c r="K30" s="26">
        <f t="array" ref="K30">MMULT(H1:K1,H8:H11)</f>
        <v>0.10000000000000032</v>
      </c>
    </row>
    <row r="31" spans="1:15" ht="16.8">
      <c r="G31" s="23" t="s">
        <v>46</v>
      </c>
      <c r="H31" s="23">
        <f t="array" ref="H31">MMULT(B3:E3,L15:L18)</f>
        <v>0.10000000000000032</v>
      </c>
      <c r="J31" s="25" t="s">
        <v>50</v>
      </c>
      <c r="K31" s="25">
        <f t="array" ref="K31">MMULT(H1:K1,I8:I11)</f>
        <v>1.0000000000000142</v>
      </c>
      <c r="L31">
        <f t="array" ref="L31">MMULT(B21:E21,K8:K11)</f>
        <v>1.0000000000000178</v>
      </c>
    </row>
    <row r="32" spans="1:15" ht="16.8">
      <c r="G32" s="23" t="s">
        <v>48</v>
      </c>
      <c r="H32" s="24">
        <f t="array" ref="H32">MMULT(G21:J21,L15:L18)</f>
        <v>1.7545231531483584E-2</v>
      </c>
      <c r="J32" s="20" t="s">
        <v>52</v>
      </c>
      <c r="K32">
        <f t="array" ref="K32">MMULT(H5:K5,I8:I11)</f>
        <v>1.0000000000000107</v>
      </c>
    </row>
    <row r="33" spans="7:8" ht="15.6">
      <c r="G33" s="23" t="s">
        <v>47</v>
      </c>
      <c r="H33" s="24">
        <f>SQRT(H32)</f>
        <v>0.13245841434761169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dimension ref="A1"/>
  <sheetViews>
    <sheetView workbookViewId="0"/>
  </sheetViews>
  <sheetFormatPr defaultRowHeight="14.4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Explicit</vt:lpstr>
      <vt:lpstr>Implicit</vt:lpstr>
      <vt:lpstr>Sheet3</vt:lpstr>
    </vt:vector>
  </TitlesOfParts>
  <Company>Orajava Consultancy Ltd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Plamen Stilyianov</dc:creator>
  <cp:lastModifiedBy>Plamen Stilyianov</cp:lastModifiedBy>
  <dcterms:created xsi:type="dcterms:W3CDTF">2009-03-01T15:20:19Z</dcterms:created>
  <dcterms:modified xsi:type="dcterms:W3CDTF">2009-03-02T01:53:30Z</dcterms:modified>
</cp:coreProperties>
</file>