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84" yWindow="96" windowWidth="18960" windowHeight="8784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H4" i="1" a="1"/>
  <c r="H4" s="1"/>
  <c r="H8" a="1"/>
  <c r="H8" s="1"/>
  <c r="G8" a="1"/>
  <c r="G8" s="1"/>
  <c r="D15" s="1"/>
  <c r="C15" l="1"/>
  <c r="E15"/>
  <c r="B15"/>
  <c r="K4"/>
  <c r="I4"/>
  <c r="J4"/>
  <c r="H11"/>
  <c r="H9"/>
  <c r="H10"/>
  <c r="G11"/>
  <c r="G9"/>
  <c r="G10"/>
  <c r="D17" l="1"/>
  <c r="B17"/>
  <c r="E17"/>
  <c r="C17"/>
  <c r="D18"/>
  <c r="B18"/>
  <c r="E18"/>
  <c r="C18"/>
  <c r="D16"/>
  <c r="B16"/>
  <c r="G15" s="1" a="1"/>
  <c r="E16"/>
  <c r="C16"/>
  <c r="G15" l="1"/>
  <c r="J18"/>
  <c r="J17"/>
  <c r="J16"/>
  <c r="J15"/>
  <c r="I18"/>
  <c r="I17"/>
  <c r="I16"/>
  <c r="I15"/>
  <c r="H18"/>
  <c r="H17"/>
  <c r="H16"/>
  <c r="H15"/>
  <c r="G18"/>
  <c r="G17"/>
  <c r="G16"/>
  <c r="B22" l="1" a="1"/>
  <c r="B21" a="1"/>
  <c r="B21" l="1"/>
  <c r="C21"/>
  <c r="E21"/>
  <c r="D21"/>
  <c r="B22"/>
  <c r="E22"/>
  <c r="D22"/>
  <c r="C22"/>
  <c r="B28" l="1" a="1"/>
  <c r="B28" s="1"/>
  <c r="B26"/>
  <c r="B27" a="1"/>
  <c r="B27" s="1"/>
  <c r="H26" s="1"/>
  <c r="E27" l="1"/>
  <c r="H27"/>
  <c r="E26"/>
  <c r="M15" a="1"/>
  <c r="K10" l="1"/>
  <c r="K8"/>
  <c r="K9"/>
  <c r="K11"/>
  <c r="M15"/>
  <c r="M16"/>
  <c r="M18"/>
  <c r="M17"/>
  <c r="L15" l="1" a="1"/>
  <c r="L18" l="1"/>
  <c r="L16"/>
  <c r="L15"/>
  <c r="F28" s="1" a="1"/>
  <c r="F28" s="1"/>
  <c r="L17"/>
</calcChain>
</file>

<file path=xl/sharedStrings.xml><?xml version="1.0" encoding="utf-8"?>
<sst xmlns="http://schemas.openxmlformats.org/spreadsheetml/2006/main" count="51" uniqueCount="27">
  <si>
    <t>Assets</t>
  </si>
  <si>
    <t>µ</t>
  </si>
  <si>
    <t>σ</t>
  </si>
  <si>
    <t>X1</t>
  </si>
  <si>
    <t>X2</t>
  </si>
  <si>
    <t>X3</t>
  </si>
  <si>
    <t>X4</t>
  </si>
  <si>
    <t>Correlation Matrix</t>
  </si>
  <si>
    <t>1 Vec</t>
  </si>
  <si>
    <r>
      <t>σ</t>
    </r>
    <r>
      <rPr>
        <vertAlign val="superscript"/>
        <sz val="11"/>
        <color rgb="FFFF0000"/>
        <rFont val="Calibri"/>
        <family val="2"/>
      </rPr>
      <t>T</t>
    </r>
  </si>
  <si>
    <r>
      <t>µ</t>
    </r>
    <r>
      <rPr>
        <vertAlign val="superscript"/>
        <sz val="11"/>
        <color rgb="FFFF0000"/>
        <rFont val="Calibri"/>
        <family val="2"/>
      </rPr>
      <t>T</t>
    </r>
  </si>
  <si>
    <r>
      <t xml:space="preserve">Covariance Matrix </t>
    </r>
    <r>
      <rPr>
        <sz val="11"/>
        <color rgb="FFFF0000"/>
        <rFont val="Calibri"/>
        <family val="2"/>
      </rPr>
      <t>∑</t>
    </r>
  </si>
  <si>
    <r>
      <t>Inverse Cov Matrix ∑</t>
    </r>
    <r>
      <rPr>
        <vertAlign val="superscript"/>
        <sz val="11"/>
        <color rgb="FFFF0000"/>
        <rFont val="Calibri"/>
        <family val="2"/>
        <scheme val="minor"/>
      </rPr>
      <t>-1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</si>
  <si>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>T</t>
    </r>
  </si>
  <si>
    <r>
      <t>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</si>
  <si>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>-1</t>
    </r>
  </si>
  <si>
    <r>
      <t>A=1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</si>
  <si>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B=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1</t>
    </r>
  </si>
  <si>
    <r>
      <t>C=</t>
    </r>
    <r>
      <rPr>
        <sz val="11"/>
        <color rgb="FFFF0000"/>
        <rFont val="Calibri"/>
        <family val="2"/>
      </rPr>
      <t>µ</t>
    </r>
    <r>
      <rPr>
        <vertAlign val="superscript"/>
        <sz val="11"/>
        <color rgb="FFFF0000"/>
        <rFont val="Calibri"/>
        <family val="2"/>
        <scheme val="minor"/>
      </rPr>
      <t xml:space="preserve">T </t>
    </r>
    <r>
      <rPr>
        <sz val="11"/>
        <color rgb="FFFF0000"/>
        <rFont val="Calibri"/>
        <family val="2"/>
        <scheme val="minor"/>
      </rPr>
      <t xml:space="preserve">x </t>
    </r>
    <r>
      <rPr>
        <sz val="11"/>
        <color rgb="FFFF0000"/>
        <rFont val="Calibri"/>
        <family val="2"/>
      </rPr>
      <t>∑</t>
    </r>
    <r>
      <rPr>
        <vertAlign val="superscript"/>
        <sz val="11"/>
        <color rgb="FFFF0000"/>
        <rFont val="Calibri"/>
        <family val="2"/>
      </rPr>
      <t xml:space="preserve">-1 </t>
    </r>
    <r>
      <rPr>
        <sz val="11"/>
        <color rgb="FFFF0000"/>
        <rFont val="Calibri"/>
        <family val="2"/>
      </rPr>
      <t>x µ</t>
    </r>
  </si>
  <si>
    <t>λ</t>
  </si>
  <si>
    <t>γ</t>
  </si>
  <si>
    <t>m</t>
  </si>
  <si>
    <t>λµ + λ1</t>
  </si>
  <si>
    <t>w*</t>
  </si>
  <si>
    <r>
      <t>m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</si>
  <si>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w</t>
    </r>
    <r>
      <rPr>
        <vertAlign val="subscript"/>
        <sz val="11"/>
        <color rgb="FFFF0000"/>
        <rFont val="Calibri"/>
        <family val="2"/>
        <scheme val="minor"/>
      </rPr>
      <t>g</t>
    </r>
  </si>
  <si>
    <r>
      <t>σ</t>
    </r>
    <r>
      <rPr>
        <vertAlign val="subscript"/>
        <sz val="11"/>
        <color rgb="FFFF0000"/>
        <rFont val="Calibri"/>
        <family val="2"/>
      </rPr>
      <t>g</t>
    </r>
    <r>
      <rPr>
        <vertAlign val="superscript"/>
        <sz val="11"/>
        <color rgb="FFFF0000"/>
        <rFont val="Calibri"/>
        <family val="2"/>
      </rPr>
      <t>2</t>
    </r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</si>
</sst>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000"/>
    <numFmt numFmtId="166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vertAlign val="superscript"/>
      <sz val="11"/>
      <color rgb="FFFF0000"/>
      <name val="Calibri"/>
      <family val="2"/>
    </font>
    <font>
      <vertAlign val="super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0" fontId="1" fillId="2" borderId="0" xfId="0" applyFont="1" applyFill="1"/>
    <xf numFmtId="0" fontId="3" fillId="2" borderId="0" xfId="0" applyFont="1" applyFill="1"/>
    <xf numFmtId="49" fontId="1" fillId="2" borderId="0" xfId="0" applyNumberFormat="1" applyFont="1" applyFill="1"/>
    <xf numFmtId="0" fontId="3" fillId="0" borderId="0" xfId="0" applyFont="1" applyFill="1"/>
    <xf numFmtId="0" fontId="1" fillId="0" borderId="0" xfId="0" applyFont="1" applyFill="1"/>
    <xf numFmtId="165" fontId="0" fillId="0" borderId="0" xfId="0" applyNumberFormat="1"/>
    <xf numFmtId="10" fontId="2" fillId="0" borderId="0" xfId="0" applyNumberFormat="1" applyFont="1"/>
    <xf numFmtId="9" fontId="2" fillId="0" borderId="0" xfId="0" applyNumberFormat="1" applyFon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M29"/>
  <sheetViews>
    <sheetView tabSelected="1" topLeftCell="A4" workbookViewId="0">
      <selection activeCell="M15" sqref="M15:M18"/>
    </sheetView>
  </sheetViews>
  <sheetFormatPr defaultRowHeight="14.4"/>
  <cols>
    <col min="1" max="1" width="12.21875" customWidth="1"/>
    <col min="5" max="5" width="9.21875" bestFit="1" customWidth="1"/>
    <col min="7" max="8" width="9.33203125" bestFit="1" customWidth="1"/>
    <col min="9" max="10" width="9.21875" bestFit="1" customWidth="1"/>
    <col min="13" max="13" width="9.21875" bestFit="1" customWidth="1"/>
  </cols>
  <sheetData>
    <row r="2" spans="1:13">
      <c r="A2" s="4" t="s">
        <v>0</v>
      </c>
      <c r="B2" s="4" t="s">
        <v>3</v>
      </c>
      <c r="C2" s="4" t="s">
        <v>4</v>
      </c>
      <c r="D2" s="4" t="s">
        <v>5</v>
      </c>
      <c r="E2" s="4" t="s">
        <v>6</v>
      </c>
    </row>
    <row r="3" spans="1:13" ht="16.2">
      <c r="A3" s="5" t="s">
        <v>10</v>
      </c>
      <c r="B3" s="1">
        <v>0.08</v>
      </c>
      <c r="C3" s="1">
        <v>0.1</v>
      </c>
      <c r="D3" s="1">
        <v>0.1</v>
      </c>
      <c r="E3" s="1">
        <v>0.14000000000000001</v>
      </c>
    </row>
    <row r="4" spans="1:13" ht="16.2">
      <c r="A4" s="5" t="s">
        <v>9</v>
      </c>
      <c r="B4" s="1">
        <v>0.12</v>
      </c>
      <c r="C4" s="1">
        <v>0.12</v>
      </c>
      <c r="D4" s="1">
        <v>0.15</v>
      </c>
      <c r="E4" s="1">
        <v>0.2</v>
      </c>
      <c r="G4" s="4" t="s">
        <v>13</v>
      </c>
      <c r="H4">
        <f t="array" ref="H4:K4">TRANSPOSE(I8:I11)</f>
        <v>1</v>
      </c>
      <c r="I4">
        <v>1</v>
      </c>
      <c r="J4">
        <v>1</v>
      </c>
      <c r="K4">
        <v>1</v>
      </c>
    </row>
    <row r="6" spans="1:13">
      <c r="A6" s="4" t="s">
        <v>7</v>
      </c>
      <c r="B6" s="4"/>
    </row>
    <row r="7" spans="1:13">
      <c r="B7" s="4" t="s">
        <v>3</v>
      </c>
      <c r="C7" s="4" t="s">
        <v>4</v>
      </c>
      <c r="D7" s="4" t="s">
        <v>5</v>
      </c>
      <c r="E7" s="4" t="s">
        <v>6</v>
      </c>
      <c r="F7" s="3"/>
      <c r="G7" s="5" t="s">
        <v>2</v>
      </c>
      <c r="H7" s="5" t="s">
        <v>1</v>
      </c>
      <c r="I7" s="6" t="s">
        <v>8</v>
      </c>
      <c r="J7" s="7"/>
      <c r="K7" s="5" t="s">
        <v>22</v>
      </c>
      <c r="M7" s="8"/>
    </row>
    <row r="8" spans="1:13">
      <c r="A8" s="4" t="s">
        <v>3</v>
      </c>
      <c r="B8">
        <v>1</v>
      </c>
      <c r="C8">
        <v>0.2</v>
      </c>
      <c r="D8">
        <v>0.5</v>
      </c>
      <c r="E8">
        <v>0.3</v>
      </c>
      <c r="G8" s="1">
        <f t="array" ref="G8:G11">TRANSPOSE(B4:E4)</f>
        <v>0.12</v>
      </c>
      <c r="H8" s="1">
        <f t="array" ref="H8:H11">TRANSPOSE(B3:E3)</f>
        <v>0.08</v>
      </c>
      <c r="I8">
        <v>1</v>
      </c>
      <c r="K8">
        <f>($E$26*H8+($E$27*I8))</f>
        <v>7.2637913741223706E-3</v>
      </c>
    </row>
    <row r="9" spans="1:13">
      <c r="A9" s="4" t="s">
        <v>4</v>
      </c>
      <c r="B9">
        <v>0.2</v>
      </c>
      <c r="C9">
        <v>1</v>
      </c>
      <c r="D9">
        <v>0.7</v>
      </c>
      <c r="E9">
        <v>0.4</v>
      </c>
      <c r="G9" s="1">
        <v>0.12</v>
      </c>
      <c r="H9" s="1">
        <v>0.1</v>
      </c>
      <c r="I9">
        <v>1</v>
      </c>
      <c r="K9">
        <f>($E$26*H9+($E$27*I9))</f>
        <v>5.5667001003009038E-3</v>
      </c>
    </row>
    <row r="10" spans="1:13">
      <c r="A10" s="4" t="s">
        <v>5</v>
      </c>
      <c r="B10">
        <v>0.5</v>
      </c>
      <c r="C10">
        <v>0.7</v>
      </c>
      <c r="D10">
        <v>1</v>
      </c>
      <c r="E10">
        <v>0.9</v>
      </c>
      <c r="G10" s="1">
        <v>0.15</v>
      </c>
      <c r="H10" s="1">
        <v>0.1</v>
      </c>
      <c r="I10">
        <v>1</v>
      </c>
      <c r="K10">
        <f>($E$26*H10+($E$27*I10))</f>
        <v>5.5667001003009038E-3</v>
      </c>
    </row>
    <row r="11" spans="1:13">
      <c r="A11" s="4" t="s">
        <v>6</v>
      </c>
      <c r="B11">
        <v>0.3</v>
      </c>
      <c r="C11">
        <v>0.4</v>
      </c>
      <c r="D11">
        <v>0.9</v>
      </c>
      <c r="E11">
        <v>1</v>
      </c>
      <c r="G11" s="1">
        <v>0.2</v>
      </c>
      <c r="H11" s="1">
        <v>0.14000000000000001</v>
      </c>
      <c r="I11">
        <v>1</v>
      </c>
      <c r="K11">
        <f t="shared" ref="K11" si="0">($E$26*H11+($E$27*I11))</f>
        <v>2.172517552657972E-3</v>
      </c>
    </row>
    <row r="13" spans="1:13" ht="16.2">
      <c r="A13" s="4" t="s">
        <v>11</v>
      </c>
      <c r="B13" s="4"/>
      <c r="C13" s="3"/>
      <c r="D13" s="3"/>
      <c r="E13" s="3"/>
      <c r="F13" s="3"/>
      <c r="G13" s="4" t="s">
        <v>12</v>
      </c>
      <c r="H13" s="4"/>
    </row>
    <row r="14" spans="1:13" ht="15.6">
      <c r="B14" s="4" t="s">
        <v>3</v>
      </c>
      <c r="C14" s="4" t="s">
        <v>4</v>
      </c>
      <c r="D14" s="4" t="s">
        <v>5</v>
      </c>
      <c r="E14" s="4" t="s">
        <v>6</v>
      </c>
      <c r="F14" s="3"/>
      <c r="G14" s="4" t="s">
        <v>3</v>
      </c>
      <c r="H14" s="4" t="s">
        <v>4</v>
      </c>
      <c r="I14" s="4" t="s">
        <v>5</v>
      </c>
      <c r="J14" s="4" t="s">
        <v>6</v>
      </c>
      <c r="L14" s="4" t="s">
        <v>23</v>
      </c>
      <c r="M14" s="4" t="s">
        <v>25</v>
      </c>
    </row>
    <row r="15" spans="1:13">
      <c r="A15" s="4" t="s">
        <v>3</v>
      </c>
      <c r="B15" s="2">
        <f>B8*$G$8*B$4</f>
        <v>1.44E-2</v>
      </c>
      <c r="C15" s="2">
        <f>C8*$G$8*C$4</f>
        <v>2.8799999999999997E-3</v>
      </c>
      <c r="D15" s="2">
        <f>D8*$G$8*D$4</f>
        <v>8.9999999999999993E-3</v>
      </c>
      <c r="E15" s="2">
        <f>E8*$G$8*E$4</f>
        <v>7.1999999999999998E-3</v>
      </c>
      <c r="G15" s="12">
        <f t="array" ref="G15:J18">MINVERSE(B15:E18)</f>
        <v>442.83413848630948</v>
      </c>
      <c r="H15" s="12">
        <v>634.05797101448775</v>
      </c>
      <c r="I15" s="12">
        <v>-1336.5539452495866</v>
      </c>
      <c r="J15" s="12">
        <v>670.28985507245829</v>
      </c>
      <c r="L15" s="10">
        <f t="array" ref="L15:L18">MMULT(G15:J18,K8:K11)</f>
        <v>0.76228686058174389</v>
      </c>
      <c r="M15" s="9">
        <f t="array" ref="M15:M18">MMULT(G15:J18,I8:I11)/B26</f>
        <v>0.89947089947089887</v>
      </c>
    </row>
    <row r="16" spans="1:13">
      <c r="A16" s="4" t="s">
        <v>4</v>
      </c>
      <c r="B16" s="2">
        <f>B9*$G$9*B$4</f>
        <v>2.8799999999999997E-3</v>
      </c>
      <c r="C16" s="2">
        <f>C9*$G$9*C$4</f>
        <v>1.44E-2</v>
      </c>
      <c r="D16" s="2">
        <f>D9*$G$9*D$4</f>
        <v>1.2599999999999998E-2</v>
      </c>
      <c r="E16" s="2">
        <f>E9*$G$9*E$4</f>
        <v>9.6000000000000009E-3</v>
      </c>
      <c r="G16" s="12">
        <v>634.05797101448752</v>
      </c>
      <c r="H16" s="12">
        <v>1207.7294685990248</v>
      </c>
      <c r="I16" s="12">
        <v>-2342.9951690821063</v>
      </c>
      <c r="J16" s="12">
        <v>1177.5362318840482</v>
      </c>
      <c r="L16" s="10">
        <v>0.84419926446004467</v>
      </c>
      <c r="M16" s="9">
        <v>1.4814814814814796</v>
      </c>
    </row>
    <row r="17" spans="1:13">
      <c r="A17" s="4" t="s">
        <v>5</v>
      </c>
      <c r="B17" s="2">
        <f>B10*$G$10*B$4</f>
        <v>8.9999999999999993E-3</v>
      </c>
      <c r="C17" s="2">
        <f>C10*$G$10*C$4</f>
        <v>1.2599999999999998E-2</v>
      </c>
      <c r="D17" s="2">
        <f>D10*$G$10*D$4</f>
        <v>2.2499999999999999E-2</v>
      </c>
      <c r="E17" s="2">
        <f>E10*$G$10*E$4</f>
        <v>2.7000000000000003E-2</v>
      </c>
      <c r="G17" s="12">
        <v>-1336.5539452495871</v>
      </c>
      <c r="H17" s="12">
        <v>-2342.9951690821072</v>
      </c>
      <c r="I17" s="12">
        <v>4882.447665056322</v>
      </c>
      <c r="J17" s="12">
        <v>-2492.753623188386</v>
      </c>
      <c r="L17" s="10">
        <v>-0.98762955533265195</v>
      </c>
      <c r="M17" s="9">
        <v>-2.8253968253968189</v>
      </c>
    </row>
    <row r="18" spans="1:13">
      <c r="A18" s="4" t="s">
        <v>6</v>
      </c>
      <c r="B18" s="2">
        <f>B11*$G$11*B$4</f>
        <v>7.1999999999999998E-3</v>
      </c>
      <c r="C18" s="2">
        <f>C11*$G$11*C$4</f>
        <v>9.6000000000000009E-3</v>
      </c>
      <c r="D18" s="2">
        <f>D11*$G$11*D$4</f>
        <v>2.7000000000000003E-2</v>
      </c>
      <c r="E18" s="2">
        <f>E11*$G$11*E$4</f>
        <v>4.0000000000000008E-2</v>
      </c>
      <c r="G18" s="12">
        <v>670.28985507245864</v>
      </c>
      <c r="H18" s="12">
        <v>1177.5362318840487</v>
      </c>
      <c r="I18" s="12">
        <v>-2492.7536231883864</v>
      </c>
      <c r="J18" s="12">
        <v>1304.3478260869465</v>
      </c>
      <c r="L18" s="10">
        <v>0.38114343029086983</v>
      </c>
      <c r="M18" s="9">
        <v>1.4444444444444415</v>
      </c>
    </row>
    <row r="20" spans="1:13">
      <c r="B20" s="4" t="s">
        <v>3</v>
      </c>
      <c r="C20" s="4" t="s">
        <v>4</v>
      </c>
      <c r="D20" s="4" t="s">
        <v>5</v>
      </c>
      <c r="E20" s="4" t="s">
        <v>6</v>
      </c>
    </row>
    <row r="21" spans="1:13" ht="16.2">
      <c r="A21" s="4" t="s">
        <v>14</v>
      </c>
      <c r="B21">
        <f t="array" ref="B21:E21">MMULT(H4:K4,G15:J18)</f>
        <v>410.62801932366858</v>
      </c>
      <c r="C21">
        <v>676.32850241545407</v>
      </c>
      <c r="D21">
        <v>-1289.8550724637576</v>
      </c>
      <c r="E21">
        <v>659.42028985506704</v>
      </c>
    </row>
    <row r="22" spans="1:13" ht="16.2">
      <c r="A22" s="4" t="s">
        <v>15</v>
      </c>
      <c r="B22">
        <f t="array" ref="B22:E22">MMULT(B3:E3,G15:J18)</f>
        <v>59.017713365538995</v>
      </c>
      <c r="C22">
        <v>102.0531400966176</v>
      </c>
      <c r="D22">
        <v>-201.96457326891948</v>
      </c>
      <c r="E22">
        <v>104.71014492753542</v>
      </c>
    </row>
    <row r="26" spans="1:13" ht="16.8">
      <c r="A26" s="4" t="s">
        <v>16</v>
      </c>
      <c r="B26" s="1">
        <f>MMULT(B21:E21,I8:I11)</f>
        <v>456.52173913043225</v>
      </c>
      <c r="D26" s="5" t="s">
        <v>19</v>
      </c>
      <c r="E26" s="9">
        <f>((B26*E28)-B27)/((B26*B28)-(B27*B27))</f>
        <v>-8.4854563691073276E-2</v>
      </c>
      <c r="G26" s="4" t="s">
        <v>24</v>
      </c>
      <c r="H26">
        <f>B27/B26</f>
        <v>0.13978835978835968</v>
      </c>
    </row>
    <row r="27" spans="1:13" ht="16.8">
      <c r="A27" s="4" t="s">
        <v>17</v>
      </c>
      <c r="B27" s="1">
        <f t="array" ref="B27">MMULT(B22:E22,I8:I11)</f>
        <v>63.81642512077255</v>
      </c>
      <c r="D27" s="5" t="s">
        <v>20</v>
      </c>
      <c r="E27" s="9">
        <f>(B28-(B27*E28))/((B26*B28)-(B27*B27))</f>
        <v>1.4052156469408232E-2</v>
      </c>
      <c r="G27" s="5" t="s">
        <v>26</v>
      </c>
      <c r="H27">
        <f>SQRT(1/B26)</f>
        <v>4.6802523334497713E-2</v>
      </c>
    </row>
    <row r="28" spans="1:13" ht="16.2">
      <c r="A28" s="4" t="s">
        <v>18</v>
      </c>
      <c r="B28" s="1">
        <f t="array" ref="B28">MMULT(B22:E22,H8:H11)</f>
        <v>9.3896940418678909</v>
      </c>
      <c r="D28" s="4" t="s">
        <v>21</v>
      </c>
      <c r="E28" s="11">
        <v>0.1</v>
      </c>
      <c r="F28">
        <f t="array" ref="F28">MMULT(B3:E3,L15:L18)</f>
        <v>0.10000000000000056</v>
      </c>
    </row>
    <row r="29" spans="1:13">
      <c r="A29" s="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Orajava Consultancy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 Stilyianov</dc:creator>
  <cp:lastModifiedBy>Plamen Stilyianov</cp:lastModifiedBy>
  <dcterms:created xsi:type="dcterms:W3CDTF">2009-03-01T15:20:19Z</dcterms:created>
  <dcterms:modified xsi:type="dcterms:W3CDTF">2009-03-01T18:34:17Z</dcterms:modified>
</cp:coreProperties>
</file>