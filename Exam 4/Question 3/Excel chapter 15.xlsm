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/>
  <bookViews>
    <workbookView xWindow="-15" yWindow="-15" windowWidth="10950" windowHeight="6585" activeTab="1"/>
  </bookViews>
  <sheets>
    <sheet name="Table 15.1" sheetId="6" r:id="rId1"/>
    <sheet name="Table 15.2" sheetId="7" r:id="rId2"/>
    <sheet name="Table 15.3" sheetId="12" r:id="rId3"/>
    <sheet name="Table 15.4" sheetId="13" r:id="rId4"/>
    <sheet name="Table 15.5" sheetId="14" r:id="rId5"/>
    <sheet name="Table 15.6 " sheetId="4" r:id="rId6"/>
  </sheets>
  <calcPr calcId="125725"/>
</workbook>
</file>

<file path=xl/calcChain.xml><?xml version="1.0" encoding="utf-8"?>
<calcChain xmlns="http://schemas.openxmlformats.org/spreadsheetml/2006/main">
  <c r="C17" i="6"/>
  <c r="C21" s="1"/>
  <c r="C27"/>
  <c r="A34"/>
  <c r="B35"/>
  <c r="C35"/>
  <c r="A36"/>
  <c r="B36"/>
  <c r="C36"/>
  <c r="D36"/>
  <c r="E36" s="1"/>
  <c r="F36"/>
  <c r="A37"/>
  <c r="B37"/>
  <c r="C37"/>
  <c r="D37"/>
  <c r="E37" s="1"/>
  <c r="F37"/>
  <c r="A38"/>
  <c r="B38"/>
  <c r="C38"/>
  <c r="D38"/>
  <c r="E38" s="1"/>
  <c r="F38"/>
  <c r="A39"/>
  <c r="B39"/>
  <c r="C39"/>
  <c r="D39"/>
  <c r="E39" s="1"/>
  <c r="F39"/>
  <c r="A40"/>
  <c r="B40"/>
  <c r="C40"/>
  <c r="D40"/>
  <c r="E40" s="1"/>
  <c r="F40"/>
  <c r="A41"/>
  <c r="B41"/>
  <c r="C41"/>
  <c r="D41"/>
  <c r="E41" s="1"/>
  <c r="F41"/>
  <c r="A42"/>
  <c r="B42"/>
  <c r="C42"/>
  <c r="D42"/>
  <c r="E42" s="1"/>
  <c r="F42"/>
  <c r="A43"/>
  <c r="B43"/>
  <c r="C43"/>
  <c r="D43"/>
  <c r="E43" s="1"/>
  <c r="F43"/>
  <c r="A44"/>
  <c r="B44"/>
  <c r="C44"/>
  <c r="D44"/>
  <c r="E44" s="1"/>
  <c r="F44"/>
  <c r="A45"/>
  <c r="B45"/>
  <c r="C45"/>
  <c r="D45"/>
  <c r="E45" s="1"/>
  <c r="F45"/>
  <c r="A46"/>
  <c r="B46"/>
  <c r="C46"/>
  <c r="D46"/>
  <c r="E46" s="1"/>
  <c r="F46"/>
  <c r="A47"/>
  <c r="B47"/>
  <c r="D47" s="1"/>
  <c r="E47" s="1"/>
  <c r="C47"/>
  <c r="F47"/>
  <c r="A48"/>
  <c r="B48"/>
  <c r="C48"/>
  <c r="D48"/>
  <c r="E48" s="1"/>
  <c r="F48"/>
  <c r="A49"/>
  <c r="B49"/>
  <c r="C49"/>
  <c r="D49"/>
  <c r="E49" s="1"/>
  <c r="F49"/>
  <c r="A50"/>
  <c r="B50"/>
  <c r="D50" s="1"/>
  <c r="E50" s="1"/>
  <c r="C50"/>
  <c r="F50"/>
  <c r="A51"/>
  <c r="B51"/>
  <c r="D51" s="1"/>
  <c r="E51" s="1"/>
  <c r="C51"/>
  <c r="F51"/>
  <c r="A52"/>
  <c r="B52"/>
  <c r="C52"/>
  <c r="D52"/>
  <c r="E52" s="1"/>
  <c r="F52"/>
  <c r="A53"/>
  <c r="B53"/>
  <c r="C53"/>
  <c r="D53"/>
  <c r="E53" s="1"/>
  <c r="F53"/>
  <c r="A54"/>
  <c r="B54"/>
  <c r="D54" s="1"/>
  <c r="E54" s="1"/>
  <c r="C54"/>
  <c r="F54"/>
  <c r="C17" i="7"/>
  <c r="C21"/>
  <c r="C27"/>
  <c r="A34"/>
  <c r="B35"/>
  <c r="C35"/>
  <c r="A36"/>
  <c r="B36"/>
  <c r="D36" s="1"/>
  <c r="E36" s="1"/>
  <c r="C36"/>
  <c r="F36"/>
  <c r="A37"/>
  <c r="B37"/>
  <c r="D37" s="1"/>
  <c r="E37" s="1"/>
  <c r="C37"/>
  <c r="F37"/>
  <c r="A38"/>
  <c r="B38"/>
  <c r="D38" s="1"/>
  <c r="E38" s="1"/>
  <c r="C38"/>
  <c r="F38"/>
  <c r="A39"/>
  <c r="B39"/>
  <c r="C39"/>
  <c r="D39"/>
  <c r="E39" s="1"/>
  <c r="F39"/>
  <c r="A40"/>
  <c r="B40"/>
  <c r="D40" s="1"/>
  <c r="E40" s="1"/>
  <c r="C40"/>
  <c r="F40"/>
  <c r="A41"/>
  <c r="B41"/>
  <c r="C41"/>
  <c r="D41"/>
  <c r="E41" s="1"/>
  <c r="F41"/>
  <c r="A42"/>
  <c r="B42"/>
  <c r="C42"/>
  <c r="D42"/>
  <c r="E42" s="1"/>
  <c r="F42"/>
  <c r="A43"/>
  <c r="B43"/>
  <c r="D43" s="1"/>
  <c r="E43" s="1"/>
  <c r="C43"/>
  <c r="F43"/>
  <c r="A44"/>
  <c r="B44"/>
  <c r="C44"/>
  <c r="D44"/>
  <c r="E44" s="1"/>
  <c r="F44"/>
  <c r="A45"/>
  <c r="B45"/>
  <c r="C45"/>
  <c r="D45"/>
  <c r="E45" s="1"/>
  <c r="F45"/>
  <c r="A46"/>
  <c r="B46"/>
  <c r="C46"/>
  <c r="D46"/>
  <c r="E46" s="1"/>
  <c r="F46"/>
  <c r="A47"/>
  <c r="B47"/>
  <c r="D47" s="1"/>
  <c r="E47" s="1"/>
  <c r="C47"/>
  <c r="F47"/>
  <c r="A48"/>
  <c r="B48"/>
  <c r="C48"/>
  <c r="D48"/>
  <c r="E48" s="1"/>
  <c r="F48"/>
  <c r="A49"/>
  <c r="B49"/>
  <c r="D49" s="1"/>
  <c r="E49" s="1"/>
  <c r="C49"/>
  <c r="F49"/>
  <c r="A50"/>
  <c r="B50"/>
  <c r="C50"/>
  <c r="D50"/>
  <c r="E50" s="1"/>
  <c r="F50"/>
  <c r="A51"/>
  <c r="B51"/>
  <c r="D51" s="1"/>
  <c r="E51" s="1"/>
  <c r="C51"/>
  <c r="F51"/>
  <c r="A52"/>
  <c r="B52"/>
  <c r="C52"/>
  <c r="D52"/>
  <c r="E52" s="1"/>
  <c r="F52"/>
  <c r="A53"/>
  <c r="B53"/>
  <c r="C53"/>
  <c r="D53"/>
  <c r="E53" s="1"/>
  <c r="F53"/>
  <c r="A54"/>
  <c r="B54"/>
  <c r="D54" s="1"/>
  <c r="E54" s="1"/>
  <c r="C54"/>
  <c r="F54"/>
  <c r="B32" i="12"/>
  <c r="F32"/>
  <c r="H32" s="1"/>
  <c r="L32" s="1"/>
  <c r="I32"/>
  <c r="M32"/>
  <c r="B33"/>
  <c r="C33"/>
  <c r="E33" s="1"/>
  <c r="B34"/>
  <c r="C34" s="1"/>
  <c r="B35"/>
  <c r="C35" s="1"/>
  <c r="B36"/>
  <c r="C36" s="1"/>
  <c r="G36"/>
  <c r="B32" i="13"/>
  <c r="F32"/>
  <c r="H32" s="1"/>
  <c r="I32"/>
  <c r="B33"/>
  <c r="C33"/>
  <c r="E33" s="1"/>
  <c r="B34"/>
  <c r="C34" s="1"/>
  <c r="B35"/>
  <c r="C35" s="1"/>
  <c r="B36"/>
  <c r="C36" s="1"/>
  <c r="G36"/>
  <c r="B35" i="14"/>
  <c r="E35"/>
  <c r="I35" s="1"/>
  <c r="N35" s="1"/>
  <c r="F35"/>
  <c r="G35"/>
  <c r="K35"/>
  <c r="P35"/>
  <c r="B36"/>
  <c r="C36"/>
  <c r="E36" s="1"/>
  <c r="F36"/>
  <c r="B37"/>
  <c r="C37" s="1"/>
  <c r="B38"/>
  <c r="C38"/>
  <c r="E38" s="1"/>
  <c r="F38"/>
  <c r="B39"/>
  <c r="C39" s="1"/>
  <c r="H39"/>
  <c r="B33" i="4"/>
  <c r="D33" s="1"/>
  <c r="C33"/>
  <c r="C34"/>
  <c r="C35"/>
  <c r="C36"/>
  <c r="C37"/>
  <c r="C38"/>
  <c r="C39"/>
  <c r="C40"/>
  <c r="C41"/>
  <c r="C42"/>
  <c r="E33" l="1"/>
  <c r="F33" s="1"/>
  <c r="B34" s="1"/>
  <c r="G39" i="14"/>
  <c r="F39"/>
  <c r="E39"/>
  <c r="K38"/>
  <c r="P38" s="1"/>
  <c r="J38"/>
  <c r="O38" s="1"/>
  <c r="E37"/>
  <c r="F37"/>
  <c r="G37"/>
  <c r="I36"/>
  <c r="N36" s="1"/>
  <c r="K36"/>
  <c r="P36" s="1"/>
  <c r="J36"/>
  <c r="O36" s="1"/>
  <c r="E35" i="13"/>
  <c r="F35"/>
  <c r="I33"/>
  <c r="H33"/>
  <c r="F36" i="12"/>
  <c r="E36"/>
  <c r="I36" s="1"/>
  <c r="M36" s="1"/>
  <c r="E34"/>
  <c r="F34"/>
  <c r="E36" i="13"/>
  <c r="F36"/>
  <c r="F34"/>
  <c r="E34"/>
  <c r="F35" i="12"/>
  <c r="E35"/>
  <c r="I33"/>
  <c r="M33" s="1"/>
  <c r="H33"/>
  <c r="L33" s="1"/>
  <c r="H36"/>
  <c r="L36" s="1"/>
  <c r="J35" i="14"/>
  <c r="O35" s="1"/>
  <c r="G38"/>
  <c r="I38" s="1"/>
  <c r="N38" s="1"/>
  <c r="G36"/>
  <c r="H34" i="13" l="1"/>
  <c r="C26" s="1"/>
  <c r="D26" s="1"/>
  <c r="I34"/>
  <c r="H36"/>
  <c r="I36"/>
  <c r="I34" i="12"/>
  <c r="M34" s="1"/>
  <c r="H34"/>
  <c r="L34" s="1"/>
  <c r="I35" i="13"/>
  <c r="H35"/>
  <c r="J37" i="14"/>
  <c r="O37" s="1"/>
  <c r="I37"/>
  <c r="N37" s="1"/>
  <c r="C27" s="1"/>
  <c r="D27" s="1"/>
  <c r="K37"/>
  <c r="P37" s="1"/>
  <c r="I39"/>
  <c r="N39" s="1"/>
  <c r="J39"/>
  <c r="O39" s="1"/>
  <c r="K39"/>
  <c r="P39" s="1"/>
  <c r="C28"/>
  <c r="D28" s="1"/>
  <c r="H35" i="12"/>
  <c r="L35" s="1"/>
  <c r="I35"/>
  <c r="M35" s="1"/>
  <c r="D34" i="4"/>
  <c r="C29" i="14" l="1"/>
  <c r="D29" s="1"/>
  <c r="C27" i="12"/>
  <c r="D27" s="1"/>
  <c r="I34" i="4"/>
  <c r="E34"/>
  <c r="F34" s="1"/>
  <c r="C26" i="12"/>
  <c r="D26" s="1"/>
  <c r="C27" i="13"/>
  <c r="D27" s="1"/>
  <c r="J34" i="4" l="1"/>
  <c r="B35"/>
  <c r="D35" l="1"/>
  <c r="E35" l="1"/>
  <c r="F35" s="1"/>
  <c r="B36" s="1"/>
  <c r="D36" l="1"/>
  <c r="E36" l="1"/>
  <c r="F36" s="1"/>
  <c r="B37" s="1"/>
  <c r="D37" l="1"/>
  <c r="E37" l="1"/>
  <c r="F37" s="1"/>
  <c r="B38" s="1"/>
  <c r="D38" l="1"/>
  <c r="E38" s="1"/>
  <c r="F38"/>
  <c r="B39" s="1"/>
  <c r="D39" l="1"/>
  <c r="E39" l="1"/>
  <c r="F39" s="1"/>
  <c r="I39"/>
  <c r="I40"/>
  <c r="I38"/>
  <c r="J38" l="1"/>
  <c r="B40"/>
  <c r="J40"/>
  <c r="J39"/>
  <c r="D40" l="1"/>
  <c r="E40" s="1"/>
  <c r="F40"/>
  <c r="B41" s="1"/>
  <c r="D41" l="1"/>
  <c r="E41" s="1"/>
  <c r="F41"/>
  <c r="B42" s="1"/>
  <c r="D42" l="1"/>
  <c r="E42" l="1"/>
  <c r="F42" s="1"/>
  <c r="J42" s="1"/>
  <c r="I42"/>
</calcChain>
</file>

<file path=xl/comments1.xml><?xml version="1.0" encoding="utf-8"?>
<comments xmlns="http://schemas.openxmlformats.org/spreadsheetml/2006/main">
  <authors>
    <author>Imperial College</author>
  </authors>
  <commentList>
    <comment ref="H37" authorId="0">
      <text>
        <r>
          <rPr>
            <b/>
            <sz val="8"/>
            <color indexed="81"/>
            <rFont val="Tahoma"/>
          </rPr>
          <t>Net cash flow column WITH cap is used to calculate the internal rate of return from the loan+cap</t>
        </r>
        <r>
          <rPr>
            <sz val="8"/>
            <color indexed="81"/>
            <rFont val="Tahoma"/>
          </rPr>
          <t xml:space="preserve">
</t>
        </r>
      </text>
    </comment>
    <comment ref="I37" authorId="0">
      <text>
        <r>
          <rPr>
            <b/>
            <sz val="8"/>
            <color indexed="81"/>
            <rFont val="Tahoma"/>
          </rPr>
          <t>Net cash flow column WITHOUT cap is used to calculate the internal rate of return from the loan+cap</t>
        </r>
      </text>
    </comment>
  </commentList>
</comments>
</file>

<file path=xl/comments2.xml><?xml version="1.0" encoding="utf-8"?>
<comments xmlns="http://schemas.openxmlformats.org/spreadsheetml/2006/main">
  <authors>
    <author>Imperial College</author>
  </authors>
  <commentList>
    <comment ref="H39" authorId="0">
      <text>
        <r>
          <rPr>
            <b/>
            <sz val="8"/>
            <color indexed="81"/>
            <rFont val="Tahoma"/>
          </rPr>
          <t>Net cash flow column WITH cap is used to calculate the internal rate of return from the loan+cap</t>
        </r>
        <r>
          <rPr>
            <sz val="8"/>
            <color indexed="81"/>
            <rFont val="Tahoma"/>
          </rPr>
          <t xml:space="preserve">
</t>
        </r>
      </text>
    </comment>
    <comment ref="I39" authorId="0">
      <text>
        <r>
          <rPr>
            <b/>
            <sz val="8"/>
            <color indexed="81"/>
            <rFont val="Tahoma"/>
          </rPr>
          <t>Net cash flow column WITHOUT cap is used to calculate the internal rate of return from the loan+cap</t>
        </r>
      </text>
    </comment>
  </commentList>
</comments>
</file>

<file path=xl/comments3.xml><?xml version="1.0" encoding="utf-8"?>
<comments xmlns="http://schemas.openxmlformats.org/spreadsheetml/2006/main">
  <authors>
    <author>Imperial College</author>
  </authors>
  <commentList>
    <comment ref="H42" authorId="0">
      <text>
        <r>
          <rPr>
            <b/>
            <sz val="8"/>
            <color indexed="81"/>
            <rFont val="Tahoma"/>
          </rPr>
          <t>NPV of IO strip is the PV of column D over 10 years, and here we have used y=9% as the risk free discount rate.</t>
        </r>
        <r>
          <rPr>
            <sz val="8"/>
            <color indexed="81"/>
            <rFont val="Tahoma"/>
          </rPr>
          <t xml:space="preserve">
</t>
        </r>
      </text>
    </comment>
    <comment ref="J43" authorId="0">
      <text>
        <r>
          <rPr>
            <b/>
            <sz val="8"/>
            <color indexed="81"/>
            <rFont val="Tahoma"/>
          </rPr>
          <t>NPV of PO strip is the PV of column E over10 years, and here we have used y=9% as the risk free discount rate</t>
        </r>
      </text>
    </comment>
  </commentList>
</comments>
</file>

<file path=xl/sharedStrings.xml><?xml version="1.0" encoding="utf-8"?>
<sst xmlns="http://schemas.openxmlformats.org/spreadsheetml/2006/main" count="224" uniqueCount="140">
  <si>
    <t>Loan</t>
  </si>
  <si>
    <t>Days in year</t>
  </si>
  <si>
    <t>Date</t>
  </si>
  <si>
    <t>LIBOR</t>
  </si>
  <si>
    <t>Net Cash Flow</t>
  </si>
  <si>
    <t>Excel Number</t>
  </si>
  <si>
    <t>Effective annual rate</t>
  </si>
  <si>
    <t>without cap</t>
  </si>
  <si>
    <t>with cap</t>
  </si>
  <si>
    <t>Change sign for IRR calculation</t>
  </si>
  <si>
    <t>per annum</t>
  </si>
  <si>
    <t>per quarter</t>
  </si>
  <si>
    <t xml:space="preserve"> </t>
  </si>
  <si>
    <t>with floor</t>
  </si>
  <si>
    <t>without floor</t>
  </si>
  <si>
    <t xml:space="preserve">Excel </t>
  </si>
  <si>
    <t>Number</t>
  </si>
  <si>
    <t xml:space="preserve">Days in </t>
  </si>
  <si>
    <t>Quarter</t>
  </si>
  <si>
    <t xml:space="preserve">Step 1 : </t>
  </si>
  <si>
    <t>Set the parameters (e.g. interest rate, principal payment, length of loan)</t>
  </si>
  <si>
    <t>Step 2 :</t>
  </si>
  <si>
    <t>Adjust table (according to duration of loan) - if required</t>
  </si>
  <si>
    <t xml:space="preserve">Step 3 : </t>
  </si>
  <si>
    <t>Check top left hand corner for amount to be the same as loan</t>
  </si>
  <si>
    <t xml:space="preserve">Check bottom right hand corner for amount to be equal to zero.  </t>
  </si>
  <si>
    <t>Years</t>
  </si>
  <si>
    <t>outstanding</t>
  </si>
  <si>
    <t>payment</t>
  </si>
  <si>
    <t>accrual</t>
  </si>
  <si>
    <t>of Principal</t>
  </si>
  <si>
    <t>(before payments)</t>
  </si>
  <si>
    <t>(after payments)</t>
  </si>
  <si>
    <t>Amortization schedule for 10 year mortgage repayments</t>
  </si>
  <si>
    <t>Fixed Repayment Rate</t>
  </si>
  <si>
    <t>Initial Mortgage Loan</t>
  </si>
  <si>
    <t>Fixed</t>
  </si>
  <si>
    <t>Interest</t>
  </si>
  <si>
    <t>Repayment</t>
  </si>
  <si>
    <t>NPV</t>
  </si>
  <si>
    <t>IO</t>
  </si>
  <si>
    <t>PO</t>
  </si>
  <si>
    <t>NPV(7%,2yrs)</t>
  </si>
  <si>
    <t>NPV(8%,7yrs)</t>
  </si>
  <si>
    <t>NPV(7%,7yrs)</t>
  </si>
  <si>
    <t>NPV(9%,7yrs)</t>
  </si>
  <si>
    <t>NPV(9%,10yrs)</t>
  </si>
  <si>
    <t xml:space="preserve">K (strike rate-decimal) </t>
  </si>
  <si>
    <t>Premium-compounded</t>
  </si>
  <si>
    <t>Cap</t>
  </si>
  <si>
    <t>on Loan</t>
  </si>
  <si>
    <t>Total</t>
  </si>
  <si>
    <t xml:space="preserve">Effective </t>
  </si>
  <si>
    <t>Interest ($)</t>
  </si>
  <si>
    <t>with Call</t>
  </si>
  <si>
    <t>without Call</t>
  </si>
  <si>
    <t>of Loan</t>
  </si>
  <si>
    <t>Annualised Cost</t>
  </si>
  <si>
    <t>Spread (%)</t>
  </si>
  <si>
    <t xml:space="preserve">K (strike rate-decimals) </t>
  </si>
  <si>
    <t>Payoff of</t>
  </si>
  <si>
    <t xml:space="preserve">Total </t>
  </si>
  <si>
    <t>Effective</t>
  </si>
  <si>
    <t>with Put</t>
  </si>
  <si>
    <t>without Put</t>
  </si>
  <si>
    <t xml:space="preserve">Annualised Return </t>
  </si>
  <si>
    <t>Due</t>
  </si>
  <si>
    <t>Payment</t>
  </si>
  <si>
    <t>Principal</t>
  </si>
  <si>
    <t>with Cap</t>
  </si>
  <si>
    <t>without Cap</t>
  </si>
  <si>
    <t>Net Cash Flows</t>
  </si>
  <si>
    <t>Received</t>
  </si>
  <si>
    <t>Floor</t>
  </si>
  <si>
    <t>without Floor</t>
  </si>
  <si>
    <t>with Floor</t>
  </si>
  <si>
    <t>Days in</t>
  </si>
  <si>
    <t>with Cap only</t>
  </si>
  <si>
    <t>with Collar only</t>
  </si>
  <si>
    <t>with collar only</t>
  </si>
  <si>
    <t>with cap only</t>
  </si>
  <si>
    <t>or Floor</t>
  </si>
  <si>
    <t xml:space="preserve">NOT TO BE PRINTED OUT FOR </t>
  </si>
  <si>
    <t>Table 15.1 : Caplet Payoffs</t>
  </si>
  <si>
    <t>Table 15.2 : Floorlet Payoffs</t>
  </si>
  <si>
    <t>Table 15.3 : Interest Rate Cap</t>
  </si>
  <si>
    <t>Table 15.4 : Interest Rate Floor</t>
  </si>
  <si>
    <t>Risk free rate (low)</t>
  </si>
  <si>
    <t>Risk free rate (middle)</t>
  </si>
  <si>
    <t>Risk free rate (high)</t>
  </si>
  <si>
    <t>Initial life of Mortgage (years)</t>
  </si>
  <si>
    <t>Cap Premium</t>
  </si>
  <si>
    <t>Days in year (for cap)</t>
  </si>
  <si>
    <t>Total time period</t>
  </si>
  <si>
    <t>Deposit (lending)</t>
  </si>
  <si>
    <t>Put Premium</t>
  </si>
  <si>
    <t>Reset dates for deposit</t>
  </si>
  <si>
    <t>Days in year(for floorlet)</t>
  </si>
  <si>
    <t>Deposit to begin in(days)</t>
  </si>
  <si>
    <t>"Effectve" Money lent</t>
  </si>
  <si>
    <t>Loan(borrowing)</t>
  </si>
  <si>
    <t>Maturity of of loan(days)</t>
  </si>
  <si>
    <t>Reset periods (days)</t>
  </si>
  <si>
    <t>Floor Premium</t>
  </si>
  <si>
    <t xml:space="preserve">Reset date (days) </t>
  </si>
  <si>
    <t>Maturity of  deposit</t>
  </si>
  <si>
    <t xml:space="preserve">Note : first payment of floor is based on 10th of April, but does not get paid until 10th of July  </t>
  </si>
  <si>
    <t>Days in year(for options)</t>
  </si>
  <si>
    <t>Reset dates (days)</t>
  </si>
  <si>
    <t>without cap and floor</t>
  </si>
  <si>
    <t>Premium floor (Short)</t>
  </si>
  <si>
    <t>Premium Cap (Long)</t>
  </si>
  <si>
    <t>K ( floor)</t>
  </si>
  <si>
    <t>K (cap)</t>
  </si>
  <si>
    <t>Copyright K.Cuthbertson and D. Nitzsche (15/5/2001)</t>
  </si>
  <si>
    <t>Version May 2001 (KCDN)</t>
  </si>
  <si>
    <r>
      <t>User Inputs : These are in red</t>
    </r>
    <r>
      <rPr>
        <sz val="10"/>
        <rFont val="Arial"/>
        <family val="2"/>
      </rPr>
      <t xml:space="preserve">.   </t>
    </r>
    <r>
      <rPr>
        <b/>
        <sz val="10"/>
        <rFont val="Arial"/>
        <family val="2"/>
      </rPr>
      <t>CHANGE ONLY RED CELLS</t>
    </r>
  </si>
  <si>
    <t xml:space="preserve">LIBOR out-turn in </t>
  </si>
  <si>
    <t>days</t>
  </si>
  <si>
    <t>Cap payoff</t>
  </si>
  <si>
    <t>at t + …</t>
  </si>
  <si>
    <t xml:space="preserve">Interest on </t>
  </si>
  <si>
    <t>Loan at t + …</t>
  </si>
  <si>
    <t>This spreadsheet calculates the payoff for a caplet</t>
  </si>
  <si>
    <t>Start of LIBOR out-turn</t>
  </si>
  <si>
    <t>Step size of LIBOR rates</t>
  </si>
  <si>
    <t>This spreadsheet calculates the payoff for a floorlet</t>
  </si>
  <si>
    <t>Put at t + ...</t>
  </si>
  <si>
    <t xml:space="preserve">  days</t>
  </si>
  <si>
    <t xml:space="preserve">  percent</t>
  </si>
  <si>
    <t>Current interest rate (L)</t>
  </si>
  <si>
    <t>Loan to begin after</t>
  </si>
  <si>
    <t>Net cash borrowed at t + …</t>
  </si>
  <si>
    <t>Maturity of loan</t>
  </si>
  <si>
    <t xml:space="preserve">  percent </t>
  </si>
  <si>
    <t xml:space="preserve">This spreadsheet calculates the payoff for an interest rate cap.  </t>
  </si>
  <si>
    <t xml:space="preserve">This spreadsheet calculates the payoff for an interest rate floor. </t>
  </si>
  <si>
    <t>Table 15.5 : Interst Rate Collar</t>
  </si>
  <si>
    <t>This spreadsheet calculates the payoff for an interest rate collar</t>
  </si>
  <si>
    <t xml:space="preserve">Table 15.6 : Mortgage Backed Securities (MBS) </t>
  </si>
</sst>
</file>

<file path=xl/styles.xml><?xml version="1.0" encoding="utf-8"?>
<styleSheet xmlns="http://schemas.openxmlformats.org/spreadsheetml/2006/main">
  <numFmts count="5">
    <numFmt numFmtId="166" formatCode="d\-mmm\-yy"/>
    <numFmt numFmtId="168" formatCode="0.0000"/>
    <numFmt numFmtId="169" formatCode="mm/dd/yy"/>
    <numFmt numFmtId="175" formatCode="[$$-409]#,##0"/>
    <numFmt numFmtId="176" formatCode="#,##0.0000"/>
  </numFmts>
  <fonts count="10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</font>
    <font>
      <b/>
      <sz val="8"/>
      <color indexed="81"/>
      <name val="Tahoma"/>
    </font>
    <font>
      <b/>
      <i/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 applyFill="0" applyBorder="0"/>
  </cellStyleXfs>
  <cellXfs count="82">
    <xf numFmtId="0" fontId="0" fillId="0" borderId="0" xfId="0"/>
    <xf numFmtId="0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0" applyFont="1"/>
    <xf numFmtId="166" fontId="1" fillId="0" borderId="0" xfId="0" applyNumberFormat="1" applyFont="1"/>
    <xf numFmtId="168" fontId="0" fillId="0" borderId="0" xfId="0" applyNumberFormat="1"/>
    <xf numFmtId="169" fontId="0" fillId="0" borderId="0" xfId="0" applyNumberFormat="1"/>
    <xf numFmtId="0" fontId="2" fillId="0" borderId="0" xfId="0" applyNumberFormat="1" applyFont="1"/>
    <xf numFmtId="0" fontId="0" fillId="0" borderId="0" xfId="0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/>
    <xf numFmtId="0" fontId="0" fillId="0" borderId="0" xfId="0" applyFill="1" applyBorder="1" applyAlignment="1"/>
    <xf numFmtId="0" fontId="2" fillId="0" borderId="0" xfId="0" applyFont="1" applyFill="1" applyBorder="1" applyAlignment="1"/>
    <xf numFmtId="0" fontId="1" fillId="2" borderId="0" xfId="0" applyFont="1" applyFill="1" applyAlignment="1">
      <alignment horizontal="center"/>
    </xf>
    <xf numFmtId="3" fontId="0" fillId="0" borderId="0" xfId="0" applyNumberFormat="1"/>
    <xf numFmtId="0" fontId="0" fillId="0" borderId="1" xfId="0" applyBorder="1"/>
    <xf numFmtId="0" fontId="1" fillId="0" borderId="2" xfId="0" applyFont="1" applyBorder="1" applyAlignment="1">
      <alignment horizontal="center"/>
    </xf>
    <xf numFmtId="3" fontId="0" fillId="0" borderId="2" xfId="0" applyNumberFormat="1" applyBorder="1"/>
    <xf numFmtId="0" fontId="1" fillId="0" borderId="0" xfId="0" applyFont="1" applyBorder="1" applyAlignment="1">
      <alignment horizontal="center"/>
    </xf>
    <xf numFmtId="0" fontId="0" fillId="0" borderId="0" xfId="0" applyFill="1"/>
    <xf numFmtId="0" fontId="1" fillId="0" borderId="2" xfId="0" applyFont="1" applyBorder="1"/>
    <xf numFmtId="175" fontId="0" fillId="0" borderId="0" xfId="0" applyNumberFormat="1" applyFill="1"/>
    <xf numFmtId="0" fontId="7" fillId="0" borderId="0" xfId="0" applyFont="1"/>
    <xf numFmtId="0" fontId="8" fillId="0" borderId="0" xfId="0" applyFont="1"/>
    <xf numFmtId="176" fontId="0" fillId="0" borderId="0" xfId="0" applyNumberFormat="1"/>
    <xf numFmtId="3" fontId="7" fillId="0" borderId="0" xfId="0" applyNumberFormat="1" applyFont="1"/>
    <xf numFmtId="3" fontId="1" fillId="0" borderId="0" xfId="0" applyNumberFormat="1" applyFont="1"/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76" fontId="0" fillId="0" borderId="2" xfId="0" applyNumberFormat="1" applyBorder="1"/>
    <xf numFmtId="3" fontId="2" fillId="0" borderId="0" xfId="0" applyNumberFormat="1" applyFont="1"/>
    <xf numFmtId="168" fontId="0" fillId="0" borderId="2" xfId="0" applyNumberFormat="1" applyBorder="1"/>
    <xf numFmtId="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66" fontId="2" fillId="0" borderId="0" xfId="0" applyNumberFormat="1" applyFont="1" applyAlignment="1">
      <alignment horizontal="right"/>
    </xf>
    <xf numFmtId="166" fontId="2" fillId="0" borderId="2" xfId="0" applyNumberFormat="1" applyFont="1" applyBorder="1" applyAlignment="1">
      <alignment horizontal="right"/>
    </xf>
    <xf numFmtId="0" fontId="2" fillId="0" borderId="2" xfId="0" applyNumberFormat="1" applyFont="1" applyBorder="1"/>
    <xf numFmtId="1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4" xfId="0" applyBorder="1"/>
    <xf numFmtId="10" fontId="0" fillId="0" borderId="5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6" fontId="2" fillId="0" borderId="0" xfId="0" applyNumberFormat="1" applyFont="1"/>
    <xf numFmtId="166" fontId="2" fillId="0" borderId="2" xfId="0" applyNumberFormat="1" applyFont="1" applyBorder="1"/>
    <xf numFmtId="0" fontId="3" fillId="0" borderId="0" xfId="0" applyFont="1" applyAlignment="1">
      <alignment horizontal="center"/>
    </xf>
    <xf numFmtId="175" fontId="7" fillId="0" borderId="0" xfId="0" applyNumberFormat="1" applyFont="1"/>
    <xf numFmtId="0" fontId="0" fillId="2" borderId="0" xfId="0" applyFill="1"/>
    <xf numFmtId="0" fontId="0" fillId="2" borderId="1" xfId="0" applyFill="1" applyBorder="1"/>
    <xf numFmtId="0" fontId="0" fillId="2" borderId="3" xfId="0" applyFill="1" applyBorder="1"/>
    <xf numFmtId="3" fontId="0" fillId="0" borderId="0" xfId="0" applyNumberFormat="1" applyFill="1"/>
    <xf numFmtId="166" fontId="2" fillId="0" borderId="0" xfId="0" applyNumberFormat="1" applyFont="1" applyFill="1" applyAlignment="1">
      <alignment horizontal="right"/>
    </xf>
    <xf numFmtId="0" fontId="2" fillId="0" borderId="0" xfId="0" applyNumberFormat="1" applyFont="1" applyFill="1"/>
    <xf numFmtId="1" fontId="0" fillId="0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  <xf numFmtId="3" fontId="2" fillId="0" borderId="0" xfId="0" applyNumberFormat="1" applyFont="1" applyFill="1"/>
    <xf numFmtId="0" fontId="0" fillId="3" borderId="0" xfId="0" applyFill="1"/>
    <xf numFmtId="3" fontId="0" fillId="3" borderId="0" xfId="0" applyNumberFormat="1" applyFill="1"/>
    <xf numFmtId="0" fontId="0" fillId="0" borderId="0" xfId="0" applyFill="1" applyAlignment="1">
      <alignment horizontal="center"/>
    </xf>
    <xf numFmtId="0" fontId="1" fillId="3" borderId="0" xfId="0" applyFont="1" applyFill="1" applyAlignment="1">
      <alignment horizontal="left"/>
    </xf>
    <xf numFmtId="0" fontId="2" fillId="4" borderId="0" xfId="0" applyFont="1" applyFill="1"/>
    <xf numFmtId="0" fontId="0" fillId="4" borderId="0" xfId="0" applyFill="1"/>
    <xf numFmtId="0" fontId="1" fillId="4" borderId="0" xfId="0" applyFont="1" applyFill="1"/>
    <xf numFmtId="0" fontId="9" fillId="0" borderId="0" xfId="0" applyFont="1" applyAlignment="1">
      <alignment horizontal="left"/>
    </xf>
    <xf numFmtId="176" fontId="0" fillId="0" borderId="0" xfId="0" applyNumberFormat="1" applyFill="1"/>
    <xf numFmtId="168" fontId="0" fillId="0" borderId="0" xfId="0" applyNumberFormat="1" applyFill="1"/>
    <xf numFmtId="0" fontId="9" fillId="0" borderId="0" xfId="0" applyFont="1"/>
    <xf numFmtId="166" fontId="2" fillId="0" borderId="0" xfId="0" applyNumberFormat="1" applyFont="1" applyFill="1"/>
    <xf numFmtId="0" fontId="1" fillId="0" borderId="0" xfId="0" applyFont="1" applyFill="1" applyAlignment="1">
      <alignment horizontal="center"/>
    </xf>
    <xf numFmtId="175" fontId="2" fillId="0" borderId="0" xfId="0" applyNumberFormat="1" applyFont="1"/>
    <xf numFmtId="0" fontId="2" fillId="0" borderId="0" xfId="0" applyFont="1" applyFill="1"/>
    <xf numFmtId="175" fontId="2" fillId="0" borderId="0" xfId="0" applyNumberFormat="1" applyFont="1" applyFill="1"/>
    <xf numFmtId="3" fontId="2" fillId="0" borderId="2" xfId="0" applyNumberFormat="1" applyFont="1" applyBorder="1"/>
    <xf numFmtId="3" fontId="2" fillId="0" borderId="0" xfId="0" applyNumberFormat="1" applyFont="1" applyBorder="1"/>
    <xf numFmtId="0" fontId="2" fillId="0" borderId="2" xfId="0" applyFont="1" applyBorder="1"/>
    <xf numFmtId="175" fontId="2" fillId="0" borderId="2" xfId="0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54"/>
  <sheetViews>
    <sheetView workbookViewId="0"/>
  </sheetViews>
  <sheetFormatPr defaultRowHeight="12.75"/>
  <cols>
    <col min="1" max="1" width="17.140625" customWidth="1"/>
    <col min="2" max="2" width="10.7109375" customWidth="1"/>
    <col min="3" max="6" width="12.28515625" customWidth="1"/>
    <col min="7" max="9" width="8.7109375" bestFit="1" customWidth="1"/>
  </cols>
  <sheetData>
    <row r="1" spans="1:11" ht="18">
      <c r="A1" s="66" t="s">
        <v>83</v>
      </c>
      <c r="B1" s="48"/>
      <c r="C1" s="48"/>
      <c r="D1" s="48"/>
      <c r="E1" s="48"/>
      <c r="F1" s="48"/>
    </row>
    <row r="2" spans="1:11" ht="12.75" customHeight="1">
      <c r="A2" s="11"/>
      <c r="B2" s="48"/>
      <c r="C2" s="48"/>
      <c r="D2" s="48"/>
      <c r="E2" s="48"/>
      <c r="F2" s="48"/>
    </row>
    <row r="3" spans="1:11" ht="12.75" customHeight="1">
      <c r="A3" s="3" t="s">
        <v>114</v>
      </c>
      <c r="B3" s="48"/>
      <c r="C3" s="48"/>
      <c r="D3" s="48"/>
      <c r="E3" s="48"/>
    </row>
    <row r="4" spans="1:11" ht="12.75" customHeight="1">
      <c r="A4" s="3"/>
      <c r="B4" s="48"/>
      <c r="C4" s="48"/>
      <c r="D4" s="48"/>
      <c r="E4" s="48"/>
    </row>
    <row r="5" spans="1:11" ht="12.75" customHeight="1">
      <c r="A5" s="3" t="s">
        <v>115</v>
      </c>
      <c r="B5" s="48"/>
      <c r="C5" s="48"/>
      <c r="D5" s="48"/>
      <c r="E5" s="48"/>
    </row>
    <row r="6" spans="1:11" ht="12.75" customHeight="1">
      <c r="A6" s="3"/>
      <c r="B6" s="48"/>
      <c r="C6" s="48"/>
      <c r="D6" s="48"/>
      <c r="E6" s="48"/>
    </row>
    <row r="7" spans="1:11" ht="12.75" customHeight="1">
      <c r="A7" s="4" t="s">
        <v>123</v>
      </c>
      <c r="D7" s="48"/>
      <c r="E7" s="48"/>
    </row>
    <row r="8" spans="1:11" ht="12.75" customHeight="1">
      <c r="A8" s="4"/>
      <c r="D8" s="48"/>
      <c r="E8" s="48"/>
    </row>
    <row r="9" spans="1:11" ht="12.75" customHeight="1">
      <c r="A9" s="4"/>
      <c r="D9" s="48"/>
      <c r="E9" s="48"/>
    </row>
    <row r="10" spans="1:11" ht="12.75" customHeight="1">
      <c r="A10" s="63"/>
      <c r="B10" s="64"/>
      <c r="C10" s="64"/>
      <c r="D10" s="64"/>
      <c r="E10" s="64"/>
      <c r="F10" s="64"/>
      <c r="G10" s="21"/>
      <c r="H10" s="21"/>
      <c r="I10" s="21"/>
      <c r="J10" s="21"/>
      <c r="K10" s="21"/>
    </row>
    <row r="11" spans="1:11" ht="12.75" customHeight="1">
      <c r="A11" s="65" t="s">
        <v>116</v>
      </c>
      <c r="B11" s="64"/>
      <c r="C11" s="64"/>
      <c r="D11" s="64"/>
      <c r="E11" s="64"/>
      <c r="F11" s="64"/>
      <c r="G11" s="21"/>
      <c r="H11" s="21"/>
      <c r="I11" s="21"/>
      <c r="J11" s="21"/>
      <c r="K11" s="21"/>
    </row>
    <row r="12" spans="1:11" ht="12.75" customHeight="1">
      <c r="A12" s="65"/>
      <c r="B12" s="64"/>
      <c r="C12" s="64"/>
      <c r="D12" s="64"/>
      <c r="E12" s="64"/>
      <c r="F12" s="64"/>
      <c r="G12" s="21"/>
      <c r="H12" s="21"/>
      <c r="I12" s="21"/>
      <c r="J12" s="21"/>
      <c r="K12" s="21"/>
    </row>
    <row r="13" spans="1:11" ht="12.75" customHeight="1">
      <c r="A13" s="3"/>
      <c r="B13" s="48"/>
      <c r="C13" s="48"/>
      <c r="D13" s="48"/>
      <c r="E13" s="48"/>
    </row>
    <row r="15" spans="1:11">
      <c r="A15" s="3" t="s">
        <v>0</v>
      </c>
      <c r="B15" s="3"/>
      <c r="C15" s="27">
        <v>100000000</v>
      </c>
    </row>
    <row r="16" spans="1:11">
      <c r="A16" s="3" t="s">
        <v>91</v>
      </c>
      <c r="B16" s="3"/>
      <c r="C16" s="27">
        <v>250000</v>
      </c>
    </row>
    <row r="17" spans="1:7">
      <c r="A17" s="3" t="s">
        <v>48</v>
      </c>
      <c r="B17" s="3"/>
      <c r="C17" s="28">
        <f>C16*(1+($C$19+$C$26)/100*($C$20/$C$25))</f>
        <v>252083.33333333331</v>
      </c>
    </row>
    <row r="18" spans="1:7">
      <c r="A18" s="3"/>
      <c r="B18" s="3"/>
      <c r="C18" s="27"/>
      <c r="E18" s="3"/>
    </row>
    <row r="19" spans="1:7">
      <c r="A19" s="3" t="s">
        <v>130</v>
      </c>
      <c r="B19" s="3"/>
      <c r="C19" s="24">
        <v>10</v>
      </c>
      <c r="D19" s="3" t="s">
        <v>129</v>
      </c>
      <c r="E19" s="3"/>
    </row>
    <row r="20" spans="1:7">
      <c r="A20" s="3" t="s">
        <v>131</v>
      </c>
      <c r="B20" s="3"/>
      <c r="C20" s="24">
        <v>30</v>
      </c>
      <c r="D20" s="3" t="s">
        <v>128</v>
      </c>
      <c r="E20" s="3"/>
    </row>
    <row r="21" spans="1:7">
      <c r="A21" s="3" t="s">
        <v>132</v>
      </c>
      <c r="B21" s="3"/>
      <c r="C21" s="28">
        <f>C15-C17</f>
        <v>99747916.666666672</v>
      </c>
      <c r="E21" s="3"/>
      <c r="F21" s="3"/>
      <c r="G21" s="24"/>
    </row>
    <row r="22" spans="1:7">
      <c r="A22" s="3"/>
      <c r="B22" s="3"/>
      <c r="C22" s="25"/>
    </row>
    <row r="23" spans="1:7">
      <c r="A23" s="3" t="s">
        <v>47</v>
      </c>
      <c r="B23" s="3"/>
      <c r="C23" s="24">
        <v>0.1</v>
      </c>
    </row>
    <row r="24" spans="1:7">
      <c r="A24" s="3" t="s">
        <v>133</v>
      </c>
      <c r="B24" s="3"/>
      <c r="C24" s="24">
        <v>90</v>
      </c>
      <c r="D24" s="3" t="s">
        <v>128</v>
      </c>
    </row>
    <row r="25" spans="1:7">
      <c r="A25" s="3" t="s">
        <v>92</v>
      </c>
      <c r="B25" s="3"/>
      <c r="C25" s="24">
        <v>360</v>
      </c>
      <c r="D25" s="3" t="s">
        <v>128</v>
      </c>
    </row>
    <row r="26" spans="1:7">
      <c r="A26" s="3" t="s">
        <v>58</v>
      </c>
      <c r="B26" s="3"/>
      <c r="C26" s="24">
        <v>0</v>
      </c>
      <c r="D26" s="3" t="s">
        <v>129</v>
      </c>
    </row>
    <row r="27" spans="1:7">
      <c r="A27" s="3" t="s">
        <v>93</v>
      </c>
      <c r="B27" s="3"/>
      <c r="C27" s="3">
        <f>$C$20+$C$24</f>
        <v>120</v>
      </c>
      <c r="D27" s="28" t="s">
        <v>128</v>
      </c>
    </row>
    <row r="28" spans="1:7">
      <c r="A28" s="3"/>
      <c r="B28" s="3"/>
      <c r="C28" s="3"/>
      <c r="D28" s="28"/>
    </row>
    <row r="29" spans="1:7">
      <c r="A29" s="3" t="s">
        <v>124</v>
      </c>
      <c r="B29" s="3"/>
      <c r="C29" s="24">
        <v>6</v>
      </c>
      <c r="D29" s="28" t="s">
        <v>129</v>
      </c>
    </row>
    <row r="30" spans="1:7">
      <c r="A30" s="3" t="s">
        <v>125</v>
      </c>
      <c r="B30" s="3"/>
      <c r="C30" s="24">
        <v>0.5</v>
      </c>
      <c r="D30" s="28" t="s">
        <v>129</v>
      </c>
    </row>
    <row r="31" spans="1:7">
      <c r="A31" s="3"/>
      <c r="B31" s="3"/>
      <c r="C31" s="3"/>
      <c r="D31" s="28"/>
    </row>
    <row r="32" spans="1:7" ht="13.5" thickBot="1">
      <c r="A32" s="3"/>
      <c r="B32" s="3"/>
      <c r="D32" s="28"/>
    </row>
    <row r="33" spans="1:9">
      <c r="A33" s="29" t="s">
        <v>117</v>
      </c>
      <c r="B33" s="29" t="s">
        <v>119</v>
      </c>
      <c r="C33" s="29" t="s">
        <v>121</v>
      </c>
      <c r="D33" s="29" t="s">
        <v>51</v>
      </c>
      <c r="E33" s="79" t="s">
        <v>57</v>
      </c>
      <c r="F33" s="79"/>
      <c r="G33" s="11"/>
      <c r="H33" s="11"/>
      <c r="I33" s="11"/>
    </row>
    <row r="34" spans="1:9">
      <c r="A34" s="30">
        <f>C20</f>
        <v>30</v>
      </c>
      <c r="B34" s="30" t="s">
        <v>120</v>
      </c>
      <c r="C34" s="30" t="s">
        <v>122</v>
      </c>
      <c r="D34" s="30" t="s">
        <v>52</v>
      </c>
      <c r="E34" s="80" t="s">
        <v>56</v>
      </c>
      <c r="F34" s="80"/>
      <c r="G34" s="11"/>
      <c r="H34" s="11"/>
      <c r="I34" s="11"/>
    </row>
    <row r="35" spans="1:9">
      <c r="A35" s="31" t="s">
        <v>118</v>
      </c>
      <c r="B35" s="31">
        <f>C27</f>
        <v>120</v>
      </c>
      <c r="C35" s="31">
        <f>C27</f>
        <v>120</v>
      </c>
      <c r="D35" s="31" t="s">
        <v>53</v>
      </c>
      <c r="E35" s="31" t="s">
        <v>54</v>
      </c>
      <c r="F35" s="31" t="s">
        <v>55</v>
      </c>
      <c r="G35" s="11"/>
      <c r="H35" s="11"/>
      <c r="I35" s="11"/>
    </row>
    <row r="36" spans="1:9">
      <c r="A36" s="11">
        <f>C29</f>
        <v>6</v>
      </c>
      <c r="B36" s="16">
        <f t="shared" ref="B36:B54" si="0">$C$15*(MAX(0,A36/100-$C$23))*($C$24/$C$25)</f>
        <v>0</v>
      </c>
      <c r="C36" s="16">
        <f t="shared" ref="C36:C54" si="1">$C$15*((A36+$C$26)/100)*$C$24/$C$25</f>
        <v>1500000</v>
      </c>
      <c r="D36" s="16">
        <f>C36-B36</f>
        <v>1500000</v>
      </c>
      <c r="E36" s="26">
        <f t="shared" ref="E36:E54" si="2">(((($C$15+D36)/$C$21)^(365/$C$24))-1)*100</f>
        <v>7.3171069695500135</v>
      </c>
      <c r="F36" s="26">
        <f t="shared" ref="F36:F54" si="3">(((($C$15+C36)/$C$15)^(365/$C$24))-1)*100</f>
        <v>6.2241815502312781</v>
      </c>
    </row>
    <row r="37" spans="1:9">
      <c r="A37" s="11">
        <f>A36+$C$30</f>
        <v>6.5</v>
      </c>
      <c r="B37" s="16">
        <f t="shared" si="0"/>
        <v>0</v>
      </c>
      <c r="C37" s="16">
        <f t="shared" si="1"/>
        <v>1625000</v>
      </c>
      <c r="D37" s="16">
        <f t="shared" ref="D37:D52" si="4">C37-B37</f>
        <v>1625000</v>
      </c>
      <c r="E37" s="26">
        <f t="shared" si="2"/>
        <v>7.8541144407858976</v>
      </c>
      <c r="F37" s="26">
        <f t="shared" si="3"/>
        <v>6.7557200973390019</v>
      </c>
    </row>
    <row r="38" spans="1:9">
      <c r="A38" s="11">
        <f t="shared" ref="A38:A54" si="5">A37+$C$30</f>
        <v>7</v>
      </c>
      <c r="B38" s="16">
        <f t="shared" si="0"/>
        <v>0</v>
      </c>
      <c r="C38" s="16">
        <f t="shared" si="1"/>
        <v>1750000.0000000002</v>
      </c>
      <c r="D38" s="16">
        <f t="shared" si="4"/>
        <v>1750000.0000000002</v>
      </c>
      <c r="E38" s="26">
        <f t="shared" si="2"/>
        <v>8.3931439824800123</v>
      </c>
      <c r="F38" s="26">
        <f t="shared" si="3"/>
        <v>7.2892601219885167</v>
      </c>
    </row>
    <row r="39" spans="1:9">
      <c r="A39" s="11">
        <f t="shared" si="5"/>
        <v>7.5</v>
      </c>
      <c r="B39" s="16">
        <f t="shared" si="0"/>
        <v>0</v>
      </c>
      <c r="C39" s="16">
        <f t="shared" si="1"/>
        <v>1875000</v>
      </c>
      <c r="D39" s="16">
        <f t="shared" si="4"/>
        <v>1875000</v>
      </c>
      <c r="E39" s="26">
        <f t="shared" si="2"/>
        <v>8.93420071046922</v>
      </c>
      <c r="F39" s="26">
        <f t="shared" si="3"/>
        <v>7.8248066879167855</v>
      </c>
    </row>
    <row r="40" spans="1:9">
      <c r="A40" s="11">
        <f t="shared" si="5"/>
        <v>8</v>
      </c>
      <c r="B40" s="16">
        <f t="shared" si="0"/>
        <v>0</v>
      </c>
      <c r="C40" s="16">
        <f t="shared" si="1"/>
        <v>2000000</v>
      </c>
      <c r="D40" s="16">
        <f t="shared" si="4"/>
        <v>2000000</v>
      </c>
      <c r="E40" s="26">
        <f t="shared" si="2"/>
        <v>9.4772897472287241</v>
      </c>
      <c r="F40" s="26">
        <f t="shared" si="3"/>
        <v>8.362364865431271</v>
      </c>
    </row>
    <row r="41" spans="1:9">
      <c r="A41" s="11">
        <f t="shared" si="5"/>
        <v>8.5</v>
      </c>
      <c r="B41" s="16">
        <f t="shared" si="0"/>
        <v>0</v>
      </c>
      <c r="C41" s="16">
        <f t="shared" si="1"/>
        <v>2125000</v>
      </c>
      <c r="D41" s="16">
        <f t="shared" si="4"/>
        <v>2125000</v>
      </c>
      <c r="E41" s="26">
        <f t="shared" si="2"/>
        <v>10.022416221872298</v>
      </c>
      <c r="F41" s="26">
        <f t="shared" si="3"/>
        <v>8.9019397314106019</v>
      </c>
    </row>
    <row r="42" spans="1:9">
      <c r="A42" s="11">
        <f t="shared" si="5"/>
        <v>9</v>
      </c>
      <c r="B42" s="16">
        <f t="shared" si="0"/>
        <v>0</v>
      </c>
      <c r="C42" s="16">
        <f t="shared" si="1"/>
        <v>2250000</v>
      </c>
      <c r="D42" s="16">
        <f t="shared" si="4"/>
        <v>2250000</v>
      </c>
      <c r="E42" s="26">
        <f t="shared" si="2"/>
        <v>10.569585270153192</v>
      </c>
      <c r="F42" s="26">
        <f t="shared" si="3"/>
        <v>9.4435363693049279</v>
      </c>
    </row>
    <row r="43" spans="1:9">
      <c r="A43" s="11">
        <f t="shared" si="5"/>
        <v>9.5</v>
      </c>
      <c r="B43" s="16">
        <f t="shared" si="0"/>
        <v>0</v>
      </c>
      <c r="C43" s="16">
        <f t="shared" si="1"/>
        <v>2375000</v>
      </c>
      <c r="D43" s="16">
        <f t="shared" si="4"/>
        <v>2375000</v>
      </c>
      <c r="E43" s="26">
        <f t="shared" si="2"/>
        <v>11.118802034464025</v>
      </c>
      <c r="F43" s="26">
        <f t="shared" si="3"/>
        <v>9.9871598691364518</v>
      </c>
    </row>
    <row r="44" spans="1:9">
      <c r="A44" s="11">
        <f t="shared" si="5"/>
        <v>10</v>
      </c>
      <c r="B44" s="16">
        <f t="shared" si="0"/>
        <v>0</v>
      </c>
      <c r="C44" s="16">
        <f t="shared" si="1"/>
        <v>2500000</v>
      </c>
      <c r="D44" s="16">
        <f t="shared" si="4"/>
        <v>2500000</v>
      </c>
      <c r="E44" s="26">
        <f t="shared" si="2"/>
        <v>11.670071663837533</v>
      </c>
      <c r="F44" s="26">
        <f t="shared" si="3"/>
        <v>10.53281532749979</v>
      </c>
    </row>
    <row r="45" spans="1:9">
      <c r="A45" s="11">
        <f t="shared" si="5"/>
        <v>10.5</v>
      </c>
      <c r="B45" s="16">
        <f t="shared" si="0"/>
        <v>124999.99999999977</v>
      </c>
      <c r="C45" s="16">
        <f t="shared" si="1"/>
        <v>2625000</v>
      </c>
      <c r="D45" s="16">
        <f t="shared" si="4"/>
        <v>2500000</v>
      </c>
      <c r="E45" s="26">
        <f t="shared" si="2"/>
        <v>11.670071663837533</v>
      </c>
      <c r="F45" s="26">
        <f t="shared" si="3"/>
        <v>11.080507847562625</v>
      </c>
    </row>
    <row r="46" spans="1:9">
      <c r="A46" s="11">
        <f t="shared" si="5"/>
        <v>11</v>
      </c>
      <c r="B46" s="16">
        <f t="shared" si="0"/>
        <v>249999.99999999988</v>
      </c>
      <c r="C46" s="16">
        <f t="shared" si="1"/>
        <v>2750000</v>
      </c>
      <c r="D46" s="16">
        <f t="shared" si="4"/>
        <v>2500000</v>
      </c>
      <c r="E46" s="26">
        <f t="shared" si="2"/>
        <v>11.670071663837533</v>
      </c>
      <c r="F46" s="26">
        <f t="shared" si="3"/>
        <v>11.630242539065616</v>
      </c>
    </row>
    <row r="47" spans="1:9">
      <c r="A47" s="11">
        <f t="shared" si="5"/>
        <v>11.5</v>
      </c>
      <c r="B47" s="16">
        <f t="shared" si="0"/>
        <v>375000</v>
      </c>
      <c r="C47" s="16">
        <f t="shared" si="1"/>
        <v>2875000</v>
      </c>
      <c r="D47" s="16">
        <f t="shared" si="4"/>
        <v>2500000</v>
      </c>
      <c r="E47" s="26">
        <f t="shared" si="2"/>
        <v>11.670071663837533</v>
      </c>
      <c r="F47" s="26">
        <f t="shared" si="3"/>
        <v>12.182024518323553</v>
      </c>
    </row>
    <row r="48" spans="1:9">
      <c r="A48" s="11">
        <f t="shared" si="5"/>
        <v>12</v>
      </c>
      <c r="B48" s="16">
        <f t="shared" si="0"/>
        <v>499999.99999999977</v>
      </c>
      <c r="C48" s="16">
        <f t="shared" si="1"/>
        <v>3000000</v>
      </c>
      <c r="D48" s="16">
        <f t="shared" si="4"/>
        <v>2500000</v>
      </c>
      <c r="E48" s="26">
        <f t="shared" si="2"/>
        <v>11.670071663837533</v>
      </c>
      <c r="F48" s="26">
        <f t="shared" si="3"/>
        <v>12.735858908225396</v>
      </c>
    </row>
    <row r="49" spans="1:6">
      <c r="A49" s="11">
        <f t="shared" si="5"/>
        <v>12.5</v>
      </c>
      <c r="B49" s="16">
        <f t="shared" si="0"/>
        <v>624999.99999999988</v>
      </c>
      <c r="C49" s="16">
        <f t="shared" si="1"/>
        <v>3125000</v>
      </c>
      <c r="D49" s="16">
        <f t="shared" si="4"/>
        <v>2500000</v>
      </c>
      <c r="E49" s="26">
        <f t="shared" si="2"/>
        <v>11.670071663837533</v>
      </c>
      <c r="F49" s="26">
        <f t="shared" si="3"/>
        <v>13.291750838234684</v>
      </c>
    </row>
    <row r="50" spans="1:6">
      <c r="A50" s="11">
        <f t="shared" si="5"/>
        <v>13</v>
      </c>
      <c r="B50" s="16">
        <f t="shared" si="0"/>
        <v>750000</v>
      </c>
      <c r="C50" s="16">
        <f t="shared" si="1"/>
        <v>3250000</v>
      </c>
      <c r="D50" s="16">
        <f t="shared" si="4"/>
        <v>2500000</v>
      </c>
      <c r="E50" s="26">
        <f t="shared" si="2"/>
        <v>11.670071663837533</v>
      </c>
      <c r="F50" s="26">
        <f t="shared" si="3"/>
        <v>13.849705444390214</v>
      </c>
    </row>
    <row r="51" spans="1:6">
      <c r="A51" s="11">
        <f t="shared" si="5"/>
        <v>13.5</v>
      </c>
      <c r="B51" s="16">
        <f t="shared" si="0"/>
        <v>875000.00000000012</v>
      </c>
      <c r="C51" s="16">
        <f t="shared" si="1"/>
        <v>3375000</v>
      </c>
      <c r="D51" s="16">
        <f t="shared" si="4"/>
        <v>2500000</v>
      </c>
      <c r="E51" s="26">
        <f t="shared" si="2"/>
        <v>11.670071663837533</v>
      </c>
      <c r="F51" s="26">
        <f t="shared" si="3"/>
        <v>14.409727869306256</v>
      </c>
    </row>
    <row r="52" spans="1:6">
      <c r="A52" s="11">
        <f t="shared" si="5"/>
        <v>14</v>
      </c>
      <c r="B52" s="53">
        <f t="shared" si="0"/>
        <v>1000000.0000000002</v>
      </c>
      <c r="C52" s="53">
        <f t="shared" si="1"/>
        <v>3500000.0000000005</v>
      </c>
      <c r="D52" s="53">
        <f t="shared" si="4"/>
        <v>2500000</v>
      </c>
      <c r="E52" s="67">
        <f t="shared" si="2"/>
        <v>11.670071663837533</v>
      </c>
      <c r="F52" s="67">
        <f t="shared" si="3"/>
        <v>14.971823262173123</v>
      </c>
    </row>
    <row r="53" spans="1:6">
      <c r="A53" s="11">
        <f t="shared" si="5"/>
        <v>14.5</v>
      </c>
      <c r="B53" s="16">
        <f t="shared" si="0"/>
        <v>1124999.9999999995</v>
      </c>
      <c r="C53" s="16">
        <f t="shared" si="1"/>
        <v>3624999.9999999995</v>
      </c>
      <c r="D53" s="16">
        <f>C53-B53</f>
        <v>2500000</v>
      </c>
      <c r="E53" s="26">
        <f t="shared" si="2"/>
        <v>11.670071663837533</v>
      </c>
      <c r="F53" s="26">
        <f t="shared" si="3"/>
        <v>15.535996778757589</v>
      </c>
    </row>
    <row r="54" spans="1:6" ht="13.5" thickBot="1">
      <c r="A54" s="18">
        <f t="shared" si="5"/>
        <v>15</v>
      </c>
      <c r="B54" s="19">
        <f t="shared" si="0"/>
        <v>1249999.9999999998</v>
      </c>
      <c r="C54" s="19">
        <f t="shared" si="1"/>
        <v>3750000</v>
      </c>
      <c r="D54" s="19">
        <f>C54-B54</f>
        <v>2500000</v>
      </c>
      <c r="E54" s="32">
        <f t="shared" si="2"/>
        <v>11.670071663837533</v>
      </c>
      <c r="F54" s="32">
        <f t="shared" si="3"/>
        <v>16.102253581403424</v>
      </c>
    </row>
  </sheetData>
  <mergeCells count="2">
    <mergeCell ref="E33:F33"/>
    <mergeCell ref="E34:F34"/>
  </mergeCells>
  <pageMargins left="0.75" right="0.75" top="1" bottom="1" header="0.5" footer="0.5"/>
  <pageSetup paperSize="9"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G55"/>
  <sheetViews>
    <sheetView tabSelected="1" workbookViewId="0"/>
  </sheetViews>
  <sheetFormatPr defaultRowHeight="12.75"/>
  <cols>
    <col min="1" max="1" width="17.140625" customWidth="1"/>
    <col min="2" max="2" width="11.42578125" customWidth="1"/>
    <col min="3" max="3" width="13.140625" customWidth="1"/>
    <col min="4" max="6" width="11.7109375" customWidth="1"/>
    <col min="7" max="8" width="9.5703125" bestFit="1" customWidth="1"/>
  </cols>
  <sheetData>
    <row r="1" spans="1:6" s="4" customFormat="1" ht="18">
      <c r="A1" s="66" t="s">
        <v>84</v>
      </c>
      <c r="B1" s="11"/>
      <c r="C1" s="11"/>
      <c r="D1" s="11"/>
      <c r="E1" s="11"/>
      <c r="F1" s="11"/>
    </row>
    <row r="2" spans="1:6" s="4" customFormat="1" ht="12.75" customHeight="1">
      <c r="A2" s="11"/>
      <c r="B2" s="11"/>
      <c r="C2" s="11"/>
      <c r="D2" s="11"/>
      <c r="E2" s="11"/>
      <c r="F2" s="11"/>
    </row>
    <row r="3" spans="1:6" s="4" customFormat="1" ht="12.75" customHeight="1">
      <c r="A3" s="3" t="s">
        <v>114</v>
      </c>
      <c r="B3" s="48"/>
      <c r="C3" s="48"/>
      <c r="D3" s="48"/>
      <c r="E3" s="48"/>
      <c r="F3"/>
    </row>
    <row r="4" spans="1:6" s="4" customFormat="1" ht="12.75" customHeight="1">
      <c r="A4" s="3"/>
      <c r="B4" s="48"/>
      <c r="C4" s="48"/>
      <c r="D4" s="48"/>
      <c r="E4" s="48"/>
      <c r="F4"/>
    </row>
    <row r="5" spans="1:6" s="4" customFormat="1" ht="12.75" customHeight="1">
      <c r="A5" s="3" t="s">
        <v>115</v>
      </c>
      <c r="B5" s="48"/>
      <c r="C5" s="48"/>
      <c r="D5" s="48"/>
      <c r="E5" s="48"/>
      <c r="F5"/>
    </row>
    <row r="6" spans="1:6" s="4" customFormat="1" ht="12.75" customHeight="1">
      <c r="A6" s="3"/>
      <c r="B6" s="48"/>
      <c r="C6" s="48"/>
      <c r="D6" s="48"/>
      <c r="E6" s="48"/>
      <c r="F6"/>
    </row>
    <row r="7" spans="1:6" s="4" customFormat="1" ht="12.75" customHeight="1">
      <c r="A7" s="4" t="s">
        <v>126</v>
      </c>
      <c r="B7"/>
      <c r="C7"/>
      <c r="D7" s="48"/>
      <c r="E7" s="48"/>
      <c r="F7"/>
    </row>
    <row r="8" spans="1:6" s="4" customFormat="1" ht="12.75" customHeight="1">
      <c r="B8"/>
      <c r="C8"/>
      <c r="D8" s="48"/>
      <c r="E8" s="48"/>
      <c r="F8"/>
    </row>
    <row r="9" spans="1:6" s="4" customFormat="1" ht="12.75" customHeight="1">
      <c r="B9"/>
      <c r="C9"/>
      <c r="D9" s="48"/>
      <c r="E9" s="48"/>
      <c r="F9"/>
    </row>
    <row r="10" spans="1:6" s="4" customFormat="1">
      <c r="A10" s="63"/>
      <c r="B10" s="64"/>
      <c r="C10" s="64"/>
      <c r="D10" s="64"/>
      <c r="E10" s="64"/>
      <c r="F10" s="64"/>
    </row>
    <row r="11" spans="1:6" s="4" customFormat="1">
      <c r="A11" s="65" t="s">
        <v>116</v>
      </c>
      <c r="B11" s="64"/>
      <c r="C11" s="64"/>
      <c r="D11" s="64"/>
      <c r="E11" s="64"/>
      <c r="F11" s="64"/>
    </row>
    <row r="12" spans="1:6" s="4" customFormat="1">
      <c r="A12" s="65"/>
      <c r="B12" s="64"/>
      <c r="C12" s="64"/>
      <c r="D12" s="64"/>
      <c r="E12" s="64"/>
      <c r="F12" s="64"/>
    </row>
    <row r="13" spans="1:6" s="4" customFormat="1">
      <c r="A13" s="11"/>
      <c r="B13" s="11"/>
      <c r="C13" s="11"/>
      <c r="D13" s="11"/>
      <c r="E13" s="11"/>
      <c r="F13" s="11"/>
    </row>
    <row r="14" spans="1:6" s="4" customFormat="1">
      <c r="A14" s="11"/>
      <c r="B14" s="11"/>
      <c r="C14" s="11"/>
      <c r="D14" s="11"/>
      <c r="E14" s="11"/>
      <c r="F14" s="11"/>
    </row>
    <row r="15" spans="1:6">
      <c r="A15" s="3" t="s">
        <v>94</v>
      </c>
      <c r="C15" s="27">
        <v>100000000</v>
      </c>
    </row>
    <row r="16" spans="1:6">
      <c r="A16" s="3" t="s">
        <v>95</v>
      </c>
      <c r="C16" s="27">
        <v>250000</v>
      </c>
    </row>
    <row r="17" spans="1:7">
      <c r="A17" s="3" t="s">
        <v>48</v>
      </c>
      <c r="C17" s="28">
        <f>$C$16*(1+(($C$19+$C$26)/100)*($C$20/$C$25))</f>
        <v>256249.99999999997</v>
      </c>
    </row>
    <row r="18" spans="1:7">
      <c r="A18" s="3"/>
      <c r="C18" s="27"/>
      <c r="E18" s="3"/>
      <c r="G18" s="24"/>
    </row>
    <row r="19" spans="1:7">
      <c r="A19" s="3" t="s">
        <v>130</v>
      </c>
      <c r="C19" s="24">
        <v>10</v>
      </c>
      <c r="D19" s="3" t="s">
        <v>134</v>
      </c>
      <c r="E19" s="3"/>
      <c r="G19" s="24"/>
    </row>
    <row r="20" spans="1:7">
      <c r="A20" s="3" t="s">
        <v>98</v>
      </c>
      <c r="C20" s="24">
        <v>90</v>
      </c>
      <c r="D20" s="3" t="s">
        <v>128</v>
      </c>
      <c r="E20" s="3"/>
      <c r="G20" s="24"/>
    </row>
    <row r="21" spans="1:7">
      <c r="A21" s="3" t="s">
        <v>99</v>
      </c>
      <c r="C21" s="28">
        <f>$C$15+$C$17</f>
        <v>100256250</v>
      </c>
      <c r="E21" s="3"/>
      <c r="G21" s="24"/>
    </row>
    <row r="22" spans="1:7">
      <c r="A22" s="4"/>
      <c r="C22" s="28"/>
      <c r="E22" s="3"/>
      <c r="G22" s="3"/>
    </row>
    <row r="23" spans="1:7">
      <c r="A23" s="3" t="s">
        <v>59</v>
      </c>
      <c r="C23" s="24">
        <v>0.1</v>
      </c>
    </row>
    <row r="24" spans="1:7">
      <c r="A24" s="3" t="s">
        <v>96</v>
      </c>
      <c r="C24" s="24">
        <v>180</v>
      </c>
      <c r="D24" s="3" t="s">
        <v>128</v>
      </c>
    </row>
    <row r="25" spans="1:7">
      <c r="A25" s="3" t="s">
        <v>97</v>
      </c>
      <c r="C25" s="24">
        <v>360</v>
      </c>
      <c r="D25" s="3" t="s">
        <v>128</v>
      </c>
    </row>
    <row r="26" spans="1:7">
      <c r="A26" s="3" t="s">
        <v>58</v>
      </c>
      <c r="C26" s="24">
        <v>0</v>
      </c>
    </row>
    <row r="27" spans="1:7">
      <c r="A27" s="3" t="s">
        <v>93</v>
      </c>
      <c r="C27" s="3">
        <f>$C$20+$C$24</f>
        <v>270</v>
      </c>
      <c r="D27" s="3" t="s">
        <v>128</v>
      </c>
    </row>
    <row r="28" spans="1:7">
      <c r="A28" s="3"/>
      <c r="C28" s="3"/>
    </row>
    <row r="29" spans="1:7">
      <c r="A29" s="3" t="s">
        <v>124</v>
      </c>
      <c r="B29" s="3"/>
      <c r="C29" s="24">
        <v>5</v>
      </c>
      <c r="D29" s="3" t="s">
        <v>129</v>
      </c>
    </row>
    <row r="30" spans="1:7">
      <c r="A30" s="3" t="s">
        <v>125</v>
      </c>
      <c r="B30" s="3"/>
      <c r="C30" s="24">
        <v>0.5</v>
      </c>
      <c r="D30" s="3" t="s">
        <v>129</v>
      </c>
    </row>
    <row r="31" spans="1:7">
      <c r="A31" s="3"/>
      <c r="C31" s="3"/>
    </row>
    <row r="32" spans="1:7" ht="13.5" thickBot="1"/>
    <row r="33" spans="1:6">
      <c r="A33" s="29" t="s">
        <v>117</v>
      </c>
      <c r="B33" s="29" t="s">
        <v>60</v>
      </c>
      <c r="C33" s="29" t="s">
        <v>121</v>
      </c>
      <c r="D33" s="29" t="s">
        <v>61</v>
      </c>
      <c r="E33" s="79" t="s">
        <v>65</v>
      </c>
      <c r="F33" s="79"/>
    </row>
    <row r="34" spans="1:6">
      <c r="A34" s="30">
        <f>C20</f>
        <v>90</v>
      </c>
      <c r="B34" s="30" t="s">
        <v>127</v>
      </c>
      <c r="C34" s="30" t="s">
        <v>122</v>
      </c>
      <c r="D34" s="30" t="s">
        <v>62</v>
      </c>
      <c r="E34" s="80" t="s">
        <v>50</v>
      </c>
      <c r="F34" s="80"/>
    </row>
    <row r="35" spans="1:6">
      <c r="A35" s="31" t="s">
        <v>118</v>
      </c>
      <c r="B35" s="31">
        <f>C27</f>
        <v>270</v>
      </c>
      <c r="C35" s="31">
        <f>C27</f>
        <v>270</v>
      </c>
      <c r="D35" s="31" t="s">
        <v>53</v>
      </c>
      <c r="E35" s="31" t="s">
        <v>63</v>
      </c>
      <c r="F35" s="31" t="s">
        <v>64</v>
      </c>
    </row>
    <row r="36" spans="1:6">
      <c r="A36" s="11">
        <f>C29</f>
        <v>5</v>
      </c>
      <c r="B36" s="16">
        <f t="shared" ref="B36:B54" si="0">$C$15*MAX(0,$C$23-A36/100)*($C$24/$C$25)</f>
        <v>2500000</v>
      </c>
      <c r="C36" s="16">
        <f t="shared" ref="C36:C54" si="1">$C$15*((A36+$C$26)/100)*$C$24/$C$25</f>
        <v>2500000</v>
      </c>
      <c r="D36" s="16">
        <f t="shared" ref="D36:D54" si="2">B36+C36</f>
        <v>5000000</v>
      </c>
      <c r="E36" s="6">
        <f t="shared" ref="E36:E54" si="3">((($C$15+D36)/($C$21))^(365/$C$24)-1)*100</f>
        <v>9.8280831058440867</v>
      </c>
      <c r="F36" s="6">
        <f t="shared" ref="F36:F54" si="4">((($C$15+C36)/($C$15))^(365/$C$24)-1)*100</f>
        <v>5.1345877090407388</v>
      </c>
    </row>
    <row r="37" spans="1:6">
      <c r="A37" s="11">
        <f>A36+$C$30</f>
        <v>5.5</v>
      </c>
      <c r="B37" s="16">
        <f t="shared" si="0"/>
        <v>2250000.0000000005</v>
      </c>
      <c r="C37" s="16">
        <f t="shared" si="1"/>
        <v>2750000</v>
      </c>
      <c r="D37" s="16">
        <f t="shared" si="2"/>
        <v>5000000</v>
      </c>
      <c r="E37" s="6">
        <f t="shared" si="3"/>
        <v>9.8280831058440867</v>
      </c>
      <c r="F37" s="6">
        <f t="shared" si="4"/>
        <v>5.655214040323453</v>
      </c>
    </row>
    <row r="38" spans="1:6">
      <c r="A38" s="11">
        <f t="shared" ref="A38:A53" si="5">A37+$C$30</f>
        <v>6</v>
      </c>
      <c r="B38" s="16">
        <f t="shared" si="0"/>
        <v>2000000.0000000005</v>
      </c>
      <c r="C38" s="16">
        <f t="shared" si="1"/>
        <v>3000000</v>
      </c>
      <c r="D38" s="16">
        <f t="shared" si="2"/>
        <v>5000000</v>
      </c>
      <c r="E38" s="6">
        <f t="shared" si="3"/>
        <v>9.8280831058440867</v>
      </c>
      <c r="F38" s="6">
        <f t="shared" si="4"/>
        <v>6.1771439191247834</v>
      </c>
    </row>
    <row r="39" spans="1:6">
      <c r="A39" s="11">
        <f t="shared" si="5"/>
        <v>6.5</v>
      </c>
      <c r="B39" s="16">
        <f t="shared" si="0"/>
        <v>1750000.0000000002</v>
      </c>
      <c r="C39" s="16">
        <f t="shared" si="1"/>
        <v>3250000</v>
      </c>
      <c r="D39" s="16">
        <f t="shared" si="2"/>
        <v>5000000</v>
      </c>
      <c r="E39" s="6">
        <f t="shared" si="3"/>
        <v>9.8280831058440867</v>
      </c>
      <c r="F39" s="6">
        <f t="shared" si="4"/>
        <v>6.7003774334422062</v>
      </c>
    </row>
    <row r="40" spans="1:6">
      <c r="A40" s="11">
        <f t="shared" si="5"/>
        <v>7</v>
      </c>
      <c r="B40" s="16">
        <f t="shared" si="0"/>
        <v>1500000</v>
      </c>
      <c r="C40" s="16">
        <f t="shared" si="1"/>
        <v>3500000.0000000005</v>
      </c>
      <c r="D40" s="16">
        <f t="shared" si="2"/>
        <v>5000000</v>
      </c>
      <c r="E40" s="6">
        <f t="shared" si="3"/>
        <v>9.8280831058440867</v>
      </c>
      <c r="F40" s="6">
        <f t="shared" si="4"/>
        <v>7.2249146710656742</v>
      </c>
    </row>
    <row r="41" spans="1:6">
      <c r="A41" s="11">
        <f t="shared" si="5"/>
        <v>7.5</v>
      </c>
      <c r="B41" s="16">
        <f t="shared" si="0"/>
        <v>1250000.0000000005</v>
      </c>
      <c r="C41" s="16">
        <f t="shared" si="1"/>
        <v>3750000</v>
      </c>
      <c r="D41" s="16">
        <f t="shared" si="2"/>
        <v>5000000</v>
      </c>
      <c r="E41" s="6">
        <f t="shared" si="3"/>
        <v>9.8280831058440867</v>
      </c>
      <c r="F41" s="6">
        <f t="shared" si="4"/>
        <v>7.7507557195787946</v>
      </c>
    </row>
    <row r="42" spans="1:6">
      <c r="A42" s="11">
        <f t="shared" si="5"/>
        <v>8</v>
      </c>
      <c r="B42" s="53">
        <f t="shared" si="0"/>
        <v>1000000.0000000002</v>
      </c>
      <c r="C42" s="53">
        <f t="shared" si="1"/>
        <v>4000000</v>
      </c>
      <c r="D42" s="53">
        <f t="shared" si="2"/>
        <v>5000000</v>
      </c>
      <c r="E42" s="68">
        <f t="shared" si="3"/>
        <v>9.8280831058440867</v>
      </c>
      <c r="F42" s="68">
        <f t="shared" si="4"/>
        <v>8.2779006663596277</v>
      </c>
    </row>
    <row r="43" spans="1:6">
      <c r="A43" s="11">
        <f t="shared" si="5"/>
        <v>8.5</v>
      </c>
      <c r="B43" s="16">
        <f t="shared" si="0"/>
        <v>750000</v>
      </c>
      <c r="C43" s="16">
        <f t="shared" si="1"/>
        <v>4250000</v>
      </c>
      <c r="D43" s="16">
        <f t="shared" si="2"/>
        <v>5000000</v>
      </c>
      <c r="E43" s="6">
        <f t="shared" si="3"/>
        <v>9.8280831058440867</v>
      </c>
      <c r="F43" s="6">
        <f t="shared" si="4"/>
        <v>8.8063495985818854</v>
      </c>
    </row>
    <row r="44" spans="1:6">
      <c r="A44" s="11">
        <f t="shared" si="5"/>
        <v>9</v>
      </c>
      <c r="B44" s="16">
        <f t="shared" si="0"/>
        <v>500000.00000000047</v>
      </c>
      <c r="C44" s="16">
        <f t="shared" si="1"/>
        <v>4500000</v>
      </c>
      <c r="D44" s="16">
        <f t="shared" si="2"/>
        <v>5000000</v>
      </c>
      <c r="E44" s="6">
        <f t="shared" si="3"/>
        <v>9.8280831058440867</v>
      </c>
      <c r="F44" s="6">
        <f t="shared" si="4"/>
        <v>9.3361026032157355</v>
      </c>
    </row>
    <row r="45" spans="1:6">
      <c r="A45" s="11">
        <f t="shared" si="5"/>
        <v>9.5</v>
      </c>
      <c r="B45" s="16">
        <f t="shared" si="0"/>
        <v>250000.00000000023</v>
      </c>
      <c r="C45" s="16">
        <f t="shared" si="1"/>
        <v>4750000</v>
      </c>
      <c r="D45" s="16">
        <f t="shared" si="2"/>
        <v>5000000</v>
      </c>
      <c r="E45" s="6">
        <f t="shared" si="3"/>
        <v>9.8280831058440867</v>
      </c>
      <c r="F45" s="6">
        <f t="shared" si="4"/>
        <v>9.8671597670288325</v>
      </c>
    </row>
    <row r="46" spans="1:6">
      <c r="A46" s="11">
        <f t="shared" si="5"/>
        <v>10</v>
      </c>
      <c r="B46" s="16">
        <f t="shared" si="0"/>
        <v>0</v>
      </c>
      <c r="C46" s="16">
        <f t="shared" si="1"/>
        <v>5000000</v>
      </c>
      <c r="D46" s="16">
        <f t="shared" si="2"/>
        <v>5000000</v>
      </c>
      <c r="E46" s="6">
        <f t="shared" si="3"/>
        <v>9.8280831058440867</v>
      </c>
      <c r="F46" s="6">
        <f t="shared" si="4"/>
        <v>10.3995211765872</v>
      </c>
    </row>
    <row r="47" spans="1:6">
      <c r="A47" s="11">
        <f t="shared" si="5"/>
        <v>10.5</v>
      </c>
      <c r="B47" s="16">
        <f t="shared" si="0"/>
        <v>0</v>
      </c>
      <c r="C47" s="16">
        <f t="shared" si="1"/>
        <v>5250000</v>
      </c>
      <c r="D47" s="16">
        <f t="shared" si="2"/>
        <v>5250000</v>
      </c>
      <c r="E47" s="6">
        <f t="shared" si="3"/>
        <v>10.358986544573924</v>
      </c>
      <c r="F47" s="6">
        <f t="shared" si="4"/>
        <v>10.933186918256288</v>
      </c>
    </row>
    <row r="48" spans="1:6">
      <c r="A48" s="11">
        <f t="shared" si="5"/>
        <v>11</v>
      </c>
      <c r="B48" s="16">
        <f t="shared" si="0"/>
        <v>0</v>
      </c>
      <c r="C48" s="16">
        <f t="shared" si="1"/>
        <v>5500000</v>
      </c>
      <c r="D48" s="16">
        <f t="shared" si="2"/>
        <v>5500000</v>
      </c>
      <c r="E48" s="6">
        <f t="shared" si="3"/>
        <v>10.891187649791245</v>
      </c>
      <c r="F48" s="6">
        <f t="shared" si="4"/>
        <v>11.468157078201834</v>
      </c>
    </row>
    <row r="49" spans="1:6">
      <c r="A49" s="11">
        <f t="shared" si="5"/>
        <v>11.5</v>
      </c>
      <c r="B49" s="16">
        <f t="shared" si="0"/>
        <v>0</v>
      </c>
      <c r="C49" s="16">
        <f t="shared" si="1"/>
        <v>5750000</v>
      </c>
      <c r="D49" s="16">
        <f t="shared" si="2"/>
        <v>5750000</v>
      </c>
      <c r="E49" s="6">
        <f t="shared" si="3"/>
        <v>11.424686507018178</v>
      </c>
      <c r="F49" s="6">
        <f t="shared" si="4"/>
        <v>12.004431742390897</v>
      </c>
    </row>
    <row r="50" spans="1:6">
      <c r="A50" s="11">
        <f t="shared" si="5"/>
        <v>12</v>
      </c>
      <c r="B50" s="16">
        <f t="shared" si="0"/>
        <v>0</v>
      </c>
      <c r="C50" s="16">
        <f t="shared" si="1"/>
        <v>6000000</v>
      </c>
      <c r="D50" s="16">
        <f t="shared" si="2"/>
        <v>6000000</v>
      </c>
      <c r="E50" s="6">
        <f t="shared" si="3"/>
        <v>11.959483201579889</v>
      </c>
      <c r="F50" s="6">
        <f t="shared" si="4"/>
        <v>12.542010996592513</v>
      </c>
    </row>
    <row r="51" spans="1:6">
      <c r="A51" s="11">
        <f t="shared" si="5"/>
        <v>12.5</v>
      </c>
      <c r="B51" s="16">
        <f t="shared" si="0"/>
        <v>0</v>
      </c>
      <c r="C51" s="16">
        <f t="shared" si="1"/>
        <v>6250000</v>
      </c>
      <c r="D51" s="16">
        <f t="shared" si="2"/>
        <v>6250000</v>
      </c>
      <c r="E51" s="6">
        <f t="shared" si="3"/>
        <v>12.495577818605707</v>
      </c>
      <c r="F51" s="6">
        <f t="shared" si="4"/>
        <v>13.080894926378983</v>
      </c>
    </row>
    <row r="52" spans="1:6">
      <c r="A52" s="11">
        <f t="shared" si="5"/>
        <v>13</v>
      </c>
      <c r="B52" s="16">
        <f t="shared" si="0"/>
        <v>0</v>
      </c>
      <c r="C52" s="16">
        <f t="shared" si="1"/>
        <v>6500000</v>
      </c>
      <c r="D52" s="16">
        <f t="shared" si="2"/>
        <v>6500000</v>
      </c>
      <c r="E52" s="6">
        <f t="shared" si="3"/>
        <v>13.032970443029956</v>
      </c>
      <c r="F52" s="6">
        <f t="shared" si="4"/>
        <v>13.621083617126594</v>
      </c>
    </row>
    <row r="53" spans="1:6">
      <c r="A53" s="11">
        <f t="shared" si="5"/>
        <v>13.5</v>
      </c>
      <c r="B53" s="16">
        <f t="shared" si="0"/>
        <v>0</v>
      </c>
      <c r="C53" s="16">
        <f t="shared" si="1"/>
        <v>6750000</v>
      </c>
      <c r="D53" s="16">
        <f t="shared" si="2"/>
        <v>6750000</v>
      </c>
      <c r="E53" s="6">
        <f t="shared" si="3"/>
        <v>13.57166115959294</v>
      </c>
      <c r="F53" s="6">
        <f t="shared" si="4"/>
        <v>14.162577154016498</v>
      </c>
    </row>
    <row r="54" spans="1:6" ht="13.5" thickBot="1">
      <c r="A54" s="18">
        <f>A53+$C$30</f>
        <v>14</v>
      </c>
      <c r="B54" s="19">
        <f t="shared" si="0"/>
        <v>0</v>
      </c>
      <c r="C54" s="19">
        <f t="shared" si="1"/>
        <v>7000000.0000000009</v>
      </c>
      <c r="D54" s="19">
        <f t="shared" si="2"/>
        <v>7000000.0000000009</v>
      </c>
      <c r="E54" s="34">
        <f t="shared" si="3"/>
        <v>14.111650052841718</v>
      </c>
      <c r="F54" s="34">
        <f t="shared" si="4"/>
        <v>14.705375622035778</v>
      </c>
    </row>
    <row r="55" spans="1:6">
      <c r="A55" t="s">
        <v>12</v>
      </c>
    </row>
  </sheetData>
  <mergeCells count="2">
    <mergeCell ref="E33:F33"/>
    <mergeCell ref="E34:F34"/>
  </mergeCells>
  <pageMargins left="0.75" right="0.75" top="1" bottom="1" header="0.5" footer="0.5"/>
  <pageSetup paperSize="9" orientation="portrait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N38"/>
  <sheetViews>
    <sheetView workbookViewId="0"/>
  </sheetViews>
  <sheetFormatPr defaultRowHeight="12.75"/>
  <cols>
    <col min="1" max="1" width="11.7109375" customWidth="1"/>
    <col min="2" max="2" width="8.7109375" hidden="1" customWidth="1"/>
    <col min="3" max="3" width="10.7109375" customWidth="1"/>
    <col min="4" max="4" width="10.140625" bestFit="1" customWidth="1"/>
    <col min="5" max="5" width="8.7109375" bestFit="1" customWidth="1"/>
    <col min="7" max="7" width="10.140625" bestFit="1" customWidth="1"/>
    <col min="8" max="8" width="12.7109375" bestFit="1" customWidth="1"/>
    <col min="9" max="9" width="10.7109375" bestFit="1" customWidth="1"/>
    <col min="12" max="12" width="10.7109375" hidden="1" customWidth="1"/>
    <col min="13" max="14" width="0" hidden="1" customWidth="1"/>
  </cols>
  <sheetData>
    <row r="1" spans="1:9" ht="18">
      <c r="A1" s="69" t="s">
        <v>85</v>
      </c>
    </row>
    <row r="3" spans="1:9">
      <c r="A3" s="3" t="s">
        <v>114</v>
      </c>
    </row>
    <row r="4" spans="1:9">
      <c r="A4" s="3"/>
    </row>
    <row r="5" spans="1:9">
      <c r="A5" s="3" t="s">
        <v>115</v>
      </c>
    </row>
    <row r="6" spans="1:9">
      <c r="A6" s="3"/>
    </row>
    <row r="7" spans="1:9">
      <c r="A7" s="4" t="s">
        <v>135</v>
      </c>
    </row>
    <row r="8" spans="1:9">
      <c r="A8" s="4"/>
    </row>
    <row r="9" spans="1:9">
      <c r="A9" s="4"/>
    </row>
    <row r="10" spans="1:9">
      <c r="A10" s="63"/>
      <c r="C10" s="64"/>
      <c r="D10" s="64"/>
      <c r="E10" s="64"/>
      <c r="F10" s="64"/>
      <c r="G10" s="64"/>
      <c r="H10" s="64"/>
      <c r="I10" s="64"/>
    </row>
    <row r="11" spans="1:9">
      <c r="A11" s="65" t="s">
        <v>116</v>
      </c>
      <c r="C11" s="64"/>
      <c r="D11" s="64"/>
      <c r="E11" s="64"/>
      <c r="F11" s="64"/>
      <c r="G11" s="64"/>
      <c r="H11" s="64"/>
      <c r="I11" s="64"/>
    </row>
    <row r="12" spans="1:9">
      <c r="A12" s="65"/>
      <c r="C12" s="64"/>
      <c r="D12" s="64"/>
      <c r="E12" s="64"/>
      <c r="F12" s="64"/>
      <c r="G12" s="64"/>
      <c r="H12" s="64"/>
      <c r="I12" s="64"/>
    </row>
    <row r="15" spans="1:9">
      <c r="A15" s="3" t="s">
        <v>100</v>
      </c>
      <c r="D15" s="27">
        <v>1000000</v>
      </c>
    </row>
    <row r="16" spans="1:9">
      <c r="A16" s="3" t="s">
        <v>91</v>
      </c>
      <c r="D16" s="27">
        <v>3500</v>
      </c>
    </row>
    <row r="17" spans="1:14">
      <c r="A17" s="3"/>
      <c r="D17" s="27"/>
    </row>
    <row r="18" spans="1:14">
      <c r="A18" s="3" t="s">
        <v>47</v>
      </c>
      <c r="D18" s="24">
        <v>0.1</v>
      </c>
    </row>
    <row r="19" spans="1:14">
      <c r="A19" s="3" t="s">
        <v>101</v>
      </c>
      <c r="D19" s="24">
        <v>365</v>
      </c>
    </row>
    <row r="20" spans="1:14">
      <c r="A20" s="3" t="s">
        <v>92</v>
      </c>
      <c r="D20" s="24">
        <v>360</v>
      </c>
    </row>
    <row r="21" spans="1:14">
      <c r="A21" s="3" t="s">
        <v>102</v>
      </c>
      <c r="D21" s="24">
        <v>90</v>
      </c>
    </row>
    <row r="22" spans="1:14">
      <c r="E22" s="7"/>
      <c r="F22" s="1"/>
    </row>
    <row r="24" spans="1:14">
      <c r="A24" s="81" t="s">
        <v>6</v>
      </c>
      <c r="B24" s="81"/>
      <c r="C24" s="81"/>
      <c r="D24" s="81"/>
    </row>
    <row r="25" spans="1:14">
      <c r="A25" s="17" t="s">
        <v>12</v>
      </c>
      <c r="B25" s="17"/>
      <c r="C25" s="43" t="s">
        <v>11</v>
      </c>
      <c r="D25" s="17" t="s">
        <v>10</v>
      </c>
    </row>
    <row r="26" spans="1:14">
      <c r="A26" s="3" t="s">
        <v>8</v>
      </c>
      <c r="C26" s="44">
        <f>IRR(L32:L36)</f>
        <v>2.627411630488195E-2</v>
      </c>
      <c r="D26" s="45">
        <f>(1+C26)^4-1</f>
        <v>0.10931146805698422</v>
      </c>
    </row>
    <row r="27" spans="1:14">
      <c r="A27" s="3" t="s">
        <v>7</v>
      </c>
      <c r="C27" s="44">
        <f>IRR(M32:M36)</f>
        <v>2.8150656336427479E-2</v>
      </c>
      <c r="D27" s="45">
        <f>(1+C27)^4-1</f>
        <v>0.11744724306551779</v>
      </c>
    </row>
    <row r="28" spans="1:14">
      <c r="L28" s="21"/>
      <c r="M28" s="21"/>
      <c r="N28" s="21"/>
    </row>
    <row r="29" spans="1:14" ht="13.5" thickBot="1">
      <c r="L29" s="21"/>
      <c r="M29" s="61"/>
      <c r="N29" s="21"/>
    </row>
    <row r="30" spans="1:14">
      <c r="A30" s="29" t="s">
        <v>2</v>
      </c>
      <c r="B30" s="29" t="s">
        <v>5</v>
      </c>
      <c r="C30" s="29" t="s">
        <v>17</v>
      </c>
      <c r="D30" s="29" t="s">
        <v>3</v>
      </c>
      <c r="E30" s="29" t="s">
        <v>37</v>
      </c>
      <c r="F30" s="29" t="s">
        <v>49</v>
      </c>
      <c r="G30" s="29" t="s">
        <v>68</v>
      </c>
      <c r="H30" s="79" t="s">
        <v>71</v>
      </c>
      <c r="I30" s="79"/>
      <c r="L30" s="62" t="s">
        <v>9</v>
      </c>
      <c r="M30" s="59"/>
      <c r="N30" s="59"/>
    </row>
    <row r="31" spans="1:14">
      <c r="A31" s="31"/>
      <c r="B31" s="31"/>
      <c r="C31" s="31" t="s">
        <v>18</v>
      </c>
      <c r="D31" s="31"/>
      <c r="E31" s="31" t="s">
        <v>66</v>
      </c>
      <c r="F31" s="31" t="s">
        <v>67</v>
      </c>
      <c r="G31" s="31" t="s">
        <v>38</v>
      </c>
      <c r="H31" s="31" t="s">
        <v>69</v>
      </c>
      <c r="I31" s="31" t="s">
        <v>70</v>
      </c>
      <c r="L31" s="59"/>
      <c r="M31" s="59"/>
      <c r="N31" s="59"/>
    </row>
    <row r="32" spans="1:14">
      <c r="A32" s="38">
        <v>36892</v>
      </c>
      <c r="B32" s="8">
        <f>A32</f>
        <v>36892</v>
      </c>
      <c r="C32" s="35"/>
      <c r="D32" s="37">
        <v>10</v>
      </c>
      <c r="E32" s="16"/>
      <c r="F32" s="16">
        <f>-$D$16</f>
        <v>-3500</v>
      </c>
      <c r="G32" s="33">
        <v>0</v>
      </c>
      <c r="H32" s="16">
        <f>$D$15+F32</f>
        <v>996500</v>
      </c>
      <c r="I32" s="16">
        <f>$D$15</f>
        <v>1000000</v>
      </c>
      <c r="L32" s="60">
        <f t="shared" ref="L32:M36" si="0">-H32</f>
        <v>-996500</v>
      </c>
      <c r="M32" s="59">
        <f t="shared" si="0"/>
        <v>-1000000</v>
      </c>
      <c r="N32" s="59"/>
    </row>
    <row r="33" spans="1:14">
      <c r="A33" s="38">
        <v>36982</v>
      </c>
      <c r="B33" s="8">
        <f>A33</f>
        <v>36982</v>
      </c>
      <c r="C33" s="36">
        <f>B33-B32</f>
        <v>90</v>
      </c>
      <c r="D33" s="37">
        <v>11</v>
      </c>
      <c r="E33" s="33">
        <f>$D$15*(D32/100)*(C33/$D$20)</f>
        <v>25000</v>
      </c>
      <c r="F33" s="33">
        <v>0</v>
      </c>
      <c r="G33" s="33">
        <v>0</v>
      </c>
      <c r="H33" s="16">
        <f>-G33+(-E33+F33)</f>
        <v>-25000</v>
      </c>
      <c r="I33" s="16">
        <f>-(E33+G33)</f>
        <v>-25000</v>
      </c>
      <c r="L33" s="59">
        <f t="shared" si="0"/>
        <v>25000</v>
      </c>
      <c r="M33" s="59">
        <f t="shared" si="0"/>
        <v>25000</v>
      </c>
      <c r="N33" s="59"/>
    </row>
    <row r="34" spans="1:14">
      <c r="A34" s="54">
        <v>37073</v>
      </c>
      <c r="B34" s="55">
        <f>A34</f>
        <v>37073</v>
      </c>
      <c r="C34" s="56">
        <f>B34-B33</f>
        <v>91</v>
      </c>
      <c r="D34" s="57">
        <v>11.5</v>
      </c>
      <c r="E34" s="58">
        <f>$D$15*(D33/100)*(C34/$D$20)</f>
        <v>27805.555555555555</v>
      </c>
      <c r="F34" s="58">
        <f>$D$15*(C34/$D$20)*(D33/100-$D$18)</f>
        <v>2527.7777777777765</v>
      </c>
      <c r="G34" s="58">
        <v>0</v>
      </c>
      <c r="H34" s="53">
        <f>-G34+(-E34+F34)</f>
        <v>-25277.777777777777</v>
      </c>
      <c r="I34" s="53">
        <f>-(E34+G34)</f>
        <v>-27805.555555555555</v>
      </c>
      <c r="L34" s="59">
        <f t="shared" si="0"/>
        <v>25277.777777777777</v>
      </c>
      <c r="M34" s="59">
        <f t="shared" si="0"/>
        <v>27805.555555555555</v>
      </c>
      <c r="N34" s="59"/>
    </row>
    <row r="35" spans="1:14">
      <c r="A35" s="38">
        <v>37165</v>
      </c>
      <c r="B35" s="8">
        <f>A35</f>
        <v>37165</v>
      </c>
      <c r="C35" s="36">
        <f>B35-B34</f>
        <v>92</v>
      </c>
      <c r="D35" s="37">
        <v>12</v>
      </c>
      <c r="E35" s="16">
        <f>$D$15*(D34/100)*(C35/$D$20)</f>
        <v>29388.888888888887</v>
      </c>
      <c r="F35" s="16">
        <f>$D$15*(C35/$D$20)*(D34/100-$D$18)</f>
        <v>3833.333333333333</v>
      </c>
      <c r="G35" s="33">
        <v>0</v>
      </c>
      <c r="H35" s="16">
        <f>-G35+(-E35+F35)</f>
        <v>-25555.555555555555</v>
      </c>
      <c r="I35" s="16">
        <f>-(E35+G35)</f>
        <v>-29388.888888888887</v>
      </c>
      <c r="L35" s="59">
        <f t="shared" si="0"/>
        <v>25555.555555555555</v>
      </c>
      <c r="M35" s="59">
        <f t="shared" si="0"/>
        <v>29388.888888888887</v>
      </c>
      <c r="N35" s="59"/>
    </row>
    <row r="36" spans="1:14" ht="13.5" thickBot="1">
      <c r="A36" s="39">
        <v>37257</v>
      </c>
      <c r="B36" s="40">
        <f>A36</f>
        <v>37257</v>
      </c>
      <c r="C36" s="41">
        <f>B36-B35</f>
        <v>92</v>
      </c>
      <c r="D36" s="42"/>
      <c r="E36" s="19">
        <f>$D$15*(D35/100)*(C36/$D$20)</f>
        <v>30666.666666666664</v>
      </c>
      <c r="F36" s="19">
        <f>$D$15*(C36/$D$20)*(D35/100-$D$18)</f>
        <v>5111.1111111111077</v>
      </c>
      <c r="G36" s="19">
        <f>$D$15</f>
        <v>1000000</v>
      </c>
      <c r="H36" s="19">
        <f>-G36+(-E36+F36)</f>
        <v>-1025555.5555555555</v>
      </c>
      <c r="I36" s="19">
        <f>-(E36+G36)</f>
        <v>-1030666.6666666666</v>
      </c>
      <c r="L36" s="59">
        <f t="shared" si="0"/>
        <v>1025555.5555555555</v>
      </c>
      <c r="M36" s="59">
        <f t="shared" si="0"/>
        <v>1030666.6666666666</v>
      </c>
      <c r="N36" s="59"/>
    </row>
    <row r="37" spans="1:14"/>
    <row r="38" spans="1:14">
      <c r="B38" s="9"/>
    </row>
  </sheetData>
  <mergeCells count="2">
    <mergeCell ref="H30:I30"/>
    <mergeCell ref="A24:D24"/>
  </mergeCells>
  <pageMargins left="0.56999999999999995" right="0.48" top="1" bottom="1" header="0.5" footer="0.5"/>
  <pageSetup paperSize="9" orientation="portrait" horizontalDpi="4294967292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I39"/>
  <sheetViews>
    <sheetView workbookViewId="0"/>
  </sheetViews>
  <sheetFormatPr defaultRowHeight="12.75"/>
  <cols>
    <col min="1" max="1" width="11.7109375" customWidth="1"/>
    <col min="2" max="2" width="8.7109375" hidden="1" customWidth="1"/>
    <col min="3" max="3" width="8.7109375" customWidth="1"/>
    <col min="4" max="4" width="10.140625" bestFit="1" customWidth="1"/>
    <col min="5" max="5" width="8.7109375" bestFit="1" customWidth="1"/>
    <col min="7" max="7" width="10.140625" bestFit="1" customWidth="1"/>
    <col min="8" max="8" width="11.140625" customWidth="1"/>
    <col min="9" max="9" width="11.140625" bestFit="1" customWidth="1"/>
  </cols>
  <sheetData>
    <row r="1" spans="1:9" ht="18">
      <c r="A1" s="69" t="s">
        <v>86</v>
      </c>
    </row>
    <row r="3" spans="1:9">
      <c r="A3" s="3" t="s">
        <v>114</v>
      </c>
    </row>
    <row r="4" spans="1:9">
      <c r="A4" s="3"/>
    </row>
    <row r="5" spans="1:9">
      <c r="A5" s="3" t="s">
        <v>115</v>
      </c>
    </row>
    <row r="6" spans="1:9">
      <c r="A6" s="3"/>
    </row>
    <row r="7" spans="1:9">
      <c r="A7" s="4" t="s">
        <v>136</v>
      </c>
    </row>
    <row r="8" spans="1:9">
      <c r="A8" s="4"/>
    </row>
    <row r="9" spans="1:9">
      <c r="A9" s="4"/>
    </row>
    <row r="10" spans="1:9">
      <c r="A10" s="63"/>
      <c r="C10" s="64"/>
      <c r="D10" s="64"/>
      <c r="E10" s="64"/>
      <c r="F10" s="64"/>
      <c r="G10" s="64"/>
      <c r="H10" s="64"/>
      <c r="I10" s="64"/>
    </row>
    <row r="11" spans="1:9">
      <c r="A11" s="65" t="s">
        <v>116</v>
      </c>
      <c r="C11" s="64"/>
      <c r="D11" s="64"/>
      <c r="E11" s="64"/>
      <c r="F11" s="64"/>
      <c r="G11" s="64"/>
      <c r="H11" s="64"/>
      <c r="I11" s="64"/>
    </row>
    <row r="12" spans="1:9">
      <c r="A12" s="65"/>
      <c r="C12" s="64"/>
      <c r="D12" s="64"/>
      <c r="E12" s="64"/>
      <c r="F12" s="64"/>
      <c r="G12" s="64"/>
      <c r="H12" s="64"/>
      <c r="I12" s="64"/>
    </row>
    <row r="15" spans="1:9">
      <c r="A15" s="3" t="s">
        <v>94</v>
      </c>
      <c r="D15" s="27">
        <v>20000000</v>
      </c>
    </row>
    <row r="16" spans="1:9">
      <c r="A16" s="3" t="s">
        <v>103</v>
      </c>
      <c r="D16" s="27">
        <v>40000</v>
      </c>
    </row>
    <row r="17" spans="1:9">
      <c r="A17" s="3"/>
      <c r="D17" s="27"/>
    </row>
    <row r="18" spans="1:9">
      <c r="A18" s="3" t="s">
        <v>47</v>
      </c>
      <c r="D18" s="24">
        <v>0.1</v>
      </c>
    </row>
    <row r="19" spans="1:9">
      <c r="A19" s="3" t="s">
        <v>105</v>
      </c>
      <c r="D19" s="24">
        <v>360</v>
      </c>
    </row>
    <row r="20" spans="1:9">
      <c r="A20" s="3" t="s">
        <v>1</v>
      </c>
      <c r="D20" s="24">
        <v>360</v>
      </c>
    </row>
    <row r="21" spans="1:9">
      <c r="A21" s="3" t="s">
        <v>104</v>
      </c>
      <c r="D21" s="24">
        <v>90</v>
      </c>
    </row>
    <row r="24" spans="1:9">
      <c r="A24" s="81" t="s">
        <v>6</v>
      </c>
      <c r="B24" s="81"/>
      <c r="C24" s="81"/>
      <c r="D24" s="81"/>
    </row>
    <row r="25" spans="1:9">
      <c r="A25" s="17"/>
      <c r="B25" s="17"/>
      <c r="C25" s="43" t="s">
        <v>11</v>
      </c>
      <c r="D25" s="17" t="s">
        <v>10</v>
      </c>
    </row>
    <row r="26" spans="1:9">
      <c r="A26" s="3" t="s">
        <v>13</v>
      </c>
      <c r="C26" s="44">
        <f>IRR(H32:H36)</f>
        <v>2.4816325415526315E-2</v>
      </c>
      <c r="D26" s="45">
        <f>(1+C26)^4-1</f>
        <v>0.10302191351284851</v>
      </c>
    </row>
    <row r="27" spans="1:9">
      <c r="A27" s="3" t="s">
        <v>14</v>
      </c>
      <c r="C27" s="44">
        <f>IRR(I32:I36)</f>
        <v>2.3162961596263312E-2</v>
      </c>
      <c r="D27" s="45">
        <f>(1+C27)^4-1</f>
        <v>9.5920980808330336E-2</v>
      </c>
    </row>
    <row r="29" spans="1:9" ht="13.5" thickBot="1">
      <c r="B29" t="s">
        <v>15</v>
      </c>
      <c r="C29" t="s">
        <v>12</v>
      </c>
    </row>
    <row r="30" spans="1:9">
      <c r="A30" s="29" t="s">
        <v>2</v>
      </c>
      <c r="B30" s="29" t="s">
        <v>16</v>
      </c>
      <c r="C30" s="29" t="s">
        <v>17</v>
      </c>
      <c r="D30" s="29" t="s">
        <v>3</v>
      </c>
      <c r="E30" s="29" t="s">
        <v>37</v>
      </c>
      <c r="F30" s="29" t="s">
        <v>73</v>
      </c>
      <c r="G30" s="29" t="s">
        <v>68</v>
      </c>
      <c r="H30" s="79" t="s">
        <v>4</v>
      </c>
      <c r="I30" s="79"/>
    </row>
    <row r="31" spans="1:9">
      <c r="A31" s="31"/>
      <c r="B31" s="31"/>
      <c r="C31" s="31" t="s">
        <v>18</v>
      </c>
      <c r="D31" s="31"/>
      <c r="E31" s="31" t="s">
        <v>72</v>
      </c>
      <c r="F31" s="31" t="s">
        <v>67</v>
      </c>
      <c r="G31" s="31" t="s">
        <v>38</v>
      </c>
      <c r="H31" s="31" t="s">
        <v>75</v>
      </c>
      <c r="I31" s="31" t="s">
        <v>74</v>
      </c>
    </row>
    <row r="32" spans="1:9">
      <c r="A32" s="46">
        <v>36535</v>
      </c>
      <c r="B32" s="8">
        <f>A32</f>
        <v>36535</v>
      </c>
      <c r="C32" s="36"/>
      <c r="D32" s="37">
        <v>9.9</v>
      </c>
      <c r="E32" s="16" t="s">
        <v>12</v>
      </c>
      <c r="F32" s="16">
        <f>-$D$16</f>
        <v>-40000</v>
      </c>
      <c r="G32" s="33">
        <v>0</v>
      </c>
      <c r="H32" s="16">
        <f>-$D$15+(F32)</f>
        <v>-20040000</v>
      </c>
      <c r="I32" s="16">
        <f>-$D$15</f>
        <v>-20000000</v>
      </c>
    </row>
    <row r="33" spans="1:9">
      <c r="A33" s="70">
        <v>36626</v>
      </c>
      <c r="B33" s="55">
        <f>A33</f>
        <v>36626</v>
      </c>
      <c r="C33" s="56">
        <f>B33-B32</f>
        <v>91</v>
      </c>
      <c r="D33" s="57">
        <v>9.5</v>
      </c>
      <c r="E33" s="58">
        <f>$D$15*(D32/100)*(C33/$D$20)</f>
        <v>500500</v>
      </c>
      <c r="F33" s="58">
        <v>0</v>
      </c>
      <c r="G33" s="58">
        <v>0</v>
      </c>
      <c r="H33" s="58">
        <f>E33+F33+G33</f>
        <v>500500</v>
      </c>
      <c r="I33" s="58">
        <f>E33+G33</f>
        <v>500500</v>
      </c>
    </row>
    <row r="34" spans="1:9">
      <c r="A34" s="70">
        <v>36717</v>
      </c>
      <c r="B34" s="55">
        <f>A34</f>
        <v>36717</v>
      </c>
      <c r="C34" s="56">
        <f>B34-B33</f>
        <v>91</v>
      </c>
      <c r="D34" s="57">
        <v>9</v>
      </c>
      <c r="E34" s="58">
        <f>$D$15*(D33/100)*(C34/$D$20)</f>
        <v>480277.77777777775</v>
      </c>
      <c r="F34" s="58">
        <f>$D$15*($D$18-(D33/100))*(C34/$D$20)</f>
        <v>25277.777777777799</v>
      </c>
      <c r="G34" s="58">
        <v>0</v>
      </c>
      <c r="H34" s="58">
        <f>E34+F34+G34</f>
        <v>505555.55555555556</v>
      </c>
      <c r="I34" s="58">
        <f>E34+G34</f>
        <v>480277.77777777775</v>
      </c>
    </row>
    <row r="35" spans="1:9">
      <c r="A35" s="46">
        <v>36809</v>
      </c>
      <c r="B35" s="8">
        <f>A35</f>
        <v>36809</v>
      </c>
      <c r="C35" s="36">
        <f>B35-B34</f>
        <v>92</v>
      </c>
      <c r="D35" s="37">
        <v>8</v>
      </c>
      <c r="E35" s="16">
        <f>$D$15*(D34/100)*(C35/$D$20)</f>
        <v>459999.99999999994</v>
      </c>
      <c r="F35" s="16">
        <f>$D$15*($D$18-(D34/100))*(C35/$D$20)</f>
        <v>51111.111111111153</v>
      </c>
      <c r="G35" s="33">
        <v>0</v>
      </c>
      <c r="H35" s="16">
        <f>E35+F35+G35</f>
        <v>511111.11111111112</v>
      </c>
      <c r="I35" s="16">
        <f>E35+G35</f>
        <v>459999.99999999994</v>
      </c>
    </row>
    <row r="36" spans="1:9" ht="13.5" thickBot="1">
      <c r="A36" s="47">
        <v>36901</v>
      </c>
      <c r="B36" s="40">
        <f>A36</f>
        <v>36901</v>
      </c>
      <c r="C36" s="41">
        <f>B36-B35</f>
        <v>92</v>
      </c>
      <c r="D36" s="42"/>
      <c r="E36" s="19">
        <f>$D$15*(D35/100)*(C36/$D$20)</f>
        <v>408888.88888888888</v>
      </c>
      <c r="F36" s="19">
        <f>$D$15*($D$18-(D35/100))*(C36/$D$20)</f>
        <v>102222.22222222223</v>
      </c>
      <c r="G36" s="19">
        <f>$D$15</f>
        <v>20000000</v>
      </c>
      <c r="H36" s="19">
        <f>E36+F36+G36</f>
        <v>20511111.111111112</v>
      </c>
      <c r="I36" s="19">
        <f>E36+G36</f>
        <v>20408888.888888888</v>
      </c>
    </row>
    <row r="38" spans="1:9">
      <c r="A38" t="s">
        <v>106</v>
      </c>
      <c r="B38" s="9"/>
    </row>
    <row r="39" spans="1:9"/>
  </sheetData>
  <mergeCells count="2">
    <mergeCell ref="H30:I30"/>
    <mergeCell ref="A24:D24"/>
  </mergeCells>
  <pageMargins left="0.59" right="0.56999999999999995" top="1" bottom="1" header="0.5" footer="0.5"/>
  <pageSetup paperSize="9" orientation="portrait" horizontalDpi="4294967292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"/>
  <sheetViews>
    <sheetView workbookViewId="0"/>
  </sheetViews>
  <sheetFormatPr defaultRowHeight="12.75"/>
  <cols>
    <col min="1" max="1" width="14.140625" bestFit="1" customWidth="1"/>
    <col min="2" max="2" width="9.5703125" customWidth="1"/>
    <col min="3" max="3" width="8.42578125" bestFit="1" customWidth="1"/>
    <col min="4" max="4" width="11.140625" bestFit="1" customWidth="1"/>
    <col min="5" max="5" width="9.5703125" bestFit="1" customWidth="1"/>
    <col min="8" max="8" width="11.140625" bestFit="1" customWidth="1"/>
    <col min="9" max="11" width="13.42578125" customWidth="1"/>
    <col min="12" max="12" width="8.85546875" customWidth="1"/>
    <col min="14" max="14" width="11.7109375" hidden="1" customWidth="1"/>
    <col min="15" max="15" width="11.140625" hidden="1" customWidth="1"/>
    <col min="16" max="16" width="11.7109375" hidden="1" customWidth="1"/>
    <col min="17" max="17" width="11.7109375" bestFit="1" customWidth="1"/>
  </cols>
  <sheetData>
    <row r="1" spans="1:11" ht="18">
      <c r="A1" s="69" t="s">
        <v>137</v>
      </c>
    </row>
    <row r="3" spans="1:11">
      <c r="A3" s="3" t="s">
        <v>114</v>
      </c>
    </row>
    <row r="4" spans="1:11">
      <c r="A4" s="3"/>
    </row>
    <row r="5" spans="1:11">
      <c r="A5" s="3" t="s">
        <v>115</v>
      </c>
    </row>
    <row r="6" spans="1:11">
      <c r="A6" s="3"/>
    </row>
    <row r="7" spans="1:11">
      <c r="A7" s="4" t="s">
        <v>138</v>
      </c>
    </row>
    <row r="8" spans="1:11">
      <c r="A8" s="4"/>
    </row>
    <row r="9" spans="1:11">
      <c r="A9" s="4"/>
    </row>
    <row r="10" spans="1:11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</row>
    <row r="11" spans="1:11">
      <c r="A11" s="65" t="s">
        <v>116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</row>
    <row r="12" spans="1:11">
      <c r="A12" s="65"/>
      <c r="B12" s="64"/>
      <c r="C12" s="64"/>
      <c r="D12" s="64"/>
      <c r="E12" s="64"/>
      <c r="F12" s="64"/>
      <c r="G12" s="64"/>
      <c r="H12" s="64"/>
      <c r="I12" s="64"/>
      <c r="J12" s="64"/>
      <c r="K12" s="64"/>
    </row>
    <row r="15" spans="1:11">
      <c r="A15" s="3" t="s">
        <v>94</v>
      </c>
      <c r="C15" s="27">
        <v>10000</v>
      </c>
    </row>
    <row r="16" spans="1:11">
      <c r="A16" s="3" t="s">
        <v>110</v>
      </c>
      <c r="C16" s="27">
        <v>8</v>
      </c>
    </row>
    <row r="17" spans="1:14">
      <c r="A17" s="3" t="s">
        <v>111</v>
      </c>
      <c r="C17" s="27">
        <v>14</v>
      </c>
    </row>
    <row r="18" spans="1:14">
      <c r="A18" s="3"/>
      <c r="C18" s="27"/>
    </row>
    <row r="19" spans="1:14">
      <c r="A19" s="3" t="s">
        <v>112</v>
      </c>
      <c r="C19" s="24">
        <v>0.08</v>
      </c>
    </row>
    <row r="20" spans="1:14">
      <c r="A20" s="3" t="s">
        <v>113</v>
      </c>
      <c r="C20" s="24">
        <v>0.1</v>
      </c>
    </row>
    <row r="21" spans="1:14">
      <c r="A21" s="3" t="s">
        <v>107</v>
      </c>
      <c r="C21" s="24">
        <v>360</v>
      </c>
    </row>
    <row r="22" spans="1:14">
      <c r="A22" s="3" t="s">
        <v>108</v>
      </c>
      <c r="C22" s="24">
        <v>90</v>
      </c>
    </row>
    <row r="25" spans="1:14">
      <c r="A25" s="81" t="s">
        <v>6</v>
      </c>
      <c r="B25" s="81"/>
      <c r="C25" s="81"/>
      <c r="D25" s="81"/>
    </row>
    <row r="26" spans="1:14">
      <c r="A26" s="17"/>
      <c r="B26" s="17"/>
      <c r="C26" s="43" t="s">
        <v>11</v>
      </c>
      <c r="D26" s="17" t="s">
        <v>10</v>
      </c>
    </row>
    <row r="27" spans="1:14">
      <c r="A27" s="3" t="s">
        <v>79</v>
      </c>
      <c r="C27" s="44">
        <f>IRR(N35:N41)</f>
        <v>2.3302036425749767E-2</v>
      </c>
      <c r="D27" s="45">
        <f>(1+C27)^4-1</f>
        <v>9.6516960560945497E-2</v>
      </c>
    </row>
    <row r="28" spans="1:14">
      <c r="A28" s="3" t="s">
        <v>80</v>
      </c>
      <c r="C28" s="44">
        <f>IRR(O35:O41)</f>
        <v>2.3055153619141313E-2</v>
      </c>
      <c r="D28" s="45">
        <f>(1+C28)^4-1</f>
        <v>9.5459156617280883E-2</v>
      </c>
    </row>
    <row r="29" spans="1:14">
      <c r="A29" s="3" t="s">
        <v>109</v>
      </c>
      <c r="C29" s="44">
        <f>IRR(P35:P41)</f>
        <v>2.3475472589707839E-2</v>
      </c>
      <c r="D29" s="45">
        <f>(1+C29)^4-1</f>
        <v>9.7260530073934648E-2</v>
      </c>
    </row>
    <row r="30" spans="1:14">
      <c r="A30" t="s">
        <v>12</v>
      </c>
      <c r="N30" t="s">
        <v>82</v>
      </c>
    </row>
    <row r="31" spans="1:14" ht="13.5" thickBot="1"/>
    <row r="32" spans="1:14">
      <c r="A32" s="29" t="s">
        <v>2</v>
      </c>
      <c r="B32" s="29" t="s">
        <v>5</v>
      </c>
      <c r="C32" s="29" t="s">
        <v>76</v>
      </c>
      <c r="D32" s="29" t="s">
        <v>3</v>
      </c>
      <c r="E32" s="29" t="s">
        <v>37</v>
      </c>
      <c r="F32" s="29" t="s">
        <v>49</v>
      </c>
      <c r="G32" s="29" t="s">
        <v>73</v>
      </c>
      <c r="H32" s="29" t="s">
        <v>68</v>
      </c>
      <c r="I32" s="79" t="s">
        <v>4</v>
      </c>
      <c r="J32" s="79"/>
      <c r="K32" s="79"/>
      <c r="L32" s="4"/>
    </row>
    <row r="33" spans="1:16">
      <c r="A33" s="30"/>
      <c r="B33" s="30"/>
      <c r="C33" s="30" t="s">
        <v>18</v>
      </c>
      <c r="D33" s="30"/>
      <c r="E33" s="30" t="s">
        <v>66</v>
      </c>
      <c r="F33" s="30" t="s">
        <v>67</v>
      </c>
      <c r="G33" s="30" t="s">
        <v>67</v>
      </c>
      <c r="H33" s="30" t="s">
        <v>67</v>
      </c>
      <c r="I33" s="30" t="s">
        <v>78</v>
      </c>
      <c r="J33" s="30" t="s">
        <v>77</v>
      </c>
      <c r="K33" s="30" t="s">
        <v>70</v>
      </c>
      <c r="L33" s="4"/>
    </row>
    <row r="34" spans="1:16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 t="s">
        <v>81</v>
      </c>
      <c r="L34" s="4"/>
    </row>
    <row r="35" spans="1:16">
      <c r="A35" s="46">
        <v>36892</v>
      </c>
      <c r="B35" s="8">
        <f>A35</f>
        <v>36892</v>
      </c>
      <c r="C35" s="1"/>
      <c r="D35" s="37">
        <v>9</v>
      </c>
      <c r="E35" s="16">
        <f>$C$15*(D33/100)*(C35/$C$21)</f>
        <v>0</v>
      </c>
      <c r="F35" s="16">
        <f>-$C$16</f>
        <v>-8</v>
      </c>
      <c r="G35" s="16">
        <f>$C$17</f>
        <v>14</v>
      </c>
      <c r="H35" s="33">
        <v>0</v>
      </c>
      <c r="I35" s="16">
        <f>$C$15-E35+F35+G35+H35</f>
        <v>10006</v>
      </c>
      <c r="J35" s="16">
        <f>$C$15-E35+F35</f>
        <v>9992</v>
      </c>
      <c r="K35" s="16">
        <f>$C$15</f>
        <v>10000</v>
      </c>
      <c r="N35" s="16">
        <f>-(I35)</f>
        <v>-10006</v>
      </c>
      <c r="O35" s="16">
        <f t="shared" ref="O35:P39" si="0">-(J35)</f>
        <v>-9992</v>
      </c>
      <c r="P35" s="16">
        <f t="shared" si="0"/>
        <v>-10000</v>
      </c>
    </row>
    <row r="36" spans="1:16">
      <c r="A36" s="46">
        <v>36982</v>
      </c>
      <c r="B36" s="8">
        <f>A36</f>
        <v>36982</v>
      </c>
      <c r="C36" s="36">
        <f>B36-B35</f>
        <v>90</v>
      </c>
      <c r="D36" s="37">
        <v>10</v>
      </c>
      <c r="E36" s="33">
        <f>$C$15*(D35/100)*(C36/$C$21)</f>
        <v>225</v>
      </c>
      <c r="F36" s="33">
        <f>MAX(0,$C$15*(C36/$C$21)*(D35/100-$C$20))</f>
        <v>0</v>
      </c>
      <c r="G36" s="33">
        <f>-MAX(0,$C$15*($C$19-D35/100)*(C36/$C$21))</f>
        <v>0</v>
      </c>
      <c r="H36" s="33">
        <v>0</v>
      </c>
      <c r="I36" s="33">
        <f>-E36+F36+G36-H36</f>
        <v>-225</v>
      </c>
      <c r="J36" s="33">
        <f>-E36+F36-H36</f>
        <v>-225</v>
      </c>
      <c r="K36" s="33">
        <f>-E36-H36</f>
        <v>-225</v>
      </c>
      <c r="N36" s="16">
        <f>-(I36)</f>
        <v>225</v>
      </c>
      <c r="O36" s="16">
        <f t="shared" si="0"/>
        <v>225</v>
      </c>
      <c r="P36" s="16">
        <f t="shared" si="0"/>
        <v>225</v>
      </c>
    </row>
    <row r="37" spans="1:16">
      <c r="A37" s="46">
        <v>37073</v>
      </c>
      <c r="B37" s="8">
        <f>A37</f>
        <v>37073</v>
      </c>
      <c r="C37" s="36">
        <f>B37-B36</f>
        <v>91</v>
      </c>
      <c r="D37" s="37">
        <v>11</v>
      </c>
      <c r="E37" s="33">
        <f>$C$15*(D36/100)*(C37/$C$21)</f>
        <v>252.77777777777777</v>
      </c>
      <c r="F37" s="33">
        <f>MAX(0,$C$15*(C37/$C$21)*(D36/100-$C$20))</f>
        <v>0</v>
      </c>
      <c r="G37" s="33">
        <f>-MAX(0,$C$15*($C$19-D36/100)*(C37/$C$21))</f>
        <v>0</v>
      </c>
      <c r="H37" s="33">
        <v>0</v>
      </c>
      <c r="I37" s="33">
        <f>-E37+F37+G37-H37</f>
        <v>-252.77777777777777</v>
      </c>
      <c r="J37" s="33">
        <f>-E37+F37-H37</f>
        <v>-252.77777777777777</v>
      </c>
      <c r="K37" s="33">
        <f>-E37-H37</f>
        <v>-252.77777777777777</v>
      </c>
      <c r="N37" s="16">
        <f>-(I37)</f>
        <v>252.77777777777777</v>
      </c>
      <c r="O37" s="16">
        <f t="shared" si="0"/>
        <v>252.77777777777777</v>
      </c>
      <c r="P37" s="16">
        <f t="shared" si="0"/>
        <v>252.77777777777777</v>
      </c>
    </row>
    <row r="38" spans="1:16">
      <c r="A38" s="46">
        <v>37165</v>
      </c>
      <c r="B38" s="8">
        <f>A38</f>
        <v>37165</v>
      </c>
      <c r="C38" s="36">
        <f>B38-B37</f>
        <v>92</v>
      </c>
      <c r="D38" s="37">
        <v>7</v>
      </c>
      <c r="E38" s="33">
        <f>$C$15*(D37/100)*(C38/$C$21)</f>
        <v>281.11111111111109</v>
      </c>
      <c r="F38" s="33">
        <f>MAX(0,$C$15*(C38/$C$21)*(D37/100-$C$20))</f>
        <v>25.555555555555539</v>
      </c>
      <c r="G38" s="33">
        <f>-MAX(0,$C$15*($C$19-D37/100)*(C38/$C$21))</f>
        <v>0</v>
      </c>
      <c r="H38" s="33">
        <v>0</v>
      </c>
      <c r="I38" s="33">
        <f>-E38+F38+G38-H38</f>
        <v>-255.55555555555554</v>
      </c>
      <c r="J38" s="33">
        <f>-E38+F38-H38</f>
        <v>-255.55555555555554</v>
      </c>
      <c r="K38" s="33">
        <f>-E38-H38</f>
        <v>-281.11111111111109</v>
      </c>
      <c r="N38" s="16">
        <f>-(I38)</f>
        <v>255.55555555555554</v>
      </c>
      <c r="O38" s="16">
        <f t="shared" si="0"/>
        <v>255.55555555555554</v>
      </c>
      <c r="P38" s="16">
        <f t="shared" si="0"/>
        <v>281.11111111111109</v>
      </c>
    </row>
    <row r="39" spans="1:16" ht="13.5" thickBot="1">
      <c r="A39" s="47">
        <v>37257</v>
      </c>
      <c r="B39" s="40">
        <f>A39</f>
        <v>37257</v>
      </c>
      <c r="C39" s="41">
        <f>B39-B38</f>
        <v>92</v>
      </c>
      <c r="D39" s="22" t="s">
        <v>12</v>
      </c>
      <c r="E39" s="19">
        <f>$C$15*(D38/100)*(C39/$C$21)</f>
        <v>178.88888888888891</v>
      </c>
      <c r="F39" s="19">
        <f>MAX(0,$C$15*(C39/$C$21)*(D38/100-$C$20))</f>
        <v>0</v>
      </c>
      <c r="G39" s="19">
        <f>-MAX(0,$C$15*($C$19-D38/100)*(C39/$C$21))</f>
        <v>-25.555555555555539</v>
      </c>
      <c r="H39" s="19">
        <f>$C$15</f>
        <v>10000</v>
      </c>
      <c r="I39" s="19">
        <f>-E39+F39+G39-H39</f>
        <v>-10204.444444444445</v>
      </c>
      <c r="J39" s="19">
        <f>-E39+F39-H39</f>
        <v>-10178.888888888889</v>
      </c>
      <c r="K39" s="19">
        <f>-E39-H39</f>
        <v>-10178.888888888889</v>
      </c>
      <c r="N39" s="16">
        <f>-(I39)</f>
        <v>10204.444444444445</v>
      </c>
      <c r="O39" s="16">
        <f t="shared" si="0"/>
        <v>10178.888888888889</v>
      </c>
      <c r="P39" s="16">
        <f t="shared" si="0"/>
        <v>10178.888888888889</v>
      </c>
    </row>
    <row r="40" spans="1:16">
      <c r="A40" s="5"/>
      <c r="B40" s="8"/>
      <c r="C40" s="2"/>
      <c r="D40" s="3"/>
    </row>
    <row r="41" spans="1:16">
      <c r="A41" s="5"/>
      <c r="B41" s="8"/>
      <c r="C41" s="2"/>
    </row>
  </sheetData>
  <mergeCells count="2">
    <mergeCell ref="I32:K32"/>
    <mergeCell ref="A25:D25"/>
  </mergeCells>
  <pageMargins left="0.75" right="0.75" top="1" bottom="1" header="0.5" footer="0.5"/>
  <pageSetup paperSize="9" orientation="landscape" horizont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dimension ref="A1:L62"/>
  <sheetViews>
    <sheetView topLeftCell="A9" zoomScaleNormal="100" workbookViewId="0">
      <selection activeCell="A9" sqref="A9"/>
    </sheetView>
  </sheetViews>
  <sheetFormatPr defaultRowHeight="12.75"/>
  <cols>
    <col min="2" max="2" width="15.7109375" customWidth="1"/>
    <col min="3" max="4" width="10" customWidth="1"/>
    <col min="5" max="5" width="11.28515625" customWidth="1"/>
    <col min="6" max="6" width="13.7109375" customWidth="1"/>
    <col min="7" max="7" width="4" customWidth="1"/>
    <col min="8" max="8" width="11.5703125" bestFit="1" customWidth="1"/>
    <col min="9" max="9" width="8.7109375" bestFit="1" customWidth="1"/>
    <col min="11" max="11" width="8.7109375" bestFit="1" customWidth="1"/>
  </cols>
  <sheetData>
    <row r="1" spans="1:6" hidden="1">
      <c r="A1" s="4"/>
    </row>
    <row r="2" spans="1:6" hidden="1">
      <c r="A2" s="4" t="s">
        <v>33</v>
      </c>
    </row>
    <row r="3" spans="1:6" hidden="1">
      <c r="A3" s="4"/>
    </row>
    <row r="4" spans="1:6" hidden="1">
      <c r="A4" s="10" t="s">
        <v>19</v>
      </c>
      <c r="B4" t="s">
        <v>20</v>
      </c>
    </row>
    <row r="5" spans="1:6" hidden="1">
      <c r="A5" s="10" t="s">
        <v>21</v>
      </c>
      <c r="B5" t="s">
        <v>22</v>
      </c>
    </row>
    <row r="6" spans="1:6" hidden="1">
      <c r="A6" s="10" t="s">
        <v>23</v>
      </c>
      <c r="B6" t="s">
        <v>24</v>
      </c>
    </row>
    <row r="7" spans="1:6" hidden="1">
      <c r="B7" t="s">
        <v>25</v>
      </c>
    </row>
    <row r="8" spans="1:6" hidden="1"/>
    <row r="9" spans="1:6" ht="18">
      <c r="A9" s="69" t="s">
        <v>139</v>
      </c>
    </row>
    <row r="11" spans="1:6">
      <c r="A11" s="3" t="s">
        <v>114</v>
      </c>
    </row>
    <row r="12" spans="1:6">
      <c r="A12" s="3"/>
    </row>
    <row r="13" spans="1:6">
      <c r="A13" s="3" t="s">
        <v>115</v>
      </c>
    </row>
    <row r="14" spans="1:6">
      <c r="A14" s="3"/>
    </row>
    <row r="15" spans="1:6">
      <c r="A15" s="4"/>
    </row>
    <row r="16" spans="1:6">
      <c r="A16" s="63"/>
      <c r="B16" s="64"/>
      <c r="C16" s="64"/>
      <c r="D16" s="64"/>
      <c r="E16" s="64"/>
      <c r="F16" s="64"/>
    </row>
    <row r="17" spans="1:11">
      <c r="A17" s="65" t="s">
        <v>116</v>
      </c>
      <c r="B17" s="64"/>
      <c r="C17" s="64"/>
      <c r="D17" s="64"/>
      <c r="E17" s="64"/>
      <c r="F17" s="64"/>
    </row>
    <row r="18" spans="1:11">
      <c r="A18" s="65"/>
      <c r="B18" s="64"/>
      <c r="C18" s="64"/>
      <c r="D18" s="64"/>
      <c r="E18" s="64"/>
      <c r="F18" s="64"/>
    </row>
    <row r="21" spans="1:11">
      <c r="A21" s="13" t="s">
        <v>34</v>
      </c>
      <c r="C21" s="24">
        <v>0.1</v>
      </c>
    </row>
    <row r="22" spans="1:11">
      <c r="A22" s="13" t="s">
        <v>35</v>
      </c>
      <c r="C22" s="49">
        <v>100000</v>
      </c>
    </row>
    <row r="23" spans="1:11">
      <c r="A23" s="13" t="s">
        <v>90</v>
      </c>
      <c r="C23" s="24">
        <v>10</v>
      </c>
    </row>
    <row r="25" spans="1:11">
      <c r="A25" s="14" t="s">
        <v>87</v>
      </c>
      <c r="C25" s="24">
        <v>7.0000000000000007E-2</v>
      </c>
    </row>
    <row r="26" spans="1:11">
      <c r="A26" s="13" t="s">
        <v>88</v>
      </c>
      <c r="C26" s="24">
        <v>0.08</v>
      </c>
    </row>
    <row r="27" spans="1:11">
      <c r="A27" s="13" t="s">
        <v>89</v>
      </c>
      <c r="C27" s="24">
        <v>0.09</v>
      </c>
    </row>
    <row r="28" spans="1:11">
      <c r="A28" s="13"/>
      <c r="B28" s="3"/>
    </row>
    <row r="29" spans="1:11" ht="13.5" thickBot="1">
      <c r="B29" s="11"/>
      <c r="C29" s="11"/>
      <c r="D29" s="11"/>
      <c r="E29" s="11"/>
      <c r="F29" s="11"/>
      <c r="G29" s="11"/>
    </row>
    <row r="30" spans="1:11">
      <c r="A30" s="29" t="s">
        <v>26</v>
      </c>
      <c r="B30" s="29" t="s">
        <v>0</v>
      </c>
      <c r="C30" s="29" t="s">
        <v>36</v>
      </c>
      <c r="D30" s="29" t="s">
        <v>37</v>
      </c>
      <c r="E30" s="29" t="s">
        <v>38</v>
      </c>
      <c r="F30" s="29" t="s">
        <v>0</v>
      </c>
      <c r="G30" s="20"/>
      <c r="H30" s="52"/>
      <c r="I30" s="79" t="s">
        <v>39</v>
      </c>
      <c r="J30" s="79"/>
    </row>
    <row r="31" spans="1:11">
      <c r="A31" s="50"/>
      <c r="B31" s="15" t="s">
        <v>27</v>
      </c>
      <c r="C31" s="15" t="s">
        <v>28</v>
      </c>
      <c r="D31" s="15" t="s">
        <v>29</v>
      </c>
      <c r="E31" s="15" t="s">
        <v>30</v>
      </c>
      <c r="F31" s="15" t="s">
        <v>27</v>
      </c>
      <c r="G31" s="11"/>
      <c r="H31" s="50"/>
      <c r="I31" s="15" t="s">
        <v>40</v>
      </c>
      <c r="J31" s="15" t="s">
        <v>41</v>
      </c>
      <c r="K31" t="s">
        <v>12</v>
      </c>
    </row>
    <row r="32" spans="1:11">
      <c r="A32" s="51"/>
      <c r="B32" s="31" t="s">
        <v>31</v>
      </c>
      <c r="C32" s="31"/>
      <c r="D32" s="31"/>
      <c r="E32" s="31"/>
      <c r="F32" s="31" t="s">
        <v>32</v>
      </c>
      <c r="G32" s="20"/>
      <c r="H32" s="51"/>
      <c r="I32" s="51"/>
      <c r="J32" s="51"/>
    </row>
    <row r="33" spans="1:12">
      <c r="A33" s="11">
        <v>1</v>
      </c>
      <c r="B33" s="16">
        <f>$C$22</f>
        <v>100000</v>
      </c>
      <c r="C33" s="16">
        <f t="shared" ref="C33:C42" si="0">$C$22/((1-((1+$C$21)^(-$C$23)))/$C$21)</f>
        <v>16274.539488251154</v>
      </c>
      <c r="D33" s="16">
        <f t="shared" ref="D33:D42" si="1">B33*$C$21</f>
        <v>10000</v>
      </c>
      <c r="E33" s="16">
        <f t="shared" ref="E33:E42" si="2">C33-D33</f>
        <v>6274.5394882511537</v>
      </c>
      <c r="F33" s="16">
        <f t="shared" ref="F33:F42" si="3">B33-E33</f>
        <v>93725.460511748854</v>
      </c>
      <c r="G33" s="16"/>
    </row>
    <row r="34" spans="1:12">
      <c r="A34" s="11">
        <v>2</v>
      </c>
      <c r="B34" s="16">
        <f t="shared" ref="B34:B42" si="4">F33</f>
        <v>93725.460511748854</v>
      </c>
      <c r="C34" s="16">
        <f t="shared" si="0"/>
        <v>16274.539488251154</v>
      </c>
      <c r="D34" s="16">
        <f t="shared" si="1"/>
        <v>9372.5460511748861</v>
      </c>
      <c r="E34" s="16">
        <f t="shared" si="2"/>
        <v>6901.9934370762676</v>
      </c>
      <c r="F34" s="33">
        <f t="shared" si="3"/>
        <v>86823.46707467259</v>
      </c>
      <c r="G34" s="33"/>
      <c r="H34" s="4" t="s">
        <v>42</v>
      </c>
      <c r="I34" s="72">
        <f>NPV($C$25,$D$33:D34)</f>
        <v>17532.139096143666</v>
      </c>
      <c r="J34" s="72">
        <f>NPV($C$25,$E$33:E34)+F34/(1+$C$25)^A34</f>
        <v>87727.502632699441</v>
      </c>
    </row>
    <row r="35" spans="1:12">
      <c r="A35" s="11">
        <v>3</v>
      </c>
      <c r="B35" s="16">
        <f t="shared" si="4"/>
        <v>86823.46707467259</v>
      </c>
      <c r="C35" s="16">
        <f t="shared" si="0"/>
        <v>16274.539488251154</v>
      </c>
      <c r="D35" s="16">
        <f t="shared" si="1"/>
        <v>8682.346707467259</v>
      </c>
      <c r="E35" s="16">
        <f t="shared" si="2"/>
        <v>7592.1927807838947</v>
      </c>
      <c r="F35" s="33">
        <f t="shared" si="3"/>
        <v>79231.274293888695</v>
      </c>
      <c r="G35" s="33"/>
      <c r="H35" s="4"/>
      <c r="I35" s="72"/>
      <c r="J35" s="72"/>
    </row>
    <row r="36" spans="1:12">
      <c r="A36" s="11">
        <v>4</v>
      </c>
      <c r="B36" s="16">
        <f t="shared" si="4"/>
        <v>79231.274293888695</v>
      </c>
      <c r="C36" s="16">
        <f t="shared" si="0"/>
        <v>16274.539488251154</v>
      </c>
      <c r="D36" s="16">
        <f t="shared" si="1"/>
        <v>7923.12742938887</v>
      </c>
      <c r="E36" s="16">
        <f t="shared" si="2"/>
        <v>8351.4120588622827</v>
      </c>
      <c r="F36" s="33">
        <f t="shared" si="3"/>
        <v>70879.862235026405</v>
      </c>
      <c r="G36" s="33"/>
      <c r="H36" s="4"/>
      <c r="I36" s="72"/>
      <c r="J36" s="72"/>
    </row>
    <row r="37" spans="1:12">
      <c r="A37" s="11">
        <v>5</v>
      </c>
      <c r="B37" s="16">
        <f t="shared" si="4"/>
        <v>70879.862235026405</v>
      </c>
      <c r="C37" s="16">
        <f t="shared" si="0"/>
        <v>16274.539488251154</v>
      </c>
      <c r="D37" s="16">
        <f t="shared" si="1"/>
        <v>7087.9862235026412</v>
      </c>
      <c r="E37" s="16">
        <f t="shared" si="2"/>
        <v>9186.5532647485124</v>
      </c>
      <c r="F37" s="33">
        <f t="shared" si="3"/>
        <v>61693.308970277896</v>
      </c>
      <c r="G37" s="33"/>
      <c r="H37" s="4"/>
      <c r="I37" s="72"/>
      <c r="J37" s="72"/>
    </row>
    <row r="38" spans="1:12">
      <c r="A38" s="71">
        <v>6</v>
      </c>
      <c r="B38" s="53">
        <f t="shared" si="4"/>
        <v>61693.308970277896</v>
      </c>
      <c r="C38" s="53">
        <f t="shared" si="0"/>
        <v>16274.539488251154</v>
      </c>
      <c r="D38" s="53">
        <f t="shared" si="1"/>
        <v>6169.3308970277903</v>
      </c>
      <c r="E38" s="53">
        <f t="shared" si="2"/>
        <v>10105.208591223363</v>
      </c>
      <c r="F38" s="58">
        <f t="shared" si="3"/>
        <v>51588.100379054536</v>
      </c>
      <c r="G38" s="58"/>
      <c r="H38" s="73" t="s">
        <v>44</v>
      </c>
      <c r="I38" s="74">
        <f>NPV($C$25,$D$33:D39)</f>
        <v>43041.205766853353</v>
      </c>
      <c r="J38" s="74">
        <f>NPV($C$25,$E$33:E39)+F39/(1+$C$25)^A39</f>
        <v>69871.155963202647</v>
      </c>
    </row>
    <row r="39" spans="1:12" s="21" customFormat="1">
      <c r="A39" s="71">
        <v>7</v>
      </c>
      <c r="B39" s="53">
        <f t="shared" si="4"/>
        <v>51588.100379054536</v>
      </c>
      <c r="C39" s="53">
        <f t="shared" si="0"/>
        <v>16274.539488251154</v>
      </c>
      <c r="D39" s="53">
        <f t="shared" si="1"/>
        <v>5158.810037905454</v>
      </c>
      <c r="E39" s="53">
        <f t="shared" si="2"/>
        <v>11115.7294503457</v>
      </c>
      <c r="F39" s="58">
        <f t="shared" si="3"/>
        <v>40472.370928708835</v>
      </c>
      <c r="G39" s="58"/>
      <c r="H39" s="73" t="s">
        <v>43</v>
      </c>
      <c r="I39" s="74">
        <f>NPV($C$26,$D$33:D39)</f>
        <v>41732.574148332504</v>
      </c>
      <c r="J39" s="74">
        <f>NPV($C$26,$E$33:E39)+F39/(1+$C$26)^A39</f>
        <v>66613.940681334003</v>
      </c>
      <c r="L39" s="23"/>
    </row>
    <row r="40" spans="1:12">
      <c r="A40" s="11">
        <v>8</v>
      </c>
      <c r="B40" s="16">
        <f t="shared" si="4"/>
        <v>40472.370928708835</v>
      </c>
      <c r="C40" s="16">
        <f t="shared" si="0"/>
        <v>16274.539488251154</v>
      </c>
      <c r="D40" s="16">
        <f t="shared" si="1"/>
        <v>4047.2370928708838</v>
      </c>
      <c r="E40" s="16">
        <f t="shared" si="2"/>
        <v>12227.302395380269</v>
      </c>
      <c r="F40" s="33">
        <f t="shared" si="3"/>
        <v>28245.068533328566</v>
      </c>
      <c r="G40" s="33"/>
      <c r="H40" s="4" t="s">
        <v>45</v>
      </c>
      <c r="I40" s="72">
        <f>NPV($C$27,$D$33:D39)</f>
        <v>40487.625249263445</v>
      </c>
      <c r="J40" s="72">
        <f>NPV($C$27,$E$33:E39)+F39/(1+$C$27)^A39</f>
        <v>63561.137275662884</v>
      </c>
    </row>
    <row r="41" spans="1:12">
      <c r="A41" s="11">
        <v>9</v>
      </c>
      <c r="B41" s="16">
        <f t="shared" si="4"/>
        <v>28245.068533328566</v>
      </c>
      <c r="C41" s="16">
        <f t="shared" si="0"/>
        <v>16274.539488251154</v>
      </c>
      <c r="D41" s="16">
        <f>B41*$C$21</f>
        <v>2824.5068533328567</v>
      </c>
      <c r="E41" s="16">
        <f t="shared" si="2"/>
        <v>13450.032634918298</v>
      </c>
      <c r="F41" s="33">
        <f t="shared" si="3"/>
        <v>14795.035898410268</v>
      </c>
      <c r="G41" s="33"/>
      <c r="H41" s="4"/>
      <c r="I41" s="4"/>
      <c r="J41" s="4"/>
    </row>
    <row r="42" spans="1:12" ht="13.5" thickBot="1">
      <c r="A42" s="18">
        <v>10</v>
      </c>
      <c r="B42" s="19">
        <f t="shared" si="4"/>
        <v>14795.035898410268</v>
      </c>
      <c r="C42" s="19">
        <f t="shared" si="0"/>
        <v>16274.539488251154</v>
      </c>
      <c r="D42" s="19">
        <f t="shared" si="1"/>
        <v>1479.503589841027</v>
      </c>
      <c r="E42" s="19">
        <f t="shared" si="2"/>
        <v>14795.035898410126</v>
      </c>
      <c r="F42" s="75">
        <f t="shared" si="3"/>
        <v>1.4188117347657681E-10</v>
      </c>
      <c r="G42" s="76"/>
      <c r="H42" s="77" t="s">
        <v>46</v>
      </c>
      <c r="I42" s="78">
        <f>NPV($C$27,$D$33:D42)</f>
        <v>44444.236795914621</v>
      </c>
      <c r="J42" s="78">
        <f>NPV($C$27,$E$33:E42)+F42/(1+$C$27)^A42</f>
        <v>60000.186883676819</v>
      </c>
      <c r="K42" s="16"/>
    </row>
    <row r="43" spans="1:12">
      <c r="A43" s="3"/>
      <c r="B43" s="12"/>
      <c r="C43" s="12"/>
      <c r="D43" s="12"/>
      <c r="E43" s="12"/>
      <c r="F43" s="12"/>
      <c r="G43" s="12"/>
      <c r="J43" t="s">
        <v>12</v>
      </c>
    </row>
    <row r="44" spans="1:12">
      <c r="A44" s="3"/>
      <c r="B44" s="12"/>
      <c r="C44" s="12"/>
      <c r="D44" s="12"/>
      <c r="E44" s="12"/>
      <c r="F44" s="12"/>
      <c r="G44" s="12"/>
      <c r="K44" s="16"/>
    </row>
    <row r="45" spans="1:12">
      <c r="A45" s="3"/>
      <c r="B45" s="12"/>
      <c r="C45" s="12"/>
      <c r="D45" s="12"/>
      <c r="E45" s="12"/>
      <c r="F45" s="12"/>
      <c r="G45" s="12"/>
    </row>
    <row r="46" spans="1:12">
      <c r="A46" s="3"/>
      <c r="B46" s="12"/>
      <c r="C46" s="12"/>
      <c r="D46" s="12"/>
      <c r="E46" s="12"/>
      <c r="F46" s="12"/>
      <c r="G46" s="12"/>
    </row>
    <row r="47" spans="1:12">
      <c r="A47" s="3"/>
      <c r="B47" s="12"/>
      <c r="C47" s="12"/>
      <c r="D47" s="12"/>
      <c r="E47" s="12"/>
      <c r="F47" s="12"/>
      <c r="G47" s="12"/>
    </row>
    <row r="48" spans="1:12">
      <c r="A48" s="3"/>
      <c r="B48" s="12"/>
      <c r="C48" s="12"/>
      <c r="D48" s="12"/>
      <c r="E48" s="12"/>
      <c r="F48" s="12"/>
      <c r="G48" s="12"/>
    </row>
    <row r="49" spans="1:7">
      <c r="A49" s="3"/>
      <c r="B49" s="12"/>
      <c r="C49" s="12"/>
      <c r="D49" s="12"/>
      <c r="E49" s="12"/>
      <c r="F49" s="12"/>
      <c r="G49" s="12"/>
    </row>
    <row r="50" spans="1:7">
      <c r="A50" s="3"/>
      <c r="B50" s="12"/>
      <c r="C50" s="12"/>
      <c r="D50" s="12"/>
      <c r="E50" s="12"/>
      <c r="F50" s="12"/>
      <c r="G50" s="12"/>
    </row>
    <row r="51" spans="1:7">
      <c r="A51" s="3"/>
      <c r="B51" s="12"/>
      <c r="C51" s="12"/>
      <c r="D51" s="12"/>
      <c r="E51" s="12"/>
      <c r="F51" s="12"/>
      <c r="G51" s="12"/>
    </row>
    <row r="52" spans="1:7">
      <c r="A52" s="3"/>
      <c r="B52" s="12"/>
      <c r="C52" s="12"/>
      <c r="D52" s="12"/>
      <c r="E52" s="12"/>
      <c r="F52" s="12"/>
      <c r="G52" s="12"/>
    </row>
    <row r="53" spans="1:7">
      <c r="A53" s="3"/>
      <c r="B53" s="12"/>
      <c r="C53" s="12"/>
      <c r="D53" s="12"/>
      <c r="E53" s="12"/>
      <c r="F53" s="12"/>
      <c r="G53" s="12"/>
    </row>
    <row r="54" spans="1:7">
      <c r="A54" s="3"/>
      <c r="B54" s="12"/>
      <c r="C54" s="12"/>
      <c r="D54" s="12"/>
      <c r="E54" s="12"/>
      <c r="F54" s="12"/>
      <c r="G54" s="12"/>
    </row>
    <row r="55" spans="1:7">
      <c r="A55" s="3"/>
      <c r="B55" s="12"/>
      <c r="C55" s="12"/>
      <c r="D55" s="12"/>
      <c r="E55" s="12"/>
      <c r="F55" s="12"/>
      <c r="G55" s="12"/>
    </row>
    <row r="56" spans="1:7">
      <c r="A56" s="3"/>
      <c r="B56" s="12"/>
      <c r="C56" s="12"/>
      <c r="D56" s="12"/>
      <c r="E56" s="12"/>
      <c r="F56" s="12"/>
      <c r="G56" s="12"/>
    </row>
    <row r="57" spans="1:7">
      <c r="A57" s="3"/>
      <c r="B57" s="12"/>
      <c r="C57" s="12"/>
      <c r="D57" s="12"/>
      <c r="E57" s="12"/>
      <c r="F57" s="12"/>
      <c r="G57" s="12"/>
    </row>
    <row r="58" spans="1:7">
      <c r="A58" s="3"/>
      <c r="B58" s="12"/>
      <c r="C58" s="12"/>
      <c r="D58" s="12"/>
      <c r="E58" s="12"/>
      <c r="F58" s="12"/>
      <c r="G58" s="12"/>
    </row>
    <row r="59" spans="1:7">
      <c r="A59" s="3"/>
      <c r="B59" s="12"/>
      <c r="C59" s="12"/>
      <c r="D59" s="12"/>
      <c r="E59" s="12"/>
      <c r="F59" s="12"/>
      <c r="G59" s="12"/>
    </row>
    <row r="60" spans="1:7">
      <c r="A60" s="3"/>
      <c r="B60" s="12"/>
      <c r="C60" s="12"/>
      <c r="D60" s="12"/>
      <c r="E60" s="12"/>
      <c r="F60" s="12"/>
      <c r="G60" s="12"/>
    </row>
    <row r="61" spans="1:7">
      <c r="A61" s="3"/>
      <c r="B61" s="12"/>
      <c r="C61" s="12"/>
      <c r="D61" s="12"/>
      <c r="E61" s="12"/>
      <c r="F61" s="12"/>
      <c r="G61" s="12"/>
    </row>
    <row r="62" spans="1:7">
      <c r="A62" s="3"/>
      <c r="B62" s="12"/>
      <c r="C62" s="12"/>
      <c r="D62" s="12"/>
      <c r="E62" s="12"/>
      <c r="F62" s="12"/>
      <c r="G62" s="12"/>
    </row>
  </sheetData>
  <mergeCells count="1">
    <mergeCell ref="I30:J30"/>
  </mergeCells>
  <pageMargins left="0.75" right="0.75" top="1" bottom="1" header="0.5" footer="0.5"/>
  <pageSetup paperSize="9" scale="94" orientation="landscape" horizontalDpi="4294967292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Table 15.1</vt:lpstr>
      <vt:lpstr>Table 15.2</vt:lpstr>
      <vt:lpstr>Table 15.3</vt:lpstr>
      <vt:lpstr>Table 15.4</vt:lpstr>
      <vt:lpstr>Table 15.5</vt:lpstr>
      <vt:lpstr>Table 15.6 </vt:lpstr>
    </vt:vector>
  </TitlesOfParts>
  <Company>Management School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Imperial College</dc:creator>
  <cp:lastModifiedBy>plamen</cp:lastModifiedBy>
  <cp:lastPrinted>2001-05-14T13:52:53Z</cp:lastPrinted>
  <dcterms:created xsi:type="dcterms:W3CDTF">1998-10-28T16:58:31Z</dcterms:created>
  <dcterms:modified xsi:type="dcterms:W3CDTF">2009-04-27T21:05:24Z</dcterms:modified>
</cp:coreProperties>
</file>