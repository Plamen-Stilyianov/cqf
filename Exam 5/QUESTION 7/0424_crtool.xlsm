
<file path=[Content_Types].xml><?xml version="1.0" encoding="utf-8"?>
<Types xmlns="http://schemas.openxmlformats.org/package/2006/content-types">
  <Default Extension="bin" ContentType="application/vnd.openxmlformats-officedocument.spreadsheetml.printerSettings"/>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drawings/drawing6.xml" ContentType="application/vnd.openxmlformats-officedocument.drawing+xml"/>
  <Override PartName="/xl/charts/chart4.xml" ContentType="application/vnd.openxmlformats-officedocument.drawingml.chart+xml"/>
  <Override PartName="/xl/drawings/drawing7.xml" ContentType="application/vnd.openxmlformats-officedocument.drawing+xml"/>
  <Override PartName="/xl/charts/chart5.xml" ContentType="application/vnd.openxmlformats-officedocument.drawingml.chart+xml"/>
  <Override PartName="/xl/drawings/drawing8.xml" ContentType="application/vnd.openxmlformats-officedocument.drawing+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Default Extension="emf" ContentType="image/x-emf"/>
  <Override PartName="/xl/embeddings/oleObject3.bin" ContentType="application/vnd.openxmlformats-officedocument.oleObject"/>
  <Override PartName="/xl/drawings/drawing4.xml" ContentType="application/vnd.openxmlformats-officedocument.drawing+xml"/>
  <Override PartName="/xl/charts/chart2.xml" ContentType="application/vnd.openxmlformats-officedocument.drawingml.chart+xml"/>
  <Override PartName="/xl/drawings/drawing5.xml" ContentType="application/vnd.openxmlformats-officedocument.drawing+xml"/>
  <Override PartName="/xl/charts/chart3.xml" ContentType="application/vnd.openxmlformats-officedocument.drawingml.chart+xml"/>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embeddings/oleObject1.bin" ContentType="application/vnd.openxmlformats-officedocument.oleObject"/>
  <Override PartName="/xl/embeddings/oleObject2.bin" ContentType="application/vnd.openxmlformats-officedocument.oleObject"/>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Override PartName="/xl/externalLinks/externalLink1.xml" ContentType="application/vnd.openxmlformats-officedocument.spreadsheetml.externalLink+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6"/>
  <workbookPr defaultThemeVersion="124226"/>
  <bookViews>
    <workbookView xWindow="120" yWindow="-15" windowWidth="10695" windowHeight="8850" activeTab="3"/>
  </bookViews>
  <sheets>
    <sheet name="Additional Files" sheetId="9" r:id="rId1"/>
    <sheet name="Control Page" sheetId="1" r:id="rId2"/>
    <sheet name="Exposures&amp;StaticData" sheetId="2" r:id="rId3"/>
    <sheet name="Example1A" sheetId="3" r:id="rId4"/>
    <sheet name="Example1B" sheetId="4" r:id="rId5"/>
    <sheet name="Example1C" sheetId="5" r:id="rId6"/>
    <sheet name="Example2" sheetId="6" r:id="rId7"/>
    <sheet name="Example3" sheetId="7" r:id="rId8"/>
    <sheet name="Blank Template" sheetId="8" r:id="rId9"/>
  </sheets>
  <externalReferences>
    <externalReference r:id="rId10"/>
  </externalReferences>
  <definedNames>
    <definedName name="DefaultRates">'Exposures&amp;StaticData'!$G$12:$I$19</definedName>
    <definedName name="MultiYearDefaultRates">Example1C!$B$18:$H$25</definedName>
    <definedName name="RngDataExposure">#REF!</definedName>
    <definedName name="RngDataMean">#REF!</definedName>
    <definedName name="RngDataSD">#REF!</definedName>
    <definedName name="RngDataSectors">#REF!</definedName>
    <definedName name="RngMeanOut">#REF!</definedName>
    <definedName name="RngRho">Example3!$AJ$8:$BH$33</definedName>
    <definedName name="RngSDOut">#REF!</definedName>
    <definedName name="RngTotals">#REF!</definedName>
    <definedName name="RngUnit">#REF!</definedName>
  </definedNames>
  <calcPr calcId="125725"/>
</workbook>
</file>

<file path=xl/calcChain.xml><?xml version="1.0" encoding="utf-8"?>
<calcChain xmlns="http://schemas.openxmlformats.org/spreadsheetml/2006/main">
  <c r="E13" i="3"/>
  <c r="E33"/>
  <c r="E32"/>
  <c r="E31"/>
  <c r="E30"/>
  <c r="E29"/>
  <c r="E28"/>
  <c r="E27"/>
  <c r="E26"/>
  <c r="E25"/>
  <c r="E24"/>
  <c r="E23"/>
  <c r="E22"/>
  <c r="E21"/>
  <c r="E20"/>
  <c r="E19"/>
  <c r="E18"/>
  <c r="E17"/>
  <c r="E16"/>
  <c r="E15"/>
  <c r="E14"/>
  <c r="E12"/>
  <c r="E11"/>
  <c r="I19" i="2"/>
  <c r="F32" i="3"/>
  <c r="F31"/>
  <c r="I14" i="2"/>
  <c r="F30" i="3" s="1"/>
  <c r="I16" i="2"/>
  <c r="F29" i="3" s="1"/>
  <c r="F28"/>
  <c r="I17" i="2"/>
  <c r="F25" i="3" s="1"/>
  <c r="F24"/>
  <c r="I18" i="2"/>
  <c r="F18" i="3"/>
  <c r="F17"/>
  <c r="F16"/>
  <c r="F15"/>
  <c r="F14"/>
  <c r="F12"/>
  <c r="F11"/>
  <c r="I15" i="2"/>
  <c r="F27" i="3" s="1"/>
  <c r="F23"/>
  <c r="F20"/>
  <c r="I13" i="2"/>
  <c r="F33" i="3" s="1"/>
  <c r="I12" i="2"/>
  <c r="F21" i="3" s="1"/>
  <c r="E32" i="4"/>
  <c r="D49"/>
  <c r="E49"/>
  <c r="F49" s="1"/>
  <c r="D48"/>
  <c r="E48" s="1"/>
  <c r="F48" s="1"/>
  <c r="D47"/>
  <c r="E47"/>
  <c r="F47" s="1"/>
  <c r="E42"/>
  <c r="D42"/>
  <c r="C42"/>
  <c r="E13"/>
  <c r="E33"/>
  <c r="E31"/>
  <c r="E30"/>
  <c r="E29"/>
  <c r="E28"/>
  <c r="E27"/>
  <c r="E26"/>
  <c r="E25"/>
  <c r="E24"/>
  <c r="E23"/>
  <c r="E22"/>
  <c r="E21"/>
  <c r="E20"/>
  <c r="E19"/>
  <c r="E18"/>
  <c r="E17"/>
  <c r="E16"/>
  <c r="E15"/>
  <c r="E14"/>
  <c r="E12"/>
  <c r="E11"/>
  <c r="F32"/>
  <c r="F31"/>
  <c r="F29"/>
  <c r="F26"/>
  <c r="F24"/>
  <c r="F18"/>
  <c r="F17"/>
  <c r="F16"/>
  <c r="F15"/>
  <c r="F14"/>
  <c r="F13"/>
  <c r="F12"/>
  <c r="F11"/>
  <c r="F23"/>
  <c r="F20"/>
  <c r="F33"/>
  <c r="H20" i="5"/>
  <c r="O58" s="1"/>
  <c r="N58"/>
  <c r="H22"/>
  <c r="O57"/>
  <c r="N57"/>
  <c r="O56"/>
  <c r="N56"/>
  <c r="H18"/>
  <c r="O55" s="1"/>
  <c r="N55"/>
  <c r="H21"/>
  <c r="O54"/>
  <c r="N54"/>
  <c r="G20"/>
  <c r="O53" s="1"/>
  <c r="N53"/>
  <c r="G22"/>
  <c r="O52"/>
  <c r="N52"/>
  <c r="O51"/>
  <c r="N51"/>
  <c r="G21"/>
  <c r="O50" s="1"/>
  <c r="N50"/>
  <c r="N49"/>
  <c r="G18"/>
  <c r="O48"/>
  <c r="N48"/>
  <c r="O47"/>
  <c r="N47"/>
  <c r="O46"/>
  <c r="N46"/>
  <c r="G24"/>
  <c r="O45" s="1"/>
  <c r="N45"/>
  <c r="G25"/>
  <c r="O44"/>
  <c r="N44"/>
  <c r="F22"/>
  <c r="O43" s="1"/>
  <c r="N43"/>
  <c r="F23"/>
  <c r="O42"/>
  <c r="N42"/>
  <c r="F19"/>
  <c r="O41" s="1"/>
  <c r="N41"/>
  <c r="F25"/>
  <c r="O40"/>
  <c r="N40"/>
  <c r="O39"/>
  <c r="N39"/>
  <c r="F20"/>
  <c r="O38" s="1"/>
  <c r="N38"/>
  <c r="N37"/>
  <c r="N36"/>
  <c r="F21"/>
  <c r="O35"/>
  <c r="N35"/>
  <c r="O34"/>
  <c r="N34"/>
  <c r="O33"/>
  <c r="N33"/>
  <c r="O32"/>
  <c r="N32"/>
  <c r="O31"/>
  <c r="N31"/>
  <c r="O30"/>
  <c r="N30"/>
  <c r="F18"/>
  <c r="O29" s="1"/>
  <c r="N29"/>
  <c r="O28"/>
  <c r="N28"/>
  <c r="O27"/>
  <c r="N27"/>
  <c r="F24"/>
  <c r="O26"/>
  <c r="N26"/>
  <c r="O25"/>
  <c r="N25"/>
  <c r="O24"/>
  <c r="N24"/>
  <c r="O23"/>
  <c r="N23"/>
  <c r="O22"/>
  <c r="N22"/>
  <c r="O21"/>
  <c r="N21"/>
  <c r="O20"/>
  <c r="N20"/>
  <c r="O19"/>
  <c r="N19"/>
  <c r="H25"/>
  <c r="H24"/>
  <c r="H23"/>
  <c r="G23"/>
  <c r="H19"/>
  <c r="G19"/>
  <c r="F49"/>
  <c r="G49" s="1"/>
  <c r="F47"/>
  <c r="F34"/>
  <c r="G53"/>
  <c r="G52"/>
  <c r="G51"/>
  <c r="F50"/>
  <c r="G50"/>
  <c r="F48"/>
  <c r="G48"/>
  <c r="G46"/>
  <c r="G45"/>
  <c r="G44"/>
  <c r="F43"/>
  <c r="G42"/>
  <c r="F41"/>
  <c r="G41" s="1"/>
  <c r="F40"/>
  <c r="F39"/>
  <c r="G39"/>
  <c r="G38"/>
  <c r="G37"/>
  <c r="G36"/>
  <c r="G35"/>
  <c r="G33"/>
  <c r="G32"/>
  <c r="F31"/>
  <c r="J35" i="6"/>
  <c r="J34"/>
  <c r="J33"/>
  <c r="J32"/>
  <c r="J31"/>
  <c r="J30"/>
  <c r="J29"/>
  <c r="J28"/>
  <c r="J27"/>
  <c r="J26"/>
  <c r="J25"/>
  <c r="J24"/>
  <c r="J23"/>
  <c r="J22"/>
  <c r="J21"/>
  <c r="J20"/>
  <c r="J19"/>
  <c r="J18"/>
  <c r="J17"/>
  <c r="J16"/>
  <c r="J15"/>
  <c r="J14"/>
  <c r="J13"/>
  <c r="J12"/>
  <c r="J11"/>
  <c r="E13"/>
  <c r="E35"/>
  <c r="E34"/>
  <c r="E33"/>
  <c r="E32"/>
  <c r="E31"/>
  <c r="E30"/>
  <c r="E29"/>
  <c r="E28"/>
  <c r="E27"/>
  <c r="E26"/>
  <c r="E25"/>
  <c r="E24"/>
  <c r="E23"/>
  <c r="E22"/>
  <c r="E21"/>
  <c r="E20"/>
  <c r="E19"/>
  <c r="E18"/>
  <c r="E17"/>
  <c r="E16"/>
  <c r="E15"/>
  <c r="E14"/>
  <c r="E12"/>
  <c r="E11"/>
  <c r="F35"/>
  <c r="F32"/>
  <c r="F31"/>
  <c r="F30"/>
  <c r="F28"/>
  <c r="F25"/>
  <c r="F24"/>
  <c r="F18"/>
  <c r="F17"/>
  <c r="F16"/>
  <c r="F15"/>
  <c r="F14"/>
  <c r="F12"/>
  <c r="F11"/>
  <c r="F27"/>
  <c r="F22"/>
  <c r="F19"/>
  <c r="F21"/>
  <c r="K35" i="7"/>
  <c r="K34"/>
  <c r="K33"/>
  <c r="K32"/>
  <c r="K31"/>
  <c r="K30"/>
  <c r="K29"/>
  <c r="K28"/>
  <c r="K27"/>
  <c r="K26"/>
  <c r="K25"/>
  <c r="K24"/>
  <c r="K23"/>
  <c r="K22"/>
  <c r="K21"/>
  <c r="K20"/>
  <c r="K19"/>
  <c r="K18"/>
  <c r="K17"/>
  <c r="K16"/>
  <c r="K15"/>
  <c r="K14"/>
  <c r="K13"/>
  <c r="K12"/>
  <c r="K11"/>
  <c r="E13"/>
  <c r="E35"/>
  <c r="E34"/>
  <c r="E33"/>
  <c r="E32"/>
  <c r="E31"/>
  <c r="E30"/>
  <c r="E29"/>
  <c r="E28"/>
  <c r="E27"/>
  <c r="E26"/>
  <c r="E25"/>
  <c r="E24"/>
  <c r="E23"/>
  <c r="E22"/>
  <c r="E21"/>
  <c r="E20"/>
  <c r="E19"/>
  <c r="E18"/>
  <c r="E17"/>
  <c r="E16"/>
  <c r="E15"/>
  <c r="E14"/>
  <c r="E12"/>
  <c r="E11"/>
  <c r="F34"/>
  <c r="F32"/>
  <c r="F31"/>
  <c r="F30"/>
  <c r="F28"/>
  <c r="F26"/>
  <c r="F24"/>
  <c r="F22"/>
  <c r="F20"/>
  <c r="F18"/>
  <c r="F17"/>
  <c r="F16"/>
  <c r="F15"/>
  <c r="F14"/>
  <c r="F12"/>
  <c r="F11"/>
  <c r="F13" l="1"/>
  <c r="F19"/>
  <c r="F21"/>
  <c r="F23"/>
  <c r="F25"/>
  <c r="F27"/>
  <c r="F29"/>
  <c r="F33"/>
  <c r="F35"/>
  <c r="F33" i="6"/>
  <c r="F20"/>
  <c r="F23"/>
  <c r="F13"/>
  <c r="F26"/>
  <c r="F29"/>
  <c r="F34"/>
  <c r="O36" i="5"/>
  <c r="O37"/>
  <c r="O49"/>
  <c r="F21" i="4"/>
  <c r="F19"/>
  <c r="F22"/>
  <c r="F27"/>
  <c r="F25"/>
  <c r="F28"/>
  <c r="F30"/>
  <c r="F19" i="3"/>
  <c r="F22"/>
  <c r="F13"/>
  <c r="F26"/>
</calcChain>
</file>

<file path=xl/sharedStrings.xml><?xml version="1.0" encoding="utf-8"?>
<sst xmlns="http://schemas.openxmlformats.org/spreadsheetml/2006/main" count="508" uniqueCount="102">
  <si>
    <t>Example Spreadsheet Implementation</t>
  </si>
  <si>
    <t>Control Page</t>
  </si>
  <si>
    <t>Obligor Details</t>
  </si>
  <si>
    <t>Example Default Rate Data</t>
  </si>
  <si>
    <t>Credit</t>
  </si>
  <si>
    <t>Mean</t>
  </si>
  <si>
    <t>Standard</t>
  </si>
  <si>
    <t>Name</t>
  </si>
  <si>
    <t>Exposure</t>
  </si>
  <si>
    <t>Rating</t>
  </si>
  <si>
    <t>Default rate</t>
  </si>
  <si>
    <t>Deviation</t>
  </si>
  <si>
    <t>H</t>
  </si>
  <si>
    <t>A</t>
  </si>
  <si>
    <t>B</t>
  </si>
  <si>
    <t>F</t>
  </si>
  <si>
    <t>C</t>
  </si>
  <si>
    <t>G</t>
  </si>
  <si>
    <t>D</t>
  </si>
  <si>
    <t>E</t>
  </si>
  <si>
    <t>Outputs - Risk Contributions, Percentiles and loss distribution</t>
  </si>
  <si>
    <t>Sector split</t>
  </si>
  <si>
    <t>General</t>
  </si>
  <si>
    <t>Expected</t>
  </si>
  <si>
    <t>Risk</t>
  </si>
  <si>
    <t>Loss</t>
  </si>
  <si>
    <t>economy</t>
  </si>
  <si>
    <t>Contribution</t>
  </si>
  <si>
    <t>Percentile</t>
  </si>
  <si>
    <t>Amount</t>
  </si>
  <si>
    <t>Probability</t>
  </si>
  <si>
    <t>Comparison between examples 1A and 1B</t>
  </si>
  <si>
    <t>Removed Obligor Details</t>
  </si>
  <si>
    <t>Total</t>
  </si>
  <si>
    <t>Portfolio Movement Analysis</t>
  </si>
  <si>
    <t>Absolute</t>
  </si>
  <si>
    <t>%</t>
  </si>
  <si>
    <t>Example 1A</t>
  </si>
  <si>
    <t>Example 1B</t>
  </si>
  <si>
    <t>Movement</t>
  </si>
  <si>
    <t>99th Percentile</t>
  </si>
  <si>
    <t xml:space="preserve"> </t>
  </si>
  <si>
    <t>Multi - Year Default Rate Data</t>
  </si>
  <si>
    <t>Data Input to Model</t>
  </si>
  <si>
    <t>Marginal Default Rate</t>
  </si>
  <si>
    <t>Standard Deviation</t>
  </si>
  <si>
    <t>Year  1</t>
  </si>
  <si>
    <t>Year  2</t>
  </si>
  <si>
    <t>Year  3</t>
  </si>
  <si>
    <t>Year</t>
  </si>
  <si>
    <t>1 (Year 1)</t>
  </si>
  <si>
    <t>2 (Year 1)</t>
  </si>
  <si>
    <t>3 (Year 1)</t>
  </si>
  <si>
    <t>4 (Year 1)</t>
  </si>
  <si>
    <t>5 (Year 1)</t>
  </si>
  <si>
    <t>6 (Year 1)</t>
  </si>
  <si>
    <t>7 (Year 1)</t>
  </si>
  <si>
    <t>8 (Year 1)</t>
  </si>
  <si>
    <t>Multi - Year Obligor Details</t>
  </si>
  <si>
    <t>9 (Year 1)</t>
  </si>
  <si>
    <t>Portfolio Exposure Profile</t>
  </si>
  <si>
    <t>10 (Year 1)</t>
  </si>
  <si>
    <t>11 (Year 1)</t>
  </si>
  <si>
    <t>Year 1</t>
  </si>
  <si>
    <t>Year 2</t>
  </si>
  <si>
    <t>Year 3</t>
  </si>
  <si>
    <t>12 (Year 1)</t>
  </si>
  <si>
    <t>13 (Year 1)</t>
  </si>
  <si>
    <t>14 (Year 1)</t>
  </si>
  <si>
    <t>15 (Year 1)</t>
  </si>
  <si>
    <t>16 (Year 1)</t>
  </si>
  <si>
    <t>17 (Year 1)</t>
  </si>
  <si>
    <t>18 (Year 1)</t>
  </si>
  <si>
    <t>19 (Year 1)</t>
  </si>
  <si>
    <t>20 (Year 1)</t>
  </si>
  <si>
    <t>21 (Year 1)</t>
  </si>
  <si>
    <t>22 (Year 1)</t>
  </si>
  <si>
    <t>23 (Year 1)</t>
  </si>
  <si>
    <t>24 (Year 1)</t>
  </si>
  <si>
    <t>25 (Year 1)</t>
  </si>
  <si>
    <t>1 (Year 2)</t>
  </si>
  <si>
    <t>4 (Year 2)</t>
  </si>
  <si>
    <t>9 (Year 2)</t>
  </si>
  <si>
    <t>10 (Year 2)</t>
  </si>
  <si>
    <t>11 (Year 2)</t>
  </si>
  <si>
    <t>13 (Year 2)</t>
  </si>
  <si>
    <t>17 (Year 2)</t>
  </si>
  <si>
    <t>18 (Year 2)</t>
  </si>
  <si>
    <t>19 (Year 2)</t>
  </si>
  <si>
    <t>20 (Year 2)</t>
  </si>
  <si>
    <t>9 (Year 3)</t>
  </si>
  <si>
    <t>11 (Year 3)</t>
  </si>
  <si>
    <t>18 (Year 3)</t>
  </si>
  <si>
    <t>19 (Year 3)</t>
  </si>
  <si>
    <t>20 (Year 3)</t>
  </si>
  <si>
    <t>US</t>
  </si>
  <si>
    <t>Japan</t>
  </si>
  <si>
    <t>Europe</t>
  </si>
  <si>
    <t>Specific</t>
  </si>
  <si>
    <t>Please save in appropriate folder and activate in &gt;Tools&gt;Add-ins</t>
  </si>
  <si>
    <t>Add-in with macros</t>
  </si>
  <si>
    <t>Documentation of CreditRisk+ model, incl. examples</t>
  </si>
</sst>
</file>

<file path=xl/styles.xml><?xml version="1.0" encoding="utf-8"?>
<styleSheet xmlns="http://schemas.openxmlformats.org/spreadsheetml/2006/main">
  <numFmts count="7">
    <numFmt numFmtId="43" formatCode="_-* #,##0.00_-;\-* #,##0.00_-;_-* &quot;-&quot;??_-;_-@_-"/>
    <numFmt numFmtId="164" formatCode="0.0%"/>
    <numFmt numFmtId="165" formatCode="0.000"/>
    <numFmt numFmtId="166" formatCode="0.00000"/>
    <numFmt numFmtId="167" formatCode="_-* #,##0.000000_-;\-* #,##0.000000_-;_-* &quot;-&quot;??_-;_-@_-"/>
    <numFmt numFmtId="168" formatCode="_-* #,##0_-;\-* #,##0_-;_-* &quot;-&quot;??_-;_-@_-"/>
    <numFmt numFmtId="169" formatCode="#,##0\ ;[Red]\(#,##0\)"/>
  </numFmts>
  <fonts count="15">
    <font>
      <sz val="10"/>
      <name val="Akzidenz Grotesk Light"/>
    </font>
    <font>
      <b/>
      <sz val="10"/>
      <name val="Akzidenz Grotesk Light"/>
    </font>
    <font>
      <b/>
      <i/>
      <sz val="10"/>
      <name val="Akzidenz Grotesk Light"/>
    </font>
    <font>
      <sz val="10"/>
      <name val="Akzidenz Grotesk Light"/>
    </font>
    <font>
      <sz val="8"/>
      <name val="Akzidenz Grotesk Light"/>
    </font>
    <font>
      <sz val="10"/>
      <name val="Akzidenz Grotesk Light"/>
      <family val="2"/>
    </font>
    <font>
      <b/>
      <sz val="10"/>
      <name val="Akzidenz Grotesk Light"/>
      <family val="2"/>
    </font>
    <font>
      <b/>
      <sz val="14"/>
      <name val="Akzidenz Grotesk Light"/>
      <family val="2"/>
    </font>
    <font>
      <b/>
      <sz val="16"/>
      <name val="Akzidenz Grotesk Light"/>
      <family val="2"/>
    </font>
    <font>
      <b/>
      <sz val="14"/>
      <name val="Akzidenz Grotesk Light"/>
    </font>
    <font>
      <u/>
      <sz val="10"/>
      <name val="Akzidenz Grotesk Light"/>
      <family val="2"/>
    </font>
    <font>
      <b/>
      <sz val="16"/>
      <color indexed="16"/>
      <name val="Akzidenz Grotesk Light"/>
      <family val="2"/>
    </font>
    <font>
      <b/>
      <sz val="20"/>
      <name val="Akzidenz Grotesk Light"/>
    </font>
    <font>
      <b/>
      <sz val="12"/>
      <name val="Akzidenz Grotesk Light"/>
    </font>
    <font>
      <b/>
      <sz val="12"/>
      <color indexed="12"/>
      <name val="Akzidenz Grotesk Light"/>
    </font>
  </fonts>
  <fills count="4">
    <fill>
      <patternFill patternType="none"/>
    </fill>
    <fill>
      <patternFill patternType="gray125"/>
    </fill>
    <fill>
      <patternFill patternType="solid">
        <fgColor indexed="22"/>
        <bgColor indexed="64"/>
      </patternFill>
    </fill>
    <fill>
      <patternFill patternType="solid">
        <fgColor indexed="9"/>
        <bgColor indexed="64"/>
      </patternFill>
    </fill>
  </fills>
  <borders count="10">
    <border>
      <left/>
      <right/>
      <top/>
      <bottom/>
      <diagonal/>
    </border>
    <border>
      <left/>
      <right/>
      <top style="thin">
        <color indexed="64"/>
      </top>
      <bottom/>
      <diagonal/>
    </border>
    <border>
      <left/>
      <right/>
      <top/>
      <bottom style="thin">
        <color indexed="64"/>
      </bottom>
      <diagonal/>
    </border>
    <border>
      <left/>
      <right/>
      <top style="thin">
        <color indexed="64"/>
      </top>
      <bottom style="thin">
        <color indexed="64"/>
      </bottom>
      <diagonal/>
    </border>
    <border>
      <left/>
      <right/>
      <top style="thin">
        <color indexed="64"/>
      </top>
      <bottom style="medium">
        <color indexed="64"/>
      </bottom>
      <diagonal/>
    </border>
    <border>
      <left/>
      <right/>
      <top style="medium">
        <color indexed="64"/>
      </top>
      <bottom/>
      <diagonal/>
    </border>
    <border>
      <left/>
      <right/>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indexed="64"/>
      </left>
      <right/>
      <top/>
      <bottom/>
      <diagonal/>
    </border>
  </borders>
  <cellStyleXfs count="2">
    <xf numFmtId="0" fontId="0" fillId="0" borderId="0"/>
    <xf numFmtId="43" fontId="3" fillId="0" borderId="0" applyFont="0" applyFill="0" applyBorder="0" applyAlignment="0" applyProtection="0"/>
  </cellStyleXfs>
  <cellXfs count="97">
    <xf numFmtId="0" fontId="0" fillId="0" borderId="0" xfId="0"/>
    <xf numFmtId="10" fontId="0" fillId="0" borderId="0" xfId="0" applyNumberFormat="1"/>
    <xf numFmtId="0" fontId="0" fillId="0" borderId="0" xfId="0" applyAlignment="1">
      <alignment horizontal="center"/>
    </xf>
    <xf numFmtId="0" fontId="1" fillId="0" borderId="0" xfId="0" applyFont="1" applyAlignment="1">
      <alignment horizontal="centerContinuous"/>
    </xf>
    <xf numFmtId="3" fontId="0" fillId="0" borderId="0" xfId="0" applyNumberFormat="1"/>
    <xf numFmtId="0" fontId="1" fillId="0" borderId="0" xfId="0" applyFont="1" applyBorder="1" applyAlignment="1">
      <alignment horizontal="center"/>
    </xf>
    <xf numFmtId="0" fontId="3" fillId="0" borderId="0" xfId="0" applyFont="1" applyBorder="1" applyAlignment="1">
      <alignment horizontal="center"/>
    </xf>
    <xf numFmtId="0" fontId="0" fillId="0" borderId="0" xfId="0" applyBorder="1"/>
    <xf numFmtId="0" fontId="1" fillId="0" borderId="0" xfId="0" applyFont="1"/>
    <xf numFmtId="0" fontId="0" fillId="0" borderId="0" xfId="0" applyBorder="1" applyAlignment="1">
      <alignment horizontal="center"/>
    </xf>
    <xf numFmtId="10" fontId="0" fillId="0" borderId="0" xfId="0" applyNumberFormat="1" applyBorder="1"/>
    <xf numFmtId="0" fontId="7" fillId="0" borderId="0" xfId="0" applyFont="1" applyAlignment="1">
      <alignment horizontal="left"/>
    </xf>
    <xf numFmtId="0" fontId="5" fillId="2" borderId="1" xfId="0" applyFont="1" applyFill="1" applyBorder="1"/>
    <xf numFmtId="0" fontId="6" fillId="2" borderId="1" xfId="0" applyFont="1" applyFill="1" applyBorder="1" applyAlignment="1">
      <alignment horizontal="center"/>
    </xf>
    <xf numFmtId="165" fontId="6" fillId="2" borderId="1" xfId="0" applyNumberFormat="1" applyFont="1" applyFill="1" applyBorder="1" applyAlignment="1">
      <alignment horizontal="center"/>
    </xf>
    <xf numFmtId="0" fontId="6" fillId="2" borderId="2" xfId="0" applyFont="1" applyFill="1" applyBorder="1" applyAlignment="1">
      <alignment horizontal="center"/>
    </xf>
    <xf numFmtId="0" fontId="6" fillId="2" borderId="2" xfId="0" applyFont="1" applyFill="1" applyBorder="1" applyAlignment="1">
      <alignment horizontal="right"/>
    </xf>
    <xf numFmtId="0" fontId="0" fillId="2" borderId="0" xfId="0" applyFill="1" applyAlignment="1">
      <alignment horizontal="center"/>
    </xf>
    <xf numFmtId="3" fontId="0" fillId="2" borderId="0" xfId="0" applyNumberFormat="1" applyFill="1"/>
    <xf numFmtId="3" fontId="0" fillId="2" borderId="0" xfId="0" applyNumberFormat="1" applyFill="1" applyAlignment="1">
      <alignment horizontal="center"/>
    </xf>
    <xf numFmtId="0" fontId="0" fillId="2" borderId="2" xfId="0" applyFill="1" applyBorder="1" applyAlignment="1">
      <alignment horizontal="center"/>
    </xf>
    <xf numFmtId="3" fontId="0" fillId="2" borderId="2" xfId="0" applyNumberFormat="1" applyFill="1" applyBorder="1"/>
    <xf numFmtId="3" fontId="0" fillId="2" borderId="2" xfId="0" applyNumberFormat="1" applyFill="1" applyBorder="1" applyAlignment="1">
      <alignment horizontal="center"/>
    </xf>
    <xf numFmtId="165" fontId="6" fillId="2" borderId="1" xfId="0" applyNumberFormat="1" applyFont="1" applyFill="1" applyBorder="1" applyAlignment="1">
      <alignment horizontal="right"/>
    </xf>
    <xf numFmtId="10" fontId="0" fillId="2" borderId="0" xfId="0" applyNumberFormat="1" applyFill="1"/>
    <xf numFmtId="10" fontId="0" fillId="2" borderId="2" xfId="0" applyNumberFormat="1" applyFill="1" applyBorder="1"/>
    <xf numFmtId="0" fontId="6" fillId="2" borderId="1" xfId="0" applyFont="1" applyFill="1" applyBorder="1" applyAlignment="1">
      <alignment horizontal="right"/>
    </xf>
    <xf numFmtId="0" fontId="6" fillId="2" borderId="3" xfId="0" applyFont="1" applyFill="1" applyBorder="1" applyAlignment="1">
      <alignment horizontal="right"/>
    </xf>
    <xf numFmtId="0" fontId="1" fillId="2" borderId="0" xfId="0" applyFont="1" applyFill="1"/>
    <xf numFmtId="165" fontId="1" fillId="2" borderId="0" xfId="0" applyNumberFormat="1" applyFont="1" applyFill="1" applyAlignment="1">
      <alignment horizontal="center"/>
    </xf>
    <xf numFmtId="0" fontId="1" fillId="2" borderId="0" xfId="0" applyFont="1" applyFill="1" applyAlignment="1">
      <alignment horizontal="right"/>
    </xf>
    <xf numFmtId="0" fontId="3" fillId="2" borderId="0" xfId="0" applyFont="1" applyFill="1" applyAlignment="1">
      <alignment horizontal="right"/>
    </xf>
    <xf numFmtId="0" fontId="3" fillId="2" borderId="2" xfId="0" applyFont="1" applyFill="1" applyBorder="1" applyAlignment="1">
      <alignment horizontal="right"/>
    </xf>
    <xf numFmtId="0" fontId="6" fillId="2" borderId="3" xfId="0" applyFont="1" applyFill="1" applyBorder="1" applyAlignment="1">
      <alignment horizontal="centerContinuous"/>
    </xf>
    <xf numFmtId="0" fontId="8" fillId="0" borderId="0" xfId="0" applyFont="1" applyAlignment="1">
      <alignment horizontal="left"/>
    </xf>
    <xf numFmtId="0" fontId="9" fillId="0" borderId="0" xfId="0" applyFont="1"/>
    <xf numFmtId="167" fontId="0" fillId="2" borderId="0" xfId="1" applyNumberFormat="1" applyFont="1" applyFill="1"/>
    <xf numFmtId="9" fontId="0" fillId="2" borderId="0" xfId="0" applyNumberFormat="1" applyFill="1"/>
    <xf numFmtId="9" fontId="0" fillId="2" borderId="2" xfId="0" applyNumberFormat="1" applyFill="1" applyBorder="1"/>
    <xf numFmtId="167" fontId="0" fillId="0" borderId="0" xfId="0" applyNumberFormat="1"/>
    <xf numFmtId="10" fontId="3" fillId="2" borderId="0" xfId="0" applyNumberFormat="1" applyFont="1" applyFill="1" applyAlignment="1">
      <alignment horizontal="center"/>
    </xf>
    <xf numFmtId="10" fontId="0" fillId="2" borderId="0" xfId="0" applyNumberFormat="1" applyFill="1" applyAlignment="1">
      <alignment horizontal="center"/>
    </xf>
    <xf numFmtId="166" fontId="0" fillId="0" borderId="0" xfId="0" applyNumberFormat="1"/>
    <xf numFmtId="1" fontId="10" fillId="0" borderId="0" xfId="0" applyNumberFormat="1" applyFont="1"/>
    <xf numFmtId="168" fontId="0" fillId="0" borderId="0" xfId="1" applyNumberFormat="1" applyFont="1"/>
    <xf numFmtId="2" fontId="0" fillId="2" borderId="0" xfId="0" applyNumberFormat="1" applyFill="1"/>
    <xf numFmtId="2" fontId="0" fillId="2" borderId="2" xfId="0" applyNumberFormat="1" applyFill="1" applyBorder="1"/>
    <xf numFmtId="2" fontId="0" fillId="2" borderId="0" xfId="0" applyNumberFormat="1" applyFill="1" applyAlignment="1">
      <alignment horizontal="center"/>
    </xf>
    <xf numFmtId="2" fontId="0" fillId="2" borderId="2" xfId="0" applyNumberFormat="1" applyFill="1" applyBorder="1" applyAlignment="1">
      <alignment horizontal="center"/>
    </xf>
    <xf numFmtId="3" fontId="0" fillId="2" borderId="0" xfId="0" applyNumberFormat="1" applyFill="1" applyAlignment="1">
      <alignment horizontal="right"/>
    </xf>
    <xf numFmtId="3" fontId="0" fillId="2" borderId="2" xfId="0" applyNumberFormat="1" applyFill="1" applyBorder="1" applyAlignment="1">
      <alignment horizontal="right"/>
    </xf>
    <xf numFmtId="2" fontId="1" fillId="2" borderId="0" xfId="0" applyNumberFormat="1" applyFont="1" applyFill="1"/>
    <xf numFmtId="3" fontId="1" fillId="2" borderId="0" xfId="0" applyNumberFormat="1" applyFont="1" applyFill="1"/>
    <xf numFmtId="167" fontId="3" fillId="2" borderId="0" xfId="1" applyNumberFormat="1" applyFill="1"/>
    <xf numFmtId="2" fontId="1" fillId="2" borderId="0" xfId="0" applyNumberFormat="1" applyFont="1" applyFill="1" applyAlignment="1">
      <alignment horizontal="center"/>
    </xf>
    <xf numFmtId="0" fontId="8" fillId="0" borderId="0" xfId="0" applyFont="1" applyBorder="1" applyAlignment="1">
      <alignment horizontal="left"/>
    </xf>
    <xf numFmtId="3" fontId="0" fillId="0" borderId="0" xfId="0" applyNumberFormat="1" applyAlignment="1">
      <alignment horizontal="right"/>
    </xf>
    <xf numFmtId="0" fontId="0" fillId="0" borderId="0" xfId="0" applyAlignment="1">
      <alignment horizontal="right"/>
    </xf>
    <xf numFmtId="3" fontId="1" fillId="0" borderId="4" xfId="0" applyNumberFormat="1" applyFont="1" applyBorder="1" applyAlignment="1">
      <alignment horizontal="right"/>
    </xf>
    <xf numFmtId="0" fontId="1" fillId="0" borderId="5" xfId="0" applyFont="1" applyBorder="1"/>
    <xf numFmtId="0" fontId="1" fillId="0" borderId="5" xfId="0" applyFont="1" applyBorder="1" applyAlignment="1">
      <alignment horizontal="right"/>
    </xf>
    <xf numFmtId="10" fontId="1" fillId="0" borderId="5" xfId="0" applyNumberFormat="1" applyFont="1" applyBorder="1" applyAlignment="1">
      <alignment horizontal="right"/>
    </xf>
    <xf numFmtId="0" fontId="1" fillId="0" borderId="2" xfId="0" applyFont="1" applyBorder="1" applyAlignment="1">
      <alignment horizontal="center"/>
    </xf>
    <xf numFmtId="3" fontId="1" fillId="0" borderId="2" xfId="0" applyNumberFormat="1" applyFont="1" applyBorder="1" applyAlignment="1">
      <alignment horizontal="right"/>
    </xf>
    <xf numFmtId="0" fontId="1" fillId="0" borderId="2" xfId="0" applyFont="1" applyBorder="1" applyAlignment="1">
      <alignment horizontal="right"/>
    </xf>
    <xf numFmtId="10" fontId="1" fillId="0" borderId="2" xfId="0" applyNumberFormat="1" applyFont="1" applyBorder="1" applyAlignment="1">
      <alignment horizontal="right"/>
    </xf>
    <xf numFmtId="0" fontId="1" fillId="0" borderId="4" xfId="0" applyFont="1" applyBorder="1" applyAlignment="1">
      <alignment horizontal="center"/>
    </xf>
    <xf numFmtId="169" fontId="1" fillId="0" borderId="0" xfId="0" applyNumberFormat="1" applyFont="1" applyAlignment="1">
      <alignment horizontal="right"/>
    </xf>
    <xf numFmtId="3" fontId="0" fillId="0" borderId="6" xfId="0" applyNumberFormat="1" applyBorder="1" applyAlignment="1">
      <alignment horizontal="right"/>
    </xf>
    <xf numFmtId="169" fontId="1" fillId="0" borderId="6" xfId="0" applyNumberFormat="1" applyFont="1" applyBorder="1" applyAlignment="1">
      <alignment horizontal="right"/>
    </xf>
    <xf numFmtId="0" fontId="1" fillId="0" borderId="6" xfId="0" applyFont="1" applyBorder="1"/>
    <xf numFmtId="164" fontId="1" fillId="0" borderId="0" xfId="0" applyNumberFormat="1" applyFont="1" applyAlignment="1">
      <alignment horizontal="right"/>
    </xf>
    <xf numFmtId="164" fontId="1" fillId="0" borderId="6" xfId="0" applyNumberFormat="1" applyFont="1" applyBorder="1" applyAlignment="1">
      <alignment horizontal="right"/>
    </xf>
    <xf numFmtId="9" fontId="0" fillId="2" borderId="0" xfId="0" applyNumberFormat="1" applyFill="1" applyBorder="1"/>
    <xf numFmtId="0" fontId="0" fillId="2" borderId="0" xfId="0" applyFill="1" applyBorder="1" applyAlignment="1">
      <alignment horizontal="center"/>
    </xf>
    <xf numFmtId="3" fontId="0" fillId="2" borderId="0" xfId="0" applyNumberFormat="1" applyFill="1" applyBorder="1"/>
    <xf numFmtId="3" fontId="0" fillId="2" borderId="0" xfId="0" applyNumberFormat="1" applyFill="1" applyBorder="1" applyAlignment="1">
      <alignment horizontal="center"/>
    </xf>
    <xf numFmtId="0" fontId="1" fillId="2" borderId="2" xfId="0" applyFont="1" applyFill="1" applyBorder="1" applyAlignment="1">
      <alignment horizontal="right"/>
    </xf>
    <xf numFmtId="0" fontId="2" fillId="2" borderId="0" xfId="0" applyFont="1" applyFill="1" applyBorder="1" applyAlignment="1">
      <alignment horizontal="right"/>
    </xf>
    <xf numFmtId="0" fontId="1" fillId="2" borderId="1" xfId="0" applyFont="1" applyFill="1" applyBorder="1" applyAlignment="1">
      <alignment horizontal="centerContinuous"/>
    </xf>
    <xf numFmtId="0" fontId="1" fillId="2" borderId="0" xfId="0" applyFont="1" applyFill="1" applyAlignment="1">
      <alignment horizontal="center"/>
    </xf>
    <xf numFmtId="0" fontId="1" fillId="2" borderId="0" xfId="0" applyFont="1" applyFill="1" applyBorder="1" applyAlignment="1">
      <alignment horizontal="center"/>
    </xf>
    <xf numFmtId="167" fontId="3" fillId="2" borderId="2" xfId="1" applyNumberFormat="1" applyFill="1" applyBorder="1"/>
    <xf numFmtId="0" fontId="11" fillId="0" borderId="0" xfId="0" applyFont="1" applyAlignment="1">
      <alignment horizontal="left"/>
    </xf>
    <xf numFmtId="0" fontId="0" fillId="0" borderId="0" xfId="0" applyAlignment="1">
      <alignment horizontal="left"/>
    </xf>
    <xf numFmtId="0" fontId="12" fillId="0" borderId="3" xfId="0" applyFont="1" applyBorder="1"/>
    <xf numFmtId="0" fontId="0" fillId="0" borderId="3" xfId="0" applyBorder="1"/>
    <xf numFmtId="0" fontId="12" fillId="0" borderId="3" xfId="0" applyFont="1" applyBorder="1" applyAlignment="1">
      <alignment horizontal="right"/>
    </xf>
    <xf numFmtId="0" fontId="0" fillId="0" borderId="2" xfId="0" applyBorder="1"/>
    <xf numFmtId="165" fontId="6" fillId="2" borderId="1" xfId="0" applyNumberFormat="1" applyFont="1" applyFill="1" applyBorder="1" applyAlignment="1">
      <alignment horizontal="centerContinuous"/>
    </xf>
    <xf numFmtId="165" fontId="6" fillId="2" borderId="7" xfId="0" applyNumberFormat="1" applyFont="1" applyFill="1" applyBorder="1" applyAlignment="1">
      <alignment horizontal="centerContinuous"/>
    </xf>
    <xf numFmtId="0" fontId="6" fillId="2" borderId="8" xfId="0" applyFont="1" applyFill="1" applyBorder="1" applyAlignment="1">
      <alignment horizontal="right"/>
    </xf>
    <xf numFmtId="10" fontId="0" fillId="2" borderId="9" xfId="0" applyNumberFormat="1" applyFill="1" applyBorder="1"/>
    <xf numFmtId="10" fontId="0" fillId="2" borderId="8" xfId="0" applyNumberFormat="1" applyFill="1" applyBorder="1"/>
    <xf numFmtId="167" fontId="0" fillId="2" borderId="2" xfId="1" applyNumberFormat="1" applyFont="1" applyFill="1" applyBorder="1"/>
    <xf numFmtId="0" fontId="0" fillId="3" borderId="0" xfId="0" applyFill="1"/>
    <xf numFmtId="0" fontId="1" fillId="3" borderId="0" xfId="0" applyFont="1" applyFill="1"/>
  </cellXfs>
  <cellStyles count="2">
    <cellStyle name="Comma" xfId="1" builtinId="3"/>
    <cellStyle name="Normal" xfId="0" builtinId="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c:lang val="en-GB"/>
  <c:chart>
    <c:title>
      <c:tx>
        <c:rich>
          <a:bodyPr/>
          <a:lstStyle/>
          <a:p>
            <a:pPr>
              <a:defRPr sz="1400" b="1" i="0" u="none" strike="noStrike" baseline="0">
                <a:solidFill>
                  <a:srgbClr val="000000"/>
                </a:solidFill>
                <a:latin typeface="Akzidenz Grotesk Light"/>
                <a:ea typeface="Akzidenz Grotesk Light"/>
                <a:cs typeface="Akzidenz Grotesk Light"/>
              </a:defRPr>
            </a:pPr>
            <a:r>
              <a:rPr lang="en-GB"/>
              <a:t>Credit Loss Distribution</a:t>
            </a:r>
          </a:p>
        </c:rich>
      </c:tx>
      <c:layout>
        <c:manualLayout>
          <c:xMode val="edge"/>
          <c:yMode val="edge"/>
          <c:x val="0.33031722862054091"/>
          <c:y val="2.8469775625013585E-2"/>
        </c:manualLayout>
      </c:layout>
      <c:spPr>
        <a:noFill/>
        <a:ln w="25400">
          <a:noFill/>
        </a:ln>
      </c:spPr>
    </c:title>
    <c:plotArea>
      <c:layout>
        <c:manualLayout>
          <c:layoutTarget val="inner"/>
          <c:xMode val="edge"/>
          <c:yMode val="edge"/>
          <c:x val="0.111614040721096"/>
          <c:y val="9.2526770781294149E-2"/>
          <c:w val="0.83861360325580236"/>
          <c:h val="0.80960924433632364"/>
        </c:manualLayout>
      </c:layout>
      <c:scatterChart>
        <c:scatterStyle val="smoothMarker"/>
        <c:ser>
          <c:idx val="0"/>
          <c:order val="0"/>
          <c:spPr>
            <a:ln w="25400">
              <a:solidFill>
                <a:srgbClr val="000080"/>
              </a:solidFill>
              <a:prstDash val="solid"/>
            </a:ln>
          </c:spPr>
          <c:marker>
            <c:symbol val="none"/>
          </c:marker>
          <c:xVal>
            <c:numRef>
              <c:f>Example1A!$P$11:$P$320</c:f>
              <c:numCache>
                <c:formatCode>#,##0</c:formatCode>
                <c:ptCount val="310"/>
                <c:pt idx="0">
                  <c:v>0</c:v>
                </c:pt>
                <c:pt idx="1">
                  <c:v>202389</c:v>
                </c:pt>
                <c:pt idx="2">
                  <c:v>404778</c:v>
                </c:pt>
                <c:pt idx="3">
                  <c:v>607167</c:v>
                </c:pt>
                <c:pt idx="4">
                  <c:v>809556</c:v>
                </c:pt>
                <c:pt idx="5">
                  <c:v>1011945</c:v>
                </c:pt>
                <c:pt idx="6">
                  <c:v>1214334</c:v>
                </c:pt>
                <c:pt idx="7">
                  <c:v>1416723</c:v>
                </c:pt>
                <c:pt idx="8">
                  <c:v>1619112</c:v>
                </c:pt>
                <c:pt idx="9">
                  <c:v>1821501</c:v>
                </c:pt>
                <c:pt idx="10">
                  <c:v>2023890</c:v>
                </c:pt>
                <c:pt idx="11">
                  <c:v>2226279</c:v>
                </c:pt>
                <c:pt idx="12">
                  <c:v>2428668</c:v>
                </c:pt>
                <c:pt idx="13">
                  <c:v>2631057</c:v>
                </c:pt>
                <c:pt idx="14">
                  <c:v>2833446</c:v>
                </c:pt>
                <c:pt idx="15">
                  <c:v>3035835</c:v>
                </c:pt>
                <c:pt idx="16">
                  <c:v>3238224</c:v>
                </c:pt>
                <c:pt idx="17">
                  <c:v>3440613</c:v>
                </c:pt>
                <c:pt idx="18">
                  <c:v>3643002</c:v>
                </c:pt>
                <c:pt idx="19">
                  <c:v>3845391</c:v>
                </c:pt>
                <c:pt idx="20">
                  <c:v>4047780</c:v>
                </c:pt>
                <c:pt idx="21">
                  <c:v>4250169</c:v>
                </c:pt>
                <c:pt idx="22">
                  <c:v>4452558</c:v>
                </c:pt>
                <c:pt idx="23">
                  <c:v>4654947</c:v>
                </c:pt>
                <c:pt idx="24">
                  <c:v>4857336</c:v>
                </c:pt>
                <c:pt idx="25">
                  <c:v>5059725</c:v>
                </c:pt>
                <c:pt idx="26">
                  <c:v>5262114</c:v>
                </c:pt>
                <c:pt idx="27">
                  <c:v>5464503</c:v>
                </c:pt>
                <c:pt idx="28">
                  <c:v>5666892</c:v>
                </c:pt>
                <c:pt idx="29">
                  <c:v>5869281</c:v>
                </c:pt>
                <c:pt idx="30">
                  <c:v>6071670</c:v>
                </c:pt>
                <c:pt idx="31">
                  <c:v>6274059</c:v>
                </c:pt>
                <c:pt idx="32">
                  <c:v>6476448</c:v>
                </c:pt>
                <c:pt idx="33">
                  <c:v>6678837</c:v>
                </c:pt>
                <c:pt idx="34">
                  <c:v>6881226</c:v>
                </c:pt>
                <c:pt idx="35">
                  <c:v>7083615</c:v>
                </c:pt>
                <c:pt idx="36">
                  <c:v>7286004</c:v>
                </c:pt>
                <c:pt idx="37">
                  <c:v>7488393</c:v>
                </c:pt>
                <c:pt idx="38">
                  <c:v>7690782</c:v>
                </c:pt>
                <c:pt idx="39">
                  <c:v>7893171</c:v>
                </c:pt>
                <c:pt idx="40">
                  <c:v>8095560</c:v>
                </c:pt>
                <c:pt idx="41">
                  <c:v>8297949</c:v>
                </c:pt>
                <c:pt idx="42">
                  <c:v>8500338</c:v>
                </c:pt>
                <c:pt idx="43">
                  <c:v>8702727</c:v>
                </c:pt>
                <c:pt idx="44">
                  <c:v>8905116</c:v>
                </c:pt>
                <c:pt idx="45">
                  <c:v>9107505</c:v>
                </c:pt>
                <c:pt idx="46">
                  <c:v>9309894</c:v>
                </c:pt>
                <c:pt idx="47">
                  <c:v>9512283</c:v>
                </c:pt>
                <c:pt idx="48">
                  <c:v>9714672</c:v>
                </c:pt>
                <c:pt idx="49">
                  <c:v>9917061</c:v>
                </c:pt>
                <c:pt idx="50">
                  <c:v>10119450</c:v>
                </c:pt>
                <c:pt idx="51">
                  <c:v>10321839</c:v>
                </c:pt>
                <c:pt idx="52">
                  <c:v>10524228</c:v>
                </c:pt>
                <c:pt idx="53">
                  <c:v>10726617</c:v>
                </c:pt>
                <c:pt idx="54">
                  <c:v>10929006</c:v>
                </c:pt>
                <c:pt idx="55">
                  <c:v>11131395</c:v>
                </c:pt>
                <c:pt idx="56">
                  <c:v>11333784</c:v>
                </c:pt>
                <c:pt idx="57">
                  <c:v>11536173</c:v>
                </c:pt>
                <c:pt idx="58">
                  <c:v>11738562</c:v>
                </c:pt>
                <c:pt idx="59">
                  <c:v>11940951</c:v>
                </c:pt>
                <c:pt idx="60">
                  <c:v>12143340</c:v>
                </c:pt>
                <c:pt idx="61">
                  <c:v>12345729</c:v>
                </c:pt>
                <c:pt idx="62">
                  <c:v>12548118</c:v>
                </c:pt>
                <c:pt idx="63">
                  <c:v>12750507</c:v>
                </c:pt>
                <c:pt idx="64">
                  <c:v>12952896</c:v>
                </c:pt>
                <c:pt idx="65">
                  <c:v>13155285</c:v>
                </c:pt>
                <c:pt idx="66">
                  <c:v>13357674</c:v>
                </c:pt>
                <c:pt idx="67">
                  <c:v>13560063</c:v>
                </c:pt>
                <c:pt idx="68">
                  <c:v>13762452</c:v>
                </c:pt>
                <c:pt idx="69">
                  <c:v>13964841</c:v>
                </c:pt>
                <c:pt idx="70">
                  <c:v>14167230</c:v>
                </c:pt>
                <c:pt idx="71">
                  <c:v>14369619</c:v>
                </c:pt>
                <c:pt idx="72">
                  <c:v>14572008</c:v>
                </c:pt>
                <c:pt idx="73">
                  <c:v>14774397</c:v>
                </c:pt>
                <c:pt idx="74">
                  <c:v>14976786</c:v>
                </c:pt>
                <c:pt idx="75">
                  <c:v>15179175</c:v>
                </c:pt>
                <c:pt idx="76">
                  <c:v>15381564</c:v>
                </c:pt>
                <c:pt idx="77">
                  <c:v>15583953</c:v>
                </c:pt>
                <c:pt idx="78">
                  <c:v>15786342</c:v>
                </c:pt>
                <c:pt idx="79">
                  <c:v>15988731</c:v>
                </c:pt>
                <c:pt idx="80">
                  <c:v>16191120</c:v>
                </c:pt>
                <c:pt idx="81">
                  <c:v>16393509</c:v>
                </c:pt>
                <c:pt idx="82">
                  <c:v>16595898</c:v>
                </c:pt>
                <c:pt idx="83">
                  <c:v>16798287</c:v>
                </c:pt>
                <c:pt idx="84">
                  <c:v>17000676</c:v>
                </c:pt>
                <c:pt idx="85">
                  <c:v>17203065</c:v>
                </c:pt>
                <c:pt idx="86">
                  <c:v>17405454</c:v>
                </c:pt>
                <c:pt idx="87">
                  <c:v>17607843</c:v>
                </c:pt>
                <c:pt idx="88">
                  <c:v>17810232</c:v>
                </c:pt>
                <c:pt idx="89">
                  <c:v>18012621</c:v>
                </c:pt>
                <c:pt idx="90">
                  <c:v>18215010</c:v>
                </c:pt>
                <c:pt idx="91">
                  <c:v>18417399</c:v>
                </c:pt>
                <c:pt idx="92">
                  <c:v>18619788</c:v>
                </c:pt>
                <c:pt idx="93">
                  <c:v>18822177</c:v>
                </c:pt>
                <c:pt idx="94">
                  <c:v>19024566</c:v>
                </c:pt>
                <c:pt idx="95">
                  <c:v>19226955</c:v>
                </c:pt>
                <c:pt idx="96">
                  <c:v>19429344</c:v>
                </c:pt>
                <c:pt idx="97">
                  <c:v>19631733</c:v>
                </c:pt>
                <c:pt idx="98">
                  <c:v>19834122</c:v>
                </c:pt>
                <c:pt idx="99">
                  <c:v>20036511</c:v>
                </c:pt>
                <c:pt idx="100">
                  <c:v>20238900</c:v>
                </c:pt>
                <c:pt idx="101">
                  <c:v>20441289</c:v>
                </c:pt>
                <c:pt idx="102">
                  <c:v>20643678</c:v>
                </c:pt>
                <c:pt idx="103">
                  <c:v>20846067</c:v>
                </c:pt>
                <c:pt idx="104">
                  <c:v>21048456</c:v>
                </c:pt>
                <c:pt idx="105">
                  <c:v>21250845</c:v>
                </c:pt>
                <c:pt idx="106">
                  <c:v>21453234</c:v>
                </c:pt>
                <c:pt idx="107">
                  <c:v>21655623</c:v>
                </c:pt>
                <c:pt idx="108">
                  <c:v>21858012</c:v>
                </c:pt>
                <c:pt idx="109">
                  <c:v>22060401</c:v>
                </c:pt>
                <c:pt idx="110">
                  <c:v>22262790</c:v>
                </c:pt>
                <c:pt idx="111">
                  <c:v>22465179</c:v>
                </c:pt>
                <c:pt idx="112">
                  <c:v>22667568</c:v>
                </c:pt>
                <c:pt idx="113">
                  <c:v>22869957</c:v>
                </c:pt>
                <c:pt idx="114">
                  <c:v>23072346</c:v>
                </c:pt>
                <c:pt idx="115">
                  <c:v>23274735</c:v>
                </c:pt>
                <c:pt idx="116">
                  <c:v>23477124</c:v>
                </c:pt>
                <c:pt idx="117">
                  <c:v>23679513</c:v>
                </c:pt>
                <c:pt idx="118">
                  <c:v>23881902</c:v>
                </c:pt>
                <c:pt idx="119">
                  <c:v>24084291</c:v>
                </c:pt>
                <c:pt idx="120">
                  <c:v>24286680</c:v>
                </c:pt>
                <c:pt idx="121">
                  <c:v>24489069</c:v>
                </c:pt>
                <c:pt idx="122">
                  <c:v>24691458</c:v>
                </c:pt>
                <c:pt idx="123">
                  <c:v>24893847</c:v>
                </c:pt>
                <c:pt idx="124">
                  <c:v>25096236</c:v>
                </c:pt>
                <c:pt idx="125">
                  <c:v>25298625</c:v>
                </c:pt>
                <c:pt idx="126">
                  <c:v>25501014</c:v>
                </c:pt>
                <c:pt idx="127">
                  <c:v>25703403</c:v>
                </c:pt>
                <c:pt idx="128">
                  <c:v>25905792</c:v>
                </c:pt>
                <c:pt idx="129">
                  <c:v>26108181</c:v>
                </c:pt>
                <c:pt idx="130">
                  <c:v>26310570</c:v>
                </c:pt>
                <c:pt idx="131">
                  <c:v>26512959</c:v>
                </c:pt>
                <c:pt idx="132">
                  <c:v>26715348</c:v>
                </c:pt>
                <c:pt idx="133">
                  <c:v>26917737</c:v>
                </c:pt>
                <c:pt idx="134">
                  <c:v>27120126</c:v>
                </c:pt>
                <c:pt idx="135">
                  <c:v>27322515</c:v>
                </c:pt>
                <c:pt idx="136">
                  <c:v>27524904</c:v>
                </c:pt>
                <c:pt idx="137">
                  <c:v>27727293</c:v>
                </c:pt>
                <c:pt idx="138">
                  <c:v>27929682</c:v>
                </c:pt>
                <c:pt idx="139">
                  <c:v>28132071</c:v>
                </c:pt>
                <c:pt idx="140">
                  <c:v>28334460</c:v>
                </c:pt>
                <c:pt idx="141">
                  <c:v>28536849</c:v>
                </c:pt>
                <c:pt idx="142">
                  <c:v>28739238</c:v>
                </c:pt>
                <c:pt idx="143">
                  <c:v>28941627</c:v>
                </c:pt>
                <c:pt idx="144">
                  <c:v>29144016</c:v>
                </c:pt>
                <c:pt idx="145">
                  <c:v>29346405</c:v>
                </c:pt>
                <c:pt idx="146">
                  <c:v>29548794</c:v>
                </c:pt>
                <c:pt idx="147">
                  <c:v>29751183</c:v>
                </c:pt>
                <c:pt idx="148">
                  <c:v>29953572</c:v>
                </c:pt>
                <c:pt idx="149">
                  <c:v>30155961</c:v>
                </c:pt>
                <c:pt idx="150">
                  <c:v>30358350</c:v>
                </c:pt>
                <c:pt idx="151">
                  <c:v>30560739</c:v>
                </c:pt>
                <c:pt idx="152">
                  <c:v>30763128</c:v>
                </c:pt>
                <c:pt idx="153">
                  <c:v>30965517</c:v>
                </c:pt>
                <c:pt idx="154">
                  <c:v>31167906</c:v>
                </c:pt>
                <c:pt idx="155">
                  <c:v>31370295</c:v>
                </c:pt>
                <c:pt idx="156">
                  <c:v>31572684</c:v>
                </c:pt>
                <c:pt idx="157">
                  <c:v>31775073</c:v>
                </c:pt>
                <c:pt idx="158">
                  <c:v>31977462</c:v>
                </c:pt>
                <c:pt idx="159">
                  <c:v>32179851</c:v>
                </c:pt>
                <c:pt idx="160">
                  <c:v>32382240</c:v>
                </c:pt>
                <c:pt idx="161">
                  <c:v>32584629</c:v>
                </c:pt>
                <c:pt idx="162">
                  <c:v>32787018</c:v>
                </c:pt>
                <c:pt idx="163">
                  <c:v>32989407</c:v>
                </c:pt>
                <c:pt idx="164">
                  <c:v>33191796</c:v>
                </c:pt>
                <c:pt idx="165">
                  <c:v>33394185</c:v>
                </c:pt>
                <c:pt idx="166">
                  <c:v>33596574</c:v>
                </c:pt>
                <c:pt idx="167">
                  <c:v>33798963</c:v>
                </c:pt>
                <c:pt idx="168">
                  <c:v>34001352</c:v>
                </c:pt>
                <c:pt idx="169">
                  <c:v>34203741</c:v>
                </c:pt>
                <c:pt idx="170">
                  <c:v>34406130</c:v>
                </c:pt>
                <c:pt idx="171">
                  <c:v>34608519</c:v>
                </c:pt>
                <c:pt idx="172">
                  <c:v>34810908</c:v>
                </c:pt>
                <c:pt idx="173">
                  <c:v>35013297</c:v>
                </c:pt>
                <c:pt idx="174">
                  <c:v>35215686</c:v>
                </c:pt>
                <c:pt idx="175">
                  <c:v>35418075</c:v>
                </c:pt>
                <c:pt idx="176">
                  <c:v>35620464</c:v>
                </c:pt>
                <c:pt idx="177">
                  <c:v>35822853</c:v>
                </c:pt>
                <c:pt idx="178">
                  <c:v>36025242</c:v>
                </c:pt>
                <c:pt idx="179">
                  <c:v>36227631</c:v>
                </c:pt>
                <c:pt idx="180">
                  <c:v>36430020</c:v>
                </c:pt>
                <c:pt idx="181">
                  <c:v>36632409</c:v>
                </c:pt>
                <c:pt idx="182">
                  <c:v>36834798</c:v>
                </c:pt>
                <c:pt idx="183">
                  <c:v>37037187</c:v>
                </c:pt>
                <c:pt idx="184">
                  <c:v>37239576</c:v>
                </c:pt>
                <c:pt idx="185">
                  <c:v>37441965</c:v>
                </c:pt>
                <c:pt idx="186">
                  <c:v>37644354</c:v>
                </c:pt>
                <c:pt idx="187">
                  <c:v>37846743</c:v>
                </c:pt>
                <c:pt idx="188">
                  <c:v>38049132</c:v>
                </c:pt>
                <c:pt idx="189">
                  <c:v>38251521</c:v>
                </c:pt>
                <c:pt idx="190">
                  <c:v>38453910</c:v>
                </c:pt>
                <c:pt idx="191">
                  <c:v>38656299</c:v>
                </c:pt>
                <c:pt idx="192">
                  <c:v>38858688</c:v>
                </c:pt>
                <c:pt idx="193">
                  <c:v>39061077</c:v>
                </c:pt>
                <c:pt idx="194">
                  <c:v>39263466</c:v>
                </c:pt>
                <c:pt idx="195">
                  <c:v>39465855</c:v>
                </c:pt>
                <c:pt idx="196">
                  <c:v>39668244</c:v>
                </c:pt>
                <c:pt idx="197">
                  <c:v>39870633</c:v>
                </c:pt>
                <c:pt idx="198">
                  <c:v>40073022</c:v>
                </c:pt>
                <c:pt idx="199">
                  <c:v>40275411</c:v>
                </c:pt>
                <c:pt idx="200">
                  <c:v>40477800</c:v>
                </c:pt>
                <c:pt idx="201">
                  <c:v>40680189</c:v>
                </c:pt>
                <c:pt idx="202">
                  <c:v>40882578</c:v>
                </c:pt>
                <c:pt idx="203">
                  <c:v>41084967</c:v>
                </c:pt>
                <c:pt idx="204">
                  <c:v>41287356</c:v>
                </c:pt>
                <c:pt idx="205">
                  <c:v>41489745</c:v>
                </c:pt>
                <c:pt idx="206">
                  <c:v>41692134</c:v>
                </c:pt>
                <c:pt idx="207">
                  <c:v>41894523</c:v>
                </c:pt>
                <c:pt idx="208">
                  <c:v>42096912</c:v>
                </c:pt>
                <c:pt idx="209">
                  <c:v>42299301</c:v>
                </c:pt>
                <c:pt idx="210">
                  <c:v>42501690</c:v>
                </c:pt>
                <c:pt idx="211">
                  <c:v>42704079</c:v>
                </c:pt>
                <c:pt idx="212">
                  <c:v>42906468</c:v>
                </c:pt>
                <c:pt idx="213">
                  <c:v>43108857</c:v>
                </c:pt>
                <c:pt idx="214">
                  <c:v>43311246</c:v>
                </c:pt>
                <c:pt idx="215">
                  <c:v>43513635</c:v>
                </c:pt>
                <c:pt idx="216">
                  <c:v>43716024</c:v>
                </c:pt>
                <c:pt idx="217">
                  <c:v>43918413</c:v>
                </c:pt>
                <c:pt idx="218">
                  <c:v>44120802</c:v>
                </c:pt>
                <c:pt idx="219">
                  <c:v>44323191</c:v>
                </c:pt>
                <c:pt idx="220">
                  <c:v>44525580</c:v>
                </c:pt>
                <c:pt idx="221">
                  <c:v>44727969</c:v>
                </c:pt>
                <c:pt idx="222">
                  <c:v>44930358</c:v>
                </c:pt>
                <c:pt idx="223">
                  <c:v>45132747</c:v>
                </c:pt>
                <c:pt idx="224">
                  <c:v>45335136</c:v>
                </c:pt>
                <c:pt idx="225">
                  <c:v>45537525</c:v>
                </c:pt>
                <c:pt idx="226">
                  <c:v>45739914</c:v>
                </c:pt>
                <c:pt idx="227">
                  <c:v>45942303</c:v>
                </c:pt>
                <c:pt idx="228">
                  <c:v>46144692</c:v>
                </c:pt>
                <c:pt idx="229">
                  <c:v>46347081</c:v>
                </c:pt>
                <c:pt idx="230">
                  <c:v>46549470</c:v>
                </c:pt>
                <c:pt idx="231">
                  <c:v>46751859</c:v>
                </c:pt>
                <c:pt idx="232">
                  <c:v>46954248</c:v>
                </c:pt>
                <c:pt idx="233">
                  <c:v>47156637</c:v>
                </c:pt>
                <c:pt idx="234">
                  <c:v>47359026</c:v>
                </c:pt>
                <c:pt idx="235">
                  <c:v>47561415</c:v>
                </c:pt>
                <c:pt idx="236">
                  <c:v>47763804</c:v>
                </c:pt>
                <c:pt idx="237">
                  <c:v>47966193</c:v>
                </c:pt>
                <c:pt idx="238">
                  <c:v>48168582</c:v>
                </c:pt>
                <c:pt idx="239">
                  <c:v>48370971</c:v>
                </c:pt>
                <c:pt idx="240">
                  <c:v>48573360</c:v>
                </c:pt>
                <c:pt idx="241">
                  <c:v>48775749</c:v>
                </c:pt>
                <c:pt idx="242">
                  <c:v>48978138</c:v>
                </c:pt>
                <c:pt idx="243">
                  <c:v>49180527</c:v>
                </c:pt>
                <c:pt idx="244">
                  <c:v>49382916</c:v>
                </c:pt>
                <c:pt idx="245">
                  <c:v>49585305</c:v>
                </c:pt>
                <c:pt idx="246">
                  <c:v>49787694</c:v>
                </c:pt>
                <c:pt idx="247">
                  <c:v>49990083</c:v>
                </c:pt>
                <c:pt idx="248">
                  <c:v>50192472</c:v>
                </c:pt>
                <c:pt idx="249">
                  <c:v>50394861</c:v>
                </c:pt>
                <c:pt idx="250">
                  <c:v>50597250</c:v>
                </c:pt>
                <c:pt idx="251">
                  <c:v>50799639</c:v>
                </c:pt>
                <c:pt idx="252">
                  <c:v>51002028</c:v>
                </c:pt>
                <c:pt idx="253">
                  <c:v>51204417</c:v>
                </c:pt>
                <c:pt idx="254">
                  <c:v>51406806</c:v>
                </c:pt>
                <c:pt idx="255">
                  <c:v>51609195</c:v>
                </c:pt>
                <c:pt idx="256">
                  <c:v>51811584</c:v>
                </c:pt>
                <c:pt idx="257">
                  <c:v>52013973</c:v>
                </c:pt>
                <c:pt idx="258">
                  <c:v>52216362</c:v>
                </c:pt>
                <c:pt idx="259">
                  <c:v>52418751</c:v>
                </c:pt>
                <c:pt idx="260">
                  <c:v>52621140</c:v>
                </c:pt>
                <c:pt idx="261">
                  <c:v>52823529</c:v>
                </c:pt>
                <c:pt idx="262">
                  <c:v>53025918</c:v>
                </c:pt>
                <c:pt idx="263">
                  <c:v>53228307</c:v>
                </c:pt>
                <c:pt idx="264">
                  <c:v>53430696</c:v>
                </c:pt>
                <c:pt idx="265">
                  <c:v>53633085</c:v>
                </c:pt>
                <c:pt idx="266">
                  <c:v>53835474</c:v>
                </c:pt>
                <c:pt idx="267">
                  <c:v>54037863</c:v>
                </c:pt>
                <c:pt idx="268">
                  <c:v>54240252</c:v>
                </c:pt>
                <c:pt idx="269">
                  <c:v>54442641</c:v>
                </c:pt>
                <c:pt idx="270">
                  <c:v>54645030</c:v>
                </c:pt>
                <c:pt idx="271">
                  <c:v>54847419</c:v>
                </c:pt>
                <c:pt idx="272">
                  <c:v>55049808</c:v>
                </c:pt>
                <c:pt idx="273">
                  <c:v>55252197</c:v>
                </c:pt>
                <c:pt idx="274">
                  <c:v>55454586</c:v>
                </c:pt>
                <c:pt idx="275">
                  <c:v>55656975</c:v>
                </c:pt>
                <c:pt idx="276">
                  <c:v>55859364</c:v>
                </c:pt>
                <c:pt idx="277">
                  <c:v>56061753</c:v>
                </c:pt>
                <c:pt idx="278">
                  <c:v>56264142</c:v>
                </c:pt>
                <c:pt idx="279">
                  <c:v>56466531</c:v>
                </c:pt>
                <c:pt idx="280">
                  <c:v>56668920</c:v>
                </c:pt>
                <c:pt idx="281">
                  <c:v>56871309</c:v>
                </c:pt>
                <c:pt idx="282">
                  <c:v>57073698</c:v>
                </c:pt>
                <c:pt idx="283">
                  <c:v>57276087</c:v>
                </c:pt>
                <c:pt idx="284">
                  <c:v>57478476</c:v>
                </c:pt>
                <c:pt idx="285">
                  <c:v>57680865</c:v>
                </c:pt>
                <c:pt idx="286">
                  <c:v>57883254</c:v>
                </c:pt>
                <c:pt idx="287">
                  <c:v>58085643</c:v>
                </c:pt>
                <c:pt idx="288">
                  <c:v>58288032</c:v>
                </c:pt>
                <c:pt idx="289">
                  <c:v>58490421</c:v>
                </c:pt>
                <c:pt idx="290">
                  <c:v>58692810</c:v>
                </c:pt>
                <c:pt idx="291">
                  <c:v>58895199</c:v>
                </c:pt>
                <c:pt idx="292">
                  <c:v>59097588</c:v>
                </c:pt>
                <c:pt idx="293">
                  <c:v>59299977</c:v>
                </c:pt>
                <c:pt idx="294">
                  <c:v>59502366</c:v>
                </c:pt>
                <c:pt idx="295">
                  <c:v>59704755</c:v>
                </c:pt>
                <c:pt idx="296">
                  <c:v>59907144</c:v>
                </c:pt>
                <c:pt idx="297">
                  <c:v>60109533</c:v>
                </c:pt>
                <c:pt idx="298">
                  <c:v>60311922</c:v>
                </c:pt>
                <c:pt idx="299">
                  <c:v>60514311</c:v>
                </c:pt>
                <c:pt idx="300">
                  <c:v>60716700</c:v>
                </c:pt>
                <c:pt idx="301">
                  <c:v>60919089</c:v>
                </c:pt>
                <c:pt idx="302">
                  <c:v>61121478</c:v>
                </c:pt>
                <c:pt idx="303">
                  <c:v>61323867</c:v>
                </c:pt>
                <c:pt idx="304">
                  <c:v>61526256</c:v>
                </c:pt>
                <c:pt idx="305">
                  <c:v>61728645</c:v>
                </c:pt>
                <c:pt idx="306">
                  <c:v>61931034</c:v>
                </c:pt>
                <c:pt idx="307">
                  <c:v>62133423</c:v>
                </c:pt>
                <c:pt idx="308">
                  <c:v>62335812</c:v>
                </c:pt>
                <c:pt idx="309">
                  <c:v>62538201</c:v>
                </c:pt>
              </c:numCache>
            </c:numRef>
          </c:xVal>
          <c:yVal>
            <c:numRef>
              <c:f>Example1A!$Q$11:$Q$320</c:f>
              <c:numCache>
                <c:formatCode>_-* #,##0.000000_-;\-* #,##0.000000_-;_-* "-"??_-;_-@_-</c:formatCode>
                <c:ptCount val="310"/>
                <c:pt idx="0">
                  <c:v>9.8813999999999999E-2</c:v>
                </c:pt>
                <c:pt idx="1">
                  <c:v>0</c:v>
                </c:pt>
                <c:pt idx="2">
                  <c:v>1.4718999999999999E-2</c:v>
                </c:pt>
                <c:pt idx="3">
                  <c:v>0</c:v>
                </c:pt>
                <c:pt idx="4">
                  <c:v>1.3699999999999999E-3</c:v>
                </c:pt>
                <c:pt idx="5">
                  <c:v>0</c:v>
                </c:pt>
                <c:pt idx="6">
                  <c:v>1.5018E-2</c:v>
                </c:pt>
                <c:pt idx="7">
                  <c:v>0</c:v>
                </c:pt>
                <c:pt idx="8">
                  <c:v>2.784E-3</c:v>
                </c:pt>
                <c:pt idx="9">
                  <c:v>5.4739999999999997E-3</c:v>
                </c:pt>
                <c:pt idx="10">
                  <c:v>8.2480000000000001E-3</c:v>
                </c:pt>
                <c:pt idx="11">
                  <c:v>1.0189999999999999E-3</c:v>
                </c:pt>
                <c:pt idx="12">
                  <c:v>1.9091E-2</c:v>
                </c:pt>
                <c:pt idx="13">
                  <c:v>1.1400000000000001E-4</c:v>
                </c:pt>
                <c:pt idx="14">
                  <c:v>1.9050999999999998E-2</c:v>
                </c:pt>
                <c:pt idx="15">
                  <c:v>9.1389999999999996E-3</c:v>
                </c:pt>
                <c:pt idx="16">
                  <c:v>1.0212000000000001E-2</c:v>
                </c:pt>
                <c:pt idx="17">
                  <c:v>1.7390000000000001E-3</c:v>
                </c:pt>
                <c:pt idx="18">
                  <c:v>5.0509999999999999E-3</c:v>
                </c:pt>
                <c:pt idx="19">
                  <c:v>7.4799999999999997E-4</c:v>
                </c:pt>
                <c:pt idx="20">
                  <c:v>4.2729999999999999E-3</c:v>
                </c:pt>
                <c:pt idx="21">
                  <c:v>2.905E-3</c:v>
                </c:pt>
                <c:pt idx="22">
                  <c:v>3.6779999999999998E-3</c:v>
                </c:pt>
                <c:pt idx="23">
                  <c:v>1.717E-3</c:v>
                </c:pt>
                <c:pt idx="24">
                  <c:v>8.482E-3</c:v>
                </c:pt>
                <c:pt idx="25">
                  <c:v>2.6039E-2</c:v>
                </c:pt>
                <c:pt idx="26">
                  <c:v>5.8570000000000002E-3</c:v>
                </c:pt>
                <c:pt idx="27">
                  <c:v>1.3781E-2</c:v>
                </c:pt>
                <c:pt idx="28">
                  <c:v>5.9329999999999999E-3</c:v>
                </c:pt>
                <c:pt idx="29">
                  <c:v>9.9100000000000004E-3</c:v>
                </c:pt>
                <c:pt idx="30">
                  <c:v>4.2820000000000002E-3</c:v>
                </c:pt>
                <c:pt idx="31">
                  <c:v>7.332E-3</c:v>
                </c:pt>
                <c:pt idx="32">
                  <c:v>1.8686000000000001E-2</c:v>
                </c:pt>
                <c:pt idx="33">
                  <c:v>1.9835999999999999E-2</c:v>
                </c:pt>
                <c:pt idx="34">
                  <c:v>6.9090000000000002E-3</c:v>
                </c:pt>
                <c:pt idx="35">
                  <c:v>8.0110000000000008E-3</c:v>
                </c:pt>
                <c:pt idx="36">
                  <c:v>3.6359999999999999E-3</c:v>
                </c:pt>
                <c:pt idx="37">
                  <c:v>8.345E-3</c:v>
                </c:pt>
                <c:pt idx="38">
                  <c:v>6.1710000000000003E-3</c:v>
                </c:pt>
                <c:pt idx="39">
                  <c:v>1.3664000000000001E-2</c:v>
                </c:pt>
                <c:pt idx="40">
                  <c:v>5.8589999999999996E-3</c:v>
                </c:pt>
                <c:pt idx="41">
                  <c:v>9.5390000000000006E-3</c:v>
                </c:pt>
                <c:pt idx="42">
                  <c:v>6.1000000000000004E-3</c:v>
                </c:pt>
                <c:pt idx="43">
                  <c:v>7.2430000000000003E-3</c:v>
                </c:pt>
                <c:pt idx="44">
                  <c:v>6.8129999999999996E-3</c:v>
                </c:pt>
                <c:pt idx="45">
                  <c:v>7.9489999999999995E-3</c:v>
                </c:pt>
                <c:pt idx="46">
                  <c:v>6.4349999999999997E-3</c:v>
                </c:pt>
                <c:pt idx="47">
                  <c:v>8.9009999999999992E-3</c:v>
                </c:pt>
                <c:pt idx="48">
                  <c:v>6.2989999999999999E-3</c:v>
                </c:pt>
                <c:pt idx="49">
                  <c:v>7.1159999999999999E-3</c:v>
                </c:pt>
                <c:pt idx="50">
                  <c:v>7.4190000000000002E-3</c:v>
                </c:pt>
                <c:pt idx="51">
                  <c:v>5.6109999999999997E-3</c:v>
                </c:pt>
                <c:pt idx="52">
                  <c:v>6.3489999999999996E-3</c:v>
                </c:pt>
                <c:pt idx="53">
                  <c:v>6.0530000000000002E-3</c:v>
                </c:pt>
                <c:pt idx="54">
                  <c:v>6.4780000000000003E-3</c:v>
                </c:pt>
                <c:pt idx="55">
                  <c:v>4.7879999999999997E-3</c:v>
                </c:pt>
                <c:pt idx="56">
                  <c:v>6.0029999999999997E-3</c:v>
                </c:pt>
                <c:pt idx="57">
                  <c:v>9.8560000000000002E-3</c:v>
                </c:pt>
                <c:pt idx="58">
                  <c:v>9.3889999999999998E-3</c:v>
                </c:pt>
                <c:pt idx="59">
                  <c:v>6.9230000000000003E-3</c:v>
                </c:pt>
                <c:pt idx="60">
                  <c:v>6.9230000000000003E-3</c:v>
                </c:pt>
                <c:pt idx="61">
                  <c:v>5.8129999999999996E-3</c:v>
                </c:pt>
                <c:pt idx="62">
                  <c:v>6.1060000000000003E-3</c:v>
                </c:pt>
                <c:pt idx="63">
                  <c:v>5.1229999999999999E-3</c:v>
                </c:pt>
                <c:pt idx="64">
                  <c:v>7.7409999999999996E-3</c:v>
                </c:pt>
                <c:pt idx="65">
                  <c:v>7.3990000000000002E-3</c:v>
                </c:pt>
                <c:pt idx="66">
                  <c:v>7.2570000000000004E-3</c:v>
                </c:pt>
                <c:pt idx="67">
                  <c:v>5.1269999999999996E-3</c:v>
                </c:pt>
                <c:pt idx="68">
                  <c:v>5.2960000000000004E-3</c:v>
                </c:pt>
                <c:pt idx="69">
                  <c:v>4.8170000000000001E-3</c:v>
                </c:pt>
                <c:pt idx="70">
                  <c:v>5.4099999999999999E-3</c:v>
                </c:pt>
                <c:pt idx="71">
                  <c:v>5.7349999999999996E-3</c:v>
                </c:pt>
                <c:pt idx="72">
                  <c:v>6.1390000000000004E-3</c:v>
                </c:pt>
                <c:pt idx="73">
                  <c:v>5.0499999999999998E-3</c:v>
                </c:pt>
                <c:pt idx="74">
                  <c:v>5.2810000000000001E-3</c:v>
                </c:pt>
                <c:pt idx="75">
                  <c:v>4.6340000000000001E-3</c:v>
                </c:pt>
                <c:pt idx="76">
                  <c:v>4.7070000000000002E-3</c:v>
                </c:pt>
                <c:pt idx="77">
                  <c:v>1.0074E-2</c:v>
                </c:pt>
                <c:pt idx="78">
                  <c:v>4.6519999999999999E-3</c:v>
                </c:pt>
                <c:pt idx="79">
                  <c:v>5.594E-3</c:v>
                </c:pt>
                <c:pt idx="80">
                  <c:v>4.3969999999999999E-3</c:v>
                </c:pt>
                <c:pt idx="81">
                  <c:v>4.3689999999999996E-3</c:v>
                </c:pt>
                <c:pt idx="82">
                  <c:v>4.6860000000000001E-3</c:v>
                </c:pt>
                <c:pt idx="83">
                  <c:v>5.424E-3</c:v>
                </c:pt>
                <c:pt idx="84">
                  <c:v>4.1330000000000004E-3</c:v>
                </c:pt>
                <c:pt idx="85">
                  <c:v>4.3410000000000002E-3</c:v>
                </c:pt>
                <c:pt idx="86">
                  <c:v>4.4380000000000001E-3</c:v>
                </c:pt>
                <c:pt idx="87">
                  <c:v>4.3870000000000003E-3</c:v>
                </c:pt>
                <c:pt idx="88">
                  <c:v>3.6709999999999998E-3</c:v>
                </c:pt>
                <c:pt idx="89">
                  <c:v>5.581E-3</c:v>
                </c:pt>
                <c:pt idx="90">
                  <c:v>4.3509999999999998E-3</c:v>
                </c:pt>
                <c:pt idx="91">
                  <c:v>5.4879999999999998E-3</c:v>
                </c:pt>
                <c:pt idx="92">
                  <c:v>4.2770000000000004E-3</c:v>
                </c:pt>
                <c:pt idx="93">
                  <c:v>4.333E-3</c:v>
                </c:pt>
                <c:pt idx="94">
                  <c:v>3.4629999999999999E-3</c:v>
                </c:pt>
                <c:pt idx="95">
                  <c:v>3.728E-3</c:v>
                </c:pt>
                <c:pt idx="96">
                  <c:v>3.467E-3</c:v>
                </c:pt>
                <c:pt idx="97">
                  <c:v>3.96E-3</c:v>
                </c:pt>
                <c:pt idx="98">
                  <c:v>3.627E-3</c:v>
                </c:pt>
                <c:pt idx="99">
                  <c:v>3.542E-3</c:v>
                </c:pt>
                <c:pt idx="100">
                  <c:v>7.2189999999999997E-3</c:v>
                </c:pt>
                <c:pt idx="101">
                  <c:v>3.5639999999999999E-3</c:v>
                </c:pt>
                <c:pt idx="102">
                  <c:v>5.3990000000000002E-3</c:v>
                </c:pt>
                <c:pt idx="103">
                  <c:v>3.398E-3</c:v>
                </c:pt>
                <c:pt idx="104">
                  <c:v>4.0280000000000003E-3</c:v>
                </c:pt>
                <c:pt idx="105">
                  <c:v>3.2880000000000001E-3</c:v>
                </c:pt>
                <c:pt idx="106">
                  <c:v>4.1949999999999999E-3</c:v>
                </c:pt>
                <c:pt idx="107">
                  <c:v>2.9919999999999999E-3</c:v>
                </c:pt>
                <c:pt idx="108">
                  <c:v>3.2729999999999999E-3</c:v>
                </c:pt>
                <c:pt idx="109">
                  <c:v>4.0800000000000003E-3</c:v>
                </c:pt>
                <c:pt idx="110">
                  <c:v>4.287E-3</c:v>
                </c:pt>
                <c:pt idx="111">
                  <c:v>3.0349999999999999E-3</c:v>
                </c:pt>
                <c:pt idx="112">
                  <c:v>3.9950000000000003E-3</c:v>
                </c:pt>
                <c:pt idx="113">
                  <c:v>2.555E-3</c:v>
                </c:pt>
                <c:pt idx="114">
                  <c:v>4.0099999999999997E-3</c:v>
                </c:pt>
                <c:pt idx="115">
                  <c:v>3.2569999999999999E-3</c:v>
                </c:pt>
                <c:pt idx="116">
                  <c:v>3.8920000000000001E-3</c:v>
                </c:pt>
                <c:pt idx="117">
                  <c:v>2.696E-3</c:v>
                </c:pt>
                <c:pt idx="118">
                  <c:v>3.2030000000000001E-3</c:v>
                </c:pt>
                <c:pt idx="119">
                  <c:v>2.5400000000000002E-3</c:v>
                </c:pt>
                <c:pt idx="120">
                  <c:v>2.8149999999999998E-3</c:v>
                </c:pt>
                <c:pt idx="121">
                  <c:v>2.6740000000000002E-3</c:v>
                </c:pt>
                <c:pt idx="122">
                  <c:v>2.8860000000000001E-3</c:v>
                </c:pt>
                <c:pt idx="123">
                  <c:v>2.5660000000000001E-3</c:v>
                </c:pt>
                <c:pt idx="124">
                  <c:v>3.0990000000000002E-3</c:v>
                </c:pt>
                <c:pt idx="125">
                  <c:v>3.6589999999999999E-3</c:v>
                </c:pt>
                <c:pt idx="126">
                  <c:v>2.6979999999999999E-3</c:v>
                </c:pt>
                <c:pt idx="127">
                  <c:v>3.065E-3</c:v>
                </c:pt>
                <c:pt idx="128">
                  <c:v>2.5110000000000002E-3</c:v>
                </c:pt>
                <c:pt idx="129">
                  <c:v>2.7499999999999998E-3</c:v>
                </c:pt>
                <c:pt idx="130">
                  <c:v>2.431E-3</c:v>
                </c:pt>
                <c:pt idx="131">
                  <c:v>2.5709999999999999E-3</c:v>
                </c:pt>
                <c:pt idx="132">
                  <c:v>2.9390000000000002E-3</c:v>
                </c:pt>
                <c:pt idx="133">
                  <c:v>3.055E-3</c:v>
                </c:pt>
                <c:pt idx="134">
                  <c:v>2.6900000000000001E-3</c:v>
                </c:pt>
                <c:pt idx="135">
                  <c:v>2.6940000000000002E-3</c:v>
                </c:pt>
                <c:pt idx="136">
                  <c:v>2.2360000000000001E-3</c:v>
                </c:pt>
                <c:pt idx="137">
                  <c:v>2.4889999999999999E-3</c:v>
                </c:pt>
                <c:pt idx="138">
                  <c:v>2.212E-3</c:v>
                </c:pt>
                <c:pt idx="139">
                  <c:v>2.6800000000000001E-3</c:v>
                </c:pt>
                <c:pt idx="140">
                  <c:v>2.091E-3</c:v>
                </c:pt>
                <c:pt idx="141">
                  <c:v>2.526E-3</c:v>
                </c:pt>
                <c:pt idx="142">
                  <c:v>2.222E-3</c:v>
                </c:pt>
                <c:pt idx="143">
                  <c:v>2.297E-3</c:v>
                </c:pt>
                <c:pt idx="144">
                  <c:v>2.0409999999999998E-3</c:v>
                </c:pt>
                <c:pt idx="145">
                  <c:v>2.1159999999999998E-3</c:v>
                </c:pt>
                <c:pt idx="146">
                  <c:v>1.9469999999999999E-3</c:v>
                </c:pt>
                <c:pt idx="147">
                  <c:v>2.1619999999999999E-3</c:v>
                </c:pt>
                <c:pt idx="148">
                  <c:v>1.9910000000000001E-3</c:v>
                </c:pt>
                <c:pt idx="149">
                  <c:v>2.0739999999999999E-3</c:v>
                </c:pt>
                <c:pt idx="150">
                  <c:v>1.9499999999999999E-3</c:v>
                </c:pt>
                <c:pt idx="151">
                  <c:v>1.8580000000000001E-3</c:v>
                </c:pt>
                <c:pt idx="152">
                  <c:v>1.797E-3</c:v>
                </c:pt>
                <c:pt idx="153">
                  <c:v>1.789E-3</c:v>
                </c:pt>
                <c:pt idx="154">
                  <c:v>1.9680000000000001E-3</c:v>
                </c:pt>
                <c:pt idx="155">
                  <c:v>1.678E-3</c:v>
                </c:pt>
                <c:pt idx="156">
                  <c:v>1.7570000000000001E-3</c:v>
                </c:pt>
                <c:pt idx="157">
                  <c:v>1.916E-3</c:v>
                </c:pt>
                <c:pt idx="158">
                  <c:v>1.8519999999999999E-3</c:v>
                </c:pt>
                <c:pt idx="159">
                  <c:v>1.7309999999999999E-3</c:v>
                </c:pt>
                <c:pt idx="160">
                  <c:v>1.722E-3</c:v>
                </c:pt>
                <c:pt idx="161">
                  <c:v>1.575E-3</c:v>
                </c:pt>
                <c:pt idx="162">
                  <c:v>1.5889999999999999E-3</c:v>
                </c:pt>
                <c:pt idx="163">
                  <c:v>1.5139999999999999E-3</c:v>
                </c:pt>
                <c:pt idx="164">
                  <c:v>1.6490000000000001E-3</c:v>
                </c:pt>
                <c:pt idx="165">
                  <c:v>1.5560000000000001E-3</c:v>
                </c:pt>
                <c:pt idx="166">
                  <c:v>1.658E-3</c:v>
                </c:pt>
                <c:pt idx="167">
                  <c:v>1.456E-3</c:v>
                </c:pt>
                <c:pt idx="168">
                  <c:v>1.5E-3</c:v>
                </c:pt>
                <c:pt idx="169">
                  <c:v>1.374E-3</c:v>
                </c:pt>
                <c:pt idx="170">
                  <c:v>1.4040000000000001E-3</c:v>
                </c:pt>
                <c:pt idx="171">
                  <c:v>1.358E-3</c:v>
                </c:pt>
                <c:pt idx="172">
                  <c:v>1.3929999999999999E-3</c:v>
                </c:pt>
                <c:pt idx="173">
                  <c:v>1.2949999999999999E-3</c:v>
                </c:pt>
                <c:pt idx="174">
                  <c:v>1.335E-3</c:v>
                </c:pt>
                <c:pt idx="175">
                  <c:v>1.2459999999999999E-3</c:v>
                </c:pt>
                <c:pt idx="176">
                  <c:v>1.2340000000000001E-3</c:v>
                </c:pt>
                <c:pt idx="177">
                  <c:v>1.457E-3</c:v>
                </c:pt>
                <c:pt idx="178">
                  <c:v>1.191E-3</c:v>
                </c:pt>
                <c:pt idx="179">
                  <c:v>1.271E-3</c:v>
                </c:pt>
                <c:pt idx="180">
                  <c:v>1.1479999999999999E-3</c:v>
                </c:pt>
                <c:pt idx="181">
                  <c:v>1.1540000000000001E-3</c:v>
                </c:pt>
                <c:pt idx="182">
                  <c:v>1.1360000000000001E-3</c:v>
                </c:pt>
                <c:pt idx="183">
                  <c:v>1.1620000000000001E-3</c:v>
                </c:pt>
                <c:pt idx="184">
                  <c:v>1.054E-3</c:v>
                </c:pt>
                <c:pt idx="185">
                  <c:v>1.054E-3</c:v>
                </c:pt>
                <c:pt idx="186">
                  <c:v>1.0759999999999999E-3</c:v>
                </c:pt>
                <c:pt idx="187">
                  <c:v>1.0610000000000001E-3</c:v>
                </c:pt>
                <c:pt idx="188">
                  <c:v>9.7199999999999999E-4</c:v>
                </c:pt>
                <c:pt idx="189">
                  <c:v>1.0820000000000001E-3</c:v>
                </c:pt>
                <c:pt idx="190">
                  <c:v>9.7099999999999997E-4</c:v>
                </c:pt>
                <c:pt idx="191">
                  <c:v>1.059E-3</c:v>
                </c:pt>
                <c:pt idx="192">
                  <c:v>9.5699999999999995E-4</c:v>
                </c:pt>
                <c:pt idx="193">
                  <c:v>9.77E-4</c:v>
                </c:pt>
                <c:pt idx="194">
                  <c:v>8.7100000000000003E-4</c:v>
                </c:pt>
                <c:pt idx="195">
                  <c:v>8.9800000000000004E-4</c:v>
                </c:pt>
                <c:pt idx="196">
                  <c:v>8.4699999999999999E-4</c:v>
                </c:pt>
                <c:pt idx="197">
                  <c:v>8.7500000000000002E-4</c:v>
                </c:pt>
                <c:pt idx="198">
                  <c:v>8.4000000000000003E-4</c:v>
                </c:pt>
                <c:pt idx="199">
                  <c:v>8.3900000000000001E-4</c:v>
                </c:pt>
                <c:pt idx="200">
                  <c:v>8.92E-4</c:v>
                </c:pt>
                <c:pt idx="201">
                  <c:v>8.1499999999999997E-4</c:v>
                </c:pt>
                <c:pt idx="202">
                  <c:v>8.7200000000000005E-4</c:v>
                </c:pt>
                <c:pt idx="203">
                  <c:v>7.7200000000000001E-4</c:v>
                </c:pt>
                <c:pt idx="204">
                  <c:v>7.9600000000000005E-4</c:v>
                </c:pt>
                <c:pt idx="205">
                  <c:v>7.3999999999999999E-4</c:v>
                </c:pt>
                <c:pt idx="206">
                  <c:v>7.6300000000000001E-4</c:v>
                </c:pt>
                <c:pt idx="207">
                  <c:v>7.0600000000000003E-4</c:v>
                </c:pt>
                <c:pt idx="208">
                  <c:v>7.0500000000000001E-4</c:v>
                </c:pt>
                <c:pt idx="209">
                  <c:v>7.3200000000000001E-4</c:v>
                </c:pt>
                <c:pt idx="210">
                  <c:v>7.3300000000000004E-4</c:v>
                </c:pt>
                <c:pt idx="211">
                  <c:v>6.7500000000000004E-4</c:v>
                </c:pt>
                <c:pt idx="212">
                  <c:v>6.9499999999999998E-4</c:v>
                </c:pt>
                <c:pt idx="213">
                  <c:v>6.1899999999999998E-4</c:v>
                </c:pt>
                <c:pt idx="214">
                  <c:v>6.7400000000000001E-4</c:v>
                </c:pt>
                <c:pt idx="215">
                  <c:v>6.2699999999999995E-4</c:v>
                </c:pt>
                <c:pt idx="216">
                  <c:v>6.6299999999999996E-4</c:v>
                </c:pt>
                <c:pt idx="217">
                  <c:v>5.8299999999999997E-4</c:v>
                </c:pt>
                <c:pt idx="218">
                  <c:v>6.1700000000000004E-4</c:v>
                </c:pt>
                <c:pt idx="219">
                  <c:v>5.6599999999999999E-4</c:v>
                </c:pt>
                <c:pt idx="220">
                  <c:v>5.7399999999999997E-4</c:v>
                </c:pt>
                <c:pt idx="221">
                  <c:v>5.4900000000000001E-4</c:v>
                </c:pt>
                <c:pt idx="222">
                  <c:v>5.5800000000000001E-4</c:v>
                </c:pt>
                <c:pt idx="223">
                  <c:v>5.2899999999999996E-4</c:v>
                </c:pt>
                <c:pt idx="224">
                  <c:v>5.5199999999999997E-4</c:v>
                </c:pt>
                <c:pt idx="225">
                  <c:v>5.4799999999999998E-4</c:v>
                </c:pt>
                <c:pt idx="226">
                  <c:v>5.1800000000000001E-4</c:v>
                </c:pt>
                <c:pt idx="227">
                  <c:v>5.13E-4</c:v>
                </c:pt>
                <c:pt idx="228">
                  <c:v>4.8799999999999999E-4</c:v>
                </c:pt>
                <c:pt idx="229">
                  <c:v>4.8500000000000003E-4</c:v>
                </c:pt>
                <c:pt idx="230">
                  <c:v>4.7100000000000001E-4</c:v>
                </c:pt>
                <c:pt idx="231">
                  <c:v>4.7199999999999998E-4</c:v>
                </c:pt>
                <c:pt idx="232">
                  <c:v>4.66E-4</c:v>
                </c:pt>
                <c:pt idx="233">
                  <c:v>4.6500000000000003E-4</c:v>
                </c:pt>
                <c:pt idx="234">
                  <c:v>4.5899999999999999E-4</c:v>
                </c:pt>
                <c:pt idx="235">
                  <c:v>4.4900000000000002E-4</c:v>
                </c:pt>
                <c:pt idx="236">
                  <c:v>4.2499999999999998E-4</c:v>
                </c:pt>
                <c:pt idx="237">
                  <c:v>4.26E-4</c:v>
                </c:pt>
                <c:pt idx="238">
                  <c:v>4.0400000000000001E-4</c:v>
                </c:pt>
                <c:pt idx="239">
                  <c:v>4.17E-4</c:v>
                </c:pt>
                <c:pt idx="240">
                  <c:v>3.8699999999999997E-4</c:v>
                </c:pt>
                <c:pt idx="241">
                  <c:v>4.0400000000000001E-4</c:v>
                </c:pt>
                <c:pt idx="242">
                  <c:v>3.8200000000000002E-4</c:v>
                </c:pt>
                <c:pt idx="243">
                  <c:v>3.8699999999999997E-4</c:v>
                </c:pt>
                <c:pt idx="244">
                  <c:v>3.6200000000000002E-4</c:v>
                </c:pt>
                <c:pt idx="245">
                  <c:v>3.6299999999999999E-4</c:v>
                </c:pt>
                <c:pt idx="246">
                  <c:v>3.4600000000000001E-4</c:v>
                </c:pt>
                <c:pt idx="247">
                  <c:v>3.5199999999999999E-4</c:v>
                </c:pt>
                <c:pt idx="248">
                  <c:v>3.39E-4</c:v>
                </c:pt>
                <c:pt idx="249">
                  <c:v>3.4099999999999999E-4</c:v>
                </c:pt>
                <c:pt idx="250">
                  <c:v>3.2600000000000001E-4</c:v>
                </c:pt>
                <c:pt idx="251">
                  <c:v>3.2200000000000002E-4</c:v>
                </c:pt>
                <c:pt idx="252">
                  <c:v>3.0899999999999998E-4</c:v>
                </c:pt>
                <c:pt idx="253">
                  <c:v>3.0600000000000001E-4</c:v>
                </c:pt>
                <c:pt idx="254">
                  <c:v>3.1E-4</c:v>
                </c:pt>
                <c:pt idx="255">
                  <c:v>2.9300000000000002E-4</c:v>
                </c:pt>
                <c:pt idx="256">
                  <c:v>2.9300000000000002E-4</c:v>
                </c:pt>
                <c:pt idx="257">
                  <c:v>2.92E-4</c:v>
                </c:pt>
                <c:pt idx="258">
                  <c:v>2.8499999999999999E-4</c:v>
                </c:pt>
                <c:pt idx="259">
                  <c:v>2.7799999999999998E-4</c:v>
                </c:pt>
                <c:pt idx="260">
                  <c:v>2.7300000000000002E-4</c:v>
                </c:pt>
                <c:pt idx="261">
                  <c:v>2.61E-4</c:v>
                </c:pt>
                <c:pt idx="262">
                  <c:v>2.5799999999999998E-4</c:v>
                </c:pt>
                <c:pt idx="263">
                  <c:v>2.5300000000000002E-4</c:v>
                </c:pt>
                <c:pt idx="264">
                  <c:v>2.5300000000000002E-4</c:v>
                </c:pt>
                <c:pt idx="265">
                  <c:v>2.43E-4</c:v>
                </c:pt>
                <c:pt idx="266">
                  <c:v>2.4800000000000001E-4</c:v>
                </c:pt>
                <c:pt idx="267">
                  <c:v>2.3499999999999999E-4</c:v>
                </c:pt>
                <c:pt idx="268">
                  <c:v>2.3599999999999999E-4</c:v>
                </c:pt>
                <c:pt idx="269">
                  <c:v>2.24E-4</c:v>
                </c:pt>
                <c:pt idx="270">
                  <c:v>2.23E-4</c:v>
                </c:pt>
                <c:pt idx="271">
                  <c:v>2.1499999999999999E-4</c:v>
                </c:pt>
                <c:pt idx="272">
                  <c:v>2.1499999999999999E-4</c:v>
                </c:pt>
                <c:pt idx="273">
                  <c:v>2.0699999999999999E-4</c:v>
                </c:pt>
                <c:pt idx="274">
                  <c:v>2.0699999999999999E-4</c:v>
                </c:pt>
                <c:pt idx="275">
                  <c:v>1.9900000000000001E-4</c:v>
                </c:pt>
                <c:pt idx="276">
                  <c:v>1.9699999999999999E-4</c:v>
                </c:pt>
                <c:pt idx="277">
                  <c:v>1.9799999999999999E-4</c:v>
                </c:pt>
                <c:pt idx="278">
                  <c:v>1.8799999999999999E-4</c:v>
                </c:pt>
                <c:pt idx="279">
                  <c:v>1.8900000000000001E-4</c:v>
                </c:pt>
                <c:pt idx="280">
                  <c:v>1.8100000000000001E-4</c:v>
                </c:pt>
                <c:pt idx="281">
                  <c:v>1.7899999999999999E-4</c:v>
                </c:pt>
                <c:pt idx="282">
                  <c:v>1.75E-4</c:v>
                </c:pt>
                <c:pt idx="283">
                  <c:v>1.73E-4</c:v>
                </c:pt>
                <c:pt idx="284">
                  <c:v>1.66E-4</c:v>
                </c:pt>
                <c:pt idx="285">
                  <c:v>1.63E-4</c:v>
                </c:pt>
                <c:pt idx="286">
                  <c:v>1.6200000000000001E-4</c:v>
                </c:pt>
                <c:pt idx="287">
                  <c:v>1.5899999999999999E-4</c:v>
                </c:pt>
                <c:pt idx="288">
                  <c:v>1.5300000000000001E-4</c:v>
                </c:pt>
                <c:pt idx="289">
                  <c:v>1.55E-4</c:v>
                </c:pt>
                <c:pt idx="290">
                  <c:v>1.47E-4</c:v>
                </c:pt>
                <c:pt idx="291">
                  <c:v>1.4899999999999999E-4</c:v>
                </c:pt>
                <c:pt idx="292">
                  <c:v>1.4300000000000001E-4</c:v>
                </c:pt>
                <c:pt idx="293">
                  <c:v>1.4300000000000001E-4</c:v>
                </c:pt>
                <c:pt idx="294">
                  <c:v>1.35E-4</c:v>
                </c:pt>
                <c:pt idx="295">
                  <c:v>1.35E-4</c:v>
                </c:pt>
                <c:pt idx="296">
                  <c:v>1.2999999999999999E-4</c:v>
                </c:pt>
                <c:pt idx="297">
                  <c:v>1.2899999999999999E-4</c:v>
                </c:pt>
                <c:pt idx="298">
                  <c:v>1.26E-4</c:v>
                </c:pt>
                <c:pt idx="299">
                  <c:v>1.2400000000000001E-4</c:v>
                </c:pt>
                <c:pt idx="300">
                  <c:v>1.22E-4</c:v>
                </c:pt>
                <c:pt idx="301">
                  <c:v>1.2E-4</c:v>
                </c:pt>
                <c:pt idx="302">
                  <c:v>1.1900000000000001E-4</c:v>
                </c:pt>
                <c:pt idx="303">
                  <c:v>1.1400000000000001E-4</c:v>
                </c:pt>
                <c:pt idx="304">
                  <c:v>1.13E-4</c:v>
                </c:pt>
                <c:pt idx="305">
                  <c:v>1.0900000000000001E-4</c:v>
                </c:pt>
                <c:pt idx="306">
                  <c:v>1.08E-4</c:v>
                </c:pt>
                <c:pt idx="307">
                  <c:v>1.05E-4</c:v>
                </c:pt>
                <c:pt idx="308">
                  <c:v>1.03E-4</c:v>
                </c:pt>
                <c:pt idx="309">
                  <c:v>1.02E-4</c:v>
                </c:pt>
              </c:numCache>
            </c:numRef>
          </c:yVal>
          <c:smooth val="1"/>
        </c:ser>
        <c:axId val="131748608"/>
        <c:axId val="131750528"/>
      </c:scatterChart>
      <c:valAx>
        <c:axId val="131748608"/>
        <c:scaling>
          <c:orientation val="minMax"/>
        </c:scaling>
        <c:axPos val="b"/>
        <c:title>
          <c:tx>
            <c:rich>
              <a:bodyPr/>
              <a:lstStyle/>
              <a:p>
                <a:pPr>
                  <a:defRPr sz="1200" b="1" i="0" u="none" strike="noStrike" baseline="0">
                    <a:solidFill>
                      <a:srgbClr val="000000"/>
                    </a:solidFill>
                    <a:latin typeface="Akzidenz Grotesk Light"/>
                    <a:ea typeface="Akzidenz Grotesk Light"/>
                    <a:cs typeface="Akzidenz Grotesk Light"/>
                  </a:defRPr>
                </a:pPr>
                <a:r>
                  <a:rPr lang="en-GB"/>
                  <a:t>Loss</a:t>
                </a:r>
              </a:p>
            </c:rich>
          </c:tx>
          <c:layout>
            <c:manualLayout>
              <c:xMode val="edge"/>
              <c:yMode val="edge"/>
              <c:x val="0.49773828970218481"/>
              <c:y val="0.94128195660201142"/>
            </c:manualLayout>
          </c:layout>
          <c:spPr>
            <a:noFill/>
            <a:ln w="25400">
              <a:noFill/>
            </a:ln>
          </c:spPr>
        </c:title>
        <c:numFmt formatCode="#,##0" sourceLinked="0"/>
        <c:majorTickMark val="cross"/>
        <c:tickLblPos val="nextTo"/>
        <c:spPr>
          <a:ln w="3175">
            <a:solidFill>
              <a:srgbClr val="000000"/>
            </a:solidFill>
            <a:prstDash val="solid"/>
          </a:ln>
        </c:spPr>
        <c:txPr>
          <a:bodyPr rot="0" vert="horz"/>
          <a:lstStyle/>
          <a:p>
            <a:pPr>
              <a:defRPr sz="800" b="0" i="0" u="none" strike="noStrike" baseline="0">
                <a:solidFill>
                  <a:srgbClr val="000000"/>
                </a:solidFill>
                <a:latin typeface="Akzidenz Grotesk Light"/>
                <a:ea typeface="Akzidenz Grotesk Light"/>
                <a:cs typeface="Akzidenz Grotesk Light"/>
              </a:defRPr>
            </a:pPr>
            <a:endParaRPr lang="en-US"/>
          </a:p>
        </c:txPr>
        <c:crossAx val="131750528"/>
        <c:crosses val="autoZero"/>
        <c:crossBetween val="midCat"/>
      </c:valAx>
      <c:valAx>
        <c:axId val="131750528"/>
        <c:scaling>
          <c:orientation val="minMax"/>
          <c:max val="2.5000000000000001E-2"/>
          <c:min val="0"/>
        </c:scaling>
        <c:axPos val="l"/>
        <c:title>
          <c:tx>
            <c:rich>
              <a:bodyPr/>
              <a:lstStyle/>
              <a:p>
                <a:pPr>
                  <a:defRPr sz="1200" b="1" i="0" u="none" strike="noStrike" baseline="0">
                    <a:solidFill>
                      <a:srgbClr val="000000"/>
                    </a:solidFill>
                    <a:latin typeface="Akzidenz Grotesk Light"/>
                    <a:ea typeface="Akzidenz Grotesk Light"/>
                    <a:cs typeface="Akzidenz Grotesk Light"/>
                  </a:defRPr>
                </a:pPr>
                <a:r>
                  <a:rPr lang="en-GB"/>
                  <a:t>Marginal Probability</a:t>
                </a:r>
              </a:p>
            </c:rich>
          </c:tx>
          <c:layout>
            <c:manualLayout>
              <c:xMode val="edge"/>
              <c:yMode val="edge"/>
              <c:x val="7.5414892379118918E-3"/>
              <c:y val="0.35765155628923306"/>
            </c:manualLayout>
          </c:layout>
          <c:spPr>
            <a:noFill/>
            <a:ln w="25400">
              <a:noFill/>
            </a:ln>
          </c:spPr>
        </c:title>
        <c:numFmt formatCode="0.00%" sourceLinked="0"/>
        <c:majorTickMark val="cross"/>
        <c:tickLblPos val="nextTo"/>
        <c:spPr>
          <a:ln w="3175">
            <a:solidFill>
              <a:srgbClr val="000000"/>
            </a:solidFill>
            <a:prstDash val="solid"/>
          </a:ln>
        </c:spPr>
        <c:txPr>
          <a:bodyPr rot="0" vert="horz"/>
          <a:lstStyle/>
          <a:p>
            <a:pPr>
              <a:defRPr sz="800" b="0" i="0" u="none" strike="noStrike" baseline="0">
                <a:solidFill>
                  <a:srgbClr val="000000"/>
                </a:solidFill>
                <a:latin typeface="Akzidenz Grotesk Light"/>
                <a:ea typeface="Akzidenz Grotesk Light"/>
                <a:cs typeface="Akzidenz Grotesk Light"/>
              </a:defRPr>
            </a:pPr>
            <a:endParaRPr lang="en-US"/>
          </a:p>
        </c:txPr>
        <c:crossAx val="131748608"/>
        <c:crosses val="autoZero"/>
        <c:crossBetween val="midCat"/>
      </c:valAx>
      <c:spPr>
        <a:noFill/>
        <a:ln w="25400">
          <a:noFill/>
        </a:ln>
      </c:spPr>
    </c:plotArea>
    <c:plotVisOnly val="1"/>
    <c:dispBlanksAs val="gap"/>
  </c:chart>
  <c:spPr>
    <a:solidFill>
      <a:srgbClr val="FFFFFF"/>
    </a:solidFill>
    <a:ln w="3175">
      <a:solidFill>
        <a:srgbClr val="000000"/>
      </a:solidFill>
      <a:prstDash val="solid"/>
    </a:ln>
  </c:spPr>
  <c:txPr>
    <a:bodyPr/>
    <a:lstStyle/>
    <a:p>
      <a:pPr>
        <a:defRPr sz="800" b="0" i="0" u="none" strike="noStrike" baseline="0">
          <a:solidFill>
            <a:srgbClr val="000000"/>
          </a:solidFill>
          <a:latin typeface="Akzidenz Grotesk Light"/>
          <a:ea typeface="Akzidenz Grotesk Light"/>
          <a:cs typeface="Akzidenz Grotesk Light"/>
        </a:defRPr>
      </a:pPr>
      <a:endParaRPr lang="en-US"/>
    </a:p>
  </c:txPr>
  <c:printSettings>
    <c:headerFooter alignWithMargins="0">
      <c:oddHeader>&amp;A</c:oddHeader>
      <c:oddFooter>Page &amp;P</c:oddFooter>
    </c:headerFooter>
    <c:pageMargins b="1" l="0.75000000000000011" r="0.75000000000000011" t="1" header="0.5" footer="0.5"/>
    <c:pageSetup paperSize="9" orientation="landscape" verticalDpi="1200"/>
  </c:printSettings>
</c:chartSpace>
</file>

<file path=xl/charts/chart2.xml><?xml version="1.0" encoding="utf-8"?>
<c:chartSpace xmlns:c="http://schemas.openxmlformats.org/drawingml/2006/chart" xmlns:a="http://schemas.openxmlformats.org/drawingml/2006/main" xmlns:r="http://schemas.openxmlformats.org/officeDocument/2006/relationships">
  <c:lang val="en-GB"/>
  <c:chart>
    <c:title>
      <c:tx>
        <c:rich>
          <a:bodyPr/>
          <a:lstStyle/>
          <a:p>
            <a:pPr>
              <a:defRPr sz="1400" b="1" i="0" u="none" strike="noStrike" baseline="0">
                <a:solidFill>
                  <a:srgbClr val="000000"/>
                </a:solidFill>
                <a:latin typeface="Akzidenz Grotesk Light"/>
                <a:ea typeface="Akzidenz Grotesk Light"/>
                <a:cs typeface="Akzidenz Grotesk Light"/>
              </a:defRPr>
            </a:pPr>
            <a:r>
              <a:t>Credit Loss Distribution</a:t>
            </a:r>
          </a:p>
        </c:rich>
      </c:tx>
      <c:layout>
        <c:manualLayout>
          <c:xMode val="edge"/>
          <c:yMode val="edge"/>
          <c:x val="0.33948863636363646"/>
          <c:y val="2.7923258758826154E-2"/>
        </c:manualLayout>
      </c:layout>
      <c:spPr>
        <a:noFill/>
        <a:ln w="25400">
          <a:noFill/>
        </a:ln>
      </c:spPr>
    </c:title>
    <c:plotArea>
      <c:layout>
        <c:manualLayout>
          <c:layoutTarget val="inner"/>
          <c:xMode val="edge"/>
          <c:yMode val="edge"/>
          <c:x val="0.1051136363636364"/>
          <c:y val="8.9005387293758342E-2"/>
          <c:w val="0.84801136363636354"/>
          <c:h val="0.81501011502323817"/>
        </c:manualLayout>
      </c:layout>
      <c:scatterChart>
        <c:scatterStyle val="smoothMarker"/>
        <c:ser>
          <c:idx val="0"/>
          <c:order val="0"/>
          <c:spPr>
            <a:ln w="25400">
              <a:solidFill>
                <a:srgbClr val="000080"/>
              </a:solidFill>
              <a:prstDash val="solid"/>
            </a:ln>
          </c:spPr>
          <c:marker>
            <c:symbol val="none"/>
          </c:marker>
          <c:xVal>
            <c:numRef>
              <c:f>Example1B!$P$11:$P$320</c:f>
              <c:numCache>
                <c:formatCode>#,##0</c:formatCode>
                <c:ptCount val="310"/>
                <c:pt idx="0">
                  <c:v>0</c:v>
                </c:pt>
                <c:pt idx="1">
                  <c:v>77277</c:v>
                </c:pt>
                <c:pt idx="2">
                  <c:v>154554</c:v>
                </c:pt>
                <c:pt idx="3">
                  <c:v>231831</c:v>
                </c:pt>
                <c:pt idx="4">
                  <c:v>309108</c:v>
                </c:pt>
                <c:pt idx="5">
                  <c:v>386385</c:v>
                </c:pt>
                <c:pt idx="6">
                  <c:v>463662</c:v>
                </c:pt>
                <c:pt idx="7">
                  <c:v>540939</c:v>
                </c:pt>
                <c:pt idx="8">
                  <c:v>618216</c:v>
                </c:pt>
                <c:pt idx="9">
                  <c:v>695493</c:v>
                </c:pt>
                <c:pt idx="10">
                  <c:v>772770</c:v>
                </c:pt>
                <c:pt idx="11">
                  <c:v>850047</c:v>
                </c:pt>
                <c:pt idx="12">
                  <c:v>927324</c:v>
                </c:pt>
                <c:pt idx="13">
                  <c:v>1004601</c:v>
                </c:pt>
                <c:pt idx="14">
                  <c:v>1081878</c:v>
                </c:pt>
                <c:pt idx="15">
                  <c:v>1159155</c:v>
                </c:pt>
                <c:pt idx="16">
                  <c:v>1236432</c:v>
                </c:pt>
                <c:pt idx="17">
                  <c:v>1313709</c:v>
                </c:pt>
                <c:pt idx="18">
                  <c:v>1390986</c:v>
                </c:pt>
                <c:pt idx="19">
                  <c:v>1468263</c:v>
                </c:pt>
                <c:pt idx="20">
                  <c:v>1545540</c:v>
                </c:pt>
                <c:pt idx="21">
                  <c:v>1622817</c:v>
                </c:pt>
                <c:pt idx="22">
                  <c:v>1700094</c:v>
                </c:pt>
                <c:pt idx="23">
                  <c:v>1777371</c:v>
                </c:pt>
                <c:pt idx="24">
                  <c:v>1854648</c:v>
                </c:pt>
                <c:pt idx="25">
                  <c:v>1931925</c:v>
                </c:pt>
                <c:pt idx="26">
                  <c:v>2009202</c:v>
                </c:pt>
                <c:pt idx="27">
                  <c:v>2086479</c:v>
                </c:pt>
                <c:pt idx="28">
                  <c:v>2163756</c:v>
                </c:pt>
                <c:pt idx="29">
                  <c:v>2241033</c:v>
                </c:pt>
                <c:pt idx="30">
                  <c:v>2318310</c:v>
                </c:pt>
                <c:pt idx="31">
                  <c:v>2395587</c:v>
                </c:pt>
                <c:pt idx="32">
                  <c:v>2472864</c:v>
                </c:pt>
                <c:pt idx="33">
                  <c:v>2550141</c:v>
                </c:pt>
                <c:pt idx="34">
                  <c:v>2627418</c:v>
                </c:pt>
                <c:pt idx="35">
                  <c:v>2704695</c:v>
                </c:pt>
                <c:pt idx="36">
                  <c:v>2781972</c:v>
                </c:pt>
                <c:pt idx="37">
                  <c:v>2859249</c:v>
                </c:pt>
                <c:pt idx="38">
                  <c:v>2936526</c:v>
                </c:pt>
                <c:pt idx="39">
                  <c:v>3013803</c:v>
                </c:pt>
                <c:pt idx="40">
                  <c:v>3091080</c:v>
                </c:pt>
                <c:pt idx="41">
                  <c:v>3168357</c:v>
                </c:pt>
                <c:pt idx="42">
                  <c:v>3245634</c:v>
                </c:pt>
                <c:pt idx="43">
                  <c:v>3322911</c:v>
                </c:pt>
                <c:pt idx="44">
                  <c:v>3400188</c:v>
                </c:pt>
                <c:pt idx="45">
                  <c:v>3477465</c:v>
                </c:pt>
                <c:pt idx="46">
                  <c:v>3554742</c:v>
                </c:pt>
                <c:pt idx="47">
                  <c:v>3632019</c:v>
                </c:pt>
                <c:pt idx="48">
                  <c:v>3709296</c:v>
                </c:pt>
                <c:pt idx="49">
                  <c:v>3786573</c:v>
                </c:pt>
                <c:pt idx="50">
                  <c:v>3863850</c:v>
                </c:pt>
                <c:pt idx="51">
                  <c:v>3941127</c:v>
                </c:pt>
                <c:pt idx="52">
                  <c:v>4018404</c:v>
                </c:pt>
                <c:pt idx="53">
                  <c:v>4095681</c:v>
                </c:pt>
                <c:pt idx="54">
                  <c:v>4172958</c:v>
                </c:pt>
                <c:pt idx="55">
                  <c:v>4250235</c:v>
                </c:pt>
                <c:pt idx="56">
                  <c:v>4327512</c:v>
                </c:pt>
                <c:pt idx="57">
                  <c:v>4404789</c:v>
                </c:pt>
                <c:pt idx="58">
                  <c:v>4482066</c:v>
                </c:pt>
                <c:pt idx="59">
                  <c:v>4559343</c:v>
                </c:pt>
                <c:pt idx="60">
                  <c:v>4636620</c:v>
                </c:pt>
                <c:pt idx="61">
                  <c:v>4713897</c:v>
                </c:pt>
                <c:pt idx="62">
                  <c:v>4791174</c:v>
                </c:pt>
                <c:pt idx="63">
                  <c:v>4868451</c:v>
                </c:pt>
                <c:pt idx="64">
                  <c:v>4945728</c:v>
                </c:pt>
                <c:pt idx="65">
                  <c:v>5023005</c:v>
                </c:pt>
                <c:pt idx="66">
                  <c:v>5100282</c:v>
                </c:pt>
                <c:pt idx="67">
                  <c:v>5177559</c:v>
                </c:pt>
                <c:pt idx="68">
                  <c:v>5254836</c:v>
                </c:pt>
                <c:pt idx="69">
                  <c:v>5332113</c:v>
                </c:pt>
                <c:pt idx="70">
                  <c:v>5409390</c:v>
                </c:pt>
                <c:pt idx="71">
                  <c:v>5486667</c:v>
                </c:pt>
                <c:pt idx="72">
                  <c:v>5563944</c:v>
                </c:pt>
                <c:pt idx="73">
                  <c:v>5641221</c:v>
                </c:pt>
                <c:pt idx="74">
                  <c:v>5718498</c:v>
                </c:pt>
                <c:pt idx="75">
                  <c:v>5795775</c:v>
                </c:pt>
                <c:pt idx="76">
                  <c:v>5873052</c:v>
                </c:pt>
                <c:pt idx="77">
                  <c:v>5950329</c:v>
                </c:pt>
                <c:pt idx="78">
                  <c:v>6027606</c:v>
                </c:pt>
                <c:pt idx="79">
                  <c:v>6104883</c:v>
                </c:pt>
                <c:pt idx="80">
                  <c:v>6182160</c:v>
                </c:pt>
                <c:pt idx="81">
                  <c:v>6259437</c:v>
                </c:pt>
                <c:pt idx="82">
                  <c:v>6336714</c:v>
                </c:pt>
                <c:pt idx="83">
                  <c:v>6413991</c:v>
                </c:pt>
                <c:pt idx="84">
                  <c:v>6491268</c:v>
                </c:pt>
                <c:pt idx="85">
                  <c:v>6568545</c:v>
                </c:pt>
                <c:pt idx="86">
                  <c:v>6645822</c:v>
                </c:pt>
                <c:pt idx="87">
                  <c:v>6723099</c:v>
                </c:pt>
                <c:pt idx="88">
                  <c:v>6800376</c:v>
                </c:pt>
                <c:pt idx="89">
                  <c:v>6877653</c:v>
                </c:pt>
                <c:pt idx="90">
                  <c:v>6954930</c:v>
                </c:pt>
                <c:pt idx="91">
                  <c:v>7032207</c:v>
                </c:pt>
                <c:pt idx="92">
                  <c:v>7109484</c:v>
                </c:pt>
                <c:pt idx="93">
                  <c:v>7186761</c:v>
                </c:pt>
                <c:pt idx="94">
                  <c:v>7264038</c:v>
                </c:pt>
                <c:pt idx="95">
                  <c:v>7341315</c:v>
                </c:pt>
                <c:pt idx="96">
                  <c:v>7418592</c:v>
                </c:pt>
                <c:pt idx="97">
                  <c:v>7495869</c:v>
                </c:pt>
                <c:pt idx="98">
                  <c:v>7573146</c:v>
                </c:pt>
                <c:pt idx="99">
                  <c:v>7650423</c:v>
                </c:pt>
                <c:pt idx="100">
                  <c:v>7727700</c:v>
                </c:pt>
                <c:pt idx="101">
                  <c:v>7804977</c:v>
                </c:pt>
                <c:pt idx="102">
                  <c:v>7882254</c:v>
                </c:pt>
                <c:pt idx="103">
                  <c:v>7959531</c:v>
                </c:pt>
                <c:pt idx="104">
                  <c:v>8036808</c:v>
                </c:pt>
                <c:pt idx="105">
                  <c:v>8114085</c:v>
                </c:pt>
                <c:pt idx="106">
                  <c:v>8191362</c:v>
                </c:pt>
                <c:pt idx="107">
                  <c:v>8268639</c:v>
                </c:pt>
                <c:pt idx="108">
                  <c:v>8345916</c:v>
                </c:pt>
                <c:pt idx="109">
                  <c:v>8423193</c:v>
                </c:pt>
                <c:pt idx="110">
                  <c:v>8500470</c:v>
                </c:pt>
                <c:pt idx="111">
                  <c:v>8577747</c:v>
                </c:pt>
                <c:pt idx="112">
                  <c:v>8655024</c:v>
                </c:pt>
                <c:pt idx="113">
                  <c:v>8732301</c:v>
                </c:pt>
                <c:pt idx="114">
                  <c:v>8809578</c:v>
                </c:pt>
                <c:pt idx="115">
                  <c:v>8886855</c:v>
                </c:pt>
                <c:pt idx="116">
                  <c:v>8964132</c:v>
                </c:pt>
                <c:pt idx="117">
                  <c:v>9041409</c:v>
                </c:pt>
                <c:pt idx="118">
                  <c:v>9118686</c:v>
                </c:pt>
                <c:pt idx="119">
                  <c:v>9195963</c:v>
                </c:pt>
                <c:pt idx="120">
                  <c:v>9273240</c:v>
                </c:pt>
                <c:pt idx="121">
                  <c:v>9350517</c:v>
                </c:pt>
                <c:pt idx="122">
                  <c:v>9427794</c:v>
                </c:pt>
                <c:pt idx="123">
                  <c:v>9505071</c:v>
                </c:pt>
                <c:pt idx="124">
                  <c:v>9582348</c:v>
                </c:pt>
                <c:pt idx="125">
                  <c:v>9659625</c:v>
                </c:pt>
                <c:pt idx="126">
                  <c:v>9736902</c:v>
                </c:pt>
                <c:pt idx="127">
                  <c:v>9814179</c:v>
                </c:pt>
                <c:pt idx="128">
                  <c:v>9891456</c:v>
                </c:pt>
                <c:pt idx="129">
                  <c:v>9968733</c:v>
                </c:pt>
                <c:pt idx="130">
                  <c:v>10046010</c:v>
                </c:pt>
                <c:pt idx="131">
                  <c:v>10123287</c:v>
                </c:pt>
                <c:pt idx="132">
                  <c:v>10200564</c:v>
                </c:pt>
                <c:pt idx="133">
                  <c:v>10277841</c:v>
                </c:pt>
                <c:pt idx="134">
                  <c:v>10355118</c:v>
                </c:pt>
                <c:pt idx="135">
                  <c:v>10432395</c:v>
                </c:pt>
                <c:pt idx="136">
                  <c:v>10509672</c:v>
                </c:pt>
                <c:pt idx="137">
                  <c:v>10586949</c:v>
                </c:pt>
                <c:pt idx="138">
                  <c:v>10664226</c:v>
                </c:pt>
                <c:pt idx="139">
                  <c:v>10741503</c:v>
                </c:pt>
                <c:pt idx="140">
                  <c:v>10818780</c:v>
                </c:pt>
                <c:pt idx="141">
                  <c:v>10896057</c:v>
                </c:pt>
                <c:pt idx="142">
                  <c:v>10973334</c:v>
                </c:pt>
                <c:pt idx="143">
                  <c:v>11050611</c:v>
                </c:pt>
                <c:pt idx="144">
                  <c:v>11127888</c:v>
                </c:pt>
                <c:pt idx="145">
                  <c:v>11205165</c:v>
                </c:pt>
                <c:pt idx="146">
                  <c:v>11282442</c:v>
                </c:pt>
                <c:pt idx="147">
                  <c:v>11359719</c:v>
                </c:pt>
                <c:pt idx="148">
                  <c:v>11436996</c:v>
                </c:pt>
                <c:pt idx="149">
                  <c:v>11514273</c:v>
                </c:pt>
                <c:pt idx="150">
                  <c:v>11591550</c:v>
                </c:pt>
                <c:pt idx="151">
                  <c:v>11668827</c:v>
                </c:pt>
                <c:pt idx="152">
                  <c:v>11746104</c:v>
                </c:pt>
                <c:pt idx="153">
                  <c:v>11823381</c:v>
                </c:pt>
                <c:pt idx="154">
                  <c:v>11900658</c:v>
                </c:pt>
                <c:pt idx="155">
                  <c:v>11977935</c:v>
                </c:pt>
                <c:pt idx="156">
                  <c:v>12055212</c:v>
                </c:pt>
                <c:pt idx="157">
                  <c:v>12132489</c:v>
                </c:pt>
                <c:pt idx="158">
                  <c:v>12209766</c:v>
                </c:pt>
                <c:pt idx="159">
                  <c:v>12287043</c:v>
                </c:pt>
                <c:pt idx="160">
                  <c:v>12364320</c:v>
                </c:pt>
                <c:pt idx="161">
                  <c:v>12441597</c:v>
                </c:pt>
                <c:pt idx="162">
                  <c:v>12518874</c:v>
                </c:pt>
                <c:pt idx="163">
                  <c:v>12596151</c:v>
                </c:pt>
                <c:pt idx="164">
                  <c:v>12673428</c:v>
                </c:pt>
                <c:pt idx="165">
                  <c:v>12750705</c:v>
                </c:pt>
                <c:pt idx="166">
                  <c:v>12827982</c:v>
                </c:pt>
                <c:pt idx="167">
                  <c:v>12905259</c:v>
                </c:pt>
                <c:pt idx="168">
                  <c:v>12982536</c:v>
                </c:pt>
                <c:pt idx="169">
                  <c:v>13059813</c:v>
                </c:pt>
                <c:pt idx="170">
                  <c:v>13137090</c:v>
                </c:pt>
                <c:pt idx="171">
                  <c:v>13214367</c:v>
                </c:pt>
                <c:pt idx="172">
                  <c:v>13291644</c:v>
                </c:pt>
                <c:pt idx="173">
                  <c:v>13368921</c:v>
                </c:pt>
                <c:pt idx="174">
                  <c:v>13446198</c:v>
                </c:pt>
                <c:pt idx="175">
                  <c:v>13523475</c:v>
                </c:pt>
                <c:pt idx="176">
                  <c:v>13600752</c:v>
                </c:pt>
                <c:pt idx="177">
                  <c:v>13678029</c:v>
                </c:pt>
                <c:pt idx="178">
                  <c:v>13755306</c:v>
                </c:pt>
                <c:pt idx="179">
                  <c:v>13832583</c:v>
                </c:pt>
                <c:pt idx="180">
                  <c:v>13909860</c:v>
                </c:pt>
                <c:pt idx="181">
                  <c:v>13987137</c:v>
                </c:pt>
                <c:pt idx="182">
                  <c:v>14064414</c:v>
                </c:pt>
                <c:pt idx="183">
                  <c:v>14141691</c:v>
                </c:pt>
                <c:pt idx="184">
                  <c:v>14218968</c:v>
                </c:pt>
                <c:pt idx="185">
                  <c:v>14296245</c:v>
                </c:pt>
                <c:pt idx="186">
                  <c:v>14373522</c:v>
                </c:pt>
                <c:pt idx="187">
                  <c:v>14450799</c:v>
                </c:pt>
                <c:pt idx="188">
                  <c:v>14528076</c:v>
                </c:pt>
                <c:pt idx="189">
                  <c:v>14605353</c:v>
                </c:pt>
                <c:pt idx="190">
                  <c:v>14682630</c:v>
                </c:pt>
                <c:pt idx="191">
                  <c:v>14759907</c:v>
                </c:pt>
                <c:pt idx="192">
                  <c:v>14837184</c:v>
                </c:pt>
                <c:pt idx="193">
                  <c:v>14914461</c:v>
                </c:pt>
                <c:pt idx="194">
                  <c:v>14991738</c:v>
                </c:pt>
                <c:pt idx="195">
                  <c:v>15069015</c:v>
                </c:pt>
                <c:pt idx="196">
                  <c:v>15146292</c:v>
                </c:pt>
                <c:pt idx="197">
                  <c:v>15223569</c:v>
                </c:pt>
                <c:pt idx="198">
                  <c:v>15300846</c:v>
                </c:pt>
                <c:pt idx="199">
                  <c:v>15378123</c:v>
                </c:pt>
                <c:pt idx="200">
                  <c:v>15455400</c:v>
                </c:pt>
                <c:pt idx="201">
                  <c:v>15532677</c:v>
                </c:pt>
                <c:pt idx="202">
                  <c:v>15609954</c:v>
                </c:pt>
                <c:pt idx="203">
                  <c:v>15687231</c:v>
                </c:pt>
                <c:pt idx="204">
                  <c:v>15764508</c:v>
                </c:pt>
                <c:pt idx="205">
                  <c:v>15841785</c:v>
                </c:pt>
                <c:pt idx="206">
                  <c:v>15919062</c:v>
                </c:pt>
                <c:pt idx="207">
                  <c:v>15996339</c:v>
                </c:pt>
                <c:pt idx="208">
                  <c:v>16073616</c:v>
                </c:pt>
                <c:pt idx="209">
                  <c:v>16150893</c:v>
                </c:pt>
                <c:pt idx="210">
                  <c:v>16228170</c:v>
                </c:pt>
                <c:pt idx="211">
                  <c:v>16305447</c:v>
                </c:pt>
                <c:pt idx="212">
                  <c:v>16382724</c:v>
                </c:pt>
                <c:pt idx="213">
                  <c:v>16460001</c:v>
                </c:pt>
                <c:pt idx="214">
                  <c:v>16537278</c:v>
                </c:pt>
                <c:pt idx="215">
                  <c:v>16614555</c:v>
                </c:pt>
                <c:pt idx="216">
                  <c:v>16691832</c:v>
                </c:pt>
                <c:pt idx="217">
                  <c:v>16769109</c:v>
                </c:pt>
                <c:pt idx="218">
                  <c:v>16846386</c:v>
                </c:pt>
                <c:pt idx="219">
                  <c:v>16923663</c:v>
                </c:pt>
                <c:pt idx="220">
                  <c:v>17000940</c:v>
                </c:pt>
                <c:pt idx="221">
                  <c:v>17078217</c:v>
                </c:pt>
                <c:pt idx="222">
                  <c:v>17155494</c:v>
                </c:pt>
                <c:pt idx="223">
                  <c:v>17232771</c:v>
                </c:pt>
                <c:pt idx="224">
                  <c:v>17310048</c:v>
                </c:pt>
                <c:pt idx="225">
                  <c:v>17387325</c:v>
                </c:pt>
                <c:pt idx="226">
                  <c:v>17464602</c:v>
                </c:pt>
                <c:pt idx="227">
                  <c:v>17541879</c:v>
                </c:pt>
                <c:pt idx="228">
                  <c:v>17619156</c:v>
                </c:pt>
                <c:pt idx="229">
                  <c:v>17696433</c:v>
                </c:pt>
                <c:pt idx="230">
                  <c:v>17773710</c:v>
                </c:pt>
                <c:pt idx="231">
                  <c:v>17850987</c:v>
                </c:pt>
                <c:pt idx="232">
                  <c:v>17928264</c:v>
                </c:pt>
                <c:pt idx="233">
                  <c:v>18005541</c:v>
                </c:pt>
                <c:pt idx="234">
                  <c:v>18082818</c:v>
                </c:pt>
                <c:pt idx="235">
                  <c:v>18160095</c:v>
                </c:pt>
                <c:pt idx="236">
                  <c:v>18237372</c:v>
                </c:pt>
                <c:pt idx="237">
                  <c:v>18314649</c:v>
                </c:pt>
                <c:pt idx="238">
                  <c:v>18391926</c:v>
                </c:pt>
                <c:pt idx="239">
                  <c:v>18469203</c:v>
                </c:pt>
                <c:pt idx="240">
                  <c:v>18546480</c:v>
                </c:pt>
                <c:pt idx="241">
                  <c:v>18623757</c:v>
                </c:pt>
                <c:pt idx="242">
                  <c:v>18701034</c:v>
                </c:pt>
                <c:pt idx="243">
                  <c:v>18778311</c:v>
                </c:pt>
                <c:pt idx="244">
                  <c:v>18855588</c:v>
                </c:pt>
                <c:pt idx="245">
                  <c:v>18932865</c:v>
                </c:pt>
                <c:pt idx="246">
                  <c:v>19010142</c:v>
                </c:pt>
                <c:pt idx="247">
                  <c:v>19087419</c:v>
                </c:pt>
                <c:pt idx="248">
                  <c:v>19164696</c:v>
                </c:pt>
                <c:pt idx="249">
                  <c:v>19241973</c:v>
                </c:pt>
                <c:pt idx="250">
                  <c:v>19319250</c:v>
                </c:pt>
                <c:pt idx="251">
                  <c:v>19396527</c:v>
                </c:pt>
                <c:pt idx="252">
                  <c:v>19473804</c:v>
                </c:pt>
                <c:pt idx="253">
                  <c:v>19551081</c:v>
                </c:pt>
                <c:pt idx="254">
                  <c:v>19628358</c:v>
                </c:pt>
                <c:pt idx="255">
                  <c:v>19705635</c:v>
                </c:pt>
                <c:pt idx="256">
                  <c:v>19782912</c:v>
                </c:pt>
                <c:pt idx="257">
                  <c:v>19860189</c:v>
                </c:pt>
                <c:pt idx="258">
                  <c:v>19937466</c:v>
                </c:pt>
                <c:pt idx="259">
                  <c:v>20014743</c:v>
                </c:pt>
                <c:pt idx="260">
                  <c:v>20092020</c:v>
                </c:pt>
                <c:pt idx="261">
                  <c:v>20169297</c:v>
                </c:pt>
                <c:pt idx="262">
                  <c:v>20246574</c:v>
                </c:pt>
                <c:pt idx="263">
                  <c:v>20323851</c:v>
                </c:pt>
                <c:pt idx="264">
                  <c:v>20401128</c:v>
                </c:pt>
                <c:pt idx="265">
                  <c:v>20478405</c:v>
                </c:pt>
                <c:pt idx="266">
                  <c:v>20555682</c:v>
                </c:pt>
                <c:pt idx="267">
                  <c:v>20632959</c:v>
                </c:pt>
                <c:pt idx="268">
                  <c:v>20710236</c:v>
                </c:pt>
                <c:pt idx="269">
                  <c:v>20787513</c:v>
                </c:pt>
                <c:pt idx="270">
                  <c:v>20864790</c:v>
                </c:pt>
                <c:pt idx="271">
                  <c:v>20942067</c:v>
                </c:pt>
                <c:pt idx="272">
                  <c:v>21019344</c:v>
                </c:pt>
                <c:pt idx="273">
                  <c:v>21096621</c:v>
                </c:pt>
                <c:pt idx="274">
                  <c:v>21173898</c:v>
                </c:pt>
                <c:pt idx="275">
                  <c:v>21251175</c:v>
                </c:pt>
                <c:pt idx="276">
                  <c:v>21328452</c:v>
                </c:pt>
                <c:pt idx="277">
                  <c:v>21405729</c:v>
                </c:pt>
                <c:pt idx="278">
                  <c:v>21483006</c:v>
                </c:pt>
                <c:pt idx="279">
                  <c:v>21560283</c:v>
                </c:pt>
                <c:pt idx="280">
                  <c:v>21637560</c:v>
                </c:pt>
                <c:pt idx="281">
                  <c:v>21714837</c:v>
                </c:pt>
                <c:pt idx="282">
                  <c:v>21792114</c:v>
                </c:pt>
                <c:pt idx="283">
                  <c:v>21869391</c:v>
                </c:pt>
                <c:pt idx="284">
                  <c:v>21946668</c:v>
                </c:pt>
                <c:pt idx="285">
                  <c:v>22023945</c:v>
                </c:pt>
                <c:pt idx="286">
                  <c:v>22101222</c:v>
                </c:pt>
                <c:pt idx="287">
                  <c:v>22178499</c:v>
                </c:pt>
                <c:pt idx="288">
                  <c:v>22255776</c:v>
                </c:pt>
                <c:pt idx="289">
                  <c:v>22333053</c:v>
                </c:pt>
                <c:pt idx="290">
                  <c:v>22410330</c:v>
                </c:pt>
                <c:pt idx="291">
                  <c:v>22487607</c:v>
                </c:pt>
                <c:pt idx="292">
                  <c:v>22564884</c:v>
                </c:pt>
                <c:pt idx="293">
                  <c:v>22642161</c:v>
                </c:pt>
                <c:pt idx="294">
                  <c:v>22719438</c:v>
                </c:pt>
                <c:pt idx="295">
                  <c:v>22796715</c:v>
                </c:pt>
                <c:pt idx="296">
                  <c:v>22873992</c:v>
                </c:pt>
                <c:pt idx="297">
                  <c:v>22951269</c:v>
                </c:pt>
                <c:pt idx="298">
                  <c:v>23028546</c:v>
                </c:pt>
                <c:pt idx="299">
                  <c:v>23105823</c:v>
                </c:pt>
                <c:pt idx="300">
                  <c:v>23183100</c:v>
                </c:pt>
                <c:pt idx="301">
                  <c:v>23260377</c:v>
                </c:pt>
                <c:pt idx="302">
                  <c:v>23337654</c:v>
                </c:pt>
                <c:pt idx="303">
                  <c:v>23414931</c:v>
                </c:pt>
                <c:pt idx="304">
                  <c:v>23492208</c:v>
                </c:pt>
                <c:pt idx="305">
                  <c:v>23569485</c:v>
                </c:pt>
                <c:pt idx="306">
                  <c:v>23646762</c:v>
                </c:pt>
                <c:pt idx="307">
                  <c:v>23724039</c:v>
                </c:pt>
                <c:pt idx="308">
                  <c:v>23801316</c:v>
                </c:pt>
                <c:pt idx="309">
                  <c:v>23878593</c:v>
                </c:pt>
              </c:numCache>
            </c:numRef>
          </c:xVal>
          <c:yVal>
            <c:numRef>
              <c:f>Example1B!$Q$11:$Q$320</c:f>
              <c:numCache>
                <c:formatCode>_-* #,##0.000000_-;\-* #,##0.000000_-;_-* "-"??_-;_-@_-</c:formatCode>
                <c:ptCount val="310"/>
                <c:pt idx="0">
                  <c:v>0.10523</c:v>
                </c:pt>
                <c:pt idx="1">
                  <c:v>0</c:v>
                </c:pt>
                <c:pt idx="2">
                  <c:v>0</c:v>
                </c:pt>
                <c:pt idx="3">
                  <c:v>0</c:v>
                </c:pt>
                <c:pt idx="4">
                  <c:v>0</c:v>
                </c:pt>
                <c:pt idx="5">
                  <c:v>1.6681000000000001E-2</c:v>
                </c:pt>
                <c:pt idx="6">
                  <c:v>0</c:v>
                </c:pt>
                <c:pt idx="7">
                  <c:v>0</c:v>
                </c:pt>
                <c:pt idx="8">
                  <c:v>0</c:v>
                </c:pt>
                <c:pt idx="9">
                  <c:v>0</c:v>
                </c:pt>
                <c:pt idx="10">
                  <c:v>1.653E-3</c:v>
                </c:pt>
                <c:pt idx="11">
                  <c:v>0</c:v>
                </c:pt>
                <c:pt idx="12">
                  <c:v>0</c:v>
                </c:pt>
                <c:pt idx="13">
                  <c:v>0</c:v>
                </c:pt>
                <c:pt idx="14">
                  <c:v>0</c:v>
                </c:pt>
                <c:pt idx="15">
                  <c:v>1.7035999999999999E-2</c:v>
                </c:pt>
                <c:pt idx="16">
                  <c:v>0</c:v>
                </c:pt>
                <c:pt idx="17">
                  <c:v>0</c:v>
                </c:pt>
                <c:pt idx="18">
                  <c:v>0</c:v>
                </c:pt>
                <c:pt idx="19">
                  <c:v>0</c:v>
                </c:pt>
                <c:pt idx="20">
                  <c:v>3.359E-3</c:v>
                </c:pt>
                <c:pt idx="21">
                  <c:v>0</c:v>
                </c:pt>
                <c:pt idx="22">
                  <c:v>0</c:v>
                </c:pt>
                <c:pt idx="23">
                  <c:v>0</c:v>
                </c:pt>
                <c:pt idx="24">
                  <c:v>5.816E-3</c:v>
                </c:pt>
                <c:pt idx="25">
                  <c:v>3.9899999999999999E-4</c:v>
                </c:pt>
                <c:pt idx="26">
                  <c:v>8.6499999999999997E-3</c:v>
                </c:pt>
                <c:pt idx="27">
                  <c:v>0</c:v>
                </c:pt>
                <c:pt idx="28">
                  <c:v>0</c:v>
                </c:pt>
                <c:pt idx="29">
                  <c:v>1.152E-3</c:v>
                </c:pt>
                <c:pt idx="30">
                  <c:v>1.072E-2</c:v>
                </c:pt>
                <c:pt idx="31">
                  <c:v>1.714E-3</c:v>
                </c:pt>
                <c:pt idx="32">
                  <c:v>8.7650000000000002E-3</c:v>
                </c:pt>
                <c:pt idx="33">
                  <c:v>0</c:v>
                </c:pt>
                <c:pt idx="34">
                  <c:v>1.37E-4</c:v>
                </c:pt>
                <c:pt idx="35">
                  <c:v>1.9817999999999999E-2</c:v>
                </c:pt>
                <c:pt idx="36">
                  <c:v>2.04E-4</c:v>
                </c:pt>
                <c:pt idx="37">
                  <c:v>1.737E-3</c:v>
                </c:pt>
                <c:pt idx="38">
                  <c:v>0</c:v>
                </c:pt>
                <c:pt idx="39">
                  <c:v>1.0003E-2</c:v>
                </c:pt>
                <c:pt idx="40">
                  <c:v>3.7620000000000002E-3</c:v>
                </c:pt>
                <c:pt idx="41">
                  <c:v>4.7239999999999999E-3</c:v>
                </c:pt>
                <c:pt idx="42">
                  <c:v>3.1649999999999998E-3</c:v>
                </c:pt>
                <c:pt idx="43">
                  <c:v>0</c:v>
                </c:pt>
                <c:pt idx="44">
                  <c:v>2.0270000000000002E-3</c:v>
                </c:pt>
                <c:pt idx="45">
                  <c:v>2.382E-3</c:v>
                </c:pt>
                <c:pt idx="46">
                  <c:v>1.003E-3</c:v>
                </c:pt>
                <c:pt idx="47">
                  <c:v>2.3649999999999999E-3</c:v>
                </c:pt>
                <c:pt idx="48">
                  <c:v>2.0100000000000001E-4</c:v>
                </c:pt>
                <c:pt idx="49">
                  <c:v>2.4600000000000002E-4</c:v>
                </c:pt>
                <c:pt idx="50">
                  <c:v>4.6449999999999998E-3</c:v>
                </c:pt>
                <c:pt idx="51">
                  <c:v>1.27E-4</c:v>
                </c:pt>
                <c:pt idx="52">
                  <c:v>9.3400000000000004E-4</c:v>
                </c:pt>
                <c:pt idx="53">
                  <c:v>4.8000000000000001E-5</c:v>
                </c:pt>
                <c:pt idx="54">
                  <c:v>2.5560000000000001E-3</c:v>
                </c:pt>
                <c:pt idx="55">
                  <c:v>1.0529999999999999E-3</c:v>
                </c:pt>
                <c:pt idx="56">
                  <c:v>2.3470000000000001E-3</c:v>
                </c:pt>
                <c:pt idx="57">
                  <c:v>7.6400000000000003E-4</c:v>
                </c:pt>
                <c:pt idx="58">
                  <c:v>9.0700000000000004E-4</c:v>
                </c:pt>
                <c:pt idx="59">
                  <c:v>1.828E-3</c:v>
                </c:pt>
                <c:pt idx="60">
                  <c:v>8.4999999999999995E-4</c:v>
                </c:pt>
                <c:pt idx="61">
                  <c:v>2.3760000000000001E-3</c:v>
                </c:pt>
                <c:pt idx="62">
                  <c:v>2.1970000000000002E-3</c:v>
                </c:pt>
                <c:pt idx="63">
                  <c:v>3.846E-3</c:v>
                </c:pt>
                <c:pt idx="64">
                  <c:v>2.1727E-2</c:v>
                </c:pt>
                <c:pt idx="65">
                  <c:v>3.7569999999999999E-3</c:v>
                </c:pt>
                <c:pt idx="66">
                  <c:v>6.6400000000000001E-3</c:v>
                </c:pt>
                <c:pt idx="67">
                  <c:v>2.7269999999999998E-3</c:v>
                </c:pt>
                <c:pt idx="68">
                  <c:v>1.0809999999999999E-3</c:v>
                </c:pt>
                <c:pt idx="69">
                  <c:v>1.0102E-2</c:v>
                </c:pt>
                <c:pt idx="70">
                  <c:v>2.7439999999999999E-3</c:v>
                </c:pt>
                <c:pt idx="71">
                  <c:v>5.9550000000000002E-3</c:v>
                </c:pt>
                <c:pt idx="72">
                  <c:v>2.7780000000000001E-3</c:v>
                </c:pt>
                <c:pt idx="73">
                  <c:v>6.9399999999999996E-4</c:v>
                </c:pt>
                <c:pt idx="74">
                  <c:v>4.2040000000000003E-3</c:v>
                </c:pt>
                <c:pt idx="75">
                  <c:v>5.1729999999999996E-3</c:v>
                </c:pt>
                <c:pt idx="76">
                  <c:v>4.0489999999999996E-3</c:v>
                </c:pt>
                <c:pt idx="77">
                  <c:v>1.575E-3</c:v>
                </c:pt>
                <c:pt idx="78">
                  <c:v>1.41E-3</c:v>
                </c:pt>
                <c:pt idx="79">
                  <c:v>5.1079999999999997E-3</c:v>
                </c:pt>
                <c:pt idx="80">
                  <c:v>2.1940000000000002E-3</c:v>
                </c:pt>
                <c:pt idx="81">
                  <c:v>2.3280000000000002E-3</c:v>
                </c:pt>
                <c:pt idx="82">
                  <c:v>1.0380000000000001E-3</c:v>
                </c:pt>
                <c:pt idx="83">
                  <c:v>5.5699999999999999E-4</c:v>
                </c:pt>
                <c:pt idx="84">
                  <c:v>3.8310999999999998E-2</c:v>
                </c:pt>
                <c:pt idx="85">
                  <c:v>1.036E-3</c:v>
                </c:pt>
                <c:pt idx="86">
                  <c:v>1.6199999999999999E-3</c:v>
                </c:pt>
                <c:pt idx="87">
                  <c:v>1.0250000000000001E-3</c:v>
                </c:pt>
                <c:pt idx="88">
                  <c:v>1.8979999999999999E-3</c:v>
                </c:pt>
                <c:pt idx="89">
                  <c:v>8.7019999999999997E-3</c:v>
                </c:pt>
                <c:pt idx="90">
                  <c:v>3.7829999999999999E-3</c:v>
                </c:pt>
                <c:pt idx="91">
                  <c:v>1.4040000000000001E-3</c:v>
                </c:pt>
                <c:pt idx="92">
                  <c:v>1.224E-3</c:v>
                </c:pt>
                <c:pt idx="93">
                  <c:v>1.619E-3</c:v>
                </c:pt>
                <c:pt idx="94">
                  <c:v>4.2820000000000002E-3</c:v>
                </c:pt>
                <c:pt idx="95">
                  <c:v>2.4090000000000001E-3</c:v>
                </c:pt>
                <c:pt idx="96">
                  <c:v>3.7590000000000002E-3</c:v>
                </c:pt>
                <c:pt idx="97">
                  <c:v>1.3090000000000001E-3</c:v>
                </c:pt>
                <c:pt idx="98">
                  <c:v>2.055E-3</c:v>
                </c:pt>
                <c:pt idx="99">
                  <c:v>1.3653999999999999E-2</c:v>
                </c:pt>
                <c:pt idx="100">
                  <c:v>2.2550000000000001E-3</c:v>
                </c:pt>
                <c:pt idx="101">
                  <c:v>3.8240000000000001E-3</c:v>
                </c:pt>
                <c:pt idx="102">
                  <c:v>1.5070000000000001E-3</c:v>
                </c:pt>
                <c:pt idx="103">
                  <c:v>3.5959999999999998E-3</c:v>
                </c:pt>
                <c:pt idx="104">
                  <c:v>5.0200000000000002E-3</c:v>
                </c:pt>
                <c:pt idx="105">
                  <c:v>3.3670000000000002E-3</c:v>
                </c:pt>
                <c:pt idx="106">
                  <c:v>2.9729999999999999E-3</c:v>
                </c:pt>
                <c:pt idx="107">
                  <c:v>1.748E-3</c:v>
                </c:pt>
                <c:pt idx="108">
                  <c:v>4.6039999999999996E-3</c:v>
                </c:pt>
                <c:pt idx="109">
                  <c:v>1.91E-3</c:v>
                </c:pt>
                <c:pt idx="110">
                  <c:v>6.3559999999999997E-3</c:v>
                </c:pt>
                <c:pt idx="111">
                  <c:v>2.3180000000000002E-3</c:v>
                </c:pt>
                <c:pt idx="112">
                  <c:v>9.6199999999999996E-4</c:v>
                </c:pt>
                <c:pt idx="113">
                  <c:v>1.825E-3</c:v>
                </c:pt>
                <c:pt idx="114">
                  <c:v>7.1799999999999998E-3</c:v>
                </c:pt>
                <c:pt idx="115">
                  <c:v>2.1879999999999998E-3</c:v>
                </c:pt>
                <c:pt idx="116">
                  <c:v>5.4039999999999999E-3</c:v>
                </c:pt>
                <c:pt idx="117">
                  <c:v>8.4099999999999995E-4</c:v>
                </c:pt>
                <c:pt idx="118">
                  <c:v>1.4319999999999999E-3</c:v>
                </c:pt>
                <c:pt idx="119">
                  <c:v>9.9059999999999999E-3</c:v>
                </c:pt>
                <c:pt idx="120">
                  <c:v>1.601E-3</c:v>
                </c:pt>
                <c:pt idx="121">
                  <c:v>1.9659999999999999E-3</c:v>
                </c:pt>
                <c:pt idx="122">
                  <c:v>1.041E-3</c:v>
                </c:pt>
                <c:pt idx="123">
                  <c:v>5.5469999999999998E-3</c:v>
                </c:pt>
                <c:pt idx="124">
                  <c:v>2.8670000000000002E-3</c:v>
                </c:pt>
                <c:pt idx="125">
                  <c:v>3.9050000000000001E-3</c:v>
                </c:pt>
                <c:pt idx="126">
                  <c:v>2.8110000000000001E-3</c:v>
                </c:pt>
                <c:pt idx="127">
                  <c:v>1.7229999999999999E-3</c:v>
                </c:pt>
                <c:pt idx="128">
                  <c:v>4.7159999999999997E-3</c:v>
                </c:pt>
                <c:pt idx="129">
                  <c:v>3.2299999999999998E-3</c:v>
                </c:pt>
                <c:pt idx="130">
                  <c:v>3.2030000000000001E-3</c:v>
                </c:pt>
                <c:pt idx="131">
                  <c:v>3.0130000000000001E-3</c:v>
                </c:pt>
                <c:pt idx="132">
                  <c:v>1.5610000000000001E-3</c:v>
                </c:pt>
                <c:pt idx="133">
                  <c:v>3.1589999999999999E-3</c:v>
                </c:pt>
                <c:pt idx="134">
                  <c:v>4.2290000000000001E-3</c:v>
                </c:pt>
                <c:pt idx="135">
                  <c:v>2.9359999999999998E-3</c:v>
                </c:pt>
                <c:pt idx="136">
                  <c:v>2.317E-3</c:v>
                </c:pt>
                <c:pt idx="137">
                  <c:v>1.379E-3</c:v>
                </c:pt>
                <c:pt idx="138">
                  <c:v>3.5839999999999999E-3</c:v>
                </c:pt>
                <c:pt idx="139">
                  <c:v>2.8760000000000001E-3</c:v>
                </c:pt>
                <c:pt idx="140">
                  <c:v>3.601E-3</c:v>
                </c:pt>
                <c:pt idx="141">
                  <c:v>2.0500000000000002E-3</c:v>
                </c:pt>
                <c:pt idx="142">
                  <c:v>1.8879999999999999E-3</c:v>
                </c:pt>
                <c:pt idx="143">
                  <c:v>2.784E-3</c:v>
                </c:pt>
                <c:pt idx="144">
                  <c:v>2.0110000000000002E-3</c:v>
                </c:pt>
                <c:pt idx="145">
                  <c:v>2.9020000000000001E-3</c:v>
                </c:pt>
                <c:pt idx="146">
                  <c:v>2.3640000000000002E-3</c:v>
                </c:pt>
                <c:pt idx="147">
                  <c:v>2.7390000000000001E-3</c:v>
                </c:pt>
                <c:pt idx="148">
                  <c:v>1.0557E-2</c:v>
                </c:pt>
                <c:pt idx="149">
                  <c:v>3.009E-3</c:v>
                </c:pt>
                <c:pt idx="150">
                  <c:v>4.2079999999999999E-3</c:v>
                </c:pt>
                <c:pt idx="151">
                  <c:v>2.4299999999999999E-3</c:v>
                </c:pt>
                <c:pt idx="152">
                  <c:v>1.536E-3</c:v>
                </c:pt>
                <c:pt idx="153">
                  <c:v>5.836E-3</c:v>
                </c:pt>
                <c:pt idx="154">
                  <c:v>2.7759999999999998E-3</c:v>
                </c:pt>
                <c:pt idx="155">
                  <c:v>3.8739999999999998E-3</c:v>
                </c:pt>
                <c:pt idx="156">
                  <c:v>2.2699999999999999E-3</c:v>
                </c:pt>
                <c:pt idx="157">
                  <c:v>1.3259999999999999E-3</c:v>
                </c:pt>
                <c:pt idx="158">
                  <c:v>3.3809999999999999E-3</c:v>
                </c:pt>
                <c:pt idx="159">
                  <c:v>3.4849999999999998E-3</c:v>
                </c:pt>
                <c:pt idx="160">
                  <c:v>3.3270000000000001E-3</c:v>
                </c:pt>
                <c:pt idx="161">
                  <c:v>1.8220000000000001E-3</c:v>
                </c:pt>
                <c:pt idx="162">
                  <c:v>1.885E-3</c:v>
                </c:pt>
                <c:pt idx="163">
                  <c:v>4.3540000000000002E-3</c:v>
                </c:pt>
                <c:pt idx="164">
                  <c:v>2.441E-3</c:v>
                </c:pt>
                <c:pt idx="165">
                  <c:v>2.8679999999999999E-3</c:v>
                </c:pt>
                <c:pt idx="166">
                  <c:v>1.673E-3</c:v>
                </c:pt>
                <c:pt idx="167">
                  <c:v>1.681E-3</c:v>
                </c:pt>
                <c:pt idx="168">
                  <c:v>1.0406E-2</c:v>
                </c:pt>
                <c:pt idx="169">
                  <c:v>2.0300000000000001E-3</c:v>
                </c:pt>
                <c:pt idx="170">
                  <c:v>2.3670000000000002E-3</c:v>
                </c:pt>
                <c:pt idx="171">
                  <c:v>1.714E-3</c:v>
                </c:pt>
                <c:pt idx="172">
                  <c:v>2.1570000000000001E-3</c:v>
                </c:pt>
                <c:pt idx="173">
                  <c:v>3.7850000000000002E-3</c:v>
                </c:pt>
                <c:pt idx="174">
                  <c:v>3.297E-3</c:v>
                </c:pt>
                <c:pt idx="175">
                  <c:v>2.016E-3</c:v>
                </c:pt>
                <c:pt idx="176">
                  <c:v>1.614E-3</c:v>
                </c:pt>
                <c:pt idx="177">
                  <c:v>1.8420000000000001E-3</c:v>
                </c:pt>
                <c:pt idx="178">
                  <c:v>3.14E-3</c:v>
                </c:pt>
                <c:pt idx="179">
                  <c:v>2.2880000000000001E-3</c:v>
                </c:pt>
                <c:pt idx="180">
                  <c:v>2.99E-3</c:v>
                </c:pt>
                <c:pt idx="181">
                  <c:v>1.5E-3</c:v>
                </c:pt>
                <c:pt idx="182">
                  <c:v>1.9059999999999999E-3</c:v>
                </c:pt>
                <c:pt idx="183">
                  <c:v>5.9930000000000001E-3</c:v>
                </c:pt>
                <c:pt idx="184">
                  <c:v>1.949E-3</c:v>
                </c:pt>
                <c:pt idx="185">
                  <c:v>2.8210000000000002E-3</c:v>
                </c:pt>
                <c:pt idx="186">
                  <c:v>1.5399999999999999E-3</c:v>
                </c:pt>
                <c:pt idx="187">
                  <c:v>2.5869999999999999E-3</c:v>
                </c:pt>
                <c:pt idx="188">
                  <c:v>3.0000000000000001E-3</c:v>
                </c:pt>
                <c:pt idx="189">
                  <c:v>2.6259999999999999E-3</c:v>
                </c:pt>
                <c:pt idx="190">
                  <c:v>2.3679999999999999E-3</c:v>
                </c:pt>
                <c:pt idx="191">
                  <c:v>1.709E-3</c:v>
                </c:pt>
                <c:pt idx="192">
                  <c:v>2.728E-3</c:v>
                </c:pt>
                <c:pt idx="193">
                  <c:v>1.8699999999999999E-3</c:v>
                </c:pt>
                <c:pt idx="194">
                  <c:v>3.3319999999999999E-3</c:v>
                </c:pt>
                <c:pt idx="195">
                  <c:v>2.1259999999999999E-3</c:v>
                </c:pt>
                <c:pt idx="196">
                  <c:v>1.3159999999999999E-3</c:v>
                </c:pt>
                <c:pt idx="197">
                  <c:v>1.825E-3</c:v>
                </c:pt>
                <c:pt idx="198">
                  <c:v>3.4759999999999999E-3</c:v>
                </c:pt>
                <c:pt idx="199">
                  <c:v>2.0019999999999999E-3</c:v>
                </c:pt>
                <c:pt idx="200">
                  <c:v>2.7690000000000002E-3</c:v>
                </c:pt>
                <c:pt idx="201">
                  <c:v>1.253E-3</c:v>
                </c:pt>
                <c:pt idx="202">
                  <c:v>1.7110000000000001E-3</c:v>
                </c:pt>
                <c:pt idx="203">
                  <c:v>3.8899999999999998E-3</c:v>
                </c:pt>
                <c:pt idx="204">
                  <c:v>1.872E-3</c:v>
                </c:pt>
                <c:pt idx="205">
                  <c:v>1.73E-3</c:v>
                </c:pt>
                <c:pt idx="206">
                  <c:v>1.3749999999999999E-3</c:v>
                </c:pt>
                <c:pt idx="207">
                  <c:v>2.6229999999999999E-3</c:v>
                </c:pt>
                <c:pt idx="208">
                  <c:v>1.8779999999999999E-3</c:v>
                </c:pt>
                <c:pt idx="209">
                  <c:v>2.4099999999999998E-3</c:v>
                </c:pt>
                <c:pt idx="210">
                  <c:v>1.9070000000000001E-3</c:v>
                </c:pt>
                <c:pt idx="211">
                  <c:v>1.6050000000000001E-3</c:v>
                </c:pt>
                <c:pt idx="212">
                  <c:v>2.905E-3</c:v>
                </c:pt>
                <c:pt idx="213">
                  <c:v>2.1549999999999998E-3</c:v>
                </c:pt>
                <c:pt idx="214">
                  <c:v>2.2829999999999999E-3</c:v>
                </c:pt>
                <c:pt idx="215">
                  <c:v>2.0309999999999998E-3</c:v>
                </c:pt>
                <c:pt idx="216">
                  <c:v>1.4170000000000001E-3</c:v>
                </c:pt>
                <c:pt idx="217">
                  <c:v>2.297E-3</c:v>
                </c:pt>
                <c:pt idx="218">
                  <c:v>2.3800000000000002E-3</c:v>
                </c:pt>
                <c:pt idx="219">
                  <c:v>2.1749999999999999E-3</c:v>
                </c:pt>
                <c:pt idx="220">
                  <c:v>1.7390000000000001E-3</c:v>
                </c:pt>
                <c:pt idx="221">
                  <c:v>1.2999999999999999E-3</c:v>
                </c:pt>
                <c:pt idx="222">
                  <c:v>2.235E-3</c:v>
                </c:pt>
                <c:pt idx="223">
                  <c:v>1.9759999999999999E-3</c:v>
                </c:pt>
                <c:pt idx="224">
                  <c:v>2.2959999999999999E-3</c:v>
                </c:pt>
                <c:pt idx="225">
                  <c:v>1.585E-3</c:v>
                </c:pt>
                <c:pt idx="226">
                  <c:v>1.49E-3</c:v>
                </c:pt>
                <c:pt idx="227">
                  <c:v>1.951E-3</c:v>
                </c:pt>
                <c:pt idx="228">
                  <c:v>1.5989999999999999E-3</c:v>
                </c:pt>
                <c:pt idx="229">
                  <c:v>1.9710000000000001E-3</c:v>
                </c:pt>
                <c:pt idx="230">
                  <c:v>1.604E-3</c:v>
                </c:pt>
                <c:pt idx="231">
                  <c:v>1.6080000000000001E-3</c:v>
                </c:pt>
                <c:pt idx="232">
                  <c:v>3.7039999999999998E-3</c:v>
                </c:pt>
                <c:pt idx="233">
                  <c:v>1.799E-3</c:v>
                </c:pt>
                <c:pt idx="234">
                  <c:v>2.1299999999999999E-3</c:v>
                </c:pt>
                <c:pt idx="235">
                  <c:v>1.5690000000000001E-3</c:v>
                </c:pt>
                <c:pt idx="236">
                  <c:v>1.2780000000000001E-3</c:v>
                </c:pt>
                <c:pt idx="237">
                  <c:v>2.4970000000000001E-3</c:v>
                </c:pt>
                <c:pt idx="238">
                  <c:v>1.787E-3</c:v>
                </c:pt>
                <c:pt idx="239">
                  <c:v>1.9819999999999998E-3</c:v>
                </c:pt>
                <c:pt idx="240">
                  <c:v>1.4450000000000001E-3</c:v>
                </c:pt>
                <c:pt idx="241">
                  <c:v>1.1800000000000001E-3</c:v>
                </c:pt>
                <c:pt idx="242">
                  <c:v>1.864E-3</c:v>
                </c:pt>
                <c:pt idx="243">
                  <c:v>1.8109999999999999E-3</c:v>
                </c:pt>
                <c:pt idx="244">
                  <c:v>1.8730000000000001E-3</c:v>
                </c:pt>
                <c:pt idx="245">
                  <c:v>1.2960000000000001E-3</c:v>
                </c:pt>
                <c:pt idx="246">
                  <c:v>1.3420000000000001E-3</c:v>
                </c:pt>
                <c:pt idx="247">
                  <c:v>2.2360000000000001E-3</c:v>
                </c:pt>
                <c:pt idx="248">
                  <c:v>1.5269999999999999E-3</c:v>
                </c:pt>
                <c:pt idx="249">
                  <c:v>1.779E-3</c:v>
                </c:pt>
                <c:pt idx="250">
                  <c:v>1.238E-3</c:v>
                </c:pt>
                <c:pt idx="251">
                  <c:v>1.2999999999999999E-3</c:v>
                </c:pt>
                <c:pt idx="252">
                  <c:v>2.967E-3</c:v>
                </c:pt>
                <c:pt idx="253">
                  <c:v>1.4450000000000001E-3</c:v>
                </c:pt>
                <c:pt idx="254">
                  <c:v>1.5610000000000001E-3</c:v>
                </c:pt>
                <c:pt idx="255">
                  <c:v>1.2409999999999999E-3</c:v>
                </c:pt>
                <c:pt idx="256">
                  <c:v>1.382E-3</c:v>
                </c:pt>
                <c:pt idx="257">
                  <c:v>1.678E-3</c:v>
                </c:pt>
                <c:pt idx="258">
                  <c:v>1.7819999999999999E-3</c:v>
                </c:pt>
                <c:pt idx="259">
                  <c:v>1.3780000000000001E-3</c:v>
                </c:pt>
                <c:pt idx="260">
                  <c:v>1.1440000000000001E-3</c:v>
                </c:pt>
                <c:pt idx="261">
                  <c:v>1.238E-3</c:v>
                </c:pt>
                <c:pt idx="262">
                  <c:v>1.6379999999999999E-3</c:v>
                </c:pt>
                <c:pt idx="263">
                  <c:v>1.3940000000000001E-3</c:v>
                </c:pt>
                <c:pt idx="264">
                  <c:v>1.6019999999999999E-3</c:v>
                </c:pt>
                <c:pt idx="265">
                  <c:v>1.062E-3</c:v>
                </c:pt>
                <c:pt idx="266">
                  <c:v>1.2049999999999999E-3</c:v>
                </c:pt>
                <c:pt idx="267">
                  <c:v>2.2409999999999999E-3</c:v>
                </c:pt>
                <c:pt idx="268">
                  <c:v>1.224E-3</c:v>
                </c:pt>
                <c:pt idx="269">
                  <c:v>1.48E-3</c:v>
                </c:pt>
                <c:pt idx="270">
                  <c:v>1.052E-3</c:v>
                </c:pt>
                <c:pt idx="271">
                  <c:v>1.354E-3</c:v>
                </c:pt>
                <c:pt idx="272">
                  <c:v>1.446E-3</c:v>
                </c:pt>
                <c:pt idx="273">
                  <c:v>1.423E-3</c:v>
                </c:pt>
                <c:pt idx="274">
                  <c:v>1.3110000000000001E-3</c:v>
                </c:pt>
                <c:pt idx="275">
                  <c:v>1.0889999999999999E-3</c:v>
                </c:pt>
                <c:pt idx="276">
                  <c:v>1.377E-3</c:v>
                </c:pt>
                <c:pt idx="277">
                  <c:v>1.1609999999999999E-3</c:v>
                </c:pt>
                <c:pt idx="278">
                  <c:v>1.5349999999999999E-3</c:v>
                </c:pt>
                <c:pt idx="279">
                  <c:v>1.243E-3</c:v>
                </c:pt>
                <c:pt idx="280">
                  <c:v>9.4300000000000004E-4</c:v>
                </c:pt>
                <c:pt idx="281">
                  <c:v>1.1429999999999999E-3</c:v>
                </c:pt>
                <c:pt idx="282">
                  <c:v>1.516E-3</c:v>
                </c:pt>
                <c:pt idx="283">
                  <c:v>1.1980000000000001E-3</c:v>
                </c:pt>
                <c:pt idx="284">
                  <c:v>1.3159999999999999E-3</c:v>
                </c:pt>
                <c:pt idx="285">
                  <c:v>9.01E-4</c:v>
                </c:pt>
                <c:pt idx="286">
                  <c:v>1.0920000000000001E-3</c:v>
                </c:pt>
                <c:pt idx="287">
                  <c:v>1.5150000000000001E-3</c:v>
                </c:pt>
                <c:pt idx="288">
                  <c:v>1.1670000000000001E-3</c:v>
                </c:pt>
                <c:pt idx="289">
                  <c:v>1.047E-3</c:v>
                </c:pt>
                <c:pt idx="290">
                  <c:v>9.3300000000000002E-4</c:v>
                </c:pt>
                <c:pt idx="291">
                  <c:v>1.2130000000000001E-3</c:v>
                </c:pt>
                <c:pt idx="292">
                  <c:v>1.0349999999999999E-3</c:v>
                </c:pt>
                <c:pt idx="293">
                  <c:v>1.23E-3</c:v>
                </c:pt>
                <c:pt idx="294">
                  <c:v>1.0460000000000001E-3</c:v>
                </c:pt>
                <c:pt idx="295">
                  <c:v>9.5699999999999995E-4</c:v>
                </c:pt>
                <c:pt idx="296">
                  <c:v>1.323E-3</c:v>
                </c:pt>
                <c:pt idx="297">
                  <c:v>1.108E-3</c:v>
                </c:pt>
                <c:pt idx="298">
                  <c:v>1.165E-3</c:v>
                </c:pt>
                <c:pt idx="299">
                  <c:v>1.0629999999999999E-3</c:v>
                </c:pt>
                <c:pt idx="300">
                  <c:v>8.6399999999999997E-4</c:v>
                </c:pt>
                <c:pt idx="301">
                  <c:v>1.145E-3</c:v>
                </c:pt>
                <c:pt idx="302">
                  <c:v>1.1299999999999999E-3</c:v>
                </c:pt>
                <c:pt idx="303">
                  <c:v>1.109E-3</c:v>
                </c:pt>
                <c:pt idx="304">
                  <c:v>9.5100000000000002E-4</c:v>
                </c:pt>
                <c:pt idx="305">
                  <c:v>8.0800000000000002E-4</c:v>
                </c:pt>
                <c:pt idx="306">
                  <c:v>1.08E-3</c:v>
                </c:pt>
                <c:pt idx="307">
                  <c:v>1.0020000000000001E-3</c:v>
                </c:pt>
                <c:pt idx="308">
                  <c:v>1.1130000000000001E-3</c:v>
                </c:pt>
                <c:pt idx="309">
                  <c:v>8.8000000000000003E-4</c:v>
                </c:pt>
              </c:numCache>
            </c:numRef>
          </c:yVal>
          <c:smooth val="1"/>
        </c:ser>
        <c:axId val="131828352"/>
        <c:axId val="131830528"/>
      </c:scatterChart>
      <c:valAx>
        <c:axId val="131828352"/>
        <c:scaling>
          <c:orientation val="minMax"/>
        </c:scaling>
        <c:axPos val="b"/>
        <c:title>
          <c:tx>
            <c:rich>
              <a:bodyPr/>
              <a:lstStyle/>
              <a:p>
                <a:pPr>
                  <a:defRPr sz="1200" b="1" i="0" u="none" strike="noStrike" baseline="0">
                    <a:solidFill>
                      <a:srgbClr val="000000"/>
                    </a:solidFill>
                    <a:latin typeface="Akzidenz Grotesk Light"/>
                    <a:ea typeface="Akzidenz Grotesk Light"/>
                    <a:cs typeface="Akzidenz Grotesk Light"/>
                  </a:defRPr>
                </a:pPr>
                <a:r>
                  <a:t>Loss</a:t>
                </a:r>
              </a:p>
            </c:rich>
          </c:tx>
          <c:layout>
            <c:manualLayout>
              <c:xMode val="edge"/>
              <c:yMode val="edge"/>
              <c:x val="0.49715909090909088"/>
              <c:y val="0.94240998311038249"/>
            </c:manualLayout>
          </c:layout>
          <c:spPr>
            <a:noFill/>
            <a:ln w="25400">
              <a:noFill/>
            </a:ln>
          </c:spPr>
        </c:title>
        <c:numFmt formatCode="#,##0" sourceLinked="0"/>
        <c:majorTickMark val="cross"/>
        <c:tickLblPos val="nextTo"/>
        <c:spPr>
          <a:ln w="3175">
            <a:solidFill>
              <a:srgbClr val="000000"/>
            </a:solidFill>
            <a:prstDash val="solid"/>
          </a:ln>
        </c:spPr>
        <c:txPr>
          <a:bodyPr rot="0" vert="horz"/>
          <a:lstStyle/>
          <a:p>
            <a:pPr>
              <a:defRPr sz="800" b="0" i="0" u="none" strike="noStrike" baseline="0">
                <a:solidFill>
                  <a:srgbClr val="000000"/>
                </a:solidFill>
                <a:latin typeface="Akzidenz Grotesk Light"/>
                <a:ea typeface="Akzidenz Grotesk Light"/>
                <a:cs typeface="Akzidenz Grotesk Light"/>
              </a:defRPr>
            </a:pPr>
            <a:endParaRPr lang="en-US"/>
          </a:p>
        </c:txPr>
        <c:crossAx val="131830528"/>
        <c:crosses val="autoZero"/>
        <c:crossBetween val="midCat"/>
      </c:valAx>
      <c:valAx>
        <c:axId val="131830528"/>
        <c:scaling>
          <c:orientation val="minMax"/>
          <c:max val="2.5000000000000001E-2"/>
          <c:min val="0"/>
        </c:scaling>
        <c:axPos val="l"/>
        <c:title>
          <c:tx>
            <c:rich>
              <a:bodyPr/>
              <a:lstStyle/>
              <a:p>
                <a:pPr>
                  <a:defRPr sz="1200" b="1" i="0" u="none" strike="noStrike" baseline="0">
                    <a:solidFill>
                      <a:srgbClr val="000000"/>
                    </a:solidFill>
                    <a:latin typeface="Akzidenz Grotesk Light"/>
                    <a:ea typeface="Akzidenz Grotesk Light"/>
                    <a:cs typeface="Akzidenz Grotesk Light"/>
                  </a:defRPr>
                </a:pPr>
                <a:r>
                  <a:t>Marginal Probability</a:t>
                </a:r>
              </a:p>
            </c:rich>
          </c:tx>
          <c:layout>
            <c:manualLayout>
              <c:xMode val="edge"/>
              <c:yMode val="edge"/>
              <c:x val="7.1022727272727288E-3"/>
              <c:y val="0.35951195651988671"/>
            </c:manualLayout>
          </c:layout>
          <c:spPr>
            <a:noFill/>
            <a:ln w="25400">
              <a:noFill/>
            </a:ln>
          </c:spPr>
        </c:title>
        <c:numFmt formatCode="0.00%" sourceLinked="0"/>
        <c:majorTickMark val="cross"/>
        <c:tickLblPos val="nextTo"/>
        <c:spPr>
          <a:ln w="3175">
            <a:solidFill>
              <a:srgbClr val="000000"/>
            </a:solidFill>
            <a:prstDash val="solid"/>
          </a:ln>
        </c:spPr>
        <c:txPr>
          <a:bodyPr rot="0" vert="horz"/>
          <a:lstStyle/>
          <a:p>
            <a:pPr>
              <a:defRPr sz="800" b="0" i="0" u="none" strike="noStrike" baseline="0">
                <a:solidFill>
                  <a:srgbClr val="000000"/>
                </a:solidFill>
                <a:latin typeface="Akzidenz Grotesk Light"/>
                <a:ea typeface="Akzidenz Grotesk Light"/>
                <a:cs typeface="Akzidenz Grotesk Light"/>
              </a:defRPr>
            </a:pPr>
            <a:endParaRPr lang="en-US"/>
          </a:p>
        </c:txPr>
        <c:crossAx val="131828352"/>
        <c:crosses val="autoZero"/>
        <c:crossBetween val="midCat"/>
      </c:valAx>
      <c:spPr>
        <a:noFill/>
        <a:ln w="25400">
          <a:noFill/>
        </a:ln>
      </c:spPr>
    </c:plotArea>
    <c:plotVisOnly val="1"/>
    <c:dispBlanksAs val="gap"/>
  </c:chart>
  <c:spPr>
    <a:solidFill>
      <a:srgbClr val="FFFFFF"/>
    </a:solidFill>
    <a:ln w="3175">
      <a:solidFill>
        <a:srgbClr val="000000"/>
      </a:solidFill>
      <a:prstDash val="solid"/>
    </a:ln>
  </c:spPr>
  <c:txPr>
    <a:bodyPr/>
    <a:lstStyle/>
    <a:p>
      <a:pPr>
        <a:defRPr sz="800" b="0" i="0" u="none" strike="noStrike" baseline="0">
          <a:solidFill>
            <a:srgbClr val="000000"/>
          </a:solidFill>
          <a:latin typeface="Akzidenz Grotesk Light"/>
          <a:ea typeface="Akzidenz Grotesk Light"/>
          <a:cs typeface="Akzidenz Grotesk Light"/>
        </a:defRPr>
      </a:pPr>
      <a:endParaRPr lang="en-US"/>
    </a:p>
  </c:txPr>
  <c:printSettings>
    <c:headerFooter alignWithMargins="0">
      <c:oddHeader>&amp;A</c:oddHeader>
      <c:oddFooter>Page &amp;P</c:oddFooter>
    </c:headerFooter>
    <c:pageMargins b="1" l="0.75000000000000011" r="0.75000000000000011" t="1" header="0.5" footer="0.5"/>
    <c:pageSetup paperSize="9" orientation="landscape" verticalDpi="1200"/>
  </c:printSettings>
</c:chartSpace>
</file>

<file path=xl/charts/chart3.xml><?xml version="1.0" encoding="utf-8"?>
<c:chartSpace xmlns:c="http://schemas.openxmlformats.org/drawingml/2006/chart" xmlns:a="http://schemas.openxmlformats.org/drawingml/2006/main" xmlns:r="http://schemas.openxmlformats.org/officeDocument/2006/relationships">
  <c:lang val="en-GB"/>
  <c:chart>
    <c:title>
      <c:tx>
        <c:rich>
          <a:bodyPr/>
          <a:lstStyle/>
          <a:p>
            <a:pPr>
              <a:defRPr sz="1400" b="1" i="0" u="none" strike="noStrike" baseline="0">
                <a:solidFill>
                  <a:srgbClr val="000000"/>
                </a:solidFill>
                <a:latin typeface="Akzidenz Grotesk Light"/>
                <a:ea typeface="Akzidenz Grotesk Light"/>
                <a:cs typeface="Akzidenz Grotesk Light"/>
              </a:defRPr>
            </a:pPr>
            <a:r>
              <a:t>Hold to Maturity Credit Loss Distribution</a:t>
            </a:r>
          </a:p>
        </c:rich>
      </c:tx>
      <c:layout>
        <c:manualLayout>
          <c:xMode val="edge"/>
          <c:yMode val="edge"/>
          <c:x val="0.2168676293560198"/>
          <c:y val="2.8777003689336937E-2"/>
        </c:manualLayout>
      </c:layout>
      <c:spPr>
        <a:noFill/>
        <a:ln w="25400">
          <a:noFill/>
        </a:ln>
      </c:spPr>
    </c:title>
    <c:plotArea>
      <c:layout>
        <c:manualLayout>
          <c:layoutTarget val="inner"/>
          <c:xMode val="edge"/>
          <c:yMode val="edge"/>
          <c:x val="0.12500009192048364"/>
          <c:y val="0.10431663837384637"/>
          <c:w val="0.82530181171596428"/>
          <c:h val="0.74280640773100959"/>
        </c:manualLayout>
      </c:layout>
      <c:scatterChart>
        <c:scatterStyle val="smoothMarker"/>
        <c:ser>
          <c:idx val="0"/>
          <c:order val="0"/>
          <c:spPr>
            <a:ln w="25400">
              <a:solidFill>
                <a:srgbClr val="000080"/>
              </a:solidFill>
              <a:prstDash val="solid"/>
            </a:ln>
          </c:spPr>
          <c:marker>
            <c:symbol val="none"/>
          </c:marker>
          <c:xVal>
            <c:numRef>
              <c:f>Example1C!$Y$19:$Y$475</c:f>
              <c:numCache>
                <c:formatCode>#,##0</c:formatCode>
                <c:ptCount val="457"/>
                <c:pt idx="0">
                  <c:v>0</c:v>
                </c:pt>
                <c:pt idx="1">
                  <c:v>202389</c:v>
                </c:pt>
                <c:pt idx="2">
                  <c:v>404778</c:v>
                </c:pt>
                <c:pt idx="3">
                  <c:v>607167</c:v>
                </c:pt>
                <c:pt idx="4">
                  <c:v>809556</c:v>
                </c:pt>
                <c:pt idx="5">
                  <c:v>1011945</c:v>
                </c:pt>
                <c:pt idx="6">
                  <c:v>1214334</c:v>
                </c:pt>
                <c:pt idx="7">
                  <c:v>1416723</c:v>
                </c:pt>
                <c:pt idx="8">
                  <c:v>1619112</c:v>
                </c:pt>
                <c:pt idx="9">
                  <c:v>1821501</c:v>
                </c:pt>
                <c:pt idx="10">
                  <c:v>2023890</c:v>
                </c:pt>
                <c:pt idx="11">
                  <c:v>2226279</c:v>
                </c:pt>
                <c:pt idx="12">
                  <c:v>2428668</c:v>
                </c:pt>
                <c:pt idx="13">
                  <c:v>2631057</c:v>
                </c:pt>
                <c:pt idx="14">
                  <c:v>2833446</c:v>
                </c:pt>
                <c:pt idx="15">
                  <c:v>3035835</c:v>
                </c:pt>
                <c:pt idx="16">
                  <c:v>3238224</c:v>
                </c:pt>
                <c:pt idx="17">
                  <c:v>3440613</c:v>
                </c:pt>
                <c:pt idx="18">
                  <c:v>3643002</c:v>
                </c:pt>
                <c:pt idx="19">
                  <c:v>3845391</c:v>
                </c:pt>
                <c:pt idx="20">
                  <c:v>4047780</c:v>
                </c:pt>
                <c:pt idx="21">
                  <c:v>4250169</c:v>
                </c:pt>
                <c:pt idx="22">
                  <c:v>4452558</c:v>
                </c:pt>
                <c:pt idx="23">
                  <c:v>4654947</c:v>
                </c:pt>
                <c:pt idx="24">
                  <c:v>4857336</c:v>
                </c:pt>
                <c:pt idx="25">
                  <c:v>5059725</c:v>
                </c:pt>
                <c:pt idx="26">
                  <c:v>5262114</c:v>
                </c:pt>
                <c:pt idx="27">
                  <c:v>5464503</c:v>
                </c:pt>
                <c:pt idx="28">
                  <c:v>5666892</c:v>
                </c:pt>
                <c:pt idx="29">
                  <c:v>5869281</c:v>
                </c:pt>
                <c:pt idx="30">
                  <c:v>6071670</c:v>
                </c:pt>
                <c:pt idx="31">
                  <c:v>6274059</c:v>
                </c:pt>
                <c:pt idx="32">
                  <c:v>6476448</c:v>
                </c:pt>
                <c:pt idx="33">
                  <c:v>6678837</c:v>
                </c:pt>
                <c:pt idx="34">
                  <c:v>6881226</c:v>
                </c:pt>
                <c:pt idx="35">
                  <c:v>7083615</c:v>
                </c:pt>
                <c:pt idx="36">
                  <c:v>7286004</c:v>
                </c:pt>
                <c:pt idx="37">
                  <c:v>7488393</c:v>
                </c:pt>
                <c:pt idx="38">
                  <c:v>7690782</c:v>
                </c:pt>
                <c:pt idx="39">
                  <c:v>7893171</c:v>
                </c:pt>
                <c:pt idx="40">
                  <c:v>8095560</c:v>
                </c:pt>
                <c:pt idx="41">
                  <c:v>8297949</c:v>
                </c:pt>
                <c:pt idx="42">
                  <c:v>8500338</c:v>
                </c:pt>
                <c:pt idx="43">
                  <c:v>8702727</c:v>
                </c:pt>
                <c:pt idx="44">
                  <c:v>8905116</c:v>
                </c:pt>
                <c:pt idx="45">
                  <c:v>9107505</c:v>
                </c:pt>
                <c:pt idx="46">
                  <c:v>9309894</c:v>
                </c:pt>
                <c:pt idx="47">
                  <c:v>9512283</c:v>
                </c:pt>
                <c:pt idx="48">
                  <c:v>9714672</c:v>
                </c:pt>
                <c:pt idx="49">
                  <c:v>9917061</c:v>
                </c:pt>
                <c:pt idx="50">
                  <c:v>10119450</c:v>
                </c:pt>
                <c:pt idx="51">
                  <c:v>10321839</c:v>
                </c:pt>
                <c:pt idx="52">
                  <c:v>10524228</c:v>
                </c:pt>
                <c:pt idx="53">
                  <c:v>10726617</c:v>
                </c:pt>
                <c:pt idx="54">
                  <c:v>10929006</c:v>
                </c:pt>
                <c:pt idx="55">
                  <c:v>11131395</c:v>
                </c:pt>
                <c:pt idx="56">
                  <c:v>11333784</c:v>
                </c:pt>
                <c:pt idx="57">
                  <c:v>11536173</c:v>
                </c:pt>
                <c:pt idx="58">
                  <c:v>11738562</c:v>
                </c:pt>
                <c:pt idx="59">
                  <c:v>11940951</c:v>
                </c:pt>
                <c:pt idx="60">
                  <c:v>12143340</c:v>
                </c:pt>
                <c:pt idx="61">
                  <c:v>12345729</c:v>
                </c:pt>
                <c:pt idx="62">
                  <c:v>12548118</c:v>
                </c:pt>
                <c:pt idx="63">
                  <c:v>12750507</c:v>
                </c:pt>
                <c:pt idx="64">
                  <c:v>12952896</c:v>
                </c:pt>
                <c:pt idx="65">
                  <c:v>13155285</c:v>
                </c:pt>
                <c:pt idx="66">
                  <c:v>13357674</c:v>
                </c:pt>
                <c:pt idx="67">
                  <c:v>13560063</c:v>
                </c:pt>
                <c:pt idx="68">
                  <c:v>13762452</c:v>
                </c:pt>
                <c:pt idx="69">
                  <c:v>13964841</c:v>
                </c:pt>
                <c:pt idx="70">
                  <c:v>14167230</c:v>
                </c:pt>
                <c:pt idx="71">
                  <c:v>14369619</c:v>
                </c:pt>
                <c:pt idx="72">
                  <c:v>14572008</c:v>
                </c:pt>
                <c:pt idx="73">
                  <c:v>14774397</c:v>
                </c:pt>
                <c:pt idx="74">
                  <c:v>14976786</c:v>
                </c:pt>
                <c:pt idx="75">
                  <c:v>15179175</c:v>
                </c:pt>
                <c:pt idx="76">
                  <c:v>15381564</c:v>
                </c:pt>
                <c:pt idx="77">
                  <c:v>15583953</c:v>
                </c:pt>
                <c:pt idx="78">
                  <c:v>15786342</c:v>
                </c:pt>
                <c:pt idx="79">
                  <c:v>15988731</c:v>
                </c:pt>
                <c:pt idx="80">
                  <c:v>16191120</c:v>
                </c:pt>
                <c:pt idx="81">
                  <c:v>16393509</c:v>
                </c:pt>
                <c:pt idx="82">
                  <c:v>16595898</c:v>
                </c:pt>
                <c:pt idx="83">
                  <c:v>16798287</c:v>
                </c:pt>
                <c:pt idx="84">
                  <c:v>17000676</c:v>
                </c:pt>
                <c:pt idx="85">
                  <c:v>17203065</c:v>
                </c:pt>
                <c:pt idx="86">
                  <c:v>17405454</c:v>
                </c:pt>
                <c:pt idx="87">
                  <c:v>17607843</c:v>
                </c:pt>
                <c:pt idx="88">
                  <c:v>17810232</c:v>
                </c:pt>
                <c:pt idx="89">
                  <c:v>18012621</c:v>
                </c:pt>
                <c:pt idx="90">
                  <c:v>18215010</c:v>
                </c:pt>
                <c:pt idx="91">
                  <c:v>18417399</c:v>
                </c:pt>
                <c:pt idx="92">
                  <c:v>18619788</c:v>
                </c:pt>
                <c:pt idx="93">
                  <c:v>18822177</c:v>
                </c:pt>
                <c:pt idx="94">
                  <c:v>19024566</c:v>
                </c:pt>
                <c:pt idx="95">
                  <c:v>19226955</c:v>
                </c:pt>
                <c:pt idx="96">
                  <c:v>19429344</c:v>
                </c:pt>
                <c:pt idx="97">
                  <c:v>19631733</c:v>
                </c:pt>
                <c:pt idx="98">
                  <c:v>19834122</c:v>
                </c:pt>
                <c:pt idx="99">
                  <c:v>20036511</c:v>
                </c:pt>
                <c:pt idx="100">
                  <c:v>20238900</c:v>
                </c:pt>
                <c:pt idx="101">
                  <c:v>20441289</c:v>
                </c:pt>
                <c:pt idx="102">
                  <c:v>20643678</c:v>
                </c:pt>
                <c:pt idx="103">
                  <c:v>20846067</c:v>
                </c:pt>
                <c:pt idx="104">
                  <c:v>21048456</c:v>
                </c:pt>
                <c:pt idx="105">
                  <c:v>21250845</c:v>
                </c:pt>
                <c:pt idx="106">
                  <c:v>21453234</c:v>
                </c:pt>
                <c:pt idx="107">
                  <c:v>21655623</c:v>
                </c:pt>
                <c:pt idx="108">
                  <c:v>21858012</c:v>
                </c:pt>
                <c:pt idx="109">
                  <c:v>22060401</c:v>
                </c:pt>
                <c:pt idx="110">
                  <c:v>22262790</c:v>
                </c:pt>
                <c:pt idx="111">
                  <c:v>22465179</c:v>
                </c:pt>
                <c:pt idx="112">
                  <c:v>22667568</c:v>
                </c:pt>
                <c:pt idx="113">
                  <c:v>22869957</c:v>
                </c:pt>
                <c:pt idx="114">
                  <c:v>23072346</c:v>
                </c:pt>
                <c:pt idx="115">
                  <c:v>23274735</c:v>
                </c:pt>
                <c:pt idx="116">
                  <c:v>23477124</c:v>
                </c:pt>
                <c:pt idx="117">
                  <c:v>23679513</c:v>
                </c:pt>
                <c:pt idx="118">
                  <c:v>23881902</c:v>
                </c:pt>
                <c:pt idx="119">
                  <c:v>24084291</c:v>
                </c:pt>
                <c:pt idx="120">
                  <c:v>24286680</c:v>
                </c:pt>
                <c:pt idx="121">
                  <c:v>24489069</c:v>
                </c:pt>
                <c:pt idx="122">
                  <c:v>24691458</c:v>
                </c:pt>
                <c:pt idx="123">
                  <c:v>24893847</c:v>
                </c:pt>
                <c:pt idx="124">
                  <c:v>25096236</c:v>
                </c:pt>
                <c:pt idx="125">
                  <c:v>25298625</c:v>
                </c:pt>
                <c:pt idx="126">
                  <c:v>25501014</c:v>
                </c:pt>
                <c:pt idx="127">
                  <c:v>25703403</c:v>
                </c:pt>
                <c:pt idx="128">
                  <c:v>25905792</c:v>
                </c:pt>
                <c:pt idx="129">
                  <c:v>26108181</c:v>
                </c:pt>
                <c:pt idx="130">
                  <c:v>26310570</c:v>
                </c:pt>
                <c:pt idx="131">
                  <c:v>26512959</c:v>
                </c:pt>
                <c:pt idx="132">
                  <c:v>26715348</c:v>
                </c:pt>
                <c:pt idx="133">
                  <c:v>26917737</c:v>
                </c:pt>
                <c:pt idx="134">
                  <c:v>27120126</c:v>
                </c:pt>
                <c:pt idx="135">
                  <c:v>27322515</c:v>
                </c:pt>
                <c:pt idx="136">
                  <c:v>27524904</c:v>
                </c:pt>
                <c:pt idx="137">
                  <c:v>27727293</c:v>
                </c:pt>
                <c:pt idx="138">
                  <c:v>27929682</c:v>
                </c:pt>
                <c:pt idx="139">
                  <c:v>28132071</c:v>
                </c:pt>
                <c:pt idx="140">
                  <c:v>28334460</c:v>
                </c:pt>
                <c:pt idx="141">
                  <c:v>28536849</c:v>
                </c:pt>
                <c:pt idx="142">
                  <c:v>28739238</c:v>
                </c:pt>
                <c:pt idx="143">
                  <c:v>28941627</c:v>
                </c:pt>
                <c:pt idx="144">
                  <c:v>29144016</c:v>
                </c:pt>
                <c:pt idx="145">
                  <c:v>29346405</c:v>
                </c:pt>
                <c:pt idx="146">
                  <c:v>29548794</c:v>
                </c:pt>
                <c:pt idx="147">
                  <c:v>29751183</c:v>
                </c:pt>
                <c:pt idx="148">
                  <c:v>29953572</c:v>
                </c:pt>
                <c:pt idx="149">
                  <c:v>30155961</c:v>
                </c:pt>
                <c:pt idx="150">
                  <c:v>30358350</c:v>
                </c:pt>
                <c:pt idx="151">
                  <c:v>30560739</c:v>
                </c:pt>
                <c:pt idx="152">
                  <c:v>30763128</c:v>
                </c:pt>
                <c:pt idx="153">
                  <c:v>30965517</c:v>
                </c:pt>
                <c:pt idx="154">
                  <c:v>31167906</c:v>
                </c:pt>
                <c:pt idx="155">
                  <c:v>31370295</c:v>
                </c:pt>
                <c:pt idx="156">
                  <c:v>31572684</c:v>
                </c:pt>
                <c:pt idx="157">
                  <c:v>31775073</c:v>
                </c:pt>
                <c:pt idx="158">
                  <c:v>31977462</c:v>
                </c:pt>
                <c:pt idx="159">
                  <c:v>32179851</c:v>
                </c:pt>
                <c:pt idx="160">
                  <c:v>32382240</c:v>
                </c:pt>
                <c:pt idx="161">
                  <c:v>32584629</c:v>
                </c:pt>
                <c:pt idx="162">
                  <c:v>32787018</c:v>
                </c:pt>
                <c:pt idx="163">
                  <c:v>32989407</c:v>
                </c:pt>
                <c:pt idx="164">
                  <c:v>33191796</c:v>
                </c:pt>
                <c:pt idx="165">
                  <c:v>33394185</c:v>
                </c:pt>
                <c:pt idx="166">
                  <c:v>33596574</c:v>
                </c:pt>
                <c:pt idx="167">
                  <c:v>33798963</c:v>
                </c:pt>
                <c:pt idx="168">
                  <c:v>34001352</c:v>
                </c:pt>
                <c:pt idx="169">
                  <c:v>34203741</c:v>
                </c:pt>
                <c:pt idx="170">
                  <c:v>34406130</c:v>
                </c:pt>
                <c:pt idx="171">
                  <c:v>34608519</c:v>
                </c:pt>
                <c:pt idx="172">
                  <c:v>34810908</c:v>
                </c:pt>
                <c:pt idx="173">
                  <c:v>35013297</c:v>
                </c:pt>
                <c:pt idx="174">
                  <c:v>35215686</c:v>
                </c:pt>
                <c:pt idx="175">
                  <c:v>35418075</c:v>
                </c:pt>
                <c:pt idx="176">
                  <c:v>35620464</c:v>
                </c:pt>
                <c:pt idx="177">
                  <c:v>35822853</c:v>
                </c:pt>
                <c:pt idx="178">
                  <c:v>36025242</c:v>
                </c:pt>
                <c:pt idx="179">
                  <c:v>36227631</c:v>
                </c:pt>
                <c:pt idx="180">
                  <c:v>36430020</c:v>
                </c:pt>
                <c:pt idx="181">
                  <c:v>36632409</c:v>
                </c:pt>
                <c:pt idx="182">
                  <c:v>36834798</c:v>
                </c:pt>
                <c:pt idx="183">
                  <c:v>37037187</c:v>
                </c:pt>
                <c:pt idx="184">
                  <c:v>37239576</c:v>
                </c:pt>
                <c:pt idx="185">
                  <c:v>37441965</c:v>
                </c:pt>
                <c:pt idx="186">
                  <c:v>37644354</c:v>
                </c:pt>
                <c:pt idx="187">
                  <c:v>37846743</c:v>
                </c:pt>
                <c:pt idx="188">
                  <c:v>38049132</c:v>
                </c:pt>
                <c:pt idx="189">
                  <c:v>38251521</c:v>
                </c:pt>
                <c:pt idx="190">
                  <c:v>38453910</c:v>
                </c:pt>
                <c:pt idx="191">
                  <c:v>38656299</c:v>
                </c:pt>
                <c:pt idx="192">
                  <c:v>38858688</c:v>
                </c:pt>
                <c:pt idx="193">
                  <c:v>39061077</c:v>
                </c:pt>
                <c:pt idx="194">
                  <c:v>39263466</c:v>
                </c:pt>
                <c:pt idx="195">
                  <c:v>39465855</c:v>
                </c:pt>
                <c:pt idx="196">
                  <c:v>39668244</c:v>
                </c:pt>
                <c:pt idx="197">
                  <c:v>39870633</c:v>
                </c:pt>
                <c:pt idx="198">
                  <c:v>40073022</c:v>
                </c:pt>
                <c:pt idx="199">
                  <c:v>40275411</c:v>
                </c:pt>
                <c:pt idx="200">
                  <c:v>40477800</c:v>
                </c:pt>
                <c:pt idx="201">
                  <c:v>40680189</c:v>
                </c:pt>
                <c:pt idx="202">
                  <c:v>40882578</c:v>
                </c:pt>
                <c:pt idx="203">
                  <c:v>41084967</c:v>
                </c:pt>
                <c:pt idx="204">
                  <c:v>41287356</c:v>
                </c:pt>
                <c:pt idx="205">
                  <c:v>41489745</c:v>
                </c:pt>
                <c:pt idx="206">
                  <c:v>41692134</c:v>
                </c:pt>
                <c:pt idx="207">
                  <c:v>41894523</c:v>
                </c:pt>
                <c:pt idx="208">
                  <c:v>42096912</c:v>
                </c:pt>
                <c:pt idx="209">
                  <c:v>42299301</c:v>
                </c:pt>
                <c:pt idx="210">
                  <c:v>42501690</c:v>
                </c:pt>
                <c:pt idx="211">
                  <c:v>42704079</c:v>
                </c:pt>
                <c:pt idx="212">
                  <c:v>42906468</c:v>
                </c:pt>
                <c:pt idx="213">
                  <c:v>43108857</c:v>
                </c:pt>
                <c:pt idx="214">
                  <c:v>43311246</c:v>
                </c:pt>
                <c:pt idx="215">
                  <c:v>43513635</c:v>
                </c:pt>
                <c:pt idx="216">
                  <c:v>43716024</c:v>
                </c:pt>
                <c:pt idx="217">
                  <c:v>43918413</c:v>
                </c:pt>
                <c:pt idx="218">
                  <c:v>44120802</c:v>
                </c:pt>
                <c:pt idx="219">
                  <c:v>44323191</c:v>
                </c:pt>
                <c:pt idx="220">
                  <c:v>44525580</c:v>
                </c:pt>
                <c:pt idx="221">
                  <c:v>44727969</c:v>
                </c:pt>
                <c:pt idx="222">
                  <c:v>44930358</c:v>
                </c:pt>
                <c:pt idx="223">
                  <c:v>45132747</c:v>
                </c:pt>
                <c:pt idx="224">
                  <c:v>45335136</c:v>
                </c:pt>
                <c:pt idx="225">
                  <c:v>45537525</c:v>
                </c:pt>
                <c:pt idx="226">
                  <c:v>45739914</c:v>
                </c:pt>
                <c:pt idx="227">
                  <c:v>45942303</c:v>
                </c:pt>
                <c:pt idx="228">
                  <c:v>46144692</c:v>
                </c:pt>
                <c:pt idx="229">
                  <c:v>46347081</c:v>
                </c:pt>
                <c:pt idx="230">
                  <c:v>46549470</c:v>
                </c:pt>
                <c:pt idx="231">
                  <c:v>46751859</c:v>
                </c:pt>
                <c:pt idx="232">
                  <c:v>46954248</c:v>
                </c:pt>
                <c:pt idx="233">
                  <c:v>47156637</c:v>
                </c:pt>
                <c:pt idx="234">
                  <c:v>47359026</c:v>
                </c:pt>
                <c:pt idx="235">
                  <c:v>47561415</c:v>
                </c:pt>
                <c:pt idx="236">
                  <c:v>47763804</c:v>
                </c:pt>
                <c:pt idx="237">
                  <c:v>47966193</c:v>
                </c:pt>
                <c:pt idx="238">
                  <c:v>48168582</c:v>
                </c:pt>
                <c:pt idx="239">
                  <c:v>48370971</c:v>
                </c:pt>
                <c:pt idx="240">
                  <c:v>48573360</c:v>
                </c:pt>
                <c:pt idx="241">
                  <c:v>48775749</c:v>
                </c:pt>
                <c:pt idx="242">
                  <c:v>48978138</c:v>
                </c:pt>
                <c:pt idx="243">
                  <c:v>49180527</c:v>
                </c:pt>
                <c:pt idx="244">
                  <c:v>49382916</c:v>
                </c:pt>
                <c:pt idx="245">
                  <c:v>49585305</c:v>
                </c:pt>
                <c:pt idx="246">
                  <c:v>49787694</c:v>
                </c:pt>
                <c:pt idx="247">
                  <c:v>49990083</c:v>
                </c:pt>
                <c:pt idx="248">
                  <c:v>50192472</c:v>
                </c:pt>
                <c:pt idx="249">
                  <c:v>50394861</c:v>
                </c:pt>
                <c:pt idx="250">
                  <c:v>50597250</c:v>
                </c:pt>
                <c:pt idx="251">
                  <c:v>50799639</c:v>
                </c:pt>
                <c:pt idx="252">
                  <c:v>51002028</c:v>
                </c:pt>
                <c:pt idx="253">
                  <c:v>51204417</c:v>
                </c:pt>
                <c:pt idx="254">
                  <c:v>51406806</c:v>
                </c:pt>
                <c:pt idx="255">
                  <c:v>51609195</c:v>
                </c:pt>
                <c:pt idx="256">
                  <c:v>51811584</c:v>
                </c:pt>
                <c:pt idx="257">
                  <c:v>52013973</c:v>
                </c:pt>
                <c:pt idx="258">
                  <c:v>52216362</c:v>
                </c:pt>
                <c:pt idx="259">
                  <c:v>52418751</c:v>
                </c:pt>
                <c:pt idx="260">
                  <c:v>52621140</c:v>
                </c:pt>
                <c:pt idx="261">
                  <c:v>52823529</c:v>
                </c:pt>
                <c:pt idx="262">
                  <c:v>53025918</c:v>
                </c:pt>
                <c:pt idx="263">
                  <c:v>53228307</c:v>
                </c:pt>
                <c:pt idx="264">
                  <c:v>53430696</c:v>
                </c:pt>
                <c:pt idx="265">
                  <c:v>53633085</c:v>
                </c:pt>
                <c:pt idx="266">
                  <c:v>53835474</c:v>
                </c:pt>
                <c:pt idx="267">
                  <c:v>54037863</c:v>
                </c:pt>
                <c:pt idx="268">
                  <c:v>54240252</c:v>
                </c:pt>
                <c:pt idx="269">
                  <c:v>54442641</c:v>
                </c:pt>
                <c:pt idx="270">
                  <c:v>54645030</c:v>
                </c:pt>
                <c:pt idx="271">
                  <c:v>54847419</c:v>
                </c:pt>
                <c:pt idx="272">
                  <c:v>55049808</c:v>
                </c:pt>
                <c:pt idx="273">
                  <c:v>55252197</c:v>
                </c:pt>
                <c:pt idx="274">
                  <c:v>55454586</c:v>
                </c:pt>
                <c:pt idx="275">
                  <c:v>55656975</c:v>
                </c:pt>
                <c:pt idx="276">
                  <c:v>55859364</c:v>
                </c:pt>
                <c:pt idx="277">
                  <c:v>56061753</c:v>
                </c:pt>
                <c:pt idx="278">
                  <c:v>56264142</c:v>
                </c:pt>
                <c:pt idx="279">
                  <c:v>56466531</c:v>
                </c:pt>
                <c:pt idx="280">
                  <c:v>56668920</c:v>
                </c:pt>
                <c:pt idx="281">
                  <c:v>56871309</c:v>
                </c:pt>
                <c:pt idx="282">
                  <c:v>57073698</c:v>
                </c:pt>
                <c:pt idx="283">
                  <c:v>57276087</c:v>
                </c:pt>
                <c:pt idx="284">
                  <c:v>57478476</c:v>
                </c:pt>
                <c:pt idx="285">
                  <c:v>57680865</c:v>
                </c:pt>
                <c:pt idx="286">
                  <c:v>57883254</c:v>
                </c:pt>
                <c:pt idx="287">
                  <c:v>58085643</c:v>
                </c:pt>
                <c:pt idx="288">
                  <c:v>58288032</c:v>
                </c:pt>
                <c:pt idx="289">
                  <c:v>58490421</c:v>
                </c:pt>
                <c:pt idx="290">
                  <c:v>58692810</c:v>
                </c:pt>
                <c:pt idx="291">
                  <c:v>58895199</c:v>
                </c:pt>
                <c:pt idx="292">
                  <c:v>59097588</c:v>
                </c:pt>
                <c:pt idx="293">
                  <c:v>59299977</c:v>
                </c:pt>
                <c:pt idx="294">
                  <c:v>59502366</c:v>
                </c:pt>
                <c:pt idx="295">
                  <c:v>59704755</c:v>
                </c:pt>
                <c:pt idx="296">
                  <c:v>59907144</c:v>
                </c:pt>
                <c:pt idx="297">
                  <c:v>60109533</c:v>
                </c:pt>
                <c:pt idx="298">
                  <c:v>60311922</c:v>
                </c:pt>
                <c:pt idx="299">
                  <c:v>60514311</c:v>
                </c:pt>
                <c:pt idx="300">
                  <c:v>60716700</c:v>
                </c:pt>
                <c:pt idx="301">
                  <c:v>60919089</c:v>
                </c:pt>
                <c:pt idx="302">
                  <c:v>61121478</c:v>
                </c:pt>
                <c:pt idx="303">
                  <c:v>61323867</c:v>
                </c:pt>
                <c:pt idx="304">
                  <c:v>61526256</c:v>
                </c:pt>
                <c:pt idx="305">
                  <c:v>61728645</c:v>
                </c:pt>
                <c:pt idx="306">
                  <c:v>61931034</c:v>
                </c:pt>
                <c:pt idx="307">
                  <c:v>62133423</c:v>
                </c:pt>
                <c:pt idx="308">
                  <c:v>62335812</c:v>
                </c:pt>
                <c:pt idx="309">
                  <c:v>62538201</c:v>
                </c:pt>
                <c:pt idx="310">
                  <c:v>62740590</c:v>
                </c:pt>
                <c:pt idx="311">
                  <c:v>62942979</c:v>
                </c:pt>
                <c:pt idx="312">
                  <c:v>63145368</c:v>
                </c:pt>
                <c:pt idx="313">
                  <c:v>63347757</c:v>
                </c:pt>
                <c:pt idx="314">
                  <c:v>63550146</c:v>
                </c:pt>
                <c:pt idx="315">
                  <c:v>63752535</c:v>
                </c:pt>
                <c:pt idx="316">
                  <c:v>63954924</c:v>
                </c:pt>
                <c:pt idx="317">
                  <c:v>64157313</c:v>
                </c:pt>
                <c:pt idx="318">
                  <c:v>64359702</c:v>
                </c:pt>
                <c:pt idx="319">
                  <c:v>64562091</c:v>
                </c:pt>
                <c:pt idx="320">
                  <c:v>64764480</c:v>
                </c:pt>
                <c:pt idx="321">
                  <c:v>64966869</c:v>
                </c:pt>
                <c:pt idx="322">
                  <c:v>65169258</c:v>
                </c:pt>
                <c:pt idx="323">
                  <c:v>65371647</c:v>
                </c:pt>
                <c:pt idx="324">
                  <c:v>65574036</c:v>
                </c:pt>
                <c:pt idx="325">
                  <c:v>65776425</c:v>
                </c:pt>
                <c:pt idx="326">
                  <c:v>65978814</c:v>
                </c:pt>
                <c:pt idx="327">
                  <c:v>66181203</c:v>
                </c:pt>
                <c:pt idx="328">
                  <c:v>66383592</c:v>
                </c:pt>
                <c:pt idx="329">
                  <c:v>66585981</c:v>
                </c:pt>
                <c:pt idx="330">
                  <c:v>66788370</c:v>
                </c:pt>
                <c:pt idx="331">
                  <c:v>66990759</c:v>
                </c:pt>
                <c:pt idx="332">
                  <c:v>67193148</c:v>
                </c:pt>
                <c:pt idx="333">
                  <c:v>67395537</c:v>
                </c:pt>
                <c:pt idx="334">
                  <c:v>67597926</c:v>
                </c:pt>
                <c:pt idx="335">
                  <c:v>67800315</c:v>
                </c:pt>
                <c:pt idx="336">
                  <c:v>68002704</c:v>
                </c:pt>
                <c:pt idx="337">
                  <c:v>68205093</c:v>
                </c:pt>
                <c:pt idx="338">
                  <c:v>68407482</c:v>
                </c:pt>
                <c:pt idx="339">
                  <c:v>68609871</c:v>
                </c:pt>
                <c:pt idx="340">
                  <c:v>68812260</c:v>
                </c:pt>
                <c:pt idx="341">
                  <c:v>69014649</c:v>
                </c:pt>
                <c:pt idx="342">
                  <c:v>69217038</c:v>
                </c:pt>
                <c:pt idx="343">
                  <c:v>69419427</c:v>
                </c:pt>
                <c:pt idx="344">
                  <c:v>69621816</c:v>
                </c:pt>
                <c:pt idx="345">
                  <c:v>69824205</c:v>
                </c:pt>
                <c:pt idx="346">
                  <c:v>70026594</c:v>
                </c:pt>
                <c:pt idx="347">
                  <c:v>70228983</c:v>
                </c:pt>
                <c:pt idx="348">
                  <c:v>70431372</c:v>
                </c:pt>
                <c:pt idx="349">
                  <c:v>70633761</c:v>
                </c:pt>
                <c:pt idx="350">
                  <c:v>70836150</c:v>
                </c:pt>
                <c:pt idx="351">
                  <c:v>71038539</c:v>
                </c:pt>
                <c:pt idx="352">
                  <c:v>71240928</c:v>
                </c:pt>
                <c:pt idx="353">
                  <c:v>71443317</c:v>
                </c:pt>
                <c:pt idx="354">
                  <c:v>71645706</c:v>
                </c:pt>
                <c:pt idx="355">
                  <c:v>71848095</c:v>
                </c:pt>
                <c:pt idx="356">
                  <c:v>72050484</c:v>
                </c:pt>
                <c:pt idx="357">
                  <c:v>72252873</c:v>
                </c:pt>
                <c:pt idx="358">
                  <c:v>72455262</c:v>
                </c:pt>
                <c:pt idx="359">
                  <c:v>72657651</c:v>
                </c:pt>
                <c:pt idx="360">
                  <c:v>72860040</c:v>
                </c:pt>
                <c:pt idx="361">
                  <c:v>73062429</c:v>
                </c:pt>
                <c:pt idx="362">
                  <c:v>73264818</c:v>
                </c:pt>
                <c:pt idx="363">
                  <c:v>73467207</c:v>
                </c:pt>
                <c:pt idx="364">
                  <c:v>73669596</c:v>
                </c:pt>
                <c:pt idx="365">
                  <c:v>73871985</c:v>
                </c:pt>
                <c:pt idx="366">
                  <c:v>74074374</c:v>
                </c:pt>
                <c:pt idx="367">
                  <c:v>74276763</c:v>
                </c:pt>
                <c:pt idx="368">
                  <c:v>74479152</c:v>
                </c:pt>
                <c:pt idx="369">
                  <c:v>74681541</c:v>
                </c:pt>
                <c:pt idx="370">
                  <c:v>74883930</c:v>
                </c:pt>
                <c:pt idx="371">
                  <c:v>75086319</c:v>
                </c:pt>
                <c:pt idx="372">
                  <c:v>75288708</c:v>
                </c:pt>
                <c:pt idx="373">
                  <c:v>75491097</c:v>
                </c:pt>
                <c:pt idx="374">
                  <c:v>75693486</c:v>
                </c:pt>
                <c:pt idx="375">
                  <c:v>75895875</c:v>
                </c:pt>
                <c:pt idx="376">
                  <c:v>76098264</c:v>
                </c:pt>
                <c:pt idx="377">
                  <c:v>76300653</c:v>
                </c:pt>
                <c:pt idx="378">
                  <c:v>76503042</c:v>
                </c:pt>
                <c:pt idx="379">
                  <c:v>76705431</c:v>
                </c:pt>
                <c:pt idx="380">
                  <c:v>76907820</c:v>
                </c:pt>
                <c:pt idx="381">
                  <c:v>77110209</c:v>
                </c:pt>
                <c:pt idx="382">
                  <c:v>77312598</c:v>
                </c:pt>
                <c:pt idx="383">
                  <c:v>77514987</c:v>
                </c:pt>
                <c:pt idx="384">
                  <c:v>77717376</c:v>
                </c:pt>
                <c:pt idx="385">
                  <c:v>77919765</c:v>
                </c:pt>
                <c:pt idx="386">
                  <c:v>78122154</c:v>
                </c:pt>
                <c:pt idx="387">
                  <c:v>78324543</c:v>
                </c:pt>
                <c:pt idx="388">
                  <c:v>78526932</c:v>
                </c:pt>
                <c:pt idx="389">
                  <c:v>78729321</c:v>
                </c:pt>
                <c:pt idx="390">
                  <c:v>78931710</c:v>
                </c:pt>
                <c:pt idx="391">
                  <c:v>79134099</c:v>
                </c:pt>
                <c:pt idx="392">
                  <c:v>79336488</c:v>
                </c:pt>
                <c:pt idx="393">
                  <c:v>79538877</c:v>
                </c:pt>
                <c:pt idx="394">
                  <c:v>79741266</c:v>
                </c:pt>
                <c:pt idx="395">
                  <c:v>79943655</c:v>
                </c:pt>
                <c:pt idx="396">
                  <c:v>80146044</c:v>
                </c:pt>
                <c:pt idx="397">
                  <c:v>80348433</c:v>
                </c:pt>
                <c:pt idx="398">
                  <c:v>80550822</c:v>
                </c:pt>
                <c:pt idx="399">
                  <c:v>80753211</c:v>
                </c:pt>
                <c:pt idx="400">
                  <c:v>80955600</c:v>
                </c:pt>
                <c:pt idx="401">
                  <c:v>81157989</c:v>
                </c:pt>
                <c:pt idx="402">
                  <c:v>81360378</c:v>
                </c:pt>
                <c:pt idx="403">
                  <c:v>81562767</c:v>
                </c:pt>
                <c:pt idx="404">
                  <c:v>81765156</c:v>
                </c:pt>
                <c:pt idx="405">
                  <c:v>81967545</c:v>
                </c:pt>
                <c:pt idx="406">
                  <c:v>82169934</c:v>
                </c:pt>
                <c:pt idx="407">
                  <c:v>82372323</c:v>
                </c:pt>
                <c:pt idx="408">
                  <c:v>82574712</c:v>
                </c:pt>
                <c:pt idx="409">
                  <c:v>82777101</c:v>
                </c:pt>
                <c:pt idx="410">
                  <c:v>82979490</c:v>
                </c:pt>
                <c:pt idx="411">
                  <c:v>83181879</c:v>
                </c:pt>
                <c:pt idx="412">
                  <c:v>83384268</c:v>
                </c:pt>
                <c:pt idx="413">
                  <c:v>83586657</c:v>
                </c:pt>
                <c:pt idx="414">
                  <c:v>83789046</c:v>
                </c:pt>
                <c:pt idx="415">
                  <c:v>83991435</c:v>
                </c:pt>
                <c:pt idx="416">
                  <c:v>84193824</c:v>
                </c:pt>
                <c:pt idx="417">
                  <c:v>84396213</c:v>
                </c:pt>
                <c:pt idx="418">
                  <c:v>84598602</c:v>
                </c:pt>
                <c:pt idx="419">
                  <c:v>84800991</c:v>
                </c:pt>
                <c:pt idx="420">
                  <c:v>85003380</c:v>
                </c:pt>
                <c:pt idx="421">
                  <c:v>85205769</c:v>
                </c:pt>
                <c:pt idx="422">
                  <c:v>85408158</c:v>
                </c:pt>
                <c:pt idx="423">
                  <c:v>85610547</c:v>
                </c:pt>
                <c:pt idx="424">
                  <c:v>85812936</c:v>
                </c:pt>
                <c:pt idx="425">
                  <c:v>86015325</c:v>
                </c:pt>
                <c:pt idx="426">
                  <c:v>86217714</c:v>
                </c:pt>
                <c:pt idx="427">
                  <c:v>86420103</c:v>
                </c:pt>
                <c:pt idx="428">
                  <c:v>86622492</c:v>
                </c:pt>
                <c:pt idx="429">
                  <c:v>86824881</c:v>
                </c:pt>
                <c:pt idx="430">
                  <c:v>87027270</c:v>
                </c:pt>
                <c:pt idx="431">
                  <c:v>87229659</c:v>
                </c:pt>
                <c:pt idx="432">
                  <c:v>87432048</c:v>
                </c:pt>
                <c:pt idx="433">
                  <c:v>87634437</c:v>
                </c:pt>
                <c:pt idx="434">
                  <c:v>87836826</c:v>
                </c:pt>
                <c:pt idx="435">
                  <c:v>88039215</c:v>
                </c:pt>
                <c:pt idx="436">
                  <c:v>88241604</c:v>
                </c:pt>
                <c:pt idx="437">
                  <c:v>88443993</c:v>
                </c:pt>
                <c:pt idx="438">
                  <c:v>88646382</c:v>
                </c:pt>
                <c:pt idx="439">
                  <c:v>88848771</c:v>
                </c:pt>
                <c:pt idx="440">
                  <c:v>89051160</c:v>
                </c:pt>
                <c:pt idx="441">
                  <c:v>89253549</c:v>
                </c:pt>
                <c:pt idx="442">
                  <c:v>89455938</c:v>
                </c:pt>
                <c:pt idx="443">
                  <c:v>89658327</c:v>
                </c:pt>
                <c:pt idx="444">
                  <c:v>89860716</c:v>
                </c:pt>
                <c:pt idx="445">
                  <c:v>90063105</c:v>
                </c:pt>
                <c:pt idx="446">
                  <c:v>90265494</c:v>
                </c:pt>
                <c:pt idx="447">
                  <c:v>90467883</c:v>
                </c:pt>
                <c:pt idx="448">
                  <c:v>90670272</c:v>
                </c:pt>
                <c:pt idx="449">
                  <c:v>90872661</c:v>
                </c:pt>
                <c:pt idx="450">
                  <c:v>91075050</c:v>
                </c:pt>
                <c:pt idx="451">
                  <c:v>91277439</c:v>
                </c:pt>
                <c:pt idx="452">
                  <c:v>91479828</c:v>
                </c:pt>
                <c:pt idx="453">
                  <c:v>91682217</c:v>
                </c:pt>
                <c:pt idx="454">
                  <c:v>91884606</c:v>
                </c:pt>
                <c:pt idx="455">
                  <c:v>92086995</c:v>
                </c:pt>
                <c:pt idx="456">
                  <c:v>92289384</c:v>
                </c:pt>
              </c:numCache>
            </c:numRef>
          </c:xVal>
          <c:yVal>
            <c:numRef>
              <c:f>Example1C!$Z$19:$Z$475</c:f>
              <c:numCache>
                <c:formatCode>_-* #,##0.000000_-;\-* #,##0.000000_-;_-* "-"??_-;_-@_-</c:formatCode>
                <c:ptCount val="457"/>
                <c:pt idx="0">
                  <c:v>5.7847999999999997E-2</c:v>
                </c:pt>
                <c:pt idx="1">
                  <c:v>0</c:v>
                </c:pt>
                <c:pt idx="2">
                  <c:v>1.2537E-2</c:v>
                </c:pt>
                <c:pt idx="3">
                  <c:v>0</c:v>
                </c:pt>
                <c:pt idx="4">
                  <c:v>1.6980000000000001E-3</c:v>
                </c:pt>
                <c:pt idx="5">
                  <c:v>3.5500000000000002E-3</c:v>
                </c:pt>
                <c:pt idx="6">
                  <c:v>7.8220000000000008E-3</c:v>
                </c:pt>
                <c:pt idx="7">
                  <c:v>9.6199999999999996E-4</c:v>
                </c:pt>
                <c:pt idx="8">
                  <c:v>4.2579999999999996E-3</c:v>
                </c:pt>
                <c:pt idx="9">
                  <c:v>2.9589999999999998E-3</c:v>
                </c:pt>
                <c:pt idx="10">
                  <c:v>5.1269999999999996E-3</c:v>
                </c:pt>
                <c:pt idx="11">
                  <c:v>1.3649999999999999E-3</c:v>
                </c:pt>
                <c:pt idx="12">
                  <c:v>1.0199E-2</c:v>
                </c:pt>
                <c:pt idx="13">
                  <c:v>4.8299999999999998E-4</c:v>
                </c:pt>
                <c:pt idx="14">
                  <c:v>1.2907999999999999E-2</c:v>
                </c:pt>
                <c:pt idx="15">
                  <c:v>7.3470000000000002E-3</c:v>
                </c:pt>
                <c:pt idx="16">
                  <c:v>1.2189999999999999E-2</c:v>
                </c:pt>
                <c:pt idx="17">
                  <c:v>2.846E-3</c:v>
                </c:pt>
                <c:pt idx="18">
                  <c:v>4.6759999999999996E-3</c:v>
                </c:pt>
                <c:pt idx="19">
                  <c:v>1.6379999999999999E-3</c:v>
                </c:pt>
                <c:pt idx="20">
                  <c:v>3.7789999999999998E-3</c:v>
                </c:pt>
                <c:pt idx="21">
                  <c:v>2.7439999999999999E-3</c:v>
                </c:pt>
                <c:pt idx="22">
                  <c:v>3.722E-3</c:v>
                </c:pt>
                <c:pt idx="23">
                  <c:v>1.9059999999999999E-3</c:v>
                </c:pt>
                <c:pt idx="24">
                  <c:v>7.1659999999999996E-3</c:v>
                </c:pt>
                <c:pt idx="25">
                  <c:v>1.609E-2</c:v>
                </c:pt>
                <c:pt idx="26">
                  <c:v>4.9220000000000002E-3</c:v>
                </c:pt>
                <c:pt idx="27">
                  <c:v>9.5080000000000008E-3</c:v>
                </c:pt>
                <c:pt idx="28">
                  <c:v>7.809E-3</c:v>
                </c:pt>
                <c:pt idx="29">
                  <c:v>9.9869999999999994E-3</c:v>
                </c:pt>
                <c:pt idx="30">
                  <c:v>6.6969999999999998E-3</c:v>
                </c:pt>
                <c:pt idx="31">
                  <c:v>6.6709999999999998E-3</c:v>
                </c:pt>
                <c:pt idx="32">
                  <c:v>1.2383E-2</c:v>
                </c:pt>
                <c:pt idx="33">
                  <c:v>1.2492E-2</c:v>
                </c:pt>
                <c:pt idx="34">
                  <c:v>6.5589999999999997E-3</c:v>
                </c:pt>
                <c:pt idx="35">
                  <c:v>6.6880000000000004E-3</c:v>
                </c:pt>
                <c:pt idx="36">
                  <c:v>4.0969999999999999E-3</c:v>
                </c:pt>
                <c:pt idx="37">
                  <c:v>6.7510000000000001E-3</c:v>
                </c:pt>
                <c:pt idx="38">
                  <c:v>5.744E-3</c:v>
                </c:pt>
                <c:pt idx="39">
                  <c:v>9.4809999999999998E-3</c:v>
                </c:pt>
                <c:pt idx="40">
                  <c:v>6.8780000000000004E-3</c:v>
                </c:pt>
                <c:pt idx="41">
                  <c:v>9.2289999999999994E-3</c:v>
                </c:pt>
                <c:pt idx="42">
                  <c:v>6.1000000000000004E-3</c:v>
                </c:pt>
                <c:pt idx="43">
                  <c:v>7.4780000000000003E-3</c:v>
                </c:pt>
                <c:pt idx="44">
                  <c:v>6.7120000000000001E-3</c:v>
                </c:pt>
                <c:pt idx="45">
                  <c:v>7.0609999999999996E-3</c:v>
                </c:pt>
                <c:pt idx="46">
                  <c:v>6.0910000000000001E-3</c:v>
                </c:pt>
                <c:pt idx="47">
                  <c:v>7.4799999999999997E-3</c:v>
                </c:pt>
                <c:pt idx="48">
                  <c:v>6.6810000000000003E-3</c:v>
                </c:pt>
                <c:pt idx="49">
                  <c:v>7.5100000000000002E-3</c:v>
                </c:pt>
                <c:pt idx="50">
                  <c:v>6.6559999999999996E-3</c:v>
                </c:pt>
                <c:pt idx="51">
                  <c:v>5.5589999999999997E-3</c:v>
                </c:pt>
                <c:pt idx="52">
                  <c:v>6.0060000000000001E-3</c:v>
                </c:pt>
                <c:pt idx="53">
                  <c:v>6.7869999999999996E-3</c:v>
                </c:pt>
                <c:pt idx="54">
                  <c:v>6.927E-3</c:v>
                </c:pt>
                <c:pt idx="55">
                  <c:v>6.1809999999999999E-3</c:v>
                </c:pt>
                <c:pt idx="56">
                  <c:v>6.5259999999999997E-3</c:v>
                </c:pt>
                <c:pt idx="57">
                  <c:v>8.6169999999999997E-3</c:v>
                </c:pt>
                <c:pt idx="58">
                  <c:v>7.9129999999999999E-3</c:v>
                </c:pt>
                <c:pt idx="59">
                  <c:v>6.7210000000000004E-3</c:v>
                </c:pt>
                <c:pt idx="60">
                  <c:v>6.8440000000000003E-3</c:v>
                </c:pt>
                <c:pt idx="61">
                  <c:v>6.7239999999999999E-3</c:v>
                </c:pt>
                <c:pt idx="62">
                  <c:v>6.6730000000000001E-3</c:v>
                </c:pt>
                <c:pt idx="63">
                  <c:v>6.0270000000000002E-3</c:v>
                </c:pt>
                <c:pt idx="64">
                  <c:v>6.8739999999999999E-3</c:v>
                </c:pt>
                <c:pt idx="65">
                  <c:v>6.8339999999999998E-3</c:v>
                </c:pt>
                <c:pt idx="66">
                  <c:v>6.7590000000000003E-3</c:v>
                </c:pt>
                <c:pt idx="67">
                  <c:v>5.7939999999999997E-3</c:v>
                </c:pt>
                <c:pt idx="68">
                  <c:v>5.94E-3</c:v>
                </c:pt>
                <c:pt idx="69">
                  <c:v>5.6569999999999997E-3</c:v>
                </c:pt>
                <c:pt idx="70">
                  <c:v>5.8500000000000002E-3</c:v>
                </c:pt>
                <c:pt idx="71">
                  <c:v>5.8640000000000003E-3</c:v>
                </c:pt>
                <c:pt idx="72">
                  <c:v>6.1989999999999996E-3</c:v>
                </c:pt>
                <c:pt idx="73">
                  <c:v>5.9449999999999998E-3</c:v>
                </c:pt>
                <c:pt idx="74">
                  <c:v>5.9020000000000001E-3</c:v>
                </c:pt>
                <c:pt idx="75">
                  <c:v>5.4000000000000003E-3</c:v>
                </c:pt>
                <c:pt idx="76">
                  <c:v>5.4180000000000001E-3</c:v>
                </c:pt>
                <c:pt idx="77">
                  <c:v>8.09E-3</c:v>
                </c:pt>
                <c:pt idx="78">
                  <c:v>5.3350000000000003E-3</c:v>
                </c:pt>
                <c:pt idx="79">
                  <c:v>5.9449999999999998E-3</c:v>
                </c:pt>
                <c:pt idx="80">
                  <c:v>5.1679999999999999E-3</c:v>
                </c:pt>
                <c:pt idx="81">
                  <c:v>5.2979999999999998E-3</c:v>
                </c:pt>
                <c:pt idx="82">
                  <c:v>5.5900000000000004E-3</c:v>
                </c:pt>
                <c:pt idx="83">
                  <c:v>5.4660000000000004E-3</c:v>
                </c:pt>
                <c:pt idx="84">
                  <c:v>4.9119999999999997E-3</c:v>
                </c:pt>
                <c:pt idx="85">
                  <c:v>5.2040000000000003E-3</c:v>
                </c:pt>
                <c:pt idx="86">
                  <c:v>5.2090000000000001E-3</c:v>
                </c:pt>
                <c:pt idx="87">
                  <c:v>5.1679999999999999E-3</c:v>
                </c:pt>
                <c:pt idx="88">
                  <c:v>4.7949999999999998E-3</c:v>
                </c:pt>
                <c:pt idx="89">
                  <c:v>5.5110000000000003E-3</c:v>
                </c:pt>
                <c:pt idx="90">
                  <c:v>4.921E-3</c:v>
                </c:pt>
                <c:pt idx="91">
                  <c:v>5.4869999999999997E-3</c:v>
                </c:pt>
                <c:pt idx="92">
                  <c:v>4.908E-3</c:v>
                </c:pt>
                <c:pt idx="93">
                  <c:v>5.2269999999999999E-3</c:v>
                </c:pt>
                <c:pt idx="94">
                  <c:v>4.5409999999999999E-3</c:v>
                </c:pt>
                <c:pt idx="95">
                  <c:v>4.5880000000000001E-3</c:v>
                </c:pt>
                <c:pt idx="96">
                  <c:v>4.3270000000000001E-3</c:v>
                </c:pt>
                <c:pt idx="97">
                  <c:v>4.529E-3</c:v>
                </c:pt>
                <c:pt idx="98">
                  <c:v>4.3620000000000004E-3</c:v>
                </c:pt>
                <c:pt idx="99">
                  <c:v>4.3229999999999996E-3</c:v>
                </c:pt>
                <c:pt idx="100">
                  <c:v>6.1700000000000001E-3</c:v>
                </c:pt>
                <c:pt idx="101">
                  <c:v>4.3559999999999996E-3</c:v>
                </c:pt>
                <c:pt idx="102">
                  <c:v>5.3579999999999999E-3</c:v>
                </c:pt>
                <c:pt idx="103">
                  <c:v>4.1219999999999998E-3</c:v>
                </c:pt>
                <c:pt idx="104">
                  <c:v>4.4450000000000002E-3</c:v>
                </c:pt>
                <c:pt idx="105">
                  <c:v>4.3759999999999997E-3</c:v>
                </c:pt>
                <c:pt idx="106">
                  <c:v>4.6309999999999997E-3</c:v>
                </c:pt>
                <c:pt idx="107">
                  <c:v>4.0829999999999998E-3</c:v>
                </c:pt>
                <c:pt idx="108">
                  <c:v>4.1110000000000001E-3</c:v>
                </c:pt>
                <c:pt idx="109">
                  <c:v>4.3160000000000004E-3</c:v>
                </c:pt>
                <c:pt idx="110">
                  <c:v>4.3930000000000002E-3</c:v>
                </c:pt>
                <c:pt idx="111">
                  <c:v>3.8549999999999999E-3</c:v>
                </c:pt>
                <c:pt idx="112">
                  <c:v>4.1920000000000004E-3</c:v>
                </c:pt>
                <c:pt idx="113">
                  <c:v>3.5170000000000002E-3</c:v>
                </c:pt>
                <c:pt idx="114">
                  <c:v>4.2909999999999997E-3</c:v>
                </c:pt>
                <c:pt idx="115">
                  <c:v>3.885E-3</c:v>
                </c:pt>
                <c:pt idx="116">
                  <c:v>4.313E-3</c:v>
                </c:pt>
                <c:pt idx="117">
                  <c:v>3.6350000000000002E-3</c:v>
                </c:pt>
                <c:pt idx="118">
                  <c:v>3.8969999999999999E-3</c:v>
                </c:pt>
                <c:pt idx="119">
                  <c:v>3.4480000000000001E-3</c:v>
                </c:pt>
                <c:pt idx="120">
                  <c:v>3.6080000000000001E-3</c:v>
                </c:pt>
                <c:pt idx="121">
                  <c:v>3.444E-3</c:v>
                </c:pt>
                <c:pt idx="122">
                  <c:v>3.5140000000000002E-3</c:v>
                </c:pt>
                <c:pt idx="123">
                  <c:v>3.2799999999999999E-3</c:v>
                </c:pt>
                <c:pt idx="124">
                  <c:v>3.5760000000000002E-3</c:v>
                </c:pt>
                <c:pt idx="125">
                  <c:v>3.8440000000000002E-3</c:v>
                </c:pt>
                <c:pt idx="126">
                  <c:v>3.398E-3</c:v>
                </c:pt>
                <c:pt idx="127">
                  <c:v>3.49E-3</c:v>
                </c:pt>
                <c:pt idx="128">
                  <c:v>3.2950000000000002E-3</c:v>
                </c:pt>
                <c:pt idx="129">
                  <c:v>3.3809999999999999E-3</c:v>
                </c:pt>
                <c:pt idx="130">
                  <c:v>3.287E-3</c:v>
                </c:pt>
                <c:pt idx="131">
                  <c:v>3.2369999999999999E-3</c:v>
                </c:pt>
                <c:pt idx="132">
                  <c:v>3.3930000000000002E-3</c:v>
                </c:pt>
                <c:pt idx="133">
                  <c:v>3.3660000000000001E-3</c:v>
                </c:pt>
                <c:pt idx="134">
                  <c:v>3.228E-3</c:v>
                </c:pt>
                <c:pt idx="135">
                  <c:v>3.1410000000000001E-3</c:v>
                </c:pt>
                <c:pt idx="136">
                  <c:v>2.898E-3</c:v>
                </c:pt>
                <c:pt idx="137">
                  <c:v>3.003E-3</c:v>
                </c:pt>
                <c:pt idx="138">
                  <c:v>2.9030000000000002E-3</c:v>
                </c:pt>
                <c:pt idx="139">
                  <c:v>3.0739999999999999E-3</c:v>
                </c:pt>
                <c:pt idx="140">
                  <c:v>2.8519999999999999E-3</c:v>
                </c:pt>
                <c:pt idx="141">
                  <c:v>3.006E-3</c:v>
                </c:pt>
                <c:pt idx="142">
                  <c:v>2.7950000000000002E-3</c:v>
                </c:pt>
                <c:pt idx="143">
                  <c:v>2.8500000000000001E-3</c:v>
                </c:pt>
                <c:pt idx="144">
                  <c:v>2.6949999999999999E-3</c:v>
                </c:pt>
                <c:pt idx="145">
                  <c:v>2.7000000000000001E-3</c:v>
                </c:pt>
                <c:pt idx="146">
                  <c:v>2.5950000000000001E-3</c:v>
                </c:pt>
                <c:pt idx="147">
                  <c:v>2.663E-3</c:v>
                </c:pt>
                <c:pt idx="148">
                  <c:v>2.578E-3</c:v>
                </c:pt>
                <c:pt idx="149">
                  <c:v>2.627E-3</c:v>
                </c:pt>
                <c:pt idx="150">
                  <c:v>2.526E-3</c:v>
                </c:pt>
                <c:pt idx="151">
                  <c:v>2.4459999999999998E-3</c:v>
                </c:pt>
                <c:pt idx="152">
                  <c:v>2.3900000000000002E-3</c:v>
                </c:pt>
                <c:pt idx="153">
                  <c:v>2.4139999999999999E-3</c:v>
                </c:pt>
                <c:pt idx="154">
                  <c:v>2.4650000000000002E-3</c:v>
                </c:pt>
                <c:pt idx="155">
                  <c:v>2.33E-3</c:v>
                </c:pt>
                <c:pt idx="156">
                  <c:v>2.3270000000000001E-3</c:v>
                </c:pt>
                <c:pt idx="157">
                  <c:v>2.3869999999999998E-3</c:v>
                </c:pt>
                <c:pt idx="158">
                  <c:v>2.3249999999999998E-3</c:v>
                </c:pt>
                <c:pt idx="159">
                  <c:v>2.2659999999999998E-3</c:v>
                </c:pt>
                <c:pt idx="160">
                  <c:v>2.2179999999999999E-3</c:v>
                </c:pt>
                <c:pt idx="161">
                  <c:v>2.163E-3</c:v>
                </c:pt>
                <c:pt idx="162">
                  <c:v>2.1519999999999998E-3</c:v>
                </c:pt>
                <c:pt idx="163">
                  <c:v>2.1029999999999998E-3</c:v>
                </c:pt>
                <c:pt idx="164">
                  <c:v>2.1159999999999998E-3</c:v>
                </c:pt>
                <c:pt idx="165">
                  <c:v>2.068E-3</c:v>
                </c:pt>
                <c:pt idx="166">
                  <c:v>2.0790000000000001E-3</c:v>
                </c:pt>
                <c:pt idx="167">
                  <c:v>1.9819999999999998E-3</c:v>
                </c:pt>
                <c:pt idx="168">
                  <c:v>1.983E-3</c:v>
                </c:pt>
                <c:pt idx="169">
                  <c:v>1.9139999999999999E-3</c:v>
                </c:pt>
                <c:pt idx="170">
                  <c:v>1.9170000000000001E-3</c:v>
                </c:pt>
                <c:pt idx="171">
                  <c:v>1.8680000000000001E-3</c:v>
                </c:pt>
                <c:pt idx="172">
                  <c:v>1.869E-3</c:v>
                </c:pt>
                <c:pt idx="173">
                  <c:v>1.8209999999999999E-3</c:v>
                </c:pt>
                <c:pt idx="174">
                  <c:v>1.8109999999999999E-3</c:v>
                </c:pt>
                <c:pt idx="175">
                  <c:v>1.75E-3</c:v>
                </c:pt>
                <c:pt idx="176">
                  <c:v>1.7279999999999999E-3</c:v>
                </c:pt>
                <c:pt idx="177">
                  <c:v>1.8109999999999999E-3</c:v>
                </c:pt>
                <c:pt idx="178">
                  <c:v>1.681E-3</c:v>
                </c:pt>
                <c:pt idx="179">
                  <c:v>1.7049999999999999E-3</c:v>
                </c:pt>
                <c:pt idx="180">
                  <c:v>1.624E-3</c:v>
                </c:pt>
                <c:pt idx="181">
                  <c:v>1.619E-3</c:v>
                </c:pt>
                <c:pt idx="182">
                  <c:v>1.614E-3</c:v>
                </c:pt>
                <c:pt idx="183">
                  <c:v>1.586E-3</c:v>
                </c:pt>
                <c:pt idx="184">
                  <c:v>1.5299999999999999E-3</c:v>
                </c:pt>
                <c:pt idx="185">
                  <c:v>1.5169999999999999E-3</c:v>
                </c:pt>
                <c:pt idx="186">
                  <c:v>1.511E-3</c:v>
                </c:pt>
                <c:pt idx="187">
                  <c:v>1.49E-3</c:v>
                </c:pt>
                <c:pt idx="188">
                  <c:v>1.441E-3</c:v>
                </c:pt>
                <c:pt idx="189">
                  <c:v>1.459E-3</c:v>
                </c:pt>
                <c:pt idx="190">
                  <c:v>1.4009999999999999E-3</c:v>
                </c:pt>
                <c:pt idx="191">
                  <c:v>1.426E-3</c:v>
                </c:pt>
                <c:pt idx="192">
                  <c:v>1.3699999999999999E-3</c:v>
                </c:pt>
                <c:pt idx="193">
                  <c:v>1.3780000000000001E-3</c:v>
                </c:pt>
                <c:pt idx="194">
                  <c:v>1.3129999999999999E-3</c:v>
                </c:pt>
                <c:pt idx="195">
                  <c:v>1.31E-3</c:v>
                </c:pt>
                <c:pt idx="196">
                  <c:v>1.2669999999999999E-3</c:v>
                </c:pt>
                <c:pt idx="197">
                  <c:v>1.266E-3</c:v>
                </c:pt>
                <c:pt idx="198">
                  <c:v>1.2359999999999999E-3</c:v>
                </c:pt>
                <c:pt idx="199">
                  <c:v>1.222E-3</c:v>
                </c:pt>
                <c:pt idx="200">
                  <c:v>1.232E-3</c:v>
                </c:pt>
                <c:pt idx="201">
                  <c:v>1.189E-3</c:v>
                </c:pt>
                <c:pt idx="202">
                  <c:v>1.206E-3</c:v>
                </c:pt>
                <c:pt idx="203">
                  <c:v>1.145E-3</c:v>
                </c:pt>
                <c:pt idx="204">
                  <c:v>1.1410000000000001E-3</c:v>
                </c:pt>
                <c:pt idx="205">
                  <c:v>1.1180000000000001E-3</c:v>
                </c:pt>
                <c:pt idx="206">
                  <c:v>1.1119999999999999E-3</c:v>
                </c:pt>
                <c:pt idx="207">
                  <c:v>1.0809999999999999E-3</c:v>
                </c:pt>
                <c:pt idx="208">
                  <c:v>1.062E-3</c:v>
                </c:pt>
                <c:pt idx="209">
                  <c:v>1.0579999999999999E-3</c:v>
                </c:pt>
                <c:pt idx="210">
                  <c:v>1.044E-3</c:v>
                </c:pt>
                <c:pt idx="211">
                  <c:v>1.0139999999999999E-3</c:v>
                </c:pt>
                <c:pt idx="212">
                  <c:v>1.005E-3</c:v>
                </c:pt>
                <c:pt idx="213">
                  <c:v>9.6400000000000001E-4</c:v>
                </c:pt>
                <c:pt idx="214">
                  <c:v>9.7900000000000005E-4</c:v>
                </c:pt>
                <c:pt idx="215">
                  <c:v>9.5E-4</c:v>
                </c:pt>
                <c:pt idx="216">
                  <c:v>9.5600000000000004E-4</c:v>
                </c:pt>
                <c:pt idx="217">
                  <c:v>9.1500000000000001E-4</c:v>
                </c:pt>
                <c:pt idx="218">
                  <c:v>9.19E-4</c:v>
                </c:pt>
                <c:pt idx="219">
                  <c:v>8.83E-4</c:v>
                </c:pt>
                <c:pt idx="220">
                  <c:v>8.8000000000000003E-4</c:v>
                </c:pt>
                <c:pt idx="221">
                  <c:v>8.5599999999999999E-4</c:v>
                </c:pt>
                <c:pt idx="222">
                  <c:v>8.4900000000000004E-4</c:v>
                </c:pt>
                <c:pt idx="223">
                  <c:v>8.25E-4</c:v>
                </c:pt>
                <c:pt idx="224">
                  <c:v>8.2600000000000002E-4</c:v>
                </c:pt>
                <c:pt idx="225">
                  <c:v>8.1599999999999999E-4</c:v>
                </c:pt>
                <c:pt idx="226">
                  <c:v>7.9699999999999997E-4</c:v>
                </c:pt>
                <c:pt idx="227">
                  <c:v>7.8399999999999997E-4</c:v>
                </c:pt>
                <c:pt idx="228">
                  <c:v>7.6599999999999997E-4</c:v>
                </c:pt>
                <c:pt idx="229">
                  <c:v>7.5500000000000003E-4</c:v>
                </c:pt>
                <c:pt idx="230">
                  <c:v>7.45E-4</c:v>
                </c:pt>
                <c:pt idx="231">
                  <c:v>7.3399999999999995E-4</c:v>
                </c:pt>
                <c:pt idx="232">
                  <c:v>7.2400000000000003E-4</c:v>
                </c:pt>
                <c:pt idx="233">
                  <c:v>7.1199999999999996E-4</c:v>
                </c:pt>
                <c:pt idx="234">
                  <c:v>7.0299999999999996E-4</c:v>
                </c:pt>
                <c:pt idx="235">
                  <c:v>6.8800000000000003E-4</c:v>
                </c:pt>
                <c:pt idx="236">
                  <c:v>6.7100000000000005E-4</c:v>
                </c:pt>
                <c:pt idx="237">
                  <c:v>6.6200000000000005E-4</c:v>
                </c:pt>
                <c:pt idx="238">
                  <c:v>6.4800000000000003E-4</c:v>
                </c:pt>
                <c:pt idx="239">
                  <c:v>6.4499999999999996E-4</c:v>
                </c:pt>
                <c:pt idx="240">
                  <c:v>6.2799999999999998E-4</c:v>
                </c:pt>
                <c:pt idx="241">
                  <c:v>6.2500000000000001E-4</c:v>
                </c:pt>
                <c:pt idx="242">
                  <c:v>6.0800000000000003E-4</c:v>
                </c:pt>
                <c:pt idx="243">
                  <c:v>6.0300000000000002E-4</c:v>
                </c:pt>
                <c:pt idx="244">
                  <c:v>5.8600000000000004E-4</c:v>
                </c:pt>
                <c:pt idx="245">
                  <c:v>5.7899999999999998E-4</c:v>
                </c:pt>
                <c:pt idx="246">
                  <c:v>5.6499999999999996E-4</c:v>
                </c:pt>
                <c:pt idx="247">
                  <c:v>5.5999999999999995E-4</c:v>
                </c:pt>
                <c:pt idx="248">
                  <c:v>5.4799999999999998E-4</c:v>
                </c:pt>
                <c:pt idx="249">
                  <c:v>5.4299999999999997E-4</c:v>
                </c:pt>
                <c:pt idx="250">
                  <c:v>5.31E-4</c:v>
                </c:pt>
                <c:pt idx="251">
                  <c:v>5.2099999999999998E-4</c:v>
                </c:pt>
                <c:pt idx="252">
                  <c:v>5.1000000000000004E-4</c:v>
                </c:pt>
                <c:pt idx="253">
                  <c:v>5.0299999999999997E-4</c:v>
                </c:pt>
                <c:pt idx="254">
                  <c:v>4.9799999999999996E-4</c:v>
                </c:pt>
                <c:pt idx="255">
                  <c:v>4.86E-4</c:v>
                </c:pt>
                <c:pt idx="256">
                  <c:v>4.7899999999999999E-4</c:v>
                </c:pt>
                <c:pt idx="257">
                  <c:v>4.73E-4</c:v>
                </c:pt>
                <c:pt idx="258">
                  <c:v>4.64E-4</c:v>
                </c:pt>
                <c:pt idx="259">
                  <c:v>4.5600000000000003E-4</c:v>
                </c:pt>
                <c:pt idx="260">
                  <c:v>4.4700000000000002E-4</c:v>
                </c:pt>
                <c:pt idx="261">
                  <c:v>4.3800000000000002E-4</c:v>
                </c:pt>
                <c:pt idx="262">
                  <c:v>4.3100000000000001E-4</c:v>
                </c:pt>
                <c:pt idx="263">
                  <c:v>4.2400000000000001E-4</c:v>
                </c:pt>
                <c:pt idx="264">
                  <c:v>4.1800000000000002E-4</c:v>
                </c:pt>
                <c:pt idx="265">
                  <c:v>4.0900000000000002E-4</c:v>
                </c:pt>
                <c:pt idx="266">
                  <c:v>4.0499999999999998E-4</c:v>
                </c:pt>
                <c:pt idx="267">
                  <c:v>3.9500000000000001E-4</c:v>
                </c:pt>
                <c:pt idx="268">
                  <c:v>3.8999999999999999E-4</c:v>
                </c:pt>
                <c:pt idx="269">
                  <c:v>3.8099999999999999E-4</c:v>
                </c:pt>
                <c:pt idx="270">
                  <c:v>3.7599999999999998E-4</c:v>
                </c:pt>
                <c:pt idx="271">
                  <c:v>3.6699999999999998E-4</c:v>
                </c:pt>
                <c:pt idx="272">
                  <c:v>3.6299999999999999E-4</c:v>
                </c:pt>
                <c:pt idx="273">
                  <c:v>3.5500000000000001E-4</c:v>
                </c:pt>
                <c:pt idx="274">
                  <c:v>3.5E-4</c:v>
                </c:pt>
                <c:pt idx="275">
                  <c:v>3.4200000000000002E-4</c:v>
                </c:pt>
                <c:pt idx="276">
                  <c:v>3.3700000000000001E-4</c:v>
                </c:pt>
                <c:pt idx="277">
                  <c:v>3.3300000000000002E-4</c:v>
                </c:pt>
                <c:pt idx="278">
                  <c:v>3.2499999999999999E-4</c:v>
                </c:pt>
                <c:pt idx="279">
                  <c:v>3.21E-4</c:v>
                </c:pt>
                <c:pt idx="280">
                  <c:v>3.1300000000000002E-4</c:v>
                </c:pt>
                <c:pt idx="281">
                  <c:v>3.0800000000000001E-4</c:v>
                </c:pt>
                <c:pt idx="282">
                  <c:v>3.0299999999999999E-4</c:v>
                </c:pt>
                <c:pt idx="283">
                  <c:v>2.9799999999999998E-4</c:v>
                </c:pt>
                <c:pt idx="284">
                  <c:v>2.92E-4</c:v>
                </c:pt>
                <c:pt idx="285">
                  <c:v>2.8600000000000001E-4</c:v>
                </c:pt>
                <c:pt idx="286">
                  <c:v>2.8200000000000002E-4</c:v>
                </c:pt>
                <c:pt idx="287">
                  <c:v>2.7700000000000001E-4</c:v>
                </c:pt>
                <c:pt idx="288">
                  <c:v>2.72E-4</c:v>
                </c:pt>
                <c:pt idx="289">
                  <c:v>2.6800000000000001E-4</c:v>
                </c:pt>
                <c:pt idx="290">
                  <c:v>2.6200000000000003E-4</c:v>
                </c:pt>
                <c:pt idx="291">
                  <c:v>2.5900000000000001E-4</c:v>
                </c:pt>
                <c:pt idx="292">
                  <c:v>2.5300000000000002E-4</c:v>
                </c:pt>
                <c:pt idx="293">
                  <c:v>2.5000000000000001E-4</c:v>
                </c:pt>
                <c:pt idx="294">
                  <c:v>2.43E-4</c:v>
                </c:pt>
                <c:pt idx="295">
                  <c:v>2.4000000000000001E-4</c:v>
                </c:pt>
                <c:pt idx="296">
                  <c:v>2.3499999999999999E-4</c:v>
                </c:pt>
                <c:pt idx="297">
                  <c:v>2.31E-4</c:v>
                </c:pt>
                <c:pt idx="298">
                  <c:v>2.2599999999999999E-4</c:v>
                </c:pt>
                <c:pt idx="299">
                  <c:v>2.23E-4</c:v>
                </c:pt>
                <c:pt idx="300">
                  <c:v>2.1900000000000001E-4</c:v>
                </c:pt>
                <c:pt idx="301">
                  <c:v>2.1499999999999999E-4</c:v>
                </c:pt>
                <c:pt idx="302">
                  <c:v>2.12E-4</c:v>
                </c:pt>
                <c:pt idx="303">
                  <c:v>2.0699999999999999E-4</c:v>
                </c:pt>
                <c:pt idx="304">
                  <c:v>2.03E-4</c:v>
                </c:pt>
                <c:pt idx="305">
                  <c:v>1.9900000000000001E-4</c:v>
                </c:pt>
                <c:pt idx="306">
                  <c:v>1.9599999999999999E-4</c:v>
                </c:pt>
                <c:pt idx="307">
                  <c:v>1.92E-4</c:v>
                </c:pt>
                <c:pt idx="308">
                  <c:v>1.8900000000000001E-4</c:v>
                </c:pt>
                <c:pt idx="309">
                  <c:v>1.8599999999999999E-4</c:v>
                </c:pt>
                <c:pt idx="310">
                  <c:v>1.8200000000000001E-4</c:v>
                </c:pt>
                <c:pt idx="311">
                  <c:v>1.7899999999999999E-4</c:v>
                </c:pt>
                <c:pt idx="312">
                  <c:v>1.76E-4</c:v>
                </c:pt>
                <c:pt idx="313">
                  <c:v>1.7200000000000001E-4</c:v>
                </c:pt>
                <c:pt idx="314">
                  <c:v>1.6899999999999999E-4</c:v>
                </c:pt>
                <c:pt idx="315">
                  <c:v>1.66E-4</c:v>
                </c:pt>
                <c:pt idx="316">
                  <c:v>1.64E-4</c:v>
                </c:pt>
                <c:pt idx="317">
                  <c:v>1.6000000000000001E-4</c:v>
                </c:pt>
                <c:pt idx="318">
                  <c:v>1.5699999999999999E-4</c:v>
                </c:pt>
                <c:pt idx="319">
                  <c:v>1.54E-4</c:v>
                </c:pt>
                <c:pt idx="320">
                  <c:v>1.5100000000000001E-4</c:v>
                </c:pt>
                <c:pt idx="321">
                  <c:v>1.4799999999999999E-4</c:v>
                </c:pt>
                <c:pt idx="322">
                  <c:v>1.46E-4</c:v>
                </c:pt>
                <c:pt idx="323">
                  <c:v>1.4300000000000001E-4</c:v>
                </c:pt>
                <c:pt idx="324">
                  <c:v>1.4100000000000001E-4</c:v>
                </c:pt>
                <c:pt idx="325">
                  <c:v>1.3799999999999999E-4</c:v>
                </c:pt>
                <c:pt idx="326">
                  <c:v>1.35E-4</c:v>
                </c:pt>
                <c:pt idx="327">
                  <c:v>1.3300000000000001E-4</c:v>
                </c:pt>
                <c:pt idx="328">
                  <c:v>1.2999999999999999E-4</c:v>
                </c:pt>
                <c:pt idx="329">
                  <c:v>1.2799999999999999E-4</c:v>
                </c:pt>
                <c:pt idx="330">
                  <c:v>1.26E-4</c:v>
                </c:pt>
                <c:pt idx="331">
                  <c:v>1.2300000000000001E-4</c:v>
                </c:pt>
                <c:pt idx="332">
                  <c:v>1.21E-4</c:v>
                </c:pt>
                <c:pt idx="333">
                  <c:v>1.1900000000000001E-4</c:v>
                </c:pt>
                <c:pt idx="334">
                  <c:v>1.17E-4</c:v>
                </c:pt>
                <c:pt idx="335">
                  <c:v>1.1400000000000001E-4</c:v>
                </c:pt>
                <c:pt idx="336">
                  <c:v>1.12E-4</c:v>
                </c:pt>
                <c:pt idx="337">
                  <c:v>1.1E-4</c:v>
                </c:pt>
                <c:pt idx="338">
                  <c:v>1.08E-4</c:v>
                </c:pt>
                <c:pt idx="339">
                  <c:v>1.06E-4</c:v>
                </c:pt>
                <c:pt idx="340">
                  <c:v>1.0399999999999999E-4</c:v>
                </c:pt>
                <c:pt idx="341">
                  <c:v>1.02E-4</c:v>
                </c:pt>
                <c:pt idx="342">
                  <c:v>1E-4</c:v>
                </c:pt>
                <c:pt idx="343">
                  <c:v>9.7999999999999997E-5</c:v>
                </c:pt>
                <c:pt idx="344">
                  <c:v>9.6000000000000002E-5</c:v>
                </c:pt>
                <c:pt idx="345">
                  <c:v>9.5000000000000005E-5</c:v>
                </c:pt>
                <c:pt idx="346">
                  <c:v>9.2999999999999997E-5</c:v>
                </c:pt>
                <c:pt idx="347">
                  <c:v>9.1000000000000003E-5</c:v>
                </c:pt>
                <c:pt idx="348">
                  <c:v>8.8999999999999995E-5</c:v>
                </c:pt>
                <c:pt idx="349">
                  <c:v>8.7999999999999998E-5</c:v>
                </c:pt>
                <c:pt idx="350">
                  <c:v>8.6000000000000003E-5</c:v>
                </c:pt>
                <c:pt idx="351">
                  <c:v>8.3999999999999995E-5</c:v>
                </c:pt>
                <c:pt idx="352">
                  <c:v>8.2999999999999998E-5</c:v>
                </c:pt>
                <c:pt idx="353">
                  <c:v>8.1000000000000004E-5</c:v>
                </c:pt>
                <c:pt idx="354">
                  <c:v>8.0000000000000007E-5</c:v>
                </c:pt>
                <c:pt idx="355">
                  <c:v>7.7999999999999999E-5</c:v>
                </c:pt>
                <c:pt idx="356">
                  <c:v>7.7000000000000001E-5</c:v>
                </c:pt>
                <c:pt idx="357">
                  <c:v>7.4999999999999993E-5</c:v>
                </c:pt>
                <c:pt idx="358">
                  <c:v>7.3999999999999996E-5</c:v>
                </c:pt>
                <c:pt idx="359">
                  <c:v>7.2000000000000002E-5</c:v>
                </c:pt>
                <c:pt idx="360">
                  <c:v>7.1000000000000005E-5</c:v>
                </c:pt>
                <c:pt idx="361">
                  <c:v>6.9999999999999994E-5</c:v>
                </c:pt>
                <c:pt idx="362">
                  <c:v>6.7999999999999999E-5</c:v>
                </c:pt>
                <c:pt idx="363">
                  <c:v>6.7000000000000002E-5</c:v>
                </c:pt>
                <c:pt idx="364">
                  <c:v>6.6000000000000005E-5</c:v>
                </c:pt>
                <c:pt idx="365">
                  <c:v>6.3999999999999997E-5</c:v>
                </c:pt>
                <c:pt idx="366">
                  <c:v>6.3E-5</c:v>
                </c:pt>
                <c:pt idx="367">
                  <c:v>6.2000000000000003E-5</c:v>
                </c:pt>
                <c:pt idx="368">
                  <c:v>6.0999999999999999E-5</c:v>
                </c:pt>
                <c:pt idx="369">
                  <c:v>6.0000000000000002E-5</c:v>
                </c:pt>
                <c:pt idx="370">
                  <c:v>5.8999999999999998E-5</c:v>
                </c:pt>
                <c:pt idx="371">
                  <c:v>5.7000000000000003E-5</c:v>
                </c:pt>
                <c:pt idx="372">
                  <c:v>5.5999999999999999E-5</c:v>
                </c:pt>
                <c:pt idx="373">
                  <c:v>5.5000000000000002E-5</c:v>
                </c:pt>
                <c:pt idx="374">
                  <c:v>5.3999999999999998E-5</c:v>
                </c:pt>
                <c:pt idx="375">
                  <c:v>5.3000000000000001E-5</c:v>
                </c:pt>
                <c:pt idx="376">
                  <c:v>5.1999999999999997E-5</c:v>
                </c:pt>
                <c:pt idx="377">
                  <c:v>5.1E-5</c:v>
                </c:pt>
                <c:pt idx="378">
                  <c:v>5.0000000000000002E-5</c:v>
                </c:pt>
                <c:pt idx="379">
                  <c:v>4.8999999999999998E-5</c:v>
                </c:pt>
                <c:pt idx="380">
                  <c:v>4.8000000000000001E-5</c:v>
                </c:pt>
                <c:pt idx="381">
                  <c:v>4.6999999999999997E-5</c:v>
                </c:pt>
                <c:pt idx="382">
                  <c:v>4.6E-5</c:v>
                </c:pt>
                <c:pt idx="383">
                  <c:v>4.5000000000000003E-5</c:v>
                </c:pt>
                <c:pt idx="384">
                  <c:v>4.5000000000000003E-5</c:v>
                </c:pt>
                <c:pt idx="385">
                  <c:v>4.3999999999999999E-5</c:v>
                </c:pt>
                <c:pt idx="386">
                  <c:v>4.3000000000000002E-5</c:v>
                </c:pt>
                <c:pt idx="387">
                  <c:v>4.1999999999999998E-5</c:v>
                </c:pt>
                <c:pt idx="388">
                  <c:v>4.1E-5</c:v>
                </c:pt>
                <c:pt idx="389">
                  <c:v>4.0000000000000003E-5</c:v>
                </c:pt>
                <c:pt idx="390">
                  <c:v>4.0000000000000003E-5</c:v>
                </c:pt>
                <c:pt idx="391">
                  <c:v>3.8999999999999999E-5</c:v>
                </c:pt>
                <c:pt idx="392">
                  <c:v>3.8000000000000002E-5</c:v>
                </c:pt>
                <c:pt idx="393">
                  <c:v>3.6999999999999998E-5</c:v>
                </c:pt>
                <c:pt idx="394">
                  <c:v>3.6999999999999998E-5</c:v>
                </c:pt>
                <c:pt idx="395">
                  <c:v>3.6000000000000001E-5</c:v>
                </c:pt>
                <c:pt idx="396">
                  <c:v>3.4999999999999997E-5</c:v>
                </c:pt>
                <c:pt idx="397">
                  <c:v>3.4999999999999997E-5</c:v>
                </c:pt>
                <c:pt idx="398">
                  <c:v>3.4E-5</c:v>
                </c:pt>
                <c:pt idx="399">
                  <c:v>3.3000000000000003E-5</c:v>
                </c:pt>
                <c:pt idx="400">
                  <c:v>3.3000000000000003E-5</c:v>
                </c:pt>
                <c:pt idx="401">
                  <c:v>3.1999999999999999E-5</c:v>
                </c:pt>
                <c:pt idx="402">
                  <c:v>3.1000000000000001E-5</c:v>
                </c:pt>
                <c:pt idx="403">
                  <c:v>3.1000000000000001E-5</c:v>
                </c:pt>
                <c:pt idx="404">
                  <c:v>3.0000000000000001E-5</c:v>
                </c:pt>
                <c:pt idx="405">
                  <c:v>2.9E-5</c:v>
                </c:pt>
                <c:pt idx="406">
                  <c:v>2.9E-5</c:v>
                </c:pt>
                <c:pt idx="407">
                  <c:v>2.8E-5</c:v>
                </c:pt>
                <c:pt idx="408">
                  <c:v>2.8E-5</c:v>
                </c:pt>
                <c:pt idx="409">
                  <c:v>2.6999999999999999E-5</c:v>
                </c:pt>
                <c:pt idx="410">
                  <c:v>2.6999999999999999E-5</c:v>
                </c:pt>
                <c:pt idx="411">
                  <c:v>2.5999999999999998E-5</c:v>
                </c:pt>
                <c:pt idx="412">
                  <c:v>2.5999999999999998E-5</c:v>
                </c:pt>
                <c:pt idx="413">
                  <c:v>2.5000000000000001E-5</c:v>
                </c:pt>
                <c:pt idx="414">
                  <c:v>2.5000000000000001E-5</c:v>
                </c:pt>
                <c:pt idx="415">
                  <c:v>2.4000000000000001E-5</c:v>
                </c:pt>
                <c:pt idx="416">
                  <c:v>2.4000000000000001E-5</c:v>
                </c:pt>
                <c:pt idx="417">
                  <c:v>2.3E-5</c:v>
                </c:pt>
                <c:pt idx="418">
                  <c:v>2.3E-5</c:v>
                </c:pt>
                <c:pt idx="419">
                  <c:v>2.1999999999999999E-5</c:v>
                </c:pt>
                <c:pt idx="420">
                  <c:v>2.1999999999999999E-5</c:v>
                </c:pt>
                <c:pt idx="421">
                  <c:v>2.0999999999999999E-5</c:v>
                </c:pt>
                <c:pt idx="422">
                  <c:v>2.0999999999999999E-5</c:v>
                </c:pt>
                <c:pt idx="423">
                  <c:v>2.0999999999999999E-5</c:v>
                </c:pt>
                <c:pt idx="424">
                  <c:v>2.0000000000000002E-5</c:v>
                </c:pt>
                <c:pt idx="425">
                  <c:v>2.0000000000000002E-5</c:v>
                </c:pt>
                <c:pt idx="426">
                  <c:v>1.9000000000000001E-5</c:v>
                </c:pt>
                <c:pt idx="427">
                  <c:v>1.9000000000000001E-5</c:v>
                </c:pt>
                <c:pt idx="428">
                  <c:v>1.9000000000000001E-5</c:v>
                </c:pt>
                <c:pt idx="429">
                  <c:v>1.8E-5</c:v>
                </c:pt>
                <c:pt idx="430">
                  <c:v>1.8E-5</c:v>
                </c:pt>
                <c:pt idx="431">
                  <c:v>1.8E-5</c:v>
                </c:pt>
                <c:pt idx="432">
                  <c:v>1.7E-5</c:v>
                </c:pt>
                <c:pt idx="433">
                  <c:v>1.7E-5</c:v>
                </c:pt>
                <c:pt idx="434">
                  <c:v>1.7E-5</c:v>
                </c:pt>
                <c:pt idx="435">
                  <c:v>1.5999999999999999E-5</c:v>
                </c:pt>
                <c:pt idx="436">
                  <c:v>1.5999999999999999E-5</c:v>
                </c:pt>
                <c:pt idx="437">
                  <c:v>1.5999999999999999E-5</c:v>
                </c:pt>
                <c:pt idx="438">
                  <c:v>1.5E-5</c:v>
                </c:pt>
                <c:pt idx="439">
                  <c:v>1.5E-5</c:v>
                </c:pt>
                <c:pt idx="440">
                  <c:v>1.5E-5</c:v>
                </c:pt>
                <c:pt idx="441">
                  <c:v>1.4E-5</c:v>
                </c:pt>
                <c:pt idx="442">
                  <c:v>1.4E-5</c:v>
                </c:pt>
                <c:pt idx="443">
                  <c:v>1.4E-5</c:v>
                </c:pt>
                <c:pt idx="444">
                  <c:v>1.4E-5</c:v>
                </c:pt>
                <c:pt idx="445">
                  <c:v>1.2999999999999999E-5</c:v>
                </c:pt>
                <c:pt idx="446">
                  <c:v>1.2999999999999999E-5</c:v>
                </c:pt>
                <c:pt idx="447">
                  <c:v>1.2999999999999999E-5</c:v>
                </c:pt>
                <c:pt idx="448">
                  <c:v>1.2E-5</c:v>
                </c:pt>
                <c:pt idx="449">
                  <c:v>1.2E-5</c:v>
                </c:pt>
                <c:pt idx="450">
                  <c:v>1.2E-5</c:v>
                </c:pt>
                <c:pt idx="451">
                  <c:v>1.2E-5</c:v>
                </c:pt>
                <c:pt idx="452">
                  <c:v>1.1E-5</c:v>
                </c:pt>
                <c:pt idx="453">
                  <c:v>1.1E-5</c:v>
                </c:pt>
                <c:pt idx="454">
                  <c:v>1.1E-5</c:v>
                </c:pt>
                <c:pt idx="455">
                  <c:v>1.1E-5</c:v>
                </c:pt>
                <c:pt idx="456">
                  <c:v>1.1E-5</c:v>
                </c:pt>
              </c:numCache>
            </c:numRef>
          </c:yVal>
          <c:smooth val="1"/>
        </c:ser>
        <c:axId val="156236416"/>
        <c:axId val="143205120"/>
      </c:scatterChart>
      <c:valAx>
        <c:axId val="156236416"/>
        <c:scaling>
          <c:orientation val="minMax"/>
        </c:scaling>
        <c:axPos val="b"/>
        <c:title>
          <c:tx>
            <c:rich>
              <a:bodyPr/>
              <a:lstStyle/>
              <a:p>
                <a:pPr>
                  <a:defRPr sz="1200" b="1" i="0" u="none" strike="noStrike" baseline="0">
                    <a:solidFill>
                      <a:srgbClr val="000000"/>
                    </a:solidFill>
                    <a:latin typeface="Akzidenz Grotesk Light"/>
                    <a:ea typeface="Akzidenz Grotesk Light"/>
                    <a:cs typeface="Akzidenz Grotesk Light"/>
                  </a:defRPr>
                </a:pPr>
                <a:r>
                  <a:t>Loss</a:t>
                </a:r>
              </a:p>
            </c:rich>
          </c:tx>
          <c:layout>
            <c:manualLayout>
              <c:xMode val="edge"/>
              <c:yMode val="edge"/>
              <c:x val="0.50451844329351825"/>
              <c:y val="0.9226626807893652"/>
            </c:manualLayout>
          </c:layout>
          <c:spPr>
            <a:noFill/>
            <a:ln w="25400">
              <a:noFill/>
            </a:ln>
          </c:spPr>
        </c:title>
        <c:numFmt formatCode="#,##0" sourceLinked="0"/>
        <c:majorTickMark val="cross"/>
        <c:tickLblPos val="nextTo"/>
        <c:spPr>
          <a:ln w="3175">
            <a:solidFill>
              <a:srgbClr val="000000"/>
            </a:solidFill>
            <a:prstDash val="solid"/>
          </a:ln>
        </c:spPr>
        <c:txPr>
          <a:bodyPr rot="0" vert="horz"/>
          <a:lstStyle/>
          <a:p>
            <a:pPr>
              <a:defRPr sz="800" b="0" i="0" u="none" strike="noStrike" baseline="0">
                <a:solidFill>
                  <a:srgbClr val="000000"/>
                </a:solidFill>
                <a:latin typeface="Akzidenz Grotesk Light"/>
                <a:ea typeface="Akzidenz Grotesk Light"/>
                <a:cs typeface="Akzidenz Grotesk Light"/>
              </a:defRPr>
            </a:pPr>
            <a:endParaRPr lang="en-US"/>
          </a:p>
        </c:txPr>
        <c:crossAx val="143205120"/>
        <c:crosses val="autoZero"/>
        <c:crossBetween val="midCat"/>
      </c:valAx>
      <c:valAx>
        <c:axId val="143205120"/>
        <c:scaling>
          <c:orientation val="minMax"/>
          <c:max val="2.5000000000000001E-2"/>
          <c:min val="0"/>
        </c:scaling>
        <c:axPos val="l"/>
        <c:title>
          <c:tx>
            <c:rich>
              <a:bodyPr/>
              <a:lstStyle/>
              <a:p>
                <a:pPr>
                  <a:defRPr sz="1200" b="1" i="0" u="none" strike="noStrike" baseline="0">
                    <a:solidFill>
                      <a:srgbClr val="000000"/>
                    </a:solidFill>
                    <a:latin typeface="Akzidenz Grotesk Light"/>
                    <a:ea typeface="Akzidenz Grotesk Light"/>
                    <a:cs typeface="Akzidenz Grotesk Light"/>
                  </a:defRPr>
                </a:pPr>
                <a:r>
                  <a:t>Marginal Probability</a:t>
                </a:r>
              </a:p>
            </c:rich>
          </c:tx>
          <c:layout>
            <c:manualLayout>
              <c:xMode val="edge"/>
              <c:yMode val="edge"/>
              <c:x val="1.9578327650196233E-2"/>
              <c:y val="0.33453266788854191"/>
            </c:manualLayout>
          </c:layout>
          <c:spPr>
            <a:noFill/>
            <a:ln w="25400">
              <a:noFill/>
            </a:ln>
          </c:spPr>
        </c:title>
        <c:numFmt formatCode="0.00%" sourceLinked="0"/>
        <c:majorTickMark val="cross"/>
        <c:tickLblPos val="nextTo"/>
        <c:spPr>
          <a:ln w="3175">
            <a:solidFill>
              <a:srgbClr val="000000"/>
            </a:solidFill>
            <a:prstDash val="solid"/>
          </a:ln>
        </c:spPr>
        <c:txPr>
          <a:bodyPr rot="0" vert="horz"/>
          <a:lstStyle/>
          <a:p>
            <a:pPr>
              <a:defRPr sz="800" b="0" i="0" u="none" strike="noStrike" baseline="0">
                <a:solidFill>
                  <a:srgbClr val="000000"/>
                </a:solidFill>
                <a:latin typeface="Akzidenz Grotesk Light"/>
                <a:ea typeface="Akzidenz Grotesk Light"/>
                <a:cs typeface="Akzidenz Grotesk Light"/>
              </a:defRPr>
            </a:pPr>
            <a:endParaRPr lang="en-US"/>
          </a:p>
        </c:txPr>
        <c:crossAx val="156236416"/>
        <c:crosses val="autoZero"/>
        <c:crossBetween val="midCat"/>
      </c:valAx>
      <c:spPr>
        <a:noFill/>
        <a:ln w="25400">
          <a:noFill/>
        </a:ln>
      </c:spPr>
    </c:plotArea>
    <c:plotVisOnly val="1"/>
    <c:dispBlanksAs val="gap"/>
  </c:chart>
  <c:spPr>
    <a:solidFill>
      <a:srgbClr val="FFFFFF"/>
    </a:solidFill>
    <a:ln w="3175">
      <a:solidFill>
        <a:srgbClr val="000000"/>
      </a:solidFill>
      <a:prstDash val="solid"/>
    </a:ln>
  </c:spPr>
  <c:txPr>
    <a:bodyPr/>
    <a:lstStyle/>
    <a:p>
      <a:pPr>
        <a:defRPr sz="800" b="0" i="0" u="none" strike="noStrike" baseline="0">
          <a:solidFill>
            <a:srgbClr val="000000"/>
          </a:solidFill>
          <a:latin typeface="Akzidenz Grotesk Light"/>
          <a:ea typeface="Akzidenz Grotesk Light"/>
          <a:cs typeface="Akzidenz Grotesk Light"/>
        </a:defRPr>
      </a:pPr>
      <a:endParaRPr lang="en-US"/>
    </a:p>
  </c:txPr>
  <c:printSettings>
    <c:headerFooter alignWithMargins="0">
      <c:oddHeader>&amp;A</c:oddHeader>
      <c:oddFooter>Page &amp;P</c:oddFooter>
    </c:headerFooter>
    <c:pageMargins b="1" l="0.75000000000000011" r="0.75000000000000011" t="1"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lang val="en-GB"/>
  <c:chart>
    <c:title>
      <c:tx>
        <c:rich>
          <a:bodyPr/>
          <a:lstStyle/>
          <a:p>
            <a:pPr>
              <a:defRPr sz="1400" b="1" i="0" u="none" strike="noStrike" baseline="0">
                <a:solidFill>
                  <a:srgbClr val="000000"/>
                </a:solidFill>
                <a:latin typeface="Akzidenz Grotesk Light"/>
                <a:ea typeface="Akzidenz Grotesk Light"/>
                <a:cs typeface="Akzidenz Grotesk Light"/>
              </a:defRPr>
            </a:pPr>
            <a:r>
              <a:t>Credit Loss Distribution</a:t>
            </a:r>
          </a:p>
        </c:rich>
      </c:tx>
      <c:layout>
        <c:manualLayout>
          <c:xMode val="edge"/>
          <c:yMode val="edge"/>
          <c:x val="0.33997178663136413"/>
          <c:y val="2.8673885307959002E-2"/>
        </c:manualLayout>
      </c:layout>
      <c:spPr>
        <a:noFill/>
        <a:ln w="25400">
          <a:noFill/>
        </a:ln>
      </c:spPr>
    </c:title>
    <c:plotArea>
      <c:layout>
        <c:manualLayout>
          <c:layoutTarget val="inner"/>
          <c:xMode val="edge"/>
          <c:yMode val="edge"/>
          <c:x val="0.10526323100720061"/>
          <c:y val="9.3190127250866756E-2"/>
          <c:w val="0.84779575243637262"/>
          <c:h val="0.79928455295935708"/>
        </c:manualLayout>
      </c:layout>
      <c:scatterChart>
        <c:scatterStyle val="smoothMarker"/>
        <c:ser>
          <c:idx val="0"/>
          <c:order val="0"/>
          <c:spPr>
            <a:ln w="25400">
              <a:solidFill>
                <a:srgbClr val="000080"/>
              </a:solidFill>
              <a:prstDash val="solid"/>
            </a:ln>
          </c:spPr>
          <c:marker>
            <c:symbol val="none"/>
          </c:marker>
          <c:xVal>
            <c:numRef>
              <c:f>Example2!$S$11:$S$270</c:f>
              <c:numCache>
                <c:formatCode>#,##0</c:formatCode>
                <c:ptCount val="260"/>
                <c:pt idx="0">
                  <c:v>0</c:v>
                </c:pt>
                <c:pt idx="1">
                  <c:v>202389</c:v>
                </c:pt>
                <c:pt idx="2">
                  <c:v>404778</c:v>
                </c:pt>
                <c:pt idx="3">
                  <c:v>607167</c:v>
                </c:pt>
                <c:pt idx="4">
                  <c:v>809556</c:v>
                </c:pt>
                <c:pt idx="5">
                  <c:v>1011945</c:v>
                </c:pt>
                <c:pt idx="6">
                  <c:v>1214334</c:v>
                </c:pt>
                <c:pt idx="7">
                  <c:v>1416723</c:v>
                </c:pt>
                <c:pt idx="8">
                  <c:v>1619112</c:v>
                </c:pt>
                <c:pt idx="9">
                  <c:v>1821501</c:v>
                </c:pt>
                <c:pt idx="10">
                  <c:v>2023890</c:v>
                </c:pt>
                <c:pt idx="11">
                  <c:v>2226279</c:v>
                </c:pt>
                <c:pt idx="12">
                  <c:v>2428668</c:v>
                </c:pt>
                <c:pt idx="13">
                  <c:v>2631057</c:v>
                </c:pt>
                <c:pt idx="14">
                  <c:v>2833446</c:v>
                </c:pt>
                <c:pt idx="15">
                  <c:v>3035835</c:v>
                </c:pt>
                <c:pt idx="16">
                  <c:v>3238224</c:v>
                </c:pt>
                <c:pt idx="17">
                  <c:v>3440613</c:v>
                </c:pt>
                <c:pt idx="18">
                  <c:v>3643002</c:v>
                </c:pt>
                <c:pt idx="19">
                  <c:v>3845391</c:v>
                </c:pt>
                <c:pt idx="20">
                  <c:v>4047780</c:v>
                </c:pt>
                <c:pt idx="21">
                  <c:v>4250169</c:v>
                </c:pt>
                <c:pt idx="22">
                  <c:v>4452558</c:v>
                </c:pt>
                <c:pt idx="23">
                  <c:v>4654947</c:v>
                </c:pt>
                <c:pt idx="24">
                  <c:v>4857336</c:v>
                </c:pt>
                <c:pt idx="25">
                  <c:v>5059725</c:v>
                </c:pt>
                <c:pt idx="26">
                  <c:v>5262114</c:v>
                </c:pt>
                <c:pt idx="27">
                  <c:v>5464503</c:v>
                </c:pt>
                <c:pt idx="28">
                  <c:v>5666892</c:v>
                </c:pt>
                <c:pt idx="29">
                  <c:v>5869281</c:v>
                </c:pt>
                <c:pt idx="30">
                  <c:v>6071670</c:v>
                </c:pt>
                <c:pt idx="31">
                  <c:v>6274059</c:v>
                </c:pt>
                <c:pt idx="32">
                  <c:v>6476448</c:v>
                </c:pt>
                <c:pt idx="33">
                  <c:v>6678837</c:v>
                </c:pt>
                <c:pt idx="34">
                  <c:v>6881226</c:v>
                </c:pt>
                <c:pt idx="35">
                  <c:v>7083615</c:v>
                </c:pt>
                <c:pt idx="36">
                  <c:v>7286004</c:v>
                </c:pt>
                <c:pt idx="37">
                  <c:v>7488393</c:v>
                </c:pt>
                <c:pt idx="38">
                  <c:v>7690782</c:v>
                </c:pt>
                <c:pt idx="39">
                  <c:v>7893171</c:v>
                </c:pt>
                <c:pt idx="40">
                  <c:v>8095560</c:v>
                </c:pt>
                <c:pt idx="41">
                  <c:v>8297949</c:v>
                </c:pt>
                <c:pt idx="42">
                  <c:v>8500338</c:v>
                </c:pt>
                <c:pt idx="43">
                  <c:v>8702727</c:v>
                </c:pt>
                <c:pt idx="44">
                  <c:v>8905116</c:v>
                </c:pt>
                <c:pt idx="45">
                  <c:v>9107505</c:v>
                </c:pt>
                <c:pt idx="46">
                  <c:v>9309894</c:v>
                </c:pt>
                <c:pt idx="47">
                  <c:v>9512283</c:v>
                </c:pt>
                <c:pt idx="48">
                  <c:v>9714672</c:v>
                </c:pt>
                <c:pt idx="49">
                  <c:v>9917061</c:v>
                </c:pt>
                <c:pt idx="50">
                  <c:v>10119450</c:v>
                </c:pt>
                <c:pt idx="51">
                  <c:v>10321839</c:v>
                </c:pt>
                <c:pt idx="52">
                  <c:v>10524228</c:v>
                </c:pt>
                <c:pt idx="53">
                  <c:v>10726617</c:v>
                </c:pt>
                <c:pt idx="54">
                  <c:v>10929006</c:v>
                </c:pt>
                <c:pt idx="55">
                  <c:v>11131395</c:v>
                </c:pt>
                <c:pt idx="56">
                  <c:v>11333784</c:v>
                </c:pt>
                <c:pt idx="57">
                  <c:v>11536173</c:v>
                </c:pt>
                <c:pt idx="58">
                  <c:v>11738562</c:v>
                </c:pt>
                <c:pt idx="59">
                  <c:v>11940951</c:v>
                </c:pt>
                <c:pt idx="60">
                  <c:v>12143340</c:v>
                </c:pt>
                <c:pt idx="61">
                  <c:v>12345729</c:v>
                </c:pt>
                <c:pt idx="62">
                  <c:v>12548118</c:v>
                </c:pt>
                <c:pt idx="63">
                  <c:v>12750507</c:v>
                </c:pt>
                <c:pt idx="64">
                  <c:v>12952896</c:v>
                </c:pt>
                <c:pt idx="65">
                  <c:v>13155285</c:v>
                </c:pt>
                <c:pt idx="66">
                  <c:v>13357674</c:v>
                </c:pt>
                <c:pt idx="67">
                  <c:v>13560063</c:v>
                </c:pt>
                <c:pt idx="68">
                  <c:v>13762452</c:v>
                </c:pt>
                <c:pt idx="69">
                  <c:v>13964841</c:v>
                </c:pt>
                <c:pt idx="70">
                  <c:v>14167230</c:v>
                </c:pt>
                <c:pt idx="71">
                  <c:v>14369619</c:v>
                </c:pt>
                <c:pt idx="72">
                  <c:v>14572008</c:v>
                </c:pt>
                <c:pt idx="73">
                  <c:v>14774397</c:v>
                </c:pt>
                <c:pt idx="74">
                  <c:v>14976786</c:v>
                </c:pt>
                <c:pt idx="75">
                  <c:v>15179175</c:v>
                </c:pt>
                <c:pt idx="76">
                  <c:v>15381564</c:v>
                </c:pt>
                <c:pt idx="77">
                  <c:v>15583953</c:v>
                </c:pt>
                <c:pt idx="78">
                  <c:v>15786342</c:v>
                </c:pt>
                <c:pt idx="79">
                  <c:v>15988731</c:v>
                </c:pt>
                <c:pt idx="80">
                  <c:v>16191120</c:v>
                </c:pt>
                <c:pt idx="81">
                  <c:v>16393509</c:v>
                </c:pt>
                <c:pt idx="82">
                  <c:v>16595898</c:v>
                </c:pt>
                <c:pt idx="83">
                  <c:v>16798287</c:v>
                </c:pt>
                <c:pt idx="84">
                  <c:v>17000676</c:v>
                </c:pt>
                <c:pt idx="85">
                  <c:v>17203065</c:v>
                </c:pt>
                <c:pt idx="86">
                  <c:v>17405454</c:v>
                </c:pt>
                <c:pt idx="87">
                  <c:v>17607843</c:v>
                </c:pt>
                <c:pt idx="88">
                  <c:v>17810232</c:v>
                </c:pt>
                <c:pt idx="89">
                  <c:v>18012621</c:v>
                </c:pt>
                <c:pt idx="90">
                  <c:v>18215010</c:v>
                </c:pt>
                <c:pt idx="91">
                  <c:v>18417399</c:v>
                </c:pt>
                <c:pt idx="92">
                  <c:v>18619788</c:v>
                </c:pt>
                <c:pt idx="93">
                  <c:v>18822177</c:v>
                </c:pt>
                <c:pt idx="94">
                  <c:v>19024566</c:v>
                </c:pt>
                <c:pt idx="95">
                  <c:v>19226955</c:v>
                </c:pt>
                <c:pt idx="96">
                  <c:v>19429344</c:v>
                </c:pt>
                <c:pt idx="97">
                  <c:v>19631733</c:v>
                </c:pt>
                <c:pt idx="98">
                  <c:v>19834122</c:v>
                </c:pt>
                <c:pt idx="99">
                  <c:v>20036511</c:v>
                </c:pt>
                <c:pt idx="100">
                  <c:v>20238900</c:v>
                </c:pt>
                <c:pt idx="101">
                  <c:v>20441289</c:v>
                </c:pt>
                <c:pt idx="102">
                  <c:v>20643678</c:v>
                </c:pt>
                <c:pt idx="103">
                  <c:v>20846067</c:v>
                </c:pt>
                <c:pt idx="104">
                  <c:v>21048456</c:v>
                </c:pt>
                <c:pt idx="105">
                  <c:v>21250845</c:v>
                </c:pt>
                <c:pt idx="106">
                  <c:v>21453234</c:v>
                </c:pt>
                <c:pt idx="107">
                  <c:v>21655623</c:v>
                </c:pt>
                <c:pt idx="108">
                  <c:v>21858012</c:v>
                </c:pt>
                <c:pt idx="109">
                  <c:v>22060401</c:v>
                </c:pt>
                <c:pt idx="110">
                  <c:v>22262790</c:v>
                </c:pt>
                <c:pt idx="111">
                  <c:v>22465179</c:v>
                </c:pt>
                <c:pt idx="112">
                  <c:v>22667568</c:v>
                </c:pt>
                <c:pt idx="113">
                  <c:v>22869957</c:v>
                </c:pt>
                <c:pt idx="114">
                  <c:v>23072346</c:v>
                </c:pt>
                <c:pt idx="115">
                  <c:v>23274735</c:v>
                </c:pt>
                <c:pt idx="116">
                  <c:v>23477124</c:v>
                </c:pt>
                <c:pt idx="117">
                  <c:v>23679513</c:v>
                </c:pt>
                <c:pt idx="118">
                  <c:v>23881902</c:v>
                </c:pt>
                <c:pt idx="119">
                  <c:v>24084291</c:v>
                </c:pt>
                <c:pt idx="120">
                  <c:v>24286680</c:v>
                </c:pt>
                <c:pt idx="121">
                  <c:v>24489069</c:v>
                </c:pt>
                <c:pt idx="122">
                  <c:v>24691458</c:v>
                </c:pt>
                <c:pt idx="123">
                  <c:v>24893847</c:v>
                </c:pt>
                <c:pt idx="124">
                  <c:v>25096236</c:v>
                </c:pt>
                <c:pt idx="125">
                  <c:v>25298625</c:v>
                </c:pt>
                <c:pt idx="126">
                  <c:v>25501014</c:v>
                </c:pt>
                <c:pt idx="127">
                  <c:v>25703403</c:v>
                </c:pt>
                <c:pt idx="128">
                  <c:v>25905792</c:v>
                </c:pt>
                <c:pt idx="129">
                  <c:v>26108181</c:v>
                </c:pt>
                <c:pt idx="130">
                  <c:v>26310570</c:v>
                </c:pt>
                <c:pt idx="131">
                  <c:v>26512959</c:v>
                </c:pt>
                <c:pt idx="132">
                  <c:v>26715348</c:v>
                </c:pt>
                <c:pt idx="133">
                  <c:v>26917737</c:v>
                </c:pt>
                <c:pt idx="134">
                  <c:v>27120126</c:v>
                </c:pt>
                <c:pt idx="135">
                  <c:v>27322515</c:v>
                </c:pt>
                <c:pt idx="136">
                  <c:v>27524904</c:v>
                </c:pt>
                <c:pt idx="137">
                  <c:v>27727293</c:v>
                </c:pt>
                <c:pt idx="138">
                  <c:v>27929682</c:v>
                </c:pt>
                <c:pt idx="139">
                  <c:v>28132071</c:v>
                </c:pt>
                <c:pt idx="140">
                  <c:v>28334460</c:v>
                </c:pt>
                <c:pt idx="141">
                  <c:v>28536849</c:v>
                </c:pt>
                <c:pt idx="142">
                  <c:v>28739238</c:v>
                </c:pt>
                <c:pt idx="143">
                  <c:v>28941627</c:v>
                </c:pt>
                <c:pt idx="144">
                  <c:v>29144016</c:v>
                </c:pt>
                <c:pt idx="145">
                  <c:v>29346405</c:v>
                </c:pt>
                <c:pt idx="146">
                  <c:v>29548794</c:v>
                </c:pt>
                <c:pt idx="147">
                  <c:v>29751183</c:v>
                </c:pt>
                <c:pt idx="148">
                  <c:v>29953572</c:v>
                </c:pt>
                <c:pt idx="149">
                  <c:v>30155961</c:v>
                </c:pt>
                <c:pt idx="150">
                  <c:v>30358350</c:v>
                </c:pt>
                <c:pt idx="151">
                  <c:v>30560739</c:v>
                </c:pt>
                <c:pt idx="152">
                  <c:v>30763128</c:v>
                </c:pt>
                <c:pt idx="153">
                  <c:v>30965517</c:v>
                </c:pt>
                <c:pt idx="154">
                  <c:v>31167906</c:v>
                </c:pt>
                <c:pt idx="155">
                  <c:v>31370295</c:v>
                </c:pt>
                <c:pt idx="156">
                  <c:v>31572684</c:v>
                </c:pt>
                <c:pt idx="157">
                  <c:v>31775073</c:v>
                </c:pt>
                <c:pt idx="158">
                  <c:v>31977462</c:v>
                </c:pt>
                <c:pt idx="159">
                  <c:v>32179851</c:v>
                </c:pt>
                <c:pt idx="160">
                  <c:v>32382240</c:v>
                </c:pt>
                <c:pt idx="161">
                  <c:v>32584629</c:v>
                </c:pt>
                <c:pt idx="162">
                  <c:v>32787018</c:v>
                </c:pt>
                <c:pt idx="163">
                  <c:v>32989407</c:v>
                </c:pt>
                <c:pt idx="164">
                  <c:v>33191796</c:v>
                </c:pt>
                <c:pt idx="165">
                  <c:v>33394185</c:v>
                </c:pt>
                <c:pt idx="166">
                  <c:v>33596574</c:v>
                </c:pt>
                <c:pt idx="167">
                  <c:v>33798963</c:v>
                </c:pt>
                <c:pt idx="168">
                  <c:v>34001352</c:v>
                </c:pt>
                <c:pt idx="169">
                  <c:v>34203741</c:v>
                </c:pt>
                <c:pt idx="170">
                  <c:v>34406130</c:v>
                </c:pt>
                <c:pt idx="171">
                  <c:v>34608519</c:v>
                </c:pt>
                <c:pt idx="172">
                  <c:v>34810908</c:v>
                </c:pt>
                <c:pt idx="173">
                  <c:v>35013297</c:v>
                </c:pt>
                <c:pt idx="174">
                  <c:v>35215686</c:v>
                </c:pt>
                <c:pt idx="175">
                  <c:v>35418075</c:v>
                </c:pt>
                <c:pt idx="176">
                  <c:v>35620464</c:v>
                </c:pt>
                <c:pt idx="177">
                  <c:v>35822853</c:v>
                </c:pt>
                <c:pt idx="178">
                  <c:v>36025242</c:v>
                </c:pt>
                <c:pt idx="179">
                  <c:v>36227631</c:v>
                </c:pt>
                <c:pt idx="180">
                  <c:v>36430020</c:v>
                </c:pt>
                <c:pt idx="181">
                  <c:v>36632409</c:v>
                </c:pt>
                <c:pt idx="182">
                  <c:v>36834798</c:v>
                </c:pt>
                <c:pt idx="183">
                  <c:v>37037187</c:v>
                </c:pt>
                <c:pt idx="184">
                  <c:v>37239576</c:v>
                </c:pt>
                <c:pt idx="185">
                  <c:v>37441965</c:v>
                </c:pt>
                <c:pt idx="186">
                  <c:v>37644354</c:v>
                </c:pt>
                <c:pt idx="187">
                  <c:v>37846743</c:v>
                </c:pt>
                <c:pt idx="188">
                  <c:v>38049132</c:v>
                </c:pt>
                <c:pt idx="189">
                  <c:v>38251521</c:v>
                </c:pt>
                <c:pt idx="190">
                  <c:v>38453910</c:v>
                </c:pt>
                <c:pt idx="191">
                  <c:v>38656299</c:v>
                </c:pt>
                <c:pt idx="192">
                  <c:v>38858688</c:v>
                </c:pt>
                <c:pt idx="193">
                  <c:v>39061077</c:v>
                </c:pt>
                <c:pt idx="194">
                  <c:v>39263466</c:v>
                </c:pt>
                <c:pt idx="195">
                  <c:v>39465855</c:v>
                </c:pt>
                <c:pt idx="196">
                  <c:v>39668244</c:v>
                </c:pt>
                <c:pt idx="197">
                  <c:v>39870633</c:v>
                </c:pt>
                <c:pt idx="198">
                  <c:v>40073022</c:v>
                </c:pt>
                <c:pt idx="199">
                  <c:v>40275411</c:v>
                </c:pt>
                <c:pt idx="200">
                  <c:v>40477800</c:v>
                </c:pt>
                <c:pt idx="201">
                  <c:v>40680189</c:v>
                </c:pt>
                <c:pt idx="202">
                  <c:v>40882578</c:v>
                </c:pt>
                <c:pt idx="203">
                  <c:v>41084967</c:v>
                </c:pt>
                <c:pt idx="204">
                  <c:v>41287356</c:v>
                </c:pt>
                <c:pt idx="205">
                  <c:v>41489745</c:v>
                </c:pt>
                <c:pt idx="206">
                  <c:v>41692134</c:v>
                </c:pt>
                <c:pt idx="207">
                  <c:v>41894523</c:v>
                </c:pt>
                <c:pt idx="208">
                  <c:v>42096912</c:v>
                </c:pt>
                <c:pt idx="209">
                  <c:v>42299301</c:v>
                </c:pt>
                <c:pt idx="210">
                  <c:v>42501690</c:v>
                </c:pt>
                <c:pt idx="211">
                  <c:v>42704079</c:v>
                </c:pt>
                <c:pt idx="212">
                  <c:v>42906468</c:v>
                </c:pt>
                <c:pt idx="213">
                  <c:v>43108857</c:v>
                </c:pt>
                <c:pt idx="214">
                  <c:v>43311246</c:v>
                </c:pt>
                <c:pt idx="215">
                  <c:v>43513635</c:v>
                </c:pt>
                <c:pt idx="216">
                  <c:v>43716024</c:v>
                </c:pt>
                <c:pt idx="217">
                  <c:v>43918413</c:v>
                </c:pt>
                <c:pt idx="218">
                  <c:v>44120802</c:v>
                </c:pt>
                <c:pt idx="219">
                  <c:v>44323191</c:v>
                </c:pt>
                <c:pt idx="220">
                  <c:v>44525580</c:v>
                </c:pt>
                <c:pt idx="221">
                  <c:v>44727969</c:v>
                </c:pt>
                <c:pt idx="222">
                  <c:v>44930358</c:v>
                </c:pt>
                <c:pt idx="223">
                  <c:v>45132747</c:v>
                </c:pt>
                <c:pt idx="224">
                  <c:v>45335136</c:v>
                </c:pt>
                <c:pt idx="225">
                  <c:v>45537525</c:v>
                </c:pt>
                <c:pt idx="226">
                  <c:v>45739914</c:v>
                </c:pt>
                <c:pt idx="227">
                  <c:v>45942303</c:v>
                </c:pt>
                <c:pt idx="228">
                  <c:v>46144692</c:v>
                </c:pt>
                <c:pt idx="229">
                  <c:v>46347081</c:v>
                </c:pt>
                <c:pt idx="230">
                  <c:v>46549470</c:v>
                </c:pt>
                <c:pt idx="231">
                  <c:v>46751859</c:v>
                </c:pt>
                <c:pt idx="232">
                  <c:v>46954248</c:v>
                </c:pt>
                <c:pt idx="233">
                  <c:v>47156637</c:v>
                </c:pt>
                <c:pt idx="234">
                  <c:v>47359026</c:v>
                </c:pt>
                <c:pt idx="235">
                  <c:v>47561415</c:v>
                </c:pt>
                <c:pt idx="236">
                  <c:v>47763804</c:v>
                </c:pt>
                <c:pt idx="237">
                  <c:v>47966193</c:v>
                </c:pt>
                <c:pt idx="238">
                  <c:v>48168582</c:v>
                </c:pt>
                <c:pt idx="239">
                  <c:v>48370971</c:v>
                </c:pt>
                <c:pt idx="240">
                  <c:v>48573360</c:v>
                </c:pt>
                <c:pt idx="241">
                  <c:v>48775749</c:v>
                </c:pt>
                <c:pt idx="242">
                  <c:v>48978138</c:v>
                </c:pt>
                <c:pt idx="243">
                  <c:v>49180527</c:v>
                </c:pt>
                <c:pt idx="244">
                  <c:v>49382916</c:v>
                </c:pt>
                <c:pt idx="245">
                  <c:v>49585305</c:v>
                </c:pt>
                <c:pt idx="246">
                  <c:v>49787694</c:v>
                </c:pt>
                <c:pt idx="247">
                  <c:v>49990083</c:v>
                </c:pt>
                <c:pt idx="248">
                  <c:v>50192472</c:v>
                </c:pt>
                <c:pt idx="249">
                  <c:v>50394861</c:v>
                </c:pt>
                <c:pt idx="250">
                  <c:v>50597250</c:v>
                </c:pt>
                <c:pt idx="251">
                  <c:v>50799639</c:v>
                </c:pt>
                <c:pt idx="252">
                  <c:v>51002028</c:v>
                </c:pt>
                <c:pt idx="253">
                  <c:v>51204417</c:v>
                </c:pt>
                <c:pt idx="254">
                  <c:v>51406806</c:v>
                </c:pt>
                <c:pt idx="255">
                  <c:v>51609195</c:v>
                </c:pt>
                <c:pt idx="256">
                  <c:v>51811584</c:v>
                </c:pt>
                <c:pt idx="257">
                  <c:v>52013973</c:v>
                </c:pt>
                <c:pt idx="258">
                  <c:v>52216362</c:v>
                </c:pt>
                <c:pt idx="259">
                  <c:v>52418751</c:v>
                </c:pt>
              </c:numCache>
            </c:numRef>
          </c:xVal>
          <c:yVal>
            <c:numRef>
              <c:f>Example2!$T$11:$T$270</c:f>
              <c:numCache>
                <c:formatCode>_-* #,##0.000000_-;\-* #,##0.000000_-;_-* "-"??_-;_-@_-</c:formatCode>
                <c:ptCount val="260"/>
                <c:pt idx="0">
                  <c:v>6.2217000000000001E-2</c:v>
                </c:pt>
                <c:pt idx="1">
                  <c:v>0</c:v>
                </c:pt>
                <c:pt idx="2">
                  <c:v>1.2567E-2</c:v>
                </c:pt>
                <c:pt idx="3">
                  <c:v>0</c:v>
                </c:pt>
                <c:pt idx="4">
                  <c:v>1.586E-3</c:v>
                </c:pt>
                <c:pt idx="5">
                  <c:v>0</c:v>
                </c:pt>
                <c:pt idx="6">
                  <c:v>1.4056000000000001E-2</c:v>
                </c:pt>
                <c:pt idx="7">
                  <c:v>0</c:v>
                </c:pt>
                <c:pt idx="8">
                  <c:v>2.8210000000000002E-3</c:v>
                </c:pt>
                <c:pt idx="9">
                  <c:v>5.0990000000000002E-3</c:v>
                </c:pt>
                <c:pt idx="10">
                  <c:v>7.1320000000000003E-3</c:v>
                </c:pt>
                <c:pt idx="11">
                  <c:v>1.0300000000000001E-3</c:v>
                </c:pt>
                <c:pt idx="12">
                  <c:v>1.8075000000000001E-2</c:v>
                </c:pt>
                <c:pt idx="13">
                  <c:v>1.2999999999999999E-4</c:v>
                </c:pt>
                <c:pt idx="14">
                  <c:v>1.6843E-2</c:v>
                </c:pt>
                <c:pt idx="15">
                  <c:v>8.9789999999999991E-3</c:v>
                </c:pt>
                <c:pt idx="16">
                  <c:v>1.0139E-2</c:v>
                </c:pt>
                <c:pt idx="17">
                  <c:v>1.812E-3</c:v>
                </c:pt>
                <c:pt idx="18">
                  <c:v>5.6010000000000001E-3</c:v>
                </c:pt>
                <c:pt idx="19">
                  <c:v>7.8399999999999997E-4</c:v>
                </c:pt>
                <c:pt idx="20">
                  <c:v>4.4180000000000001E-3</c:v>
                </c:pt>
                <c:pt idx="21">
                  <c:v>3.6870000000000002E-3</c:v>
                </c:pt>
                <c:pt idx="22">
                  <c:v>3.8649999999999999E-3</c:v>
                </c:pt>
                <c:pt idx="23">
                  <c:v>1.8240000000000001E-3</c:v>
                </c:pt>
                <c:pt idx="24">
                  <c:v>9.1760000000000001E-3</c:v>
                </c:pt>
                <c:pt idx="25">
                  <c:v>2.4124E-2</c:v>
                </c:pt>
                <c:pt idx="26">
                  <c:v>6.1339999999999997E-3</c:v>
                </c:pt>
                <c:pt idx="27">
                  <c:v>1.3317000000000001E-2</c:v>
                </c:pt>
                <c:pt idx="28">
                  <c:v>6.4310000000000001E-3</c:v>
                </c:pt>
                <c:pt idx="29">
                  <c:v>9.2929999999999992E-3</c:v>
                </c:pt>
                <c:pt idx="30">
                  <c:v>5.0759999999999998E-3</c:v>
                </c:pt>
                <c:pt idx="31">
                  <c:v>8.9599999999999992E-3</c:v>
                </c:pt>
                <c:pt idx="32">
                  <c:v>1.6482E-2</c:v>
                </c:pt>
                <c:pt idx="33">
                  <c:v>1.8602E-2</c:v>
                </c:pt>
                <c:pt idx="34">
                  <c:v>8.1119999999999994E-3</c:v>
                </c:pt>
                <c:pt idx="35">
                  <c:v>8.0649999999999993E-3</c:v>
                </c:pt>
                <c:pt idx="36">
                  <c:v>4.5019999999999999E-3</c:v>
                </c:pt>
                <c:pt idx="37">
                  <c:v>9.6450000000000008E-3</c:v>
                </c:pt>
                <c:pt idx="38">
                  <c:v>6.6140000000000001E-3</c:v>
                </c:pt>
                <c:pt idx="39">
                  <c:v>1.4445E-2</c:v>
                </c:pt>
                <c:pt idx="40">
                  <c:v>7.3509999999999999E-3</c:v>
                </c:pt>
                <c:pt idx="41">
                  <c:v>1.0160000000000001E-2</c:v>
                </c:pt>
                <c:pt idx="42">
                  <c:v>7.0359999999999997E-3</c:v>
                </c:pt>
                <c:pt idx="43">
                  <c:v>8.2129999999999998E-3</c:v>
                </c:pt>
                <c:pt idx="44">
                  <c:v>7.2890000000000003E-3</c:v>
                </c:pt>
                <c:pt idx="45">
                  <c:v>9.5999999999999992E-3</c:v>
                </c:pt>
                <c:pt idx="46">
                  <c:v>7.9039999999999996E-3</c:v>
                </c:pt>
                <c:pt idx="47">
                  <c:v>9.2890000000000004E-3</c:v>
                </c:pt>
                <c:pt idx="48">
                  <c:v>7.3870000000000003E-3</c:v>
                </c:pt>
                <c:pt idx="49">
                  <c:v>8.4080000000000005E-3</c:v>
                </c:pt>
                <c:pt idx="50">
                  <c:v>8.6949999999999996E-3</c:v>
                </c:pt>
                <c:pt idx="51">
                  <c:v>6.4479999999999997E-3</c:v>
                </c:pt>
                <c:pt idx="52">
                  <c:v>7.3499999999999998E-3</c:v>
                </c:pt>
                <c:pt idx="53">
                  <c:v>6.6930000000000002E-3</c:v>
                </c:pt>
                <c:pt idx="54">
                  <c:v>7.2700000000000004E-3</c:v>
                </c:pt>
                <c:pt idx="55">
                  <c:v>5.679E-3</c:v>
                </c:pt>
                <c:pt idx="56">
                  <c:v>7.2430000000000003E-3</c:v>
                </c:pt>
                <c:pt idx="57">
                  <c:v>1.0862E-2</c:v>
                </c:pt>
                <c:pt idx="58">
                  <c:v>1.0843E-2</c:v>
                </c:pt>
                <c:pt idx="59">
                  <c:v>7.8279999999999999E-3</c:v>
                </c:pt>
                <c:pt idx="60">
                  <c:v>8.0719999999999993E-3</c:v>
                </c:pt>
                <c:pt idx="61">
                  <c:v>6.9210000000000001E-3</c:v>
                </c:pt>
                <c:pt idx="62">
                  <c:v>6.9930000000000001E-3</c:v>
                </c:pt>
                <c:pt idx="63">
                  <c:v>6.0610000000000004E-3</c:v>
                </c:pt>
                <c:pt idx="64">
                  <c:v>9.1000000000000004E-3</c:v>
                </c:pt>
                <c:pt idx="65">
                  <c:v>8.0829999999999999E-3</c:v>
                </c:pt>
                <c:pt idx="66">
                  <c:v>8.6009999999999993E-3</c:v>
                </c:pt>
                <c:pt idx="67">
                  <c:v>5.9350000000000002E-3</c:v>
                </c:pt>
                <c:pt idx="68">
                  <c:v>5.9810000000000002E-3</c:v>
                </c:pt>
                <c:pt idx="69">
                  <c:v>5.5669999999999999E-3</c:v>
                </c:pt>
                <c:pt idx="70">
                  <c:v>6.6670000000000002E-3</c:v>
                </c:pt>
                <c:pt idx="71">
                  <c:v>6.5170000000000002E-3</c:v>
                </c:pt>
                <c:pt idx="72">
                  <c:v>7.0850000000000002E-3</c:v>
                </c:pt>
                <c:pt idx="73">
                  <c:v>5.9969999999999997E-3</c:v>
                </c:pt>
                <c:pt idx="74">
                  <c:v>6.1539999999999997E-3</c:v>
                </c:pt>
                <c:pt idx="75">
                  <c:v>5.5849999999999997E-3</c:v>
                </c:pt>
                <c:pt idx="76">
                  <c:v>5.45E-3</c:v>
                </c:pt>
                <c:pt idx="77">
                  <c:v>1.0166E-2</c:v>
                </c:pt>
                <c:pt idx="78">
                  <c:v>5.672E-3</c:v>
                </c:pt>
                <c:pt idx="79">
                  <c:v>6.1710000000000003E-3</c:v>
                </c:pt>
                <c:pt idx="80">
                  <c:v>4.9760000000000004E-3</c:v>
                </c:pt>
                <c:pt idx="81">
                  <c:v>5.0610000000000004E-3</c:v>
                </c:pt>
                <c:pt idx="82">
                  <c:v>5.4320000000000002E-3</c:v>
                </c:pt>
                <c:pt idx="83">
                  <c:v>6.1469999999999997E-3</c:v>
                </c:pt>
                <c:pt idx="84">
                  <c:v>4.7140000000000003E-3</c:v>
                </c:pt>
                <c:pt idx="85">
                  <c:v>4.9449999999999997E-3</c:v>
                </c:pt>
                <c:pt idx="86">
                  <c:v>4.934E-3</c:v>
                </c:pt>
                <c:pt idx="87">
                  <c:v>4.849E-3</c:v>
                </c:pt>
                <c:pt idx="88">
                  <c:v>4.2199999999999998E-3</c:v>
                </c:pt>
                <c:pt idx="89">
                  <c:v>6.535E-3</c:v>
                </c:pt>
                <c:pt idx="90">
                  <c:v>4.9059999999999998E-3</c:v>
                </c:pt>
                <c:pt idx="91">
                  <c:v>6.1599999999999997E-3</c:v>
                </c:pt>
                <c:pt idx="92">
                  <c:v>4.7460000000000002E-3</c:v>
                </c:pt>
                <c:pt idx="93">
                  <c:v>4.9500000000000004E-3</c:v>
                </c:pt>
                <c:pt idx="94">
                  <c:v>3.8349999999999999E-3</c:v>
                </c:pt>
                <c:pt idx="95">
                  <c:v>4.2360000000000002E-3</c:v>
                </c:pt>
                <c:pt idx="96">
                  <c:v>3.82E-3</c:v>
                </c:pt>
                <c:pt idx="97">
                  <c:v>4.3420000000000004E-3</c:v>
                </c:pt>
                <c:pt idx="98">
                  <c:v>4.0419999999999996E-3</c:v>
                </c:pt>
                <c:pt idx="99">
                  <c:v>3.9750000000000002E-3</c:v>
                </c:pt>
                <c:pt idx="100">
                  <c:v>6.8690000000000001E-3</c:v>
                </c:pt>
                <c:pt idx="101">
                  <c:v>3.9709999999999997E-3</c:v>
                </c:pt>
                <c:pt idx="102">
                  <c:v>5.9969999999999997E-3</c:v>
                </c:pt>
                <c:pt idx="103">
                  <c:v>3.82E-3</c:v>
                </c:pt>
                <c:pt idx="104">
                  <c:v>4.3699999999999998E-3</c:v>
                </c:pt>
                <c:pt idx="105">
                  <c:v>3.6280000000000001E-3</c:v>
                </c:pt>
                <c:pt idx="106">
                  <c:v>4.3969999999999999E-3</c:v>
                </c:pt>
                <c:pt idx="107">
                  <c:v>3.2980000000000002E-3</c:v>
                </c:pt>
                <c:pt idx="108">
                  <c:v>3.5860000000000002E-3</c:v>
                </c:pt>
                <c:pt idx="109">
                  <c:v>4.1980000000000003E-3</c:v>
                </c:pt>
                <c:pt idx="110">
                  <c:v>4.8329999999999996E-3</c:v>
                </c:pt>
                <c:pt idx="111">
                  <c:v>3.2520000000000001E-3</c:v>
                </c:pt>
                <c:pt idx="112">
                  <c:v>4.1269999999999996E-3</c:v>
                </c:pt>
                <c:pt idx="113">
                  <c:v>2.7209999999999999E-3</c:v>
                </c:pt>
                <c:pt idx="114">
                  <c:v>4.4640000000000001E-3</c:v>
                </c:pt>
                <c:pt idx="115">
                  <c:v>3.3809999999999999E-3</c:v>
                </c:pt>
                <c:pt idx="116">
                  <c:v>4.2469999999999999E-3</c:v>
                </c:pt>
                <c:pt idx="117">
                  <c:v>2.879E-3</c:v>
                </c:pt>
                <c:pt idx="118">
                  <c:v>3.3630000000000001E-3</c:v>
                </c:pt>
                <c:pt idx="119">
                  <c:v>2.6259999999999999E-3</c:v>
                </c:pt>
                <c:pt idx="120">
                  <c:v>2.9780000000000002E-3</c:v>
                </c:pt>
                <c:pt idx="121">
                  <c:v>2.764E-3</c:v>
                </c:pt>
                <c:pt idx="122">
                  <c:v>3.1770000000000001E-3</c:v>
                </c:pt>
                <c:pt idx="123">
                  <c:v>2.6700000000000001E-3</c:v>
                </c:pt>
                <c:pt idx="124">
                  <c:v>3.2629999999999998E-3</c:v>
                </c:pt>
                <c:pt idx="125">
                  <c:v>3.7269999999999998E-3</c:v>
                </c:pt>
                <c:pt idx="126">
                  <c:v>2.8939999999999999E-3</c:v>
                </c:pt>
                <c:pt idx="127">
                  <c:v>3.1879999999999999E-3</c:v>
                </c:pt>
                <c:pt idx="128">
                  <c:v>2.6710000000000002E-3</c:v>
                </c:pt>
                <c:pt idx="129">
                  <c:v>2.8509999999999998E-3</c:v>
                </c:pt>
                <c:pt idx="130">
                  <c:v>2.4889999999999999E-3</c:v>
                </c:pt>
                <c:pt idx="131">
                  <c:v>2.647E-3</c:v>
                </c:pt>
                <c:pt idx="132">
                  <c:v>3.0990000000000002E-3</c:v>
                </c:pt>
                <c:pt idx="133">
                  <c:v>3.0279999999999999E-3</c:v>
                </c:pt>
                <c:pt idx="134">
                  <c:v>2.8760000000000001E-3</c:v>
                </c:pt>
                <c:pt idx="135">
                  <c:v>2.875E-3</c:v>
                </c:pt>
                <c:pt idx="136">
                  <c:v>2.274E-3</c:v>
                </c:pt>
                <c:pt idx="137">
                  <c:v>2.5500000000000002E-3</c:v>
                </c:pt>
                <c:pt idx="138">
                  <c:v>2.2699999999999999E-3</c:v>
                </c:pt>
                <c:pt idx="139">
                  <c:v>2.7209999999999999E-3</c:v>
                </c:pt>
                <c:pt idx="140">
                  <c:v>2.117E-3</c:v>
                </c:pt>
                <c:pt idx="141">
                  <c:v>2.5850000000000001E-3</c:v>
                </c:pt>
                <c:pt idx="142">
                  <c:v>2.2799999999999999E-3</c:v>
                </c:pt>
                <c:pt idx="143">
                  <c:v>2.4169999999999999E-3</c:v>
                </c:pt>
                <c:pt idx="144">
                  <c:v>2.0279999999999999E-3</c:v>
                </c:pt>
                <c:pt idx="145">
                  <c:v>2.0960000000000002E-3</c:v>
                </c:pt>
                <c:pt idx="146">
                  <c:v>2.0279999999999999E-3</c:v>
                </c:pt>
                <c:pt idx="147">
                  <c:v>2.1940000000000002E-3</c:v>
                </c:pt>
                <c:pt idx="148">
                  <c:v>1.977E-3</c:v>
                </c:pt>
                <c:pt idx="149">
                  <c:v>2.0929999999999998E-3</c:v>
                </c:pt>
                <c:pt idx="150">
                  <c:v>1.9189999999999999E-3</c:v>
                </c:pt>
                <c:pt idx="151">
                  <c:v>1.8129999999999999E-3</c:v>
                </c:pt>
                <c:pt idx="152">
                  <c:v>1.763E-3</c:v>
                </c:pt>
                <c:pt idx="153">
                  <c:v>1.7420000000000001E-3</c:v>
                </c:pt>
                <c:pt idx="154">
                  <c:v>1.9659999999999999E-3</c:v>
                </c:pt>
                <c:pt idx="155">
                  <c:v>1.6620000000000001E-3</c:v>
                </c:pt>
                <c:pt idx="156">
                  <c:v>1.725E-3</c:v>
                </c:pt>
                <c:pt idx="157">
                  <c:v>1.8929999999999999E-3</c:v>
                </c:pt>
                <c:pt idx="158">
                  <c:v>1.8029999999999999E-3</c:v>
                </c:pt>
                <c:pt idx="159">
                  <c:v>1.7160000000000001E-3</c:v>
                </c:pt>
                <c:pt idx="160">
                  <c:v>1.7049999999999999E-3</c:v>
                </c:pt>
                <c:pt idx="161">
                  <c:v>1.5529999999999999E-3</c:v>
                </c:pt>
                <c:pt idx="162">
                  <c:v>1.516E-3</c:v>
                </c:pt>
                <c:pt idx="163">
                  <c:v>1.438E-3</c:v>
                </c:pt>
                <c:pt idx="164">
                  <c:v>1.609E-3</c:v>
                </c:pt>
                <c:pt idx="165">
                  <c:v>1.4710000000000001E-3</c:v>
                </c:pt>
                <c:pt idx="166">
                  <c:v>1.635E-3</c:v>
                </c:pt>
                <c:pt idx="167">
                  <c:v>1.3990000000000001E-3</c:v>
                </c:pt>
                <c:pt idx="168">
                  <c:v>1.446E-3</c:v>
                </c:pt>
                <c:pt idx="169">
                  <c:v>1.2769999999999999E-3</c:v>
                </c:pt>
                <c:pt idx="170">
                  <c:v>1.3439999999999999E-3</c:v>
                </c:pt>
                <c:pt idx="171">
                  <c:v>1.281E-3</c:v>
                </c:pt>
                <c:pt idx="172">
                  <c:v>1.2999999999999999E-3</c:v>
                </c:pt>
                <c:pt idx="173">
                  <c:v>1.1999999999999999E-3</c:v>
                </c:pt>
                <c:pt idx="174">
                  <c:v>1.243E-3</c:v>
                </c:pt>
                <c:pt idx="175">
                  <c:v>1.1659999999999999E-3</c:v>
                </c:pt>
                <c:pt idx="176">
                  <c:v>1.1429999999999999E-3</c:v>
                </c:pt>
                <c:pt idx="177">
                  <c:v>1.3240000000000001E-3</c:v>
                </c:pt>
                <c:pt idx="178">
                  <c:v>1.1100000000000001E-3</c:v>
                </c:pt>
                <c:pt idx="179">
                  <c:v>1.1919999999999999E-3</c:v>
                </c:pt>
                <c:pt idx="180">
                  <c:v>1.0449999999999999E-3</c:v>
                </c:pt>
                <c:pt idx="181">
                  <c:v>1.0449999999999999E-3</c:v>
                </c:pt>
                <c:pt idx="182">
                  <c:v>1.0269999999999999E-3</c:v>
                </c:pt>
                <c:pt idx="183">
                  <c:v>1.0269999999999999E-3</c:v>
                </c:pt>
                <c:pt idx="184">
                  <c:v>9.3700000000000001E-4</c:v>
                </c:pt>
                <c:pt idx="185">
                  <c:v>9.3499999999999996E-4</c:v>
                </c:pt>
                <c:pt idx="186">
                  <c:v>9.5500000000000001E-4</c:v>
                </c:pt>
                <c:pt idx="187">
                  <c:v>9.6900000000000003E-4</c:v>
                </c:pt>
                <c:pt idx="188">
                  <c:v>8.5499999999999997E-4</c:v>
                </c:pt>
                <c:pt idx="189">
                  <c:v>9.7300000000000002E-4</c:v>
                </c:pt>
                <c:pt idx="190">
                  <c:v>8.4599999999999996E-4</c:v>
                </c:pt>
                <c:pt idx="191">
                  <c:v>9.5799999999999998E-4</c:v>
                </c:pt>
                <c:pt idx="192">
                  <c:v>8.3199999999999995E-4</c:v>
                </c:pt>
                <c:pt idx="193">
                  <c:v>8.7900000000000001E-4</c:v>
                </c:pt>
                <c:pt idx="194">
                  <c:v>7.4200000000000004E-4</c:v>
                </c:pt>
                <c:pt idx="195">
                  <c:v>7.6999999999999996E-4</c:v>
                </c:pt>
                <c:pt idx="196">
                  <c:v>7.1599999999999995E-4</c:v>
                </c:pt>
                <c:pt idx="197">
                  <c:v>7.3999999999999999E-4</c:v>
                </c:pt>
                <c:pt idx="198">
                  <c:v>7.0500000000000001E-4</c:v>
                </c:pt>
                <c:pt idx="199">
                  <c:v>7.2499999999999995E-4</c:v>
                </c:pt>
                <c:pt idx="200">
                  <c:v>7.7800000000000005E-4</c:v>
                </c:pt>
                <c:pt idx="201">
                  <c:v>6.8999999999999997E-4</c:v>
                </c:pt>
                <c:pt idx="202">
                  <c:v>7.54E-4</c:v>
                </c:pt>
                <c:pt idx="203">
                  <c:v>6.5799999999999995E-4</c:v>
                </c:pt>
                <c:pt idx="204">
                  <c:v>6.6799999999999997E-4</c:v>
                </c:pt>
                <c:pt idx="205">
                  <c:v>6.1600000000000001E-4</c:v>
                </c:pt>
                <c:pt idx="206">
                  <c:v>6.3199999999999997E-4</c:v>
                </c:pt>
                <c:pt idx="207">
                  <c:v>5.7600000000000001E-4</c:v>
                </c:pt>
                <c:pt idx="208">
                  <c:v>5.71E-4</c:v>
                </c:pt>
                <c:pt idx="209">
                  <c:v>6.0400000000000004E-4</c:v>
                </c:pt>
                <c:pt idx="210">
                  <c:v>6.1200000000000002E-4</c:v>
                </c:pt>
                <c:pt idx="211">
                  <c:v>5.53E-4</c:v>
                </c:pt>
                <c:pt idx="212">
                  <c:v>5.7799999999999995E-4</c:v>
                </c:pt>
                <c:pt idx="213">
                  <c:v>4.8799999999999999E-4</c:v>
                </c:pt>
                <c:pt idx="214">
                  <c:v>5.6300000000000002E-4</c:v>
                </c:pt>
                <c:pt idx="215">
                  <c:v>4.95E-4</c:v>
                </c:pt>
                <c:pt idx="216">
                  <c:v>5.4000000000000001E-4</c:v>
                </c:pt>
                <c:pt idx="217">
                  <c:v>4.5399999999999998E-4</c:v>
                </c:pt>
                <c:pt idx="218">
                  <c:v>4.9100000000000001E-4</c:v>
                </c:pt>
                <c:pt idx="219">
                  <c:v>4.4000000000000002E-4</c:v>
                </c:pt>
                <c:pt idx="220">
                  <c:v>4.5800000000000002E-4</c:v>
                </c:pt>
                <c:pt idx="221">
                  <c:v>4.2099999999999999E-4</c:v>
                </c:pt>
                <c:pt idx="222">
                  <c:v>4.3399999999999998E-4</c:v>
                </c:pt>
                <c:pt idx="223">
                  <c:v>4.0700000000000003E-4</c:v>
                </c:pt>
                <c:pt idx="224">
                  <c:v>4.35E-4</c:v>
                </c:pt>
                <c:pt idx="225">
                  <c:v>4.2900000000000002E-4</c:v>
                </c:pt>
                <c:pt idx="226">
                  <c:v>4.0400000000000001E-4</c:v>
                </c:pt>
                <c:pt idx="227">
                  <c:v>3.9300000000000001E-4</c:v>
                </c:pt>
                <c:pt idx="228">
                  <c:v>3.7300000000000001E-4</c:v>
                </c:pt>
                <c:pt idx="229">
                  <c:v>3.6699999999999998E-4</c:v>
                </c:pt>
                <c:pt idx="230">
                  <c:v>3.5100000000000002E-4</c:v>
                </c:pt>
                <c:pt idx="231">
                  <c:v>3.57E-4</c:v>
                </c:pt>
                <c:pt idx="232">
                  <c:v>3.6600000000000001E-4</c:v>
                </c:pt>
                <c:pt idx="233">
                  <c:v>3.48E-4</c:v>
                </c:pt>
                <c:pt idx="234">
                  <c:v>3.5100000000000002E-4</c:v>
                </c:pt>
                <c:pt idx="235">
                  <c:v>3.39E-4</c:v>
                </c:pt>
                <c:pt idx="236">
                  <c:v>3.1399999999999999E-4</c:v>
                </c:pt>
                <c:pt idx="237">
                  <c:v>3.1599999999999998E-4</c:v>
                </c:pt>
                <c:pt idx="238">
                  <c:v>2.9799999999999998E-4</c:v>
                </c:pt>
                <c:pt idx="239">
                  <c:v>3.0699999999999998E-4</c:v>
                </c:pt>
                <c:pt idx="240">
                  <c:v>2.7599999999999999E-4</c:v>
                </c:pt>
                <c:pt idx="241">
                  <c:v>2.9700000000000001E-4</c:v>
                </c:pt>
                <c:pt idx="242">
                  <c:v>2.7700000000000001E-4</c:v>
                </c:pt>
                <c:pt idx="243">
                  <c:v>2.8600000000000001E-4</c:v>
                </c:pt>
                <c:pt idx="244">
                  <c:v>2.5999999999999998E-4</c:v>
                </c:pt>
                <c:pt idx="245">
                  <c:v>2.5999999999999998E-4</c:v>
                </c:pt>
                <c:pt idx="246">
                  <c:v>2.4800000000000001E-4</c:v>
                </c:pt>
                <c:pt idx="247">
                  <c:v>2.52E-4</c:v>
                </c:pt>
                <c:pt idx="248">
                  <c:v>2.3900000000000001E-4</c:v>
                </c:pt>
                <c:pt idx="249">
                  <c:v>2.4000000000000001E-4</c:v>
                </c:pt>
                <c:pt idx="250">
                  <c:v>2.2499999999999999E-4</c:v>
                </c:pt>
                <c:pt idx="251">
                  <c:v>2.22E-4</c:v>
                </c:pt>
                <c:pt idx="252">
                  <c:v>2.13E-4</c:v>
                </c:pt>
                <c:pt idx="253">
                  <c:v>2.1100000000000001E-4</c:v>
                </c:pt>
                <c:pt idx="254">
                  <c:v>2.14E-4</c:v>
                </c:pt>
                <c:pt idx="255">
                  <c:v>1.9900000000000001E-4</c:v>
                </c:pt>
                <c:pt idx="256">
                  <c:v>2.02E-4</c:v>
                </c:pt>
                <c:pt idx="257">
                  <c:v>2.03E-4</c:v>
                </c:pt>
                <c:pt idx="258">
                  <c:v>1.94E-4</c:v>
                </c:pt>
                <c:pt idx="259">
                  <c:v>1.9000000000000001E-4</c:v>
                </c:pt>
              </c:numCache>
            </c:numRef>
          </c:yVal>
          <c:smooth val="1"/>
        </c:ser>
        <c:axId val="143211136"/>
        <c:axId val="156328704"/>
      </c:scatterChart>
      <c:valAx>
        <c:axId val="143211136"/>
        <c:scaling>
          <c:orientation val="minMax"/>
        </c:scaling>
        <c:axPos val="b"/>
        <c:title>
          <c:tx>
            <c:rich>
              <a:bodyPr/>
              <a:lstStyle/>
              <a:p>
                <a:pPr>
                  <a:defRPr sz="1200" b="1" i="0" u="none" strike="noStrike" baseline="0">
                    <a:solidFill>
                      <a:srgbClr val="000000"/>
                    </a:solidFill>
                    <a:latin typeface="Akzidenz Grotesk Light"/>
                    <a:ea typeface="Akzidenz Grotesk Light"/>
                    <a:cs typeface="Akzidenz Grotesk Light"/>
                  </a:defRPr>
                </a:pPr>
                <a:r>
                  <a:t>Loss</a:t>
                </a:r>
              </a:p>
            </c:rich>
          </c:tx>
          <c:layout>
            <c:manualLayout>
              <c:xMode val="edge"/>
              <c:yMode val="edge"/>
              <c:x val="0.49786663314216506"/>
              <c:y val="0.9408618616674046"/>
            </c:manualLayout>
          </c:layout>
          <c:spPr>
            <a:noFill/>
            <a:ln w="25400">
              <a:noFill/>
            </a:ln>
          </c:spPr>
        </c:title>
        <c:numFmt formatCode="#,##0" sourceLinked="1"/>
        <c:majorTickMark val="cross"/>
        <c:tickLblPos val="nextTo"/>
        <c:spPr>
          <a:ln w="3175">
            <a:solidFill>
              <a:srgbClr val="000000"/>
            </a:solidFill>
            <a:prstDash val="solid"/>
          </a:ln>
        </c:spPr>
        <c:txPr>
          <a:bodyPr rot="0" vert="horz"/>
          <a:lstStyle/>
          <a:p>
            <a:pPr>
              <a:defRPr sz="800" b="0" i="0" u="none" strike="noStrike" baseline="0">
                <a:solidFill>
                  <a:srgbClr val="000000"/>
                </a:solidFill>
                <a:latin typeface="Akzidenz Grotesk Light"/>
                <a:ea typeface="Akzidenz Grotesk Light"/>
                <a:cs typeface="Akzidenz Grotesk Light"/>
              </a:defRPr>
            </a:pPr>
            <a:endParaRPr lang="en-US"/>
          </a:p>
        </c:txPr>
        <c:crossAx val="156328704"/>
        <c:crosses val="autoZero"/>
        <c:crossBetween val="midCat"/>
      </c:valAx>
      <c:valAx>
        <c:axId val="156328704"/>
        <c:scaling>
          <c:orientation val="minMax"/>
          <c:max val="2.5000000000000001E-2"/>
          <c:min val="0"/>
        </c:scaling>
        <c:axPos val="l"/>
        <c:title>
          <c:tx>
            <c:rich>
              <a:bodyPr/>
              <a:lstStyle/>
              <a:p>
                <a:pPr>
                  <a:defRPr sz="1200" b="1" i="0" u="none" strike="noStrike" baseline="0">
                    <a:solidFill>
                      <a:srgbClr val="000000"/>
                    </a:solidFill>
                    <a:latin typeface="Akzidenz Grotesk Light"/>
                    <a:ea typeface="Akzidenz Grotesk Light"/>
                    <a:cs typeface="Akzidenz Grotesk Light"/>
                  </a:defRPr>
                </a:pPr>
                <a:r>
                  <a:t>Marginal Probability</a:t>
                </a:r>
              </a:p>
            </c:rich>
          </c:tx>
          <c:layout>
            <c:manualLayout>
              <c:xMode val="edge"/>
              <c:yMode val="edge"/>
              <c:x val="7.1123804734594996E-3"/>
              <c:y val="0.35304721285424523"/>
            </c:manualLayout>
          </c:layout>
          <c:spPr>
            <a:noFill/>
            <a:ln w="25400">
              <a:noFill/>
            </a:ln>
          </c:spPr>
        </c:title>
        <c:numFmt formatCode="0.00%" sourceLinked="0"/>
        <c:majorTickMark val="cross"/>
        <c:tickLblPos val="nextTo"/>
        <c:spPr>
          <a:ln w="3175">
            <a:solidFill>
              <a:srgbClr val="000000"/>
            </a:solidFill>
            <a:prstDash val="solid"/>
          </a:ln>
        </c:spPr>
        <c:txPr>
          <a:bodyPr rot="0" vert="horz"/>
          <a:lstStyle/>
          <a:p>
            <a:pPr>
              <a:defRPr sz="800" b="0" i="0" u="none" strike="noStrike" baseline="0">
                <a:solidFill>
                  <a:srgbClr val="000000"/>
                </a:solidFill>
                <a:latin typeface="Akzidenz Grotesk Light"/>
                <a:ea typeface="Akzidenz Grotesk Light"/>
                <a:cs typeface="Akzidenz Grotesk Light"/>
              </a:defRPr>
            </a:pPr>
            <a:endParaRPr lang="en-US"/>
          </a:p>
        </c:txPr>
        <c:crossAx val="143211136"/>
        <c:crosses val="autoZero"/>
        <c:crossBetween val="midCat"/>
      </c:valAx>
      <c:spPr>
        <a:noFill/>
        <a:ln w="25400">
          <a:noFill/>
        </a:ln>
      </c:spPr>
    </c:plotArea>
    <c:plotVisOnly val="1"/>
    <c:dispBlanksAs val="gap"/>
  </c:chart>
  <c:spPr>
    <a:solidFill>
      <a:srgbClr val="FFFFFF"/>
    </a:solidFill>
    <a:ln w="3175">
      <a:solidFill>
        <a:srgbClr val="000000"/>
      </a:solidFill>
      <a:prstDash val="solid"/>
    </a:ln>
  </c:spPr>
  <c:txPr>
    <a:bodyPr/>
    <a:lstStyle/>
    <a:p>
      <a:pPr>
        <a:defRPr sz="800" b="0" i="0" u="none" strike="noStrike" baseline="0">
          <a:solidFill>
            <a:srgbClr val="000000"/>
          </a:solidFill>
          <a:latin typeface="Akzidenz Grotesk Light"/>
          <a:ea typeface="Akzidenz Grotesk Light"/>
          <a:cs typeface="Akzidenz Grotesk Light"/>
        </a:defRPr>
      </a:pPr>
      <a:endParaRPr lang="en-US"/>
    </a:p>
  </c:txPr>
  <c:printSettings>
    <c:headerFooter alignWithMargins="0">
      <c:oddHeader>&amp;A</c:oddHeader>
      <c:oddFooter>Page &amp;P</c:oddFooter>
    </c:headerFooter>
    <c:pageMargins b="1" l="0.75000000000000011" r="0.75000000000000011" t="1"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lang val="en-GB"/>
  <c:chart>
    <c:title>
      <c:tx>
        <c:rich>
          <a:bodyPr/>
          <a:lstStyle/>
          <a:p>
            <a:pPr>
              <a:defRPr sz="1400" b="1" i="0" u="none" strike="noStrike" baseline="0">
                <a:solidFill>
                  <a:srgbClr val="000000"/>
                </a:solidFill>
                <a:latin typeface="Akzidenz Grotesk Light"/>
                <a:ea typeface="Akzidenz Grotesk Light"/>
                <a:cs typeface="Akzidenz Grotesk Light"/>
              </a:defRPr>
            </a:pPr>
            <a:r>
              <a:t>Credit Loss Distribution</a:t>
            </a:r>
          </a:p>
        </c:rich>
      </c:tx>
      <c:layout>
        <c:manualLayout>
          <c:xMode val="edge"/>
          <c:yMode val="edge"/>
          <c:x val="0.34042600347130358"/>
          <c:y val="2.8777003689336937E-2"/>
        </c:manualLayout>
      </c:layout>
      <c:spPr>
        <a:noFill/>
        <a:ln w="25400">
          <a:noFill/>
        </a:ln>
      </c:spPr>
    </c:title>
    <c:plotArea>
      <c:layout>
        <c:manualLayout>
          <c:layoutTarget val="inner"/>
          <c:xMode val="edge"/>
          <c:yMode val="edge"/>
          <c:x val="0.11773065953382583"/>
          <c:y val="0.10431663837384637"/>
          <c:w val="0.83546215018582404"/>
          <c:h val="0.76978484868976293"/>
        </c:manualLayout>
      </c:layout>
      <c:scatterChart>
        <c:scatterStyle val="smoothMarker"/>
        <c:ser>
          <c:idx val="0"/>
          <c:order val="0"/>
          <c:spPr>
            <a:ln w="25400">
              <a:solidFill>
                <a:srgbClr val="000080"/>
              </a:solidFill>
              <a:prstDash val="solid"/>
            </a:ln>
          </c:spPr>
          <c:marker>
            <c:symbol val="none"/>
          </c:marker>
          <c:xVal>
            <c:numRef>
              <c:f>Example3!$T$11:$T$270</c:f>
              <c:numCache>
                <c:formatCode>#,##0</c:formatCode>
                <c:ptCount val="260"/>
                <c:pt idx="0">
                  <c:v>0</c:v>
                </c:pt>
                <c:pt idx="1">
                  <c:v>202389</c:v>
                </c:pt>
                <c:pt idx="2">
                  <c:v>404778</c:v>
                </c:pt>
                <c:pt idx="3">
                  <c:v>607167</c:v>
                </c:pt>
                <c:pt idx="4">
                  <c:v>809556</c:v>
                </c:pt>
                <c:pt idx="5">
                  <c:v>1011945</c:v>
                </c:pt>
                <c:pt idx="6">
                  <c:v>1214334</c:v>
                </c:pt>
                <c:pt idx="7">
                  <c:v>1416723</c:v>
                </c:pt>
                <c:pt idx="8">
                  <c:v>1619112</c:v>
                </c:pt>
                <c:pt idx="9">
                  <c:v>1821501</c:v>
                </c:pt>
                <c:pt idx="10">
                  <c:v>2023890</c:v>
                </c:pt>
                <c:pt idx="11">
                  <c:v>2226279</c:v>
                </c:pt>
                <c:pt idx="12">
                  <c:v>2428668</c:v>
                </c:pt>
                <c:pt idx="13">
                  <c:v>2631057</c:v>
                </c:pt>
                <c:pt idx="14">
                  <c:v>2833446</c:v>
                </c:pt>
                <c:pt idx="15">
                  <c:v>3035835</c:v>
                </c:pt>
                <c:pt idx="16">
                  <c:v>3238224</c:v>
                </c:pt>
                <c:pt idx="17">
                  <c:v>3440613</c:v>
                </c:pt>
                <c:pt idx="18">
                  <c:v>3643002</c:v>
                </c:pt>
                <c:pt idx="19">
                  <c:v>3845391</c:v>
                </c:pt>
                <c:pt idx="20">
                  <c:v>4047780</c:v>
                </c:pt>
                <c:pt idx="21">
                  <c:v>4250169</c:v>
                </c:pt>
                <c:pt idx="22">
                  <c:v>4452558</c:v>
                </c:pt>
                <c:pt idx="23">
                  <c:v>4654947</c:v>
                </c:pt>
                <c:pt idx="24">
                  <c:v>4857336</c:v>
                </c:pt>
                <c:pt idx="25">
                  <c:v>5059725</c:v>
                </c:pt>
                <c:pt idx="26">
                  <c:v>5262114</c:v>
                </c:pt>
                <c:pt idx="27">
                  <c:v>5464503</c:v>
                </c:pt>
                <c:pt idx="28">
                  <c:v>5666892</c:v>
                </c:pt>
                <c:pt idx="29">
                  <c:v>5869281</c:v>
                </c:pt>
                <c:pt idx="30">
                  <c:v>6071670</c:v>
                </c:pt>
                <c:pt idx="31">
                  <c:v>6274059</c:v>
                </c:pt>
                <c:pt idx="32">
                  <c:v>6476448</c:v>
                </c:pt>
                <c:pt idx="33">
                  <c:v>6678837</c:v>
                </c:pt>
                <c:pt idx="34">
                  <c:v>6881226</c:v>
                </c:pt>
                <c:pt idx="35">
                  <c:v>7083615</c:v>
                </c:pt>
                <c:pt idx="36">
                  <c:v>7286004</c:v>
                </c:pt>
                <c:pt idx="37">
                  <c:v>7488393</c:v>
                </c:pt>
                <c:pt idx="38">
                  <c:v>7690782</c:v>
                </c:pt>
                <c:pt idx="39">
                  <c:v>7893171</c:v>
                </c:pt>
                <c:pt idx="40">
                  <c:v>8095560</c:v>
                </c:pt>
                <c:pt idx="41">
                  <c:v>8297949</c:v>
                </c:pt>
                <c:pt idx="42">
                  <c:v>8500338</c:v>
                </c:pt>
                <c:pt idx="43">
                  <c:v>8702727</c:v>
                </c:pt>
                <c:pt idx="44">
                  <c:v>8905116</c:v>
                </c:pt>
                <c:pt idx="45">
                  <c:v>9107505</c:v>
                </c:pt>
                <c:pt idx="46">
                  <c:v>9309894</c:v>
                </c:pt>
                <c:pt idx="47">
                  <c:v>9512283</c:v>
                </c:pt>
                <c:pt idx="48">
                  <c:v>9714672</c:v>
                </c:pt>
                <c:pt idx="49">
                  <c:v>9917061</c:v>
                </c:pt>
                <c:pt idx="50">
                  <c:v>10119450</c:v>
                </c:pt>
                <c:pt idx="51">
                  <c:v>10321839</c:v>
                </c:pt>
                <c:pt idx="52">
                  <c:v>10524228</c:v>
                </c:pt>
                <c:pt idx="53">
                  <c:v>10726617</c:v>
                </c:pt>
                <c:pt idx="54">
                  <c:v>10929006</c:v>
                </c:pt>
                <c:pt idx="55">
                  <c:v>11131395</c:v>
                </c:pt>
                <c:pt idx="56">
                  <c:v>11333784</c:v>
                </c:pt>
                <c:pt idx="57">
                  <c:v>11536173</c:v>
                </c:pt>
                <c:pt idx="58">
                  <c:v>11738562</c:v>
                </c:pt>
                <c:pt idx="59">
                  <c:v>11940951</c:v>
                </c:pt>
                <c:pt idx="60">
                  <c:v>12143340</c:v>
                </c:pt>
                <c:pt idx="61">
                  <c:v>12345729</c:v>
                </c:pt>
                <c:pt idx="62">
                  <c:v>12548118</c:v>
                </c:pt>
                <c:pt idx="63">
                  <c:v>12750507</c:v>
                </c:pt>
                <c:pt idx="64">
                  <c:v>12952896</c:v>
                </c:pt>
                <c:pt idx="65">
                  <c:v>13155285</c:v>
                </c:pt>
                <c:pt idx="66">
                  <c:v>13357674</c:v>
                </c:pt>
                <c:pt idx="67">
                  <c:v>13560063</c:v>
                </c:pt>
                <c:pt idx="68">
                  <c:v>13762452</c:v>
                </c:pt>
                <c:pt idx="69">
                  <c:v>13964841</c:v>
                </c:pt>
                <c:pt idx="70">
                  <c:v>14167230</c:v>
                </c:pt>
                <c:pt idx="71">
                  <c:v>14369619</c:v>
                </c:pt>
                <c:pt idx="72">
                  <c:v>14572008</c:v>
                </c:pt>
                <c:pt idx="73">
                  <c:v>14774397</c:v>
                </c:pt>
                <c:pt idx="74">
                  <c:v>14976786</c:v>
                </c:pt>
                <c:pt idx="75">
                  <c:v>15179175</c:v>
                </c:pt>
                <c:pt idx="76">
                  <c:v>15381564</c:v>
                </c:pt>
                <c:pt idx="77">
                  <c:v>15583953</c:v>
                </c:pt>
                <c:pt idx="78">
                  <c:v>15786342</c:v>
                </c:pt>
                <c:pt idx="79">
                  <c:v>15988731</c:v>
                </c:pt>
                <c:pt idx="80">
                  <c:v>16191120</c:v>
                </c:pt>
                <c:pt idx="81">
                  <c:v>16393509</c:v>
                </c:pt>
                <c:pt idx="82">
                  <c:v>16595898</c:v>
                </c:pt>
                <c:pt idx="83">
                  <c:v>16798287</c:v>
                </c:pt>
                <c:pt idx="84">
                  <c:v>17000676</c:v>
                </c:pt>
                <c:pt idx="85">
                  <c:v>17203065</c:v>
                </c:pt>
                <c:pt idx="86">
                  <c:v>17405454</c:v>
                </c:pt>
                <c:pt idx="87">
                  <c:v>17607843</c:v>
                </c:pt>
                <c:pt idx="88">
                  <c:v>17810232</c:v>
                </c:pt>
                <c:pt idx="89">
                  <c:v>18012621</c:v>
                </c:pt>
                <c:pt idx="90">
                  <c:v>18215010</c:v>
                </c:pt>
                <c:pt idx="91">
                  <c:v>18417399</c:v>
                </c:pt>
                <c:pt idx="92">
                  <c:v>18619788</c:v>
                </c:pt>
                <c:pt idx="93">
                  <c:v>18822177</c:v>
                </c:pt>
                <c:pt idx="94">
                  <c:v>19024566</c:v>
                </c:pt>
                <c:pt idx="95">
                  <c:v>19226955</c:v>
                </c:pt>
                <c:pt idx="96">
                  <c:v>19429344</c:v>
                </c:pt>
                <c:pt idx="97">
                  <c:v>19631733</c:v>
                </c:pt>
                <c:pt idx="98">
                  <c:v>19834122</c:v>
                </c:pt>
                <c:pt idx="99">
                  <c:v>20036511</c:v>
                </c:pt>
                <c:pt idx="100">
                  <c:v>20238900</c:v>
                </c:pt>
                <c:pt idx="101">
                  <c:v>20441289</c:v>
                </c:pt>
                <c:pt idx="102">
                  <c:v>20643678</c:v>
                </c:pt>
                <c:pt idx="103">
                  <c:v>20846067</c:v>
                </c:pt>
                <c:pt idx="104">
                  <c:v>21048456</c:v>
                </c:pt>
                <c:pt idx="105">
                  <c:v>21250845</c:v>
                </c:pt>
                <c:pt idx="106">
                  <c:v>21453234</c:v>
                </c:pt>
                <c:pt idx="107">
                  <c:v>21655623</c:v>
                </c:pt>
                <c:pt idx="108">
                  <c:v>21858012</c:v>
                </c:pt>
                <c:pt idx="109">
                  <c:v>22060401</c:v>
                </c:pt>
                <c:pt idx="110">
                  <c:v>22262790</c:v>
                </c:pt>
                <c:pt idx="111">
                  <c:v>22465179</c:v>
                </c:pt>
                <c:pt idx="112">
                  <c:v>22667568</c:v>
                </c:pt>
                <c:pt idx="113">
                  <c:v>22869957</c:v>
                </c:pt>
                <c:pt idx="114">
                  <c:v>23072346</c:v>
                </c:pt>
                <c:pt idx="115">
                  <c:v>23274735</c:v>
                </c:pt>
                <c:pt idx="116">
                  <c:v>23477124</c:v>
                </c:pt>
                <c:pt idx="117">
                  <c:v>23679513</c:v>
                </c:pt>
                <c:pt idx="118">
                  <c:v>23881902</c:v>
                </c:pt>
                <c:pt idx="119">
                  <c:v>24084291</c:v>
                </c:pt>
                <c:pt idx="120">
                  <c:v>24286680</c:v>
                </c:pt>
                <c:pt idx="121">
                  <c:v>24489069</c:v>
                </c:pt>
                <c:pt idx="122">
                  <c:v>24691458</c:v>
                </c:pt>
                <c:pt idx="123">
                  <c:v>24893847</c:v>
                </c:pt>
                <c:pt idx="124">
                  <c:v>25096236</c:v>
                </c:pt>
                <c:pt idx="125">
                  <c:v>25298625</c:v>
                </c:pt>
                <c:pt idx="126">
                  <c:v>25501014</c:v>
                </c:pt>
                <c:pt idx="127">
                  <c:v>25703403</c:v>
                </c:pt>
                <c:pt idx="128">
                  <c:v>25905792</c:v>
                </c:pt>
                <c:pt idx="129">
                  <c:v>26108181</c:v>
                </c:pt>
                <c:pt idx="130">
                  <c:v>26310570</c:v>
                </c:pt>
                <c:pt idx="131">
                  <c:v>26512959</c:v>
                </c:pt>
                <c:pt idx="132">
                  <c:v>26715348</c:v>
                </c:pt>
                <c:pt idx="133">
                  <c:v>26917737</c:v>
                </c:pt>
                <c:pt idx="134">
                  <c:v>27120126</c:v>
                </c:pt>
                <c:pt idx="135">
                  <c:v>27322515</c:v>
                </c:pt>
                <c:pt idx="136">
                  <c:v>27524904</c:v>
                </c:pt>
                <c:pt idx="137">
                  <c:v>27727293</c:v>
                </c:pt>
                <c:pt idx="138">
                  <c:v>27929682</c:v>
                </c:pt>
                <c:pt idx="139">
                  <c:v>28132071</c:v>
                </c:pt>
                <c:pt idx="140">
                  <c:v>28334460</c:v>
                </c:pt>
                <c:pt idx="141">
                  <c:v>28536849</c:v>
                </c:pt>
                <c:pt idx="142">
                  <c:v>28739238</c:v>
                </c:pt>
                <c:pt idx="143">
                  <c:v>28941627</c:v>
                </c:pt>
                <c:pt idx="144">
                  <c:v>29144016</c:v>
                </c:pt>
                <c:pt idx="145">
                  <c:v>29346405</c:v>
                </c:pt>
                <c:pt idx="146">
                  <c:v>29548794</c:v>
                </c:pt>
                <c:pt idx="147">
                  <c:v>29751183</c:v>
                </c:pt>
                <c:pt idx="148">
                  <c:v>29953572</c:v>
                </c:pt>
                <c:pt idx="149">
                  <c:v>30155961</c:v>
                </c:pt>
                <c:pt idx="150">
                  <c:v>30358350</c:v>
                </c:pt>
                <c:pt idx="151">
                  <c:v>30560739</c:v>
                </c:pt>
                <c:pt idx="152">
                  <c:v>30763128</c:v>
                </c:pt>
                <c:pt idx="153">
                  <c:v>30965517</c:v>
                </c:pt>
                <c:pt idx="154">
                  <c:v>31167906</c:v>
                </c:pt>
                <c:pt idx="155">
                  <c:v>31370295</c:v>
                </c:pt>
                <c:pt idx="156">
                  <c:v>31572684</c:v>
                </c:pt>
                <c:pt idx="157">
                  <c:v>31775073</c:v>
                </c:pt>
                <c:pt idx="158">
                  <c:v>31977462</c:v>
                </c:pt>
                <c:pt idx="159">
                  <c:v>32179851</c:v>
                </c:pt>
                <c:pt idx="160">
                  <c:v>32382240</c:v>
                </c:pt>
                <c:pt idx="161">
                  <c:v>32584629</c:v>
                </c:pt>
                <c:pt idx="162">
                  <c:v>32787018</c:v>
                </c:pt>
                <c:pt idx="163">
                  <c:v>32989407</c:v>
                </c:pt>
                <c:pt idx="164">
                  <c:v>33191796</c:v>
                </c:pt>
                <c:pt idx="165">
                  <c:v>33394185</c:v>
                </c:pt>
                <c:pt idx="166">
                  <c:v>33596574</c:v>
                </c:pt>
                <c:pt idx="167">
                  <c:v>33798963</c:v>
                </c:pt>
                <c:pt idx="168">
                  <c:v>34001352</c:v>
                </c:pt>
                <c:pt idx="169">
                  <c:v>34203741</c:v>
                </c:pt>
                <c:pt idx="170">
                  <c:v>34406130</c:v>
                </c:pt>
                <c:pt idx="171">
                  <c:v>34608519</c:v>
                </c:pt>
                <c:pt idx="172">
                  <c:v>34810908</c:v>
                </c:pt>
                <c:pt idx="173">
                  <c:v>35013297</c:v>
                </c:pt>
                <c:pt idx="174">
                  <c:v>35215686</c:v>
                </c:pt>
                <c:pt idx="175">
                  <c:v>35418075</c:v>
                </c:pt>
                <c:pt idx="176">
                  <c:v>35620464</c:v>
                </c:pt>
                <c:pt idx="177">
                  <c:v>35822853</c:v>
                </c:pt>
                <c:pt idx="178">
                  <c:v>36025242</c:v>
                </c:pt>
                <c:pt idx="179">
                  <c:v>36227631</c:v>
                </c:pt>
                <c:pt idx="180">
                  <c:v>36430020</c:v>
                </c:pt>
                <c:pt idx="181">
                  <c:v>36632409</c:v>
                </c:pt>
                <c:pt idx="182">
                  <c:v>36834798</c:v>
                </c:pt>
                <c:pt idx="183">
                  <c:v>37037187</c:v>
                </c:pt>
                <c:pt idx="184">
                  <c:v>37239576</c:v>
                </c:pt>
                <c:pt idx="185">
                  <c:v>37441965</c:v>
                </c:pt>
                <c:pt idx="186">
                  <c:v>37644354</c:v>
                </c:pt>
                <c:pt idx="187">
                  <c:v>37846743</c:v>
                </c:pt>
                <c:pt idx="188">
                  <c:v>38049132</c:v>
                </c:pt>
                <c:pt idx="189">
                  <c:v>38251521</c:v>
                </c:pt>
                <c:pt idx="190">
                  <c:v>38453910</c:v>
                </c:pt>
                <c:pt idx="191">
                  <c:v>38656299</c:v>
                </c:pt>
                <c:pt idx="192">
                  <c:v>38858688</c:v>
                </c:pt>
                <c:pt idx="193">
                  <c:v>39061077</c:v>
                </c:pt>
                <c:pt idx="194">
                  <c:v>39263466</c:v>
                </c:pt>
                <c:pt idx="195">
                  <c:v>39465855</c:v>
                </c:pt>
                <c:pt idx="196">
                  <c:v>39668244</c:v>
                </c:pt>
                <c:pt idx="197">
                  <c:v>39870633</c:v>
                </c:pt>
                <c:pt idx="198">
                  <c:v>40073022</c:v>
                </c:pt>
                <c:pt idx="199">
                  <c:v>40275411</c:v>
                </c:pt>
                <c:pt idx="200">
                  <c:v>40477800</c:v>
                </c:pt>
                <c:pt idx="201">
                  <c:v>40680189</c:v>
                </c:pt>
                <c:pt idx="202">
                  <c:v>40882578</c:v>
                </c:pt>
                <c:pt idx="203">
                  <c:v>41084967</c:v>
                </c:pt>
                <c:pt idx="204">
                  <c:v>41287356</c:v>
                </c:pt>
                <c:pt idx="205">
                  <c:v>41489745</c:v>
                </c:pt>
                <c:pt idx="206">
                  <c:v>41692134</c:v>
                </c:pt>
                <c:pt idx="207">
                  <c:v>41894523</c:v>
                </c:pt>
                <c:pt idx="208">
                  <c:v>42096912</c:v>
                </c:pt>
                <c:pt idx="209">
                  <c:v>42299301</c:v>
                </c:pt>
                <c:pt idx="210">
                  <c:v>42501690</c:v>
                </c:pt>
                <c:pt idx="211">
                  <c:v>42704079</c:v>
                </c:pt>
                <c:pt idx="212">
                  <c:v>42906468</c:v>
                </c:pt>
                <c:pt idx="213">
                  <c:v>43108857</c:v>
                </c:pt>
                <c:pt idx="214">
                  <c:v>43311246</c:v>
                </c:pt>
                <c:pt idx="215">
                  <c:v>43513635</c:v>
                </c:pt>
                <c:pt idx="216">
                  <c:v>43716024</c:v>
                </c:pt>
                <c:pt idx="217">
                  <c:v>43918413</c:v>
                </c:pt>
                <c:pt idx="218">
                  <c:v>44120802</c:v>
                </c:pt>
                <c:pt idx="219">
                  <c:v>44323191</c:v>
                </c:pt>
                <c:pt idx="220">
                  <c:v>44525580</c:v>
                </c:pt>
                <c:pt idx="221">
                  <c:v>44727969</c:v>
                </c:pt>
                <c:pt idx="222">
                  <c:v>44930358</c:v>
                </c:pt>
                <c:pt idx="223">
                  <c:v>45132747</c:v>
                </c:pt>
                <c:pt idx="224">
                  <c:v>45335136</c:v>
                </c:pt>
                <c:pt idx="225">
                  <c:v>45537525</c:v>
                </c:pt>
                <c:pt idx="226">
                  <c:v>45739914</c:v>
                </c:pt>
                <c:pt idx="227">
                  <c:v>45942303</c:v>
                </c:pt>
                <c:pt idx="228">
                  <c:v>46144692</c:v>
                </c:pt>
                <c:pt idx="229">
                  <c:v>46347081</c:v>
                </c:pt>
                <c:pt idx="230">
                  <c:v>46549470</c:v>
                </c:pt>
                <c:pt idx="231">
                  <c:v>46751859</c:v>
                </c:pt>
                <c:pt idx="232">
                  <c:v>46954248</c:v>
                </c:pt>
                <c:pt idx="233">
                  <c:v>47156637</c:v>
                </c:pt>
                <c:pt idx="234">
                  <c:v>47359026</c:v>
                </c:pt>
                <c:pt idx="235">
                  <c:v>47561415</c:v>
                </c:pt>
                <c:pt idx="236">
                  <c:v>47763804</c:v>
                </c:pt>
                <c:pt idx="237">
                  <c:v>47966193</c:v>
                </c:pt>
                <c:pt idx="238">
                  <c:v>48168582</c:v>
                </c:pt>
                <c:pt idx="239">
                  <c:v>48370971</c:v>
                </c:pt>
                <c:pt idx="240">
                  <c:v>48573360</c:v>
                </c:pt>
                <c:pt idx="241">
                  <c:v>48775749</c:v>
                </c:pt>
                <c:pt idx="242">
                  <c:v>48978138</c:v>
                </c:pt>
                <c:pt idx="243">
                  <c:v>49180527</c:v>
                </c:pt>
                <c:pt idx="244">
                  <c:v>49382916</c:v>
                </c:pt>
                <c:pt idx="245">
                  <c:v>49585305</c:v>
                </c:pt>
                <c:pt idx="246">
                  <c:v>49787694</c:v>
                </c:pt>
                <c:pt idx="247">
                  <c:v>49990083</c:v>
                </c:pt>
                <c:pt idx="248">
                  <c:v>50192472</c:v>
                </c:pt>
                <c:pt idx="249">
                  <c:v>50394861</c:v>
                </c:pt>
                <c:pt idx="250">
                  <c:v>50597250</c:v>
                </c:pt>
                <c:pt idx="251">
                  <c:v>50799639</c:v>
                </c:pt>
                <c:pt idx="252">
                  <c:v>51002028</c:v>
                </c:pt>
                <c:pt idx="253">
                  <c:v>51204417</c:v>
                </c:pt>
                <c:pt idx="254">
                  <c:v>51406806</c:v>
                </c:pt>
                <c:pt idx="255">
                  <c:v>51609195</c:v>
                </c:pt>
                <c:pt idx="256">
                  <c:v>51811584</c:v>
                </c:pt>
                <c:pt idx="257">
                  <c:v>52013973</c:v>
                </c:pt>
                <c:pt idx="258">
                  <c:v>52216362</c:v>
                </c:pt>
                <c:pt idx="259">
                  <c:v>52418751</c:v>
                </c:pt>
              </c:numCache>
            </c:numRef>
          </c:xVal>
          <c:yVal>
            <c:numRef>
              <c:f>Example3!$U$11:$U$270</c:f>
              <c:numCache>
                <c:formatCode>_-* #,##0.000000_-;\-* #,##0.000000_-;_-* "-"??_-;_-@_-</c:formatCode>
                <c:ptCount val="260"/>
                <c:pt idx="0">
                  <c:v>4.9859000000000001E-2</c:v>
                </c:pt>
                <c:pt idx="1">
                  <c:v>0</c:v>
                </c:pt>
                <c:pt idx="2">
                  <c:v>1.2399E-2</c:v>
                </c:pt>
                <c:pt idx="3">
                  <c:v>0</c:v>
                </c:pt>
                <c:pt idx="4">
                  <c:v>1.5790000000000001E-3</c:v>
                </c:pt>
                <c:pt idx="5">
                  <c:v>0</c:v>
                </c:pt>
                <c:pt idx="6">
                  <c:v>1.2238000000000001E-2</c:v>
                </c:pt>
                <c:pt idx="7">
                  <c:v>0</c:v>
                </c:pt>
                <c:pt idx="8">
                  <c:v>3.1029999999999999E-3</c:v>
                </c:pt>
                <c:pt idx="9">
                  <c:v>4.4219999999999997E-3</c:v>
                </c:pt>
                <c:pt idx="10">
                  <c:v>7.3109999999999998E-3</c:v>
                </c:pt>
                <c:pt idx="11">
                  <c:v>1.1310000000000001E-3</c:v>
                </c:pt>
                <c:pt idx="12">
                  <c:v>1.6815E-2</c:v>
                </c:pt>
                <c:pt idx="13">
                  <c:v>1.4799999999999999E-4</c:v>
                </c:pt>
                <c:pt idx="14">
                  <c:v>1.6396999999999998E-2</c:v>
                </c:pt>
                <c:pt idx="15">
                  <c:v>7.6730000000000001E-3</c:v>
                </c:pt>
                <c:pt idx="16">
                  <c:v>9.9100000000000004E-3</c:v>
                </c:pt>
                <c:pt idx="17">
                  <c:v>1.967E-3</c:v>
                </c:pt>
                <c:pt idx="18">
                  <c:v>5.7559999999999998E-3</c:v>
                </c:pt>
                <c:pt idx="19">
                  <c:v>8.7900000000000001E-4</c:v>
                </c:pt>
                <c:pt idx="20">
                  <c:v>4.8180000000000002E-3</c:v>
                </c:pt>
                <c:pt idx="21">
                  <c:v>3.2200000000000002E-3</c:v>
                </c:pt>
                <c:pt idx="22">
                  <c:v>4.3299999999999996E-3</c:v>
                </c:pt>
                <c:pt idx="23">
                  <c:v>1.9650000000000002E-3</c:v>
                </c:pt>
                <c:pt idx="24">
                  <c:v>8.6660000000000001E-3</c:v>
                </c:pt>
                <c:pt idx="25">
                  <c:v>2.1434000000000002E-2</c:v>
                </c:pt>
                <c:pt idx="26">
                  <c:v>6.7289999999999997E-3</c:v>
                </c:pt>
                <c:pt idx="27">
                  <c:v>1.3615E-2</c:v>
                </c:pt>
                <c:pt idx="28">
                  <c:v>6.3879999999999996E-3</c:v>
                </c:pt>
                <c:pt idx="29">
                  <c:v>9.4490000000000008E-3</c:v>
                </c:pt>
                <c:pt idx="30">
                  <c:v>5.0140000000000002E-3</c:v>
                </c:pt>
                <c:pt idx="31">
                  <c:v>8.1449999999999995E-3</c:v>
                </c:pt>
                <c:pt idx="32">
                  <c:v>1.6036000000000002E-2</c:v>
                </c:pt>
                <c:pt idx="33">
                  <c:v>1.8484E-2</c:v>
                </c:pt>
                <c:pt idx="34">
                  <c:v>7.8639999999999995E-3</c:v>
                </c:pt>
                <c:pt idx="35">
                  <c:v>9.306E-3</c:v>
                </c:pt>
                <c:pt idx="36">
                  <c:v>4.4580000000000002E-3</c:v>
                </c:pt>
                <c:pt idx="37">
                  <c:v>9.6710000000000008E-3</c:v>
                </c:pt>
                <c:pt idx="38">
                  <c:v>7.045E-3</c:v>
                </c:pt>
                <c:pt idx="39">
                  <c:v>1.5266999999999999E-2</c:v>
                </c:pt>
                <c:pt idx="40">
                  <c:v>6.862E-3</c:v>
                </c:pt>
                <c:pt idx="41">
                  <c:v>1.1157E-2</c:v>
                </c:pt>
                <c:pt idx="42">
                  <c:v>7.1900000000000002E-3</c:v>
                </c:pt>
                <c:pt idx="43">
                  <c:v>8.7729999999999995E-3</c:v>
                </c:pt>
                <c:pt idx="44">
                  <c:v>7.9559999999999995E-3</c:v>
                </c:pt>
                <c:pt idx="45">
                  <c:v>9.6559999999999997E-3</c:v>
                </c:pt>
                <c:pt idx="46">
                  <c:v>7.4970000000000002E-3</c:v>
                </c:pt>
                <c:pt idx="47">
                  <c:v>1.0512000000000001E-2</c:v>
                </c:pt>
                <c:pt idx="48">
                  <c:v>7.5319999999999996E-3</c:v>
                </c:pt>
                <c:pt idx="49">
                  <c:v>8.7399999999999995E-3</c:v>
                </c:pt>
                <c:pt idx="50">
                  <c:v>8.6669999999999994E-3</c:v>
                </c:pt>
                <c:pt idx="51">
                  <c:v>7.0939999999999996E-3</c:v>
                </c:pt>
                <c:pt idx="52">
                  <c:v>7.6699999999999997E-3</c:v>
                </c:pt>
                <c:pt idx="53">
                  <c:v>7.5110000000000003E-3</c:v>
                </c:pt>
                <c:pt idx="54">
                  <c:v>7.8230000000000001E-3</c:v>
                </c:pt>
                <c:pt idx="55">
                  <c:v>6.0540000000000004E-3</c:v>
                </c:pt>
                <c:pt idx="56">
                  <c:v>7.3619999999999996E-3</c:v>
                </c:pt>
                <c:pt idx="57">
                  <c:v>1.1409000000000001E-2</c:v>
                </c:pt>
                <c:pt idx="58">
                  <c:v>1.1094E-2</c:v>
                </c:pt>
                <c:pt idx="59">
                  <c:v>8.5389999999999997E-3</c:v>
                </c:pt>
                <c:pt idx="60">
                  <c:v>8.5950000000000002E-3</c:v>
                </c:pt>
                <c:pt idx="61">
                  <c:v>7.0800000000000004E-3</c:v>
                </c:pt>
                <c:pt idx="62">
                  <c:v>7.548E-3</c:v>
                </c:pt>
                <c:pt idx="63">
                  <c:v>6.4219999999999998E-3</c:v>
                </c:pt>
                <c:pt idx="64">
                  <c:v>9.3939999999999996E-3</c:v>
                </c:pt>
                <c:pt idx="65">
                  <c:v>8.8500000000000002E-3</c:v>
                </c:pt>
                <c:pt idx="66">
                  <c:v>9.0299999999999998E-3</c:v>
                </c:pt>
                <c:pt idx="67">
                  <c:v>6.4460000000000003E-3</c:v>
                </c:pt>
                <c:pt idx="68">
                  <c:v>6.6909999999999999E-3</c:v>
                </c:pt>
                <c:pt idx="69">
                  <c:v>6.0309999999999999E-3</c:v>
                </c:pt>
                <c:pt idx="70">
                  <c:v>6.8100000000000001E-3</c:v>
                </c:pt>
                <c:pt idx="71">
                  <c:v>7.1269999999999997E-3</c:v>
                </c:pt>
                <c:pt idx="72">
                  <c:v>7.6930000000000002E-3</c:v>
                </c:pt>
                <c:pt idx="73">
                  <c:v>6.2849999999999998E-3</c:v>
                </c:pt>
                <c:pt idx="74">
                  <c:v>6.607E-3</c:v>
                </c:pt>
                <c:pt idx="75">
                  <c:v>5.7689999999999998E-3</c:v>
                </c:pt>
                <c:pt idx="76">
                  <c:v>5.8669999999999998E-3</c:v>
                </c:pt>
                <c:pt idx="77">
                  <c:v>1.0296E-2</c:v>
                </c:pt>
                <c:pt idx="78">
                  <c:v>5.7790000000000003E-3</c:v>
                </c:pt>
                <c:pt idx="79">
                  <c:v>6.79E-3</c:v>
                </c:pt>
                <c:pt idx="80">
                  <c:v>5.4180000000000001E-3</c:v>
                </c:pt>
                <c:pt idx="81">
                  <c:v>5.3860000000000002E-3</c:v>
                </c:pt>
                <c:pt idx="82">
                  <c:v>5.7470000000000004E-3</c:v>
                </c:pt>
                <c:pt idx="83">
                  <c:v>6.5139999999999998E-3</c:v>
                </c:pt>
                <c:pt idx="84">
                  <c:v>5.0359999999999997E-3</c:v>
                </c:pt>
                <c:pt idx="85">
                  <c:v>5.3070000000000001E-3</c:v>
                </c:pt>
                <c:pt idx="86">
                  <c:v>5.3220000000000003E-3</c:v>
                </c:pt>
                <c:pt idx="87">
                  <c:v>5.2769999999999996E-3</c:v>
                </c:pt>
                <c:pt idx="88">
                  <c:v>4.398E-3</c:v>
                </c:pt>
                <c:pt idx="89">
                  <c:v>6.6660000000000001E-3</c:v>
                </c:pt>
                <c:pt idx="90">
                  <c:v>5.2329999999999998E-3</c:v>
                </c:pt>
                <c:pt idx="91">
                  <c:v>6.5189999999999996E-3</c:v>
                </c:pt>
                <c:pt idx="92">
                  <c:v>5.0509999999999999E-3</c:v>
                </c:pt>
                <c:pt idx="93">
                  <c:v>5.1630000000000001E-3</c:v>
                </c:pt>
                <c:pt idx="94">
                  <c:v>4.0759999999999998E-3</c:v>
                </c:pt>
                <c:pt idx="95">
                  <c:v>4.4209999999999996E-3</c:v>
                </c:pt>
                <c:pt idx="96">
                  <c:v>4.0660000000000002E-3</c:v>
                </c:pt>
                <c:pt idx="97">
                  <c:v>4.6820000000000004E-3</c:v>
                </c:pt>
                <c:pt idx="98">
                  <c:v>4.2579999999999996E-3</c:v>
                </c:pt>
                <c:pt idx="99">
                  <c:v>4.1520000000000003E-3</c:v>
                </c:pt>
                <c:pt idx="100">
                  <c:v>7.1399999999999996E-3</c:v>
                </c:pt>
                <c:pt idx="101">
                  <c:v>4.1089999999999998E-3</c:v>
                </c:pt>
                <c:pt idx="102">
                  <c:v>6.0920000000000002E-3</c:v>
                </c:pt>
                <c:pt idx="103">
                  <c:v>3.9150000000000001E-3</c:v>
                </c:pt>
                <c:pt idx="104">
                  <c:v>4.6600000000000001E-3</c:v>
                </c:pt>
                <c:pt idx="105">
                  <c:v>3.7360000000000002E-3</c:v>
                </c:pt>
                <c:pt idx="106">
                  <c:v>4.725E-3</c:v>
                </c:pt>
                <c:pt idx="107">
                  <c:v>3.3570000000000002E-3</c:v>
                </c:pt>
                <c:pt idx="108">
                  <c:v>3.7139999999999999E-3</c:v>
                </c:pt>
                <c:pt idx="109">
                  <c:v>4.4879999999999998E-3</c:v>
                </c:pt>
                <c:pt idx="110">
                  <c:v>4.8479999999999999E-3</c:v>
                </c:pt>
                <c:pt idx="111">
                  <c:v>3.3839999999999999E-3</c:v>
                </c:pt>
                <c:pt idx="112">
                  <c:v>4.5339999999999998E-3</c:v>
                </c:pt>
                <c:pt idx="113">
                  <c:v>2.7590000000000002E-3</c:v>
                </c:pt>
                <c:pt idx="114">
                  <c:v>4.4990000000000004E-3</c:v>
                </c:pt>
                <c:pt idx="115">
                  <c:v>3.578E-3</c:v>
                </c:pt>
                <c:pt idx="116">
                  <c:v>4.4200000000000003E-3</c:v>
                </c:pt>
                <c:pt idx="117">
                  <c:v>2.918E-3</c:v>
                </c:pt>
                <c:pt idx="118">
                  <c:v>3.5750000000000001E-3</c:v>
                </c:pt>
                <c:pt idx="119">
                  <c:v>2.7160000000000001E-3</c:v>
                </c:pt>
                <c:pt idx="120">
                  <c:v>3.0720000000000001E-3</c:v>
                </c:pt>
                <c:pt idx="121">
                  <c:v>2.8800000000000002E-3</c:v>
                </c:pt>
                <c:pt idx="122">
                  <c:v>3.1710000000000002E-3</c:v>
                </c:pt>
                <c:pt idx="123">
                  <c:v>2.7290000000000001E-3</c:v>
                </c:pt>
                <c:pt idx="124">
                  <c:v>3.3990000000000001E-3</c:v>
                </c:pt>
                <c:pt idx="125">
                  <c:v>3.9300000000000003E-3</c:v>
                </c:pt>
                <c:pt idx="126">
                  <c:v>2.9069999999999999E-3</c:v>
                </c:pt>
                <c:pt idx="127">
                  <c:v>3.333E-3</c:v>
                </c:pt>
                <c:pt idx="128">
                  <c:v>2.6450000000000002E-3</c:v>
                </c:pt>
                <c:pt idx="129">
                  <c:v>2.9169999999999999E-3</c:v>
                </c:pt>
                <c:pt idx="130">
                  <c:v>2.5430000000000001E-3</c:v>
                </c:pt>
                <c:pt idx="131">
                  <c:v>2.725E-3</c:v>
                </c:pt>
                <c:pt idx="132">
                  <c:v>3.0620000000000001E-3</c:v>
                </c:pt>
                <c:pt idx="133">
                  <c:v>3.2889999999999998E-3</c:v>
                </c:pt>
                <c:pt idx="134">
                  <c:v>2.8679999999999999E-3</c:v>
                </c:pt>
                <c:pt idx="135">
                  <c:v>2.9069999999999999E-3</c:v>
                </c:pt>
                <c:pt idx="136">
                  <c:v>2.297E-3</c:v>
                </c:pt>
                <c:pt idx="137">
                  <c:v>2.64E-3</c:v>
                </c:pt>
                <c:pt idx="138">
                  <c:v>2.2550000000000001E-3</c:v>
                </c:pt>
                <c:pt idx="139">
                  <c:v>2.8709999999999999E-3</c:v>
                </c:pt>
                <c:pt idx="140">
                  <c:v>2.1069999999999999E-3</c:v>
                </c:pt>
                <c:pt idx="141">
                  <c:v>2.673E-3</c:v>
                </c:pt>
                <c:pt idx="142">
                  <c:v>2.2850000000000001E-3</c:v>
                </c:pt>
                <c:pt idx="143">
                  <c:v>2.3990000000000001E-3</c:v>
                </c:pt>
                <c:pt idx="144">
                  <c:v>2.055E-3</c:v>
                </c:pt>
                <c:pt idx="145">
                  <c:v>2.166E-3</c:v>
                </c:pt>
                <c:pt idx="146">
                  <c:v>1.9269999999999999E-3</c:v>
                </c:pt>
                <c:pt idx="147">
                  <c:v>2.2130000000000001E-3</c:v>
                </c:pt>
                <c:pt idx="148">
                  <c:v>1.9959999999999999E-3</c:v>
                </c:pt>
                <c:pt idx="149">
                  <c:v>2.104E-3</c:v>
                </c:pt>
                <c:pt idx="150">
                  <c:v>1.936E-3</c:v>
                </c:pt>
                <c:pt idx="151">
                  <c:v>1.8220000000000001E-3</c:v>
                </c:pt>
                <c:pt idx="152">
                  <c:v>1.7520000000000001E-3</c:v>
                </c:pt>
                <c:pt idx="153">
                  <c:v>1.7329999999999999E-3</c:v>
                </c:pt>
                <c:pt idx="154">
                  <c:v>1.9449999999999999E-3</c:v>
                </c:pt>
                <c:pt idx="155">
                  <c:v>1.5920000000000001E-3</c:v>
                </c:pt>
                <c:pt idx="156">
                  <c:v>1.704E-3</c:v>
                </c:pt>
                <c:pt idx="157">
                  <c:v>1.8979999999999999E-3</c:v>
                </c:pt>
                <c:pt idx="158">
                  <c:v>1.8370000000000001E-3</c:v>
                </c:pt>
                <c:pt idx="159">
                  <c:v>1.673E-3</c:v>
                </c:pt>
                <c:pt idx="160">
                  <c:v>1.6770000000000001E-3</c:v>
                </c:pt>
                <c:pt idx="161">
                  <c:v>1.4679999999999999E-3</c:v>
                </c:pt>
                <c:pt idx="162">
                  <c:v>1.5E-3</c:v>
                </c:pt>
                <c:pt idx="163">
                  <c:v>1.3960000000000001E-3</c:v>
                </c:pt>
                <c:pt idx="164">
                  <c:v>1.5790000000000001E-3</c:v>
                </c:pt>
                <c:pt idx="165">
                  <c:v>1.462E-3</c:v>
                </c:pt>
                <c:pt idx="166">
                  <c:v>1.6080000000000001E-3</c:v>
                </c:pt>
                <c:pt idx="167">
                  <c:v>1.34E-3</c:v>
                </c:pt>
                <c:pt idx="168">
                  <c:v>1.3979999999999999E-3</c:v>
                </c:pt>
                <c:pt idx="169">
                  <c:v>1.2340000000000001E-3</c:v>
                </c:pt>
                <c:pt idx="170">
                  <c:v>1.279E-3</c:v>
                </c:pt>
                <c:pt idx="171">
                  <c:v>1.222E-3</c:v>
                </c:pt>
                <c:pt idx="172">
                  <c:v>1.2689999999999999E-3</c:v>
                </c:pt>
                <c:pt idx="173">
                  <c:v>1.142E-3</c:v>
                </c:pt>
                <c:pt idx="174">
                  <c:v>1.1950000000000001E-3</c:v>
                </c:pt>
                <c:pt idx="175">
                  <c:v>1.0889999999999999E-3</c:v>
                </c:pt>
                <c:pt idx="176">
                  <c:v>1.0709999999999999E-3</c:v>
                </c:pt>
                <c:pt idx="177">
                  <c:v>1.333E-3</c:v>
                </c:pt>
                <c:pt idx="178">
                  <c:v>1.0200000000000001E-3</c:v>
                </c:pt>
                <c:pt idx="179">
                  <c:v>1.1329999999999999E-3</c:v>
                </c:pt>
                <c:pt idx="180">
                  <c:v>9.6900000000000003E-4</c:v>
                </c:pt>
                <c:pt idx="181">
                  <c:v>9.8700000000000003E-4</c:v>
                </c:pt>
                <c:pt idx="182">
                  <c:v>9.6000000000000002E-4</c:v>
                </c:pt>
                <c:pt idx="183">
                  <c:v>1.003E-3</c:v>
                </c:pt>
                <c:pt idx="184">
                  <c:v>8.5999999999999998E-4</c:v>
                </c:pt>
                <c:pt idx="185">
                  <c:v>8.7100000000000003E-4</c:v>
                </c:pt>
                <c:pt idx="186">
                  <c:v>8.9599999999999999E-4</c:v>
                </c:pt>
                <c:pt idx="187">
                  <c:v>8.8999999999999995E-4</c:v>
                </c:pt>
                <c:pt idx="188">
                  <c:v>7.6999999999999996E-4</c:v>
                </c:pt>
                <c:pt idx="189">
                  <c:v>9.2400000000000002E-4</c:v>
                </c:pt>
                <c:pt idx="190">
                  <c:v>7.7899999999999996E-4</c:v>
                </c:pt>
                <c:pt idx="191">
                  <c:v>8.9800000000000004E-4</c:v>
                </c:pt>
                <c:pt idx="192">
                  <c:v>7.6800000000000002E-4</c:v>
                </c:pt>
                <c:pt idx="193">
                  <c:v>8.0000000000000004E-4</c:v>
                </c:pt>
                <c:pt idx="194">
                  <c:v>6.6399999999999999E-4</c:v>
                </c:pt>
                <c:pt idx="195">
                  <c:v>7.0200000000000004E-4</c:v>
                </c:pt>
                <c:pt idx="196">
                  <c:v>6.4099999999999997E-4</c:v>
                </c:pt>
                <c:pt idx="197">
                  <c:v>6.8000000000000005E-4</c:v>
                </c:pt>
                <c:pt idx="198">
                  <c:v>6.4099999999999997E-4</c:v>
                </c:pt>
                <c:pt idx="199">
                  <c:v>6.4199999999999999E-4</c:v>
                </c:pt>
                <c:pt idx="200">
                  <c:v>7.0699999999999995E-4</c:v>
                </c:pt>
                <c:pt idx="201">
                  <c:v>6.1799999999999995E-4</c:v>
                </c:pt>
                <c:pt idx="202">
                  <c:v>7.0100000000000002E-4</c:v>
                </c:pt>
                <c:pt idx="203">
                  <c:v>5.6999999999999998E-4</c:v>
                </c:pt>
                <c:pt idx="204">
                  <c:v>6.11E-4</c:v>
                </c:pt>
                <c:pt idx="205">
                  <c:v>5.3499999999999999E-4</c:v>
                </c:pt>
                <c:pt idx="206">
                  <c:v>5.7399999999999997E-4</c:v>
                </c:pt>
                <c:pt idx="207">
                  <c:v>4.9899999999999999E-4</c:v>
                </c:pt>
                <c:pt idx="208">
                  <c:v>5.0799999999999999E-4</c:v>
                </c:pt>
                <c:pt idx="209">
                  <c:v>5.4299999999999997E-4</c:v>
                </c:pt>
                <c:pt idx="210">
                  <c:v>5.5699999999999999E-4</c:v>
                </c:pt>
                <c:pt idx="211">
                  <c:v>4.8000000000000001E-4</c:v>
                </c:pt>
                <c:pt idx="212">
                  <c:v>5.1500000000000005E-4</c:v>
                </c:pt>
                <c:pt idx="213">
                  <c:v>4.1399999999999998E-4</c:v>
                </c:pt>
                <c:pt idx="214">
                  <c:v>4.9200000000000003E-4</c:v>
                </c:pt>
                <c:pt idx="215">
                  <c:v>4.3300000000000001E-4</c:v>
                </c:pt>
                <c:pt idx="216">
                  <c:v>4.86E-4</c:v>
                </c:pt>
                <c:pt idx="217">
                  <c:v>3.86E-4</c:v>
                </c:pt>
                <c:pt idx="218">
                  <c:v>4.3300000000000001E-4</c:v>
                </c:pt>
                <c:pt idx="219">
                  <c:v>3.7399999999999998E-4</c:v>
                </c:pt>
                <c:pt idx="220">
                  <c:v>3.86E-4</c:v>
                </c:pt>
                <c:pt idx="221">
                  <c:v>3.59E-4</c:v>
                </c:pt>
                <c:pt idx="222">
                  <c:v>3.7399999999999998E-4</c:v>
                </c:pt>
                <c:pt idx="223">
                  <c:v>3.4099999999999999E-4</c:v>
                </c:pt>
                <c:pt idx="224">
                  <c:v>3.7300000000000001E-4</c:v>
                </c:pt>
                <c:pt idx="225">
                  <c:v>3.7500000000000001E-4</c:v>
                </c:pt>
                <c:pt idx="226">
                  <c:v>3.3700000000000001E-4</c:v>
                </c:pt>
                <c:pt idx="227">
                  <c:v>3.39E-4</c:v>
                </c:pt>
                <c:pt idx="228">
                  <c:v>3.0499999999999999E-4</c:v>
                </c:pt>
                <c:pt idx="229">
                  <c:v>3.0899999999999998E-4</c:v>
                </c:pt>
                <c:pt idx="230">
                  <c:v>2.9100000000000003E-4</c:v>
                </c:pt>
                <c:pt idx="231">
                  <c:v>2.9999999999999997E-4</c:v>
                </c:pt>
                <c:pt idx="232">
                  <c:v>2.9399999999999999E-4</c:v>
                </c:pt>
                <c:pt idx="233">
                  <c:v>3.0200000000000002E-4</c:v>
                </c:pt>
                <c:pt idx="234">
                  <c:v>2.9300000000000002E-4</c:v>
                </c:pt>
                <c:pt idx="235">
                  <c:v>2.8800000000000001E-4</c:v>
                </c:pt>
                <c:pt idx="236">
                  <c:v>2.5500000000000002E-4</c:v>
                </c:pt>
                <c:pt idx="237">
                  <c:v>2.6400000000000002E-4</c:v>
                </c:pt>
                <c:pt idx="238">
                  <c:v>2.3699999999999999E-4</c:v>
                </c:pt>
                <c:pt idx="239">
                  <c:v>2.5799999999999998E-4</c:v>
                </c:pt>
                <c:pt idx="240">
                  <c:v>2.22E-4</c:v>
                </c:pt>
                <c:pt idx="241">
                  <c:v>2.4899999999999998E-4</c:v>
                </c:pt>
                <c:pt idx="242">
                  <c:v>2.2599999999999999E-4</c:v>
                </c:pt>
                <c:pt idx="243">
                  <c:v>2.34E-4</c:v>
                </c:pt>
                <c:pt idx="244">
                  <c:v>2.0599999999999999E-4</c:v>
                </c:pt>
                <c:pt idx="245">
                  <c:v>2.1000000000000001E-4</c:v>
                </c:pt>
                <c:pt idx="246">
                  <c:v>1.92E-4</c:v>
                </c:pt>
                <c:pt idx="247">
                  <c:v>2.02E-4</c:v>
                </c:pt>
                <c:pt idx="248">
                  <c:v>1.9000000000000001E-4</c:v>
                </c:pt>
                <c:pt idx="249">
                  <c:v>1.94E-4</c:v>
                </c:pt>
                <c:pt idx="250">
                  <c:v>1.8000000000000001E-4</c:v>
                </c:pt>
                <c:pt idx="251">
                  <c:v>1.75E-4</c:v>
                </c:pt>
                <c:pt idx="252">
                  <c:v>1.66E-4</c:v>
                </c:pt>
                <c:pt idx="253">
                  <c:v>1.6200000000000001E-4</c:v>
                </c:pt>
                <c:pt idx="254">
                  <c:v>1.73E-4</c:v>
                </c:pt>
                <c:pt idx="255">
                  <c:v>1.5200000000000001E-4</c:v>
                </c:pt>
                <c:pt idx="256">
                  <c:v>1.56E-4</c:v>
                </c:pt>
                <c:pt idx="257">
                  <c:v>1.5699999999999999E-4</c:v>
                </c:pt>
                <c:pt idx="258">
                  <c:v>1.5300000000000001E-4</c:v>
                </c:pt>
                <c:pt idx="259">
                  <c:v>1.45E-4</c:v>
                </c:pt>
              </c:numCache>
            </c:numRef>
          </c:yVal>
          <c:smooth val="1"/>
        </c:ser>
        <c:axId val="143344384"/>
        <c:axId val="143346304"/>
      </c:scatterChart>
      <c:valAx>
        <c:axId val="143344384"/>
        <c:scaling>
          <c:orientation val="minMax"/>
        </c:scaling>
        <c:axPos val="b"/>
        <c:title>
          <c:tx>
            <c:rich>
              <a:bodyPr/>
              <a:lstStyle/>
              <a:p>
                <a:pPr>
                  <a:defRPr sz="1200" b="1" i="0" u="none" strike="noStrike" baseline="0">
                    <a:solidFill>
                      <a:srgbClr val="000000"/>
                    </a:solidFill>
                    <a:latin typeface="Akzidenz Grotesk Light"/>
                    <a:ea typeface="Akzidenz Grotesk Light"/>
                    <a:cs typeface="Akzidenz Grotesk Light"/>
                  </a:defRPr>
                </a:pPr>
                <a:r>
                  <a:t>Loss</a:t>
                </a:r>
              </a:p>
            </c:rich>
          </c:tx>
          <c:layout>
            <c:manualLayout>
              <c:xMode val="edge"/>
              <c:yMode val="edge"/>
              <c:x val="0.5035467968013031"/>
              <c:y val="0.9226626807893652"/>
            </c:manualLayout>
          </c:layout>
          <c:spPr>
            <a:noFill/>
            <a:ln w="25400">
              <a:noFill/>
            </a:ln>
          </c:spPr>
        </c:title>
        <c:numFmt formatCode="#,##0" sourceLinked="0"/>
        <c:majorTickMark val="cross"/>
        <c:tickLblPos val="nextTo"/>
        <c:spPr>
          <a:ln w="3175">
            <a:solidFill>
              <a:srgbClr val="000000"/>
            </a:solidFill>
            <a:prstDash val="solid"/>
          </a:ln>
        </c:spPr>
        <c:txPr>
          <a:bodyPr rot="0" vert="horz"/>
          <a:lstStyle/>
          <a:p>
            <a:pPr>
              <a:defRPr sz="800" b="0" i="0" u="none" strike="noStrike" baseline="0">
                <a:solidFill>
                  <a:srgbClr val="000000"/>
                </a:solidFill>
                <a:latin typeface="Akzidenz Grotesk Light"/>
                <a:ea typeface="Akzidenz Grotesk Light"/>
                <a:cs typeface="Akzidenz Grotesk Light"/>
              </a:defRPr>
            </a:pPr>
            <a:endParaRPr lang="en-US"/>
          </a:p>
        </c:txPr>
        <c:crossAx val="143346304"/>
        <c:crosses val="autoZero"/>
        <c:crossBetween val="midCat"/>
      </c:valAx>
      <c:valAx>
        <c:axId val="143346304"/>
        <c:scaling>
          <c:orientation val="minMax"/>
          <c:max val="2.5000000000000001E-2"/>
          <c:min val="0"/>
        </c:scaling>
        <c:axPos val="l"/>
        <c:title>
          <c:tx>
            <c:rich>
              <a:bodyPr/>
              <a:lstStyle/>
              <a:p>
                <a:pPr>
                  <a:defRPr sz="1200" b="1" i="0" u="none" strike="noStrike" baseline="0">
                    <a:solidFill>
                      <a:srgbClr val="000000"/>
                    </a:solidFill>
                    <a:latin typeface="Akzidenz Grotesk Light"/>
                    <a:ea typeface="Akzidenz Grotesk Light"/>
                    <a:cs typeface="Akzidenz Grotesk Light"/>
                  </a:defRPr>
                </a:pPr>
                <a:r>
                  <a:t>Marginal Probability</a:t>
                </a:r>
              </a:p>
            </c:rich>
          </c:tx>
          <c:layout>
            <c:manualLayout>
              <c:xMode val="edge"/>
              <c:yMode val="edge"/>
              <c:x val="1.8439741854695609E-2"/>
              <c:y val="0.34892116973321036"/>
            </c:manualLayout>
          </c:layout>
          <c:spPr>
            <a:noFill/>
            <a:ln w="25400">
              <a:noFill/>
            </a:ln>
          </c:spPr>
        </c:title>
        <c:numFmt formatCode="0.00%" sourceLinked="0"/>
        <c:majorTickMark val="cross"/>
        <c:tickLblPos val="nextTo"/>
        <c:spPr>
          <a:ln w="3175">
            <a:solidFill>
              <a:srgbClr val="000000"/>
            </a:solidFill>
            <a:prstDash val="solid"/>
          </a:ln>
        </c:spPr>
        <c:txPr>
          <a:bodyPr rot="0" vert="horz"/>
          <a:lstStyle/>
          <a:p>
            <a:pPr>
              <a:defRPr sz="800" b="0" i="0" u="none" strike="noStrike" baseline="0">
                <a:solidFill>
                  <a:srgbClr val="000000"/>
                </a:solidFill>
                <a:latin typeface="Akzidenz Grotesk Light"/>
                <a:ea typeface="Akzidenz Grotesk Light"/>
                <a:cs typeface="Akzidenz Grotesk Light"/>
              </a:defRPr>
            </a:pPr>
            <a:endParaRPr lang="en-US"/>
          </a:p>
        </c:txPr>
        <c:crossAx val="143344384"/>
        <c:crosses val="autoZero"/>
        <c:crossBetween val="midCat"/>
      </c:valAx>
      <c:spPr>
        <a:noFill/>
        <a:ln w="25400">
          <a:noFill/>
        </a:ln>
      </c:spPr>
    </c:plotArea>
    <c:plotVisOnly val="1"/>
    <c:dispBlanksAs val="gap"/>
  </c:chart>
  <c:spPr>
    <a:solidFill>
      <a:srgbClr val="FFFFFF"/>
    </a:solidFill>
    <a:ln w="3175">
      <a:solidFill>
        <a:srgbClr val="000000"/>
      </a:solidFill>
      <a:prstDash val="solid"/>
    </a:ln>
  </c:spPr>
  <c:txPr>
    <a:bodyPr/>
    <a:lstStyle/>
    <a:p>
      <a:pPr>
        <a:defRPr sz="800" b="0" i="0" u="none" strike="noStrike" baseline="0">
          <a:solidFill>
            <a:srgbClr val="000000"/>
          </a:solidFill>
          <a:latin typeface="Akzidenz Grotesk Light"/>
          <a:ea typeface="Akzidenz Grotesk Light"/>
          <a:cs typeface="Akzidenz Grotesk Light"/>
        </a:defRPr>
      </a:pPr>
      <a:endParaRPr lang="en-US"/>
    </a:p>
  </c:txPr>
  <c:printSettings>
    <c:headerFooter alignWithMargins="0">
      <c:oddHeader>&amp;A</c:oddHeader>
      <c:oddFooter>Page &amp;P</c:oddFooter>
    </c:headerFooter>
    <c:pageMargins b="1" l="0.75000000000000011" r="0.75000000000000011" t="1" header="0.5" footer="0.5"/>
    <c:pageSetup/>
  </c:printSettings>
</c:chartSpace>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2.xml"/></Relationships>
</file>

<file path=xl/drawings/_rels/drawing5.xml.rels><?xml version="1.0" encoding="UTF-8" standalone="yes"?>
<Relationships xmlns="http://schemas.openxmlformats.org/package/2006/relationships"><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1" Type="http://schemas.openxmlformats.org/officeDocument/2006/relationships/chart" Target="../charts/chart4.xml"/></Relationships>
</file>

<file path=xl/drawings/_rels/drawing7.xml.rels><?xml version="1.0" encoding="UTF-8" standalone="yes"?>
<Relationships xmlns="http://schemas.openxmlformats.org/package/2006/relationships"><Relationship Id="rId1" Type="http://schemas.openxmlformats.org/officeDocument/2006/relationships/chart" Target="../charts/chart5.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xdr:from>
      <xdr:col>6</xdr:col>
      <xdr:colOff>114300</xdr:colOff>
      <xdr:row>22</xdr:row>
      <xdr:rowOff>38100</xdr:rowOff>
    </xdr:from>
    <xdr:to>
      <xdr:col>14</xdr:col>
      <xdr:colOff>742950</xdr:colOff>
      <xdr:row>25</xdr:row>
      <xdr:rowOff>152400</xdr:rowOff>
    </xdr:to>
    <xdr:sp macro="" textlink="">
      <xdr:nvSpPr>
        <xdr:cNvPr id="1036" name="Text 6"/>
        <xdr:cNvSpPr txBox="1">
          <a:spLocks noChangeArrowheads="1"/>
        </xdr:cNvSpPr>
      </xdr:nvSpPr>
      <xdr:spPr bwMode="auto">
        <a:xfrm>
          <a:off x="3990975" y="3771900"/>
          <a:ext cx="6505575" cy="600075"/>
        </a:xfrm>
        <a:prstGeom prst="rect">
          <a:avLst/>
        </a:prstGeom>
        <a:noFill/>
        <a:ln w="1">
          <a:noFill/>
          <a:miter lim="800000"/>
          <a:headEnd/>
          <a:tailEnd/>
        </a:ln>
      </xdr:spPr>
      <xdr:txBody>
        <a:bodyPr vertOverflow="clip" wrap="square" lIns="36576" tIns="22860" rIns="36576" bIns="0" anchor="t" upright="1"/>
        <a:lstStyle/>
        <a:p>
          <a:pPr algn="just" rtl="0">
            <a:defRPr sz="1000"/>
          </a:pPr>
          <a:r>
            <a:rPr lang="en-GB" sz="1200" b="0" i="0" u="none" strike="noStrike" baseline="0">
              <a:solidFill>
                <a:srgbClr val="FF0000"/>
              </a:solidFill>
              <a:latin typeface="Akzidenz Grotesk Light"/>
            </a:rPr>
            <a:t>Example 2</a:t>
          </a:r>
          <a:r>
            <a:rPr lang="en-GB" sz="1200" b="0" i="0" u="none" strike="noStrike" baseline="0">
              <a:solidFill>
                <a:srgbClr val="000000"/>
              </a:solidFill>
              <a:latin typeface="Akzidenz Grotesk Light"/>
            </a:rPr>
            <a:t> illustrates basic sector analysis.  Each obligor is allocated to only one sector.  In this example, countries are the sectors.  This assumes that each obligor is subject to only one systematic factor, which is responsible for all of the uncertainty of the obligor's default rate.</a:t>
          </a:r>
        </a:p>
      </xdr:txBody>
    </xdr:sp>
    <xdr:clientData/>
  </xdr:twoCellAnchor>
  <xdr:twoCellAnchor>
    <xdr:from>
      <xdr:col>6</xdr:col>
      <xdr:colOff>123825</xdr:colOff>
      <xdr:row>18</xdr:row>
      <xdr:rowOff>47625</xdr:rowOff>
    </xdr:from>
    <xdr:to>
      <xdr:col>14</xdr:col>
      <xdr:colOff>752475</xdr:colOff>
      <xdr:row>22</xdr:row>
      <xdr:rowOff>0</xdr:rowOff>
    </xdr:to>
    <xdr:sp macro="" textlink="">
      <xdr:nvSpPr>
        <xdr:cNvPr id="1038" name="Text 14"/>
        <xdr:cNvSpPr txBox="1">
          <a:spLocks noChangeArrowheads="1"/>
        </xdr:cNvSpPr>
      </xdr:nvSpPr>
      <xdr:spPr bwMode="auto">
        <a:xfrm>
          <a:off x="4000500" y="3133725"/>
          <a:ext cx="6505575" cy="600075"/>
        </a:xfrm>
        <a:prstGeom prst="rect">
          <a:avLst/>
        </a:prstGeom>
        <a:noFill/>
        <a:ln w="1">
          <a:noFill/>
          <a:miter lim="800000"/>
          <a:headEnd/>
          <a:tailEnd/>
        </a:ln>
      </xdr:spPr>
      <xdr:txBody>
        <a:bodyPr vertOverflow="clip" wrap="square" lIns="36576" tIns="22860" rIns="36576" bIns="0" anchor="t" upright="1"/>
        <a:lstStyle/>
        <a:p>
          <a:pPr algn="just" rtl="0">
            <a:defRPr sz="1000"/>
          </a:pPr>
          <a:r>
            <a:rPr lang="en-GB" sz="1200" b="0" i="0" u="none" strike="noStrike" baseline="0">
              <a:solidFill>
                <a:srgbClr val="FF0000"/>
              </a:solidFill>
              <a:latin typeface="Akzidenz Grotesk Light"/>
            </a:rPr>
            <a:t>Example 1C</a:t>
          </a:r>
          <a:r>
            <a:rPr lang="en-GB" sz="1200" b="0" i="0" u="none" strike="noStrike" baseline="0">
              <a:solidFill>
                <a:srgbClr val="000000"/>
              </a:solidFill>
              <a:latin typeface="Akzidenz Grotesk Light"/>
            </a:rPr>
            <a:t> illustrates the use of the model for analysing a portfolio over its hold to maturity time horizon. The initial data used in the other examples has been extended to show some of the exposures rolling off over a period of up to three years, and a term structure of default rates is used.</a:t>
          </a:r>
        </a:p>
      </xdr:txBody>
    </xdr:sp>
    <xdr:clientData/>
  </xdr:twoCellAnchor>
  <xdr:twoCellAnchor>
    <xdr:from>
      <xdr:col>4</xdr:col>
      <xdr:colOff>104775</xdr:colOff>
      <xdr:row>0</xdr:row>
      <xdr:rowOff>47625</xdr:rowOff>
    </xdr:from>
    <xdr:to>
      <xdr:col>7</xdr:col>
      <xdr:colOff>666750</xdr:colOff>
      <xdr:row>3</xdr:row>
      <xdr:rowOff>142875</xdr:rowOff>
    </xdr:to>
    <xdr:sp macro="" textlink="">
      <xdr:nvSpPr>
        <xdr:cNvPr id="1039" name="Text 15"/>
        <xdr:cNvSpPr txBox="1">
          <a:spLocks noChangeArrowheads="1"/>
        </xdr:cNvSpPr>
      </xdr:nvSpPr>
      <xdr:spPr bwMode="auto">
        <a:xfrm>
          <a:off x="2857500" y="47625"/>
          <a:ext cx="2095500" cy="581025"/>
        </a:xfrm>
        <a:prstGeom prst="rect">
          <a:avLst/>
        </a:prstGeom>
        <a:noFill/>
        <a:ln w="1">
          <a:noFill/>
          <a:miter lim="800000"/>
          <a:headEnd/>
          <a:tailEnd/>
        </a:ln>
      </xdr:spPr>
      <xdr:txBody>
        <a:bodyPr vertOverflow="clip" wrap="square" lIns="54864" tIns="41148" rIns="54864" bIns="0" anchor="t" upright="1"/>
        <a:lstStyle/>
        <a:p>
          <a:pPr algn="ctr" rtl="0">
            <a:defRPr sz="1000"/>
          </a:pPr>
          <a:r>
            <a:rPr lang="en-GB" sz="2400" b="1" i="0" u="none" strike="noStrike" baseline="0">
              <a:solidFill>
                <a:srgbClr val="000000"/>
              </a:solidFill>
              <a:latin typeface="Akzidenz Grotesk Light"/>
            </a:rPr>
            <a:t>C</a:t>
          </a:r>
          <a:r>
            <a:rPr lang="en-GB" sz="1800" b="1" i="0" u="none" strike="noStrike" baseline="0">
              <a:solidFill>
                <a:srgbClr val="000000"/>
              </a:solidFill>
              <a:latin typeface="Akzidenz Grotesk Light"/>
            </a:rPr>
            <a:t>REDIT</a:t>
          </a:r>
          <a:r>
            <a:rPr lang="en-GB" sz="2400" b="1" i="0" u="none" strike="noStrike" baseline="0">
              <a:solidFill>
                <a:srgbClr val="000000"/>
              </a:solidFill>
              <a:latin typeface="Akzidenz Grotesk Light"/>
            </a:rPr>
            <a:t>R</a:t>
          </a:r>
          <a:r>
            <a:rPr lang="en-GB" sz="1800" b="1" i="0" u="none" strike="noStrike" baseline="0">
              <a:solidFill>
                <a:srgbClr val="000000"/>
              </a:solidFill>
              <a:latin typeface="Akzidenz Grotesk Light"/>
            </a:rPr>
            <a:t>ISK</a:t>
          </a:r>
          <a:r>
            <a:rPr lang="en-GB" sz="2400" b="1" i="0" u="none" strike="noStrike" baseline="30000">
              <a:solidFill>
                <a:srgbClr val="000000"/>
              </a:solidFill>
              <a:latin typeface="Akzidenz Grotesk Light"/>
            </a:rPr>
            <a:t>+</a:t>
          </a:r>
        </a:p>
      </xdr:txBody>
    </xdr:sp>
    <xdr:clientData/>
  </xdr:twoCellAnchor>
  <xdr:twoCellAnchor>
    <xdr:from>
      <xdr:col>6</xdr:col>
      <xdr:colOff>142875</xdr:colOff>
      <xdr:row>6</xdr:row>
      <xdr:rowOff>123825</xdr:rowOff>
    </xdr:from>
    <xdr:to>
      <xdr:col>14</xdr:col>
      <xdr:colOff>771525</xdr:colOff>
      <xdr:row>10</xdr:row>
      <xdr:rowOff>19050</xdr:rowOff>
    </xdr:to>
    <xdr:sp macro="" textlink="">
      <xdr:nvSpPr>
        <xdr:cNvPr id="1042" name="Text 18"/>
        <xdr:cNvSpPr txBox="1">
          <a:spLocks noChangeArrowheads="1"/>
        </xdr:cNvSpPr>
      </xdr:nvSpPr>
      <xdr:spPr bwMode="auto">
        <a:xfrm>
          <a:off x="4019550" y="1266825"/>
          <a:ext cx="6505575" cy="542925"/>
        </a:xfrm>
        <a:prstGeom prst="rect">
          <a:avLst/>
        </a:prstGeom>
        <a:noFill/>
        <a:ln w="1">
          <a:noFill/>
          <a:miter lim="800000"/>
          <a:headEnd/>
          <a:tailEnd/>
        </a:ln>
      </xdr:spPr>
      <xdr:txBody>
        <a:bodyPr vertOverflow="clip" wrap="square" lIns="36576" tIns="22860" rIns="36576" bIns="0" anchor="t" upright="1"/>
        <a:lstStyle/>
        <a:p>
          <a:pPr algn="just" rtl="0">
            <a:defRPr sz="1000"/>
          </a:pPr>
          <a:r>
            <a:rPr lang="en-GB" sz="1200" b="0" i="0" u="none" strike="noStrike" baseline="0">
              <a:solidFill>
                <a:srgbClr val="000000"/>
              </a:solidFill>
              <a:latin typeface="Akzidenz Grotesk Light"/>
            </a:rPr>
            <a:t>The static data consists of an example portfolio of 25 obligors, together with default rates and default rate volatilities assigned via an example system of credit ratings.</a:t>
          </a:r>
        </a:p>
      </xdr:txBody>
    </xdr:sp>
    <xdr:clientData/>
  </xdr:twoCellAnchor>
  <xdr:twoCellAnchor>
    <xdr:from>
      <xdr:col>6</xdr:col>
      <xdr:colOff>142875</xdr:colOff>
      <xdr:row>10</xdr:row>
      <xdr:rowOff>47625</xdr:rowOff>
    </xdr:from>
    <xdr:to>
      <xdr:col>14</xdr:col>
      <xdr:colOff>762000</xdr:colOff>
      <xdr:row>13</xdr:row>
      <xdr:rowOff>133350</xdr:rowOff>
    </xdr:to>
    <xdr:sp macro="" textlink="">
      <xdr:nvSpPr>
        <xdr:cNvPr id="1044" name="Text 20"/>
        <xdr:cNvSpPr txBox="1">
          <a:spLocks noChangeArrowheads="1"/>
        </xdr:cNvSpPr>
      </xdr:nvSpPr>
      <xdr:spPr bwMode="auto">
        <a:xfrm>
          <a:off x="4019550" y="1838325"/>
          <a:ext cx="6496050" cy="571500"/>
        </a:xfrm>
        <a:prstGeom prst="rect">
          <a:avLst/>
        </a:prstGeom>
        <a:noFill/>
        <a:ln w="1">
          <a:noFill/>
          <a:miter lim="800000"/>
          <a:headEnd/>
          <a:tailEnd/>
        </a:ln>
      </xdr:spPr>
      <xdr:txBody>
        <a:bodyPr vertOverflow="clip" wrap="square" lIns="36576" tIns="22860" rIns="36576" bIns="0" anchor="t" upright="1"/>
        <a:lstStyle/>
        <a:p>
          <a:pPr algn="just" rtl="0">
            <a:defRPr sz="1000"/>
          </a:pPr>
          <a:r>
            <a:rPr lang="en-GB" sz="1200" b="0" i="0" u="none" strike="noStrike" baseline="0">
              <a:solidFill>
                <a:srgbClr val="FF0000"/>
              </a:solidFill>
              <a:latin typeface="Akzidenz Grotesk Light"/>
            </a:rPr>
            <a:t>Example 1A </a:t>
          </a:r>
          <a:r>
            <a:rPr lang="en-GB" sz="1200" b="0" i="0" u="none" strike="noStrike" baseline="0">
              <a:solidFill>
                <a:srgbClr val="000000"/>
              </a:solidFill>
              <a:latin typeface="Akzidenz Grotesk Light"/>
            </a:rPr>
            <a:t>analyses the portfolio using simple assumptions: all obligors are assigned to a single sector. The full loss distribution is calculated together with percentiles of the loss distribution, which assess the relative risk of different levels of loss, and a risk contribution for each obligor.</a:t>
          </a:r>
        </a:p>
      </xdr:txBody>
    </xdr:sp>
    <xdr:clientData/>
  </xdr:twoCellAnchor>
  <xdr:twoCellAnchor>
    <xdr:from>
      <xdr:col>6</xdr:col>
      <xdr:colOff>133350</xdr:colOff>
      <xdr:row>14</xdr:row>
      <xdr:rowOff>38100</xdr:rowOff>
    </xdr:from>
    <xdr:to>
      <xdr:col>14</xdr:col>
      <xdr:colOff>771525</xdr:colOff>
      <xdr:row>17</xdr:row>
      <xdr:rowOff>142875</xdr:rowOff>
    </xdr:to>
    <xdr:sp macro="" textlink="">
      <xdr:nvSpPr>
        <xdr:cNvPr id="1045" name="Text 21"/>
        <xdr:cNvSpPr txBox="1">
          <a:spLocks noChangeArrowheads="1"/>
        </xdr:cNvSpPr>
      </xdr:nvSpPr>
      <xdr:spPr bwMode="auto">
        <a:xfrm>
          <a:off x="4010025" y="2476500"/>
          <a:ext cx="6515100" cy="590550"/>
        </a:xfrm>
        <a:prstGeom prst="rect">
          <a:avLst/>
        </a:prstGeom>
        <a:noFill/>
        <a:ln w="1">
          <a:noFill/>
          <a:miter lim="800000"/>
          <a:headEnd/>
          <a:tailEnd/>
        </a:ln>
      </xdr:spPr>
      <xdr:txBody>
        <a:bodyPr vertOverflow="clip" wrap="square" lIns="36576" tIns="22860" rIns="36576" bIns="0" anchor="t" upright="1"/>
        <a:lstStyle/>
        <a:p>
          <a:pPr algn="just" rtl="0">
            <a:defRPr sz="1000"/>
          </a:pPr>
          <a:r>
            <a:rPr lang="en-GB" sz="1200" b="0" i="0" u="none" strike="noStrike" baseline="0">
              <a:solidFill>
                <a:srgbClr val="FF0000"/>
              </a:solidFill>
              <a:latin typeface="Akzidenz Grotesk Light"/>
            </a:rPr>
            <a:t>Example 1B</a:t>
          </a:r>
          <a:r>
            <a:rPr lang="en-GB" sz="1200" b="0" i="0" u="none" strike="noStrike" baseline="0">
              <a:solidFill>
                <a:srgbClr val="000000"/>
              </a:solidFill>
              <a:latin typeface="Akzidenz Grotesk Light"/>
            </a:rPr>
            <a:t> uses risk contributions to examine the effect of removing obligors from the portfolio. Example 1B illustrates how obligors requiring a large amount of capital can be identified. In practice, such obligors can be managed using credit derivatives.</a:t>
          </a:r>
        </a:p>
      </xdr:txBody>
    </xdr:sp>
    <xdr:clientData/>
  </xdr:twoCellAnchor>
  <xdr:twoCellAnchor>
    <xdr:from>
      <xdr:col>6</xdr:col>
      <xdr:colOff>104775</xdr:colOff>
      <xdr:row>26</xdr:row>
      <xdr:rowOff>9525</xdr:rowOff>
    </xdr:from>
    <xdr:to>
      <xdr:col>14</xdr:col>
      <xdr:colOff>742950</xdr:colOff>
      <xdr:row>30</xdr:row>
      <xdr:rowOff>19050</xdr:rowOff>
    </xdr:to>
    <xdr:sp macro="" textlink="">
      <xdr:nvSpPr>
        <xdr:cNvPr id="1046" name="Text 22"/>
        <xdr:cNvSpPr txBox="1">
          <a:spLocks noChangeArrowheads="1"/>
        </xdr:cNvSpPr>
      </xdr:nvSpPr>
      <xdr:spPr bwMode="auto">
        <a:xfrm>
          <a:off x="3981450" y="4391025"/>
          <a:ext cx="6515100" cy="657225"/>
        </a:xfrm>
        <a:prstGeom prst="rect">
          <a:avLst/>
        </a:prstGeom>
        <a:noFill/>
        <a:ln w="1">
          <a:noFill/>
          <a:miter lim="800000"/>
          <a:headEnd/>
          <a:tailEnd/>
        </a:ln>
      </xdr:spPr>
      <xdr:txBody>
        <a:bodyPr vertOverflow="clip" wrap="square" lIns="36576" tIns="22860" rIns="36576" bIns="0" anchor="t" upright="1"/>
        <a:lstStyle/>
        <a:p>
          <a:pPr algn="just" rtl="0">
            <a:defRPr sz="1000"/>
          </a:pPr>
          <a:r>
            <a:rPr lang="en-GB" sz="1200" b="0" i="0" u="none" strike="noStrike" baseline="0">
              <a:solidFill>
                <a:srgbClr val="FF0000"/>
              </a:solidFill>
              <a:latin typeface="Akzidenz Grotesk Light"/>
            </a:rPr>
            <a:t>Example 3 </a:t>
          </a:r>
          <a:r>
            <a:rPr lang="en-GB" sz="1200" b="0" i="0" u="none" strike="noStrike" baseline="0">
              <a:solidFill>
                <a:srgbClr val="000000"/>
              </a:solidFill>
              <a:latin typeface="Akzidenz Grotesk Light"/>
            </a:rPr>
            <a:t>illustrates general sector analysis.  Obligor credit risk is apportioned between different sectors.  General sector analysis allows for the fact that a number of independent systematic factors may influence the fortunes of obligors.</a:t>
          </a:r>
        </a:p>
      </xdr:txBody>
    </xdr:sp>
    <xdr:clientData/>
  </xdr:twoCellAnchor>
  <xdr:twoCellAnchor>
    <xdr:from>
      <xdr:col>6</xdr:col>
      <xdr:colOff>123825</xdr:colOff>
      <xdr:row>30</xdr:row>
      <xdr:rowOff>19050</xdr:rowOff>
    </xdr:from>
    <xdr:to>
      <xdr:col>14</xdr:col>
      <xdr:colOff>704850</xdr:colOff>
      <xdr:row>32</xdr:row>
      <xdr:rowOff>47625</xdr:rowOff>
    </xdr:to>
    <xdr:sp macro="" textlink="">
      <xdr:nvSpPr>
        <xdr:cNvPr id="1048" name="Text 24"/>
        <xdr:cNvSpPr txBox="1">
          <a:spLocks noChangeArrowheads="1"/>
        </xdr:cNvSpPr>
      </xdr:nvSpPr>
      <xdr:spPr bwMode="auto">
        <a:xfrm>
          <a:off x="4000500" y="5048250"/>
          <a:ext cx="6457950" cy="352425"/>
        </a:xfrm>
        <a:prstGeom prst="rect">
          <a:avLst/>
        </a:prstGeom>
        <a:noFill/>
        <a:ln w="1">
          <a:noFill/>
          <a:miter lim="800000"/>
          <a:headEnd/>
          <a:tailEnd/>
        </a:ln>
      </xdr:spPr>
      <xdr:txBody>
        <a:bodyPr vertOverflow="clip" wrap="square" lIns="36576" tIns="22860" rIns="36576" bIns="0" anchor="t" upright="1"/>
        <a:lstStyle/>
        <a:p>
          <a:pPr algn="just" rtl="0">
            <a:defRPr sz="1000"/>
          </a:pPr>
          <a:r>
            <a:rPr lang="en-GB" sz="1200" b="0" i="0" u="none" strike="noStrike" baseline="0">
              <a:solidFill>
                <a:srgbClr val="000000"/>
              </a:solidFill>
              <a:latin typeface="Akzidenz Grotesk Light"/>
            </a:rPr>
            <a:t>A</a:t>
          </a:r>
          <a:r>
            <a:rPr lang="en-GB" sz="1200" b="0" i="0" u="none" strike="noStrike" baseline="0">
              <a:solidFill>
                <a:srgbClr val="FF0000"/>
              </a:solidFill>
              <a:latin typeface="Akzidenz Grotesk Light"/>
            </a:rPr>
            <a:t> Blank Template </a:t>
          </a:r>
          <a:r>
            <a:rPr lang="en-GB" sz="1200" b="0" i="0" u="none" strike="noStrike" baseline="0">
              <a:solidFill>
                <a:srgbClr val="000000"/>
              </a:solidFill>
              <a:latin typeface="Akzidenz Grotesk Light"/>
            </a:rPr>
            <a:t>sheet is provided to enable users to input their own data.</a:t>
          </a:r>
        </a:p>
      </xdr:txBody>
    </xdr:sp>
    <xdr:clientData/>
  </xdr:twoCellAnchor>
  <xdr:twoCellAnchor>
    <xdr:from>
      <xdr:col>0</xdr:col>
      <xdr:colOff>590550</xdr:colOff>
      <xdr:row>34</xdr:row>
      <xdr:rowOff>76200</xdr:rowOff>
    </xdr:from>
    <xdr:to>
      <xdr:col>15</xdr:col>
      <xdr:colOff>0</xdr:colOff>
      <xdr:row>45</xdr:row>
      <xdr:rowOff>123825</xdr:rowOff>
    </xdr:to>
    <xdr:sp macro="" textlink="">
      <xdr:nvSpPr>
        <xdr:cNvPr id="1049" name="Text 25"/>
        <xdr:cNvSpPr txBox="1">
          <a:spLocks noChangeArrowheads="1"/>
        </xdr:cNvSpPr>
      </xdr:nvSpPr>
      <xdr:spPr bwMode="auto">
        <a:xfrm>
          <a:off x="590550" y="5753100"/>
          <a:ext cx="9944100" cy="1828800"/>
        </a:xfrm>
        <a:prstGeom prst="rect">
          <a:avLst/>
        </a:prstGeom>
        <a:noFill/>
        <a:ln w="1">
          <a:noFill/>
          <a:miter lim="800000"/>
          <a:headEnd/>
          <a:tailEnd/>
        </a:ln>
      </xdr:spPr>
      <xdr:txBody>
        <a:bodyPr vertOverflow="clip" wrap="square" lIns="27432" tIns="22860" rIns="27432" bIns="0" anchor="t" upright="1"/>
        <a:lstStyle/>
        <a:p>
          <a:pPr algn="just" rtl="0">
            <a:defRPr sz="1000"/>
          </a:pPr>
          <a:r>
            <a:rPr lang="en-GB" sz="1000" b="0" i="0" u="none" strike="noStrike" baseline="0">
              <a:solidFill>
                <a:srgbClr val="000000"/>
              </a:solidFill>
              <a:latin typeface="Akzidenz Grotesk Light"/>
            </a:rPr>
            <a:t>C</a:t>
          </a:r>
          <a:r>
            <a:rPr lang="en-GB" sz="800" b="0" i="0" u="none" strike="noStrike" baseline="0">
              <a:solidFill>
                <a:srgbClr val="000000"/>
              </a:solidFill>
              <a:latin typeface="Akzidenz Grotesk Light"/>
            </a:rPr>
            <a:t>REDIT</a:t>
          </a:r>
          <a:r>
            <a:rPr lang="en-GB" sz="1000" b="0" i="0" u="none" strike="noStrike" baseline="0">
              <a:solidFill>
                <a:srgbClr val="000000"/>
              </a:solidFill>
              <a:latin typeface="Akzidenz Grotesk Light"/>
            </a:rPr>
            <a:t>R</a:t>
          </a:r>
          <a:r>
            <a:rPr lang="en-GB" sz="800" b="0" i="0" u="none" strike="noStrike" baseline="0">
              <a:solidFill>
                <a:srgbClr val="000000"/>
              </a:solidFill>
              <a:latin typeface="Akzidenz Grotesk Light"/>
            </a:rPr>
            <a:t>ISK</a:t>
          </a:r>
          <a:r>
            <a:rPr lang="en-GB" sz="1000" b="0" i="0" u="none" strike="noStrike" baseline="0">
              <a:solidFill>
                <a:srgbClr val="000000"/>
              </a:solidFill>
              <a:latin typeface="Akzidenz Grotesk Light"/>
            </a:rPr>
            <a:t>+ is a trademark of Credit Suisse Financial Products in countries of use.</a:t>
          </a:r>
        </a:p>
        <a:p>
          <a:pPr algn="just" rtl="0">
            <a:defRPr sz="1000"/>
          </a:pPr>
          <a:endParaRPr lang="en-GB" sz="1000" b="0" i="0" u="none" strike="noStrike" baseline="0">
            <a:solidFill>
              <a:srgbClr val="000000"/>
            </a:solidFill>
            <a:latin typeface="Akzidenz Grotesk Light"/>
          </a:endParaRPr>
        </a:p>
        <a:p>
          <a:pPr algn="just" rtl="0">
            <a:defRPr sz="1000"/>
          </a:pPr>
          <a:r>
            <a:rPr lang="en-GB" sz="1000" b="0" i="0" u="none" strike="noStrike" baseline="0">
              <a:solidFill>
                <a:srgbClr val="000000"/>
              </a:solidFill>
              <a:latin typeface="Akzidenz Grotesk Light"/>
            </a:rPr>
            <a:t>C</a:t>
          </a:r>
          <a:r>
            <a:rPr lang="en-GB" sz="800" b="0" i="0" u="none" strike="noStrike" baseline="0">
              <a:solidFill>
                <a:srgbClr val="000000"/>
              </a:solidFill>
              <a:latin typeface="Akzidenz Grotesk Light"/>
            </a:rPr>
            <a:t>REDIT</a:t>
          </a:r>
          <a:r>
            <a:rPr lang="en-GB" sz="1000" b="0" i="0" u="none" strike="noStrike" baseline="0">
              <a:solidFill>
                <a:srgbClr val="000000"/>
              </a:solidFill>
              <a:latin typeface="Akzidenz Grotesk Light"/>
            </a:rPr>
            <a:t>R</a:t>
          </a:r>
          <a:r>
            <a:rPr lang="en-GB" sz="800" b="0" i="0" u="none" strike="noStrike" baseline="0">
              <a:solidFill>
                <a:srgbClr val="000000"/>
              </a:solidFill>
              <a:latin typeface="Akzidenz Grotesk Light"/>
            </a:rPr>
            <a:t>ISK</a:t>
          </a:r>
          <a:r>
            <a:rPr lang="en-GB" sz="1000" b="0" i="0" u="none" strike="noStrike" baseline="0">
              <a:solidFill>
                <a:srgbClr val="000000"/>
              </a:solidFill>
              <a:latin typeface="Akzidenz Grotesk Light"/>
            </a:rPr>
            <a:t>+ as described in this document ("C</a:t>
          </a:r>
          <a:r>
            <a:rPr lang="en-GB" sz="800" b="0" i="0" u="none" strike="noStrike" baseline="0">
              <a:solidFill>
                <a:srgbClr val="000000"/>
              </a:solidFill>
              <a:latin typeface="Akzidenz Grotesk Light"/>
            </a:rPr>
            <a:t>REDIT</a:t>
          </a:r>
          <a:r>
            <a:rPr lang="en-GB" sz="1000" b="0" i="0" u="none" strike="noStrike" baseline="0">
              <a:solidFill>
                <a:srgbClr val="000000"/>
              </a:solidFill>
              <a:latin typeface="Akzidenz Grotesk Light"/>
            </a:rPr>
            <a:t>R</a:t>
          </a:r>
          <a:r>
            <a:rPr lang="en-GB" sz="800" b="0" i="0" u="none" strike="noStrike" baseline="0">
              <a:solidFill>
                <a:srgbClr val="000000"/>
              </a:solidFill>
              <a:latin typeface="Akzidenz Grotesk Light"/>
            </a:rPr>
            <a:t>ISK</a:t>
          </a:r>
          <a:r>
            <a:rPr lang="en-GB" sz="1000" b="0" i="0" u="none" strike="noStrike" baseline="0">
              <a:solidFill>
                <a:srgbClr val="000000"/>
              </a:solidFill>
              <a:latin typeface="Akzidenz Grotesk Light"/>
            </a:rPr>
            <a:t>+") is a method of credit risk management introduced by Credit Suisse Group.  No representation or warranty, express or implied, is made by Credit Suisse Financial Products or any other Credit Suisse Group company as to the accuracy, completeness, or fitness for any particular purpose of C</a:t>
          </a:r>
          <a:r>
            <a:rPr lang="en-GB" sz="800" b="0" i="0" u="none" strike="noStrike" baseline="0">
              <a:solidFill>
                <a:srgbClr val="000000"/>
              </a:solidFill>
              <a:latin typeface="Akzidenz Grotesk Light"/>
            </a:rPr>
            <a:t>REDIT</a:t>
          </a:r>
          <a:r>
            <a:rPr lang="en-GB" sz="1000" b="0" i="0" u="none" strike="noStrike" baseline="0">
              <a:solidFill>
                <a:srgbClr val="000000"/>
              </a:solidFill>
              <a:latin typeface="Akzidenz Grotesk Light"/>
            </a:rPr>
            <a:t>R</a:t>
          </a:r>
          <a:r>
            <a:rPr lang="en-GB" sz="800" b="0" i="0" u="none" strike="noStrike" baseline="0">
              <a:solidFill>
                <a:srgbClr val="000000"/>
              </a:solidFill>
              <a:latin typeface="Akzidenz Grotesk Light"/>
            </a:rPr>
            <a:t>ISK</a:t>
          </a:r>
          <a:r>
            <a:rPr lang="en-GB" sz="1000" b="0" i="0" u="none" strike="noStrike" baseline="0">
              <a:solidFill>
                <a:srgbClr val="000000"/>
              </a:solidFill>
              <a:latin typeface="Akzidenz Grotesk Light"/>
            </a:rPr>
            <a:t>+.  Under no circumstances shall Credit Suisse Financial Products or any other Credit Suisse Group company have any liability to any other person or any entity for (a) any loss, damage or other injury in whole or in part caused by, resulting from or relating to, any error (negligent or otherwise), of Credit Suisse Financial Products or any other Credit Suisse Group company in connection with the compilation, analysis, interpretation, communication, publication or delivery of C</a:t>
          </a:r>
          <a:r>
            <a:rPr lang="en-GB" sz="800" b="0" i="0" u="none" strike="noStrike" baseline="0">
              <a:solidFill>
                <a:srgbClr val="000000"/>
              </a:solidFill>
              <a:latin typeface="Akzidenz Grotesk Light"/>
            </a:rPr>
            <a:t>REDIT</a:t>
          </a:r>
          <a:r>
            <a:rPr lang="en-GB" sz="1000" b="0" i="0" u="none" strike="noStrike" baseline="0">
              <a:solidFill>
                <a:srgbClr val="000000"/>
              </a:solidFill>
              <a:latin typeface="Akzidenz Grotesk Light"/>
            </a:rPr>
            <a:t>R</a:t>
          </a:r>
          <a:r>
            <a:rPr lang="en-GB" sz="800" b="0" i="0" u="none" strike="noStrike" baseline="0">
              <a:solidFill>
                <a:srgbClr val="000000"/>
              </a:solidFill>
              <a:latin typeface="Akzidenz Grotesk Light"/>
            </a:rPr>
            <a:t>ISK</a:t>
          </a:r>
          <a:r>
            <a:rPr lang="en-GB" sz="1000" b="0" i="0" u="none" strike="noStrike" baseline="0">
              <a:solidFill>
                <a:srgbClr val="000000"/>
              </a:solidFill>
              <a:latin typeface="Akzidenz Grotesk Light"/>
            </a:rPr>
            <a:t>+, or (b) any direct, indirect, special, consequential, incidental or compensatory damages whatsoever (including, without limitation, lost profits), in either case caused by reliance upon or otherwise resulting from or relating to the use of (including the inability to use) C</a:t>
          </a:r>
          <a:r>
            <a:rPr lang="en-GB" sz="800" b="0" i="0" u="none" strike="noStrike" baseline="0">
              <a:solidFill>
                <a:srgbClr val="000000"/>
              </a:solidFill>
              <a:latin typeface="Akzidenz Grotesk Light"/>
            </a:rPr>
            <a:t>REDIT</a:t>
          </a:r>
          <a:r>
            <a:rPr lang="en-GB" sz="1000" b="0" i="0" u="none" strike="noStrike" baseline="0">
              <a:solidFill>
                <a:srgbClr val="000000"/>
              </a:solidFill>
              <a:latin typeface="Akzidenz Grotesk Light"/>
            </a:rPr>
            <a:t>R</a:t>
          </a:r>
          <a:r>
            <a:rPr lang="en-GB" sz="800" b="0" i="0" u="none" strike="noStrike" baseline="0">
              <a:solidFill>
                <a:srgbClr val="000000"/>
              </a:solidFill>
              <a:latin typeface="Akzidenz Grotesk Light"/>
            </a:rPr>
            <a:t>ISK</a:t>
          </a:r>
          <a:r>
            <a:rPr lang="en-GB" sz="1000" b="0" i="0" u="none" strike="noStrike" baseline="0">
              <a:solidFill>
                <a:srgbClr val="000000"/>
              </a:solidFill>
              <a:latin typeface="Akzidenz Grotesk Light"/>
            </a:rPr>
            <a:t>+.</a:t>
          </a:r>
        </a:p>
        <a:p>
          <a:pPr algn="just" rtl="0">
            <a:defRPr sz="1000"/>
          </a:pPr>
          <a:endParaRPr lang="en-GB" sz="1000" b="0" i="0" u="none" strike="noStrike" baseline="0">
            <a:solidFill>
              <a:srgbClr val="000000"/>
            </a:solidFill>
            <a:latin typeface="Akzidenz Grotesk Light"/>
          </a:endParaRPr>
        </a:p>
        <a:p>
          <a:pPr algn="just" rtl="0">
            <a:defRPr sz="1000"/>
          </a:pPr>
          <a:r>
            <a:rPr lang="en-GB" sz="1000" b="0" i="0" u="none" strike="noStrike" baseline="0">
              <a:solidFill>
                <a:srgbClr val="000000"/>
              </a:solidFill>
              <a:latin typeface="Akzidenz Grotesk Light"/>
            </a:rPr>
            <a:t>Issued and approved by Credit Suisse Financial Products for the purposes of Section 57, Financial Services Act 1986. Regulated by the Securities and Futures Authority. The products and services referred to are not available to private customers.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9525</xdr:colOff>
      <xdr:row>1</xdr:row>
      <xdr:rowOff>85725</xdr:rowOff>
    </xdr:from>
    <xdr:to>
      <xdr:col>9</xdr:col>
      <xdr:colOff>590550</xdr:colOff>
      <xdr:row>6</xdr:row>
      <xdr:rowOff>9525</xdr:rowOff>
    </xdr:to>
    <xdr:sp macro="" textlink="">
      <xdr:nvSpPr>
        <xdr:cNvPr id="2049" name="Text 1"/>
        <xdr:cNvSpPr txBox="1">
          <a:spLocks noChangeArrowheads="1"/>
        </xdr:cNvSpPr>
      </xdr:nvSpPr>
      <xdr:spPr bwMode="auto">
        <a:xfrm>
          <a:off x="3914775" y="247650"/>
          <a:ext cx="2790825" cy="733425"/>
        </a:xfrm>
        <a:prstGeom prst="rect">
          <a:avLst/>
        </a:prstGeom>
        <a:solidFill>
          <a:srgbClr val="00FFFF"/>
        </a:solidFill>
        <a:ln w="1">
          <a:noFill/>
          <a:miter lim="800000"/>
          <a:headEnd/>
          <a:tailEnd/>
        </a:ln>
      </xdr:spPr>
      <xdr:txBody>
        <a:bodyPr vertOverflow="clip" wrap="square" lIns="36576" tIns="27432" rIns="36576" bIns="0" anchor="t" upright="1"/>
        <a:lstStyle/>
        <a:p>
          <a:pPr algn="just" rtl="0">
            <a:defRPr sz="1000"/>
          </a:pPr>
          <a:r>
            <a:rPr lang="en-GB" sz="1200" b="1" i="0" u="none" strike="noStrike" baseline="0">
              <a:solidFill>
                <a:srgbClr val="000000"/>
              </a:solidFill>
              <a:latin typeface="Akzidenz Grotesk Light"/>
            </a:rPr>
            <a:t>Static Data</a:t>
          </a:r>
          <a:endParaRPr lang="en-GB" sz="1000" b="0" i="0" u="none" strike="noStrike" baseline="0">
            <a:solidFill>
              <a:srgbClr val="000000"/>
            </a:solidFill>
            <a:latin typeface="Akzidenz Grotesk Light"/>
          </a:endParaRPr>
        </a:p>
        <a:p>
          <a:pPr algn="just" rtl="0">
            <a:defRPr sz="1000"/>
          </a:pPr>
          <a:r>
            <a:rPr lang="en-GB" sz="1000" b="0" i="0" u="none" strike="noStrike" baseline="0">
              <a:solidFill>
                <a:srgbClr val="000000"/>
              </a:solidFill>
              <a:latin typeface="Akzidenz Grotesk Light"/>
            </a:rPr>
            <a:t>The table below is used to used to generate a mean default rate and default rate standard deviation given the credit rating of an obligor.</a:t>
          </a:r>
        </a:p>
      </xdr:txBody>
    </xdr:sp>
    <xdr:clientData/>
  </xdr:twoCellAnchor>
  <xdr:twoCellAnchor>
    <xdr:from>
      <xdr:col>1</xdr:col>
      <xdr:colOff>9525</xdr:colOff>
      <xdr:row>1</xdr:row>
      <xdr:rowOff>85725</xdr:rowOff>
    </xdr:from>
    <xdr:to>
      <xdr:col>5</xdr:col>
      <xdr:colOff>123825</xdr:colOff>
      <xdr:row>6</xdr:row>
      <xdr:rowOff>19050</xdr:rowOff>
    </xdr:to>
    <xdr:sp macro="" textlink="">
      <xdr:nvSpPr>
        <xdr:cNvPr id="2051" name="Text 3"/>
        <xdr:cNvSpPr txBox="1">
          <a:spLocks noChangeArrowheads="1"/>
        </xdr:cNvSpPr>
      </xdr:nvSpPr>
      <xdr:spPr bwMode="auto">
        <a:xfrm>
          <a:off x="619125" y="247650"/>
          <a:ext cx="2800350" cy="742950"/>
        </a:xfrm>
        <a:prstGeom prst="rect">
          <a:avLst/>
        </a:prstGeom>
        <a:solidFill>
          <a:srgbClr val="00FFFF"/>
        </a:solidFill>
        <a:ln w="1">
          <a:noFill/>
          <a:miter lim="800000"/>
          <a:headEnd/>
          <a:tailEnd/>
        </a:ln>
      </xdr:spPr>
      <xdr:txBody>
        <a:bodyPr vertOverflow="clip" wrap="square" lIns="36576" tIns="27432" rIns="36576" bIns="0" anchor="t" upright="1"/>
        <a:lstStyle/>
        <a:p>
          <a:pPr algn="just" rtl="0">
            <a:defRPr sz="1000"/>
          </a:pPr>
          <a:r>
            <a:rPr lang="en-GB" sz="1200" b="1" i="0" u="none" strike="noStrike" baseline="0">
              <a:solidFill>
                <a:srgbClr val="000000"/>
              </a:solidFill>
              <a:latin typeface="Akzidenz Grotesk Light"/>
            </a:rPr>
            <a:t>Obligor Details</a:t>
          </a:r>
          <a:endParaRPr lang="en-GB" sz="1000" b="0" i="0" u="none" strike="noStrike" baseline="0">
            <a:solidFill>
              <a:srgbClr val="000000"/>
            </a:solidFill>
            <a:latin typeface="Akzidenz Grotesk Light"/>
          </a:endParaRPr>
        </a:p>
        <a:p>
          <a:pPr algn="just" rtl="0">
            <a:defRPr sz="1000"/>
          </a:pPr>
          <a:r>
            <a:rPr lang="en-GB" sz="1000" b="0" i="0" u="none" strike="noStrike" baseline="0">
              <a:solidFill>
                <a:srgbClr val="000000"/>
              </a:solidFill>
              <a:latin typeface="Akzidenz Grotesk Light"/>
            </a:rPr>
            <a:t>The table below contains the exposure and credit rating of each obligor in the portfolio.</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17</xdr:col>
      <xdr:colOff>152400</xdr:colOff>
      <xdr:row>7</xdr:row>
      <xdr:rowOff>0</xdr:rowOff>
    </xdr:from>
    <xdr:to>
      <xdr:col>28</xdr:col>
      <xdr:colOff>152400</xdr:colOff>
      <xdr:row>40</xdr:row>
      <xdr:rowOff>9525</xdr:rowOff>
    </xdr:to>
    <xdr:graphicFrame macro="">
      <xdr:nvGraphicFramePr>
        <xdr:cNvPr id="3075"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57150</xdr:colOff>
      <xdr:row>1</xdr:row>
      <xdr:rowOff>28575</xdr:rowOff>
    </xdr:from>
    <xdr:to>
      <xdr:col>7</xdr:col>
      <xdr:colOff>19050</xdr:colOff>
      <xdr:row>5</xdr:row>
      <xdr:rowOff>76200</xdr:rowOff>
    </xdr:to>
    <xdr:sp macro="" textlink="">
      <xdr:nvSpPr>
        <xdr:cNvPr id="3077" name="Text 5"/>
        <xdr:cNvSpPr txBox="1">
          <a:spLocks noChangeArrowheads="1"/>
        </xdr:cNvSpPr>
      </xdr:nvSpPr>
      <xdr:spPr bwMode="auto">
        <a:xfrm>
          <a:off x="276225" y="190500"/>
          <a:ext cx="4324350" cy="695325"/>
        </a:xfrm>
        <a:prstGeom prst="rect">
          <a:avLst/>
        </a:prstGeom>
        <a:solidFill>
          <a:srgbClr val="00FFFF"/>
        </a:solidFill>
        <a:ln w="1">
          <a:noFill/>
          <a:miter lim="800000"/>
          <a:headEnd/>
          <a:tailEnd/>
        </a:ln>
      </xdr:spPr>
      <xdr:txBody>
        <a:bodyPr vertOverflow="clip" wrap="square" lIns="36576" tIns="27432" rIns="0" bIns="0" anchor="t" upright="1"/>
        <a:lstStyle/>
        <a:p>
          <a:pPr algn="l" rtl="0">
            <a:defRPr sz="1000"/>
          </a:pPr>
          <a:r>
            <a:rPr lang="en-GB" sz="1200" b="1" i="0" u="none" strike="noStrike" baseline="0">
              <a:solidFill>
                <a:srgbClr val="000000"/>
              </a:solidFill>
              <a:latin typeface="Akzidenz Grotesk Light"/>
            </a:rPr>
            <a:t>Example 1A - All obligors allocated to a single sector</a:t>
          </a:r>
          <a:endParaRPr lang="en-GB" sz="1000" b="0" i="0" u="none" strike="noStrike" baseline="0">
            <a:solidFill>
              <a:srgbClr val="000000"/>
            </a:solidFill>
            <a:latin typeface="Akzidenz Grotesk Light"/>
          </a:endParaRPr>
        </a:p>
        <a:p>
          <a:pPr algn="l" rtl="0">
            <a:defRPr sz="1000"/>
          </a:pPr>
          <a:r>
            <a:rPr lang="en-GB" sz="1000" b="0" i="0" u="none" strike="noStrike" baseline="0">
              <a:solidFill>
                <a:srgbClr val="000000"/>
              </a:solidFill>
              <a:latin typeface="Akzidenz Grotesk Light"/>
            </a:rPr>
            <a:t>In example 1A each obligor is allocated to a single sector.</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18</xdr:col>
      <xdr:colOff>0</xdr:colOff>
      <xdr:row>6</xdr:row>
      <xdr:rowOff>247650</xdr:rowOff>
    </xdr:from>
    <xdr:to>
      <xdr:col>29</xdr:col>
      <xdr:colOff>0</xdr:colOff>
      <xdr:row>40</xdr:row>
      <xdr:rowOff>0</xdr:rowOff>
    </xdr:to>
    <xdr:graphicFrame macro="">
      <xdr:nvGraphicFramePr>
        <xdr:cNvPr id="4099"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28575</xdr:colOff>
      <xdr:row>1</xdr:row>
      <xdr:rowOff>9525</xdr:rowOff>
    </xdr:from>
    <xdr:to>
      <xdr:col>7</xdr:col>
      <xdr:colOff>0</xdr:colOff>
      <xdr:row>5</xdr:row>
      <xdr:rowOff>114300</xdr:rowOff>
    </xdr:to>
    <xdr:sp macro="" textlink="">
      <xdr:nvSpPr>
        <xdr:cNvPr id="4101" name="Text 5"/>
        <xdr:cNvSpPr txBox="1">
          <a:spLocks noChangeArrowheads="1"/>
        </xdr:cNvSpPr>
      </xdr:nvSpPr>
      <xdr:spPr bwMode="auto">
        <a:xfrm>
          <a:off x="247650" y="171450"/>
          <a:ext cx="4629150" cy="752475"/>
        </a:xfrm>
        <a:prstGeom prst="rect">
          <a:avLst/>
        </a:prstGeom>
        <a:solidFill>
          <a:srgbClr val="00FFFF"/>
        </a:solidFill>
        <a:ln w="1">
          <a:noFill/>
          <a:miter lim="800000"/>
          <a:headEnd/>
          <a:tailEnd/>
        </a:ln>
      </xdr:spPr>
      <xdr:txBody>
        <a:bodyPr vertOverflow="clip" wrap="square" lIns="36576" tIns="27432" rIns="0" bIns="0" anchor="t" upright="1"/>
        <a:lstStyle/>
        <a:p>
          <a:pPr algn="l" rtl="0">
            <a:defRPr sz="1000"/>
          </a:pPr>
          <a:r>
            <a:rPr lang="en-GB" sz="1200" b="1" i="0" u="none" strike="noStrike" baseline="0">
              <a:solidFill>
                <a:srgbClr val="000000"/>
              </a:solidFill>
              <a:latin typeface="Akzidenz Grotesk Light"/>
            </a:rPr>
            <a:t>Example 1B - All obligors allocated to a single sector</a:t>
          </a:r>
          <a:endParaRPr lang="en-GB" sz="1000" b="0" i="0" u="none" strike="noStrike" baseline="0">
            <a:solidFill>
              <a:srgbClr val="000000"/>
            </a:solidFill>
            <a:latin typeface="Akzidenz Grotesk Light"/>
          </a:endParaRPr>
        </a:p>
        <a:p>
          <a:pPr algn="l" rtl="0">
            <a:defRPr sz="1000"/>
          </a:pPr>
          <a:r>
            <a:rPr lang="en-GB" sz="1000" b="0" i="0" u="none" strike="noStrike" baseline="0">
              <a:solidFill>
                <a:srgbClr val="000000"/>
              </a:solidFill>
              <a:latin typeface="Akzidenz Grotesk Light"/>
            </a:rPr>
            <a:t>Example 1B illustrates the use of risk contributions. The two obligors in example 1A having the largest risk contributions are obligors 24 and 25. These have been removed to show the effect on the 99th percentile loss.</a:t>
          </a:r>
        </a:p>
      </xdr:txBody>
    </xdr:sp>
    <xdr:clientData/>
  </xdr:twoCellAnchor>
  <xdr:twoCellAnchor>
    <xdr:from>
      <xdr:col>6</xdr:col>
      <xdr:colOff>47625</xdr:colOff>
      <xdr:row>36</xdr:row>
      <xdr:rowOff>161925</xdr:rowOff>
    </xdr:from>
    <xdr:to>
      <xdr:col>13</xdr:col>
      <xdr:colOff>752475</xdr:colOff>
      <xdr:row>49</xdr:row>
      <xdr:rowOff>9525</xdr:rowOff>
    </xdr:to>
    <xdr:sp macro="" textlink="">
      <xdr:nvSpPr>
        <xdr:cNvPr id="4102" name="Text 6"/>
        <xdr:cNvSpPr txBox="1">
          <a:spLocks noChangeArrowheads="1"/>
        </xdr:cNvSpPr>
      </xdr:nvSpPr>
      <xdr:spPr bwMode="auto">
        <a:xfrm>
          <a:off x="4229100" y="6181725"/>
          <a:ext cx="4724400" cy="1990725"/>
        </a:xfrm>
        <a:prstGeom prst="rect">
          <a:avLst/>
        </a:prstGeom>
        <a:solidFill>
          <a:srgbClr val="00FFFF"/>
        </a:solidFill>
        <a:ln w="1">
          <a:noFill/>
          <a:miter lim="800000"/>
          <a:headEnd/>
          <a:tailEnd/>
        </a:ln>
      </xdr:spPr>
      <xdr:txBody>
        <a:bodyPr vertOverflow="clip" wrap="square" lIns="36576" tIns="27432" rIns="36576" bIns="0" anchor="t" upright="1"/>
        <a:lstStyle/>
        <a:p>
          <a:pPr algn="just" rtl="0">
            <a:defRPr sz="1000"/>
          </a:pPr>
          <a:r>
            <a:rPr lang="en-GB" sz="1400" b="1" i="0" u="none" strike="noStrike" baseline="0">
              <a:solidFill>
                <a:srgbClr val="000000"/>
              </a:solidFill>
              <a:latin typeface="Akzidenz Grotesk Light"/>
            </a:rPr>
            <a:t>Effect of removing the top two risk contributors from example 1A</a:t>
          </a:r>
        </a:p>
        <a:p>
          <a:pPr algn="just" rtl="0">
            <a:defRPr sz="1000"/>
          </a:pPr>
          <a:r>
            <a:rPr lang="en-GB" sz="1000" b="0" i="0" u="none" strike="noStrike" baseline="0">
              <a:solidFill>
                <a:srgbClr val="000000"/>
              </a:solidFill>
              <a:latin typeface="Akzidenz Grotesk Light"/>
            </a:rPr>
            <a:t>The tables compare examples 1A and 1B to show the effect of removing obligors 24 and 25 from the portfolio. </a:t>
          </a:r>
        </a:p>
        <a:p>
          <a:pPr algn="just" rtl="0">
            <a:defRPr sz="1000"/>
          </a:pPr>
          <a:endParaRPr lang="en-GB" sz="1000" b="0" i="0" u="none" strike="noStrike" baseline="0">
            <a:solidFill>
              <a:srgbClr val="000000"/>
            </a:solidFill>
            <a:latin typeface="Akzidenz Grotesk Light"/>
          </a:endParaRPr>
        </a:p>
        <a:p>
          <a:pPr algn="just" rtl="0">
            <a:defRPr sz="1000"/>
          </a:pPr>
          <a:r>
            <a:rPr lang="en-GB" sz="1000" b="0" i="0" u="none" strike="noStrike" baseline="0">
              <a:solidFill>
                <a:srgbClr val="000000"/>
              </a:solidFill>
              <a:latin typeface="Akzidenz Grotesk Light"/>
            </a:rPr>
            <a:t>The expected loss is reduced by approximately 3 million. Because expected loss is additive, this is the sum of the expected losses of the individual obligors which have been removed.</a:t>
          </a:r>
        </a:p>
        <a:p>
          <a:pPr algn="just" rtl="0">
            <a:defRPr sz="1000"/>
          </a:pPr>
          <a:endParaRPr lang="en-GB" sz="1000" b="0" i="0" u="none" strike="noStrike" baseline="0">
            <a:solidFill>
              <a:srgbClr val="000000"/>
            </a:solidFill>
            <a:latin typeface="Akzidenz Grotesk Light"/>
          </a:endParaRPr>
        </a:p>
        <a:p>
          <a:pPr algn="just" rtl="0">
            <a:defRPr sz="1000"/>
          </a:pPr>
          <a:r>
            <a:rPr lang="en-GB" sz="1000" b="0" i="0" u="none" strike="noStrike" baseline="0">
              <a:solidFill>
                <a:srgbClr val="000000"/>
              </a:solidFill>
              <a:latin typeface="Akzidenz Grotesk Light"/>
            </a:rPr>
            <a:t>The 99th percentile is reduced by 20 million. This is estimated by the sum of the risk contributions of the obligors removed.</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123825</xdr:colOff>
      <xdr:row>0</xdr:row>
      <xdr:rowOff>76200</xdr:rowOff>
    </xdr:from>
    <xdr:to>
      <xdr:col>12</xdr:col>
      <xdr:colOff>371475</xdr:colOff>
      <xdr:row>14</xdr:row>
      <xdr:rowOff>9525</xdr:rowOff>
    </xdr:to>
    <xdr:sp macro="" textlink="">
      <xdr:nvSpPr>
        <xdr:cNvPr id="5125" name="Text 5"/>
        <xdr:cNvSpPr txBox="1">
          <a:spLocks noChangeArrowheads="1"/>
        </xdr:cNvSpPr>
      </xdr:nvSpPr>
      <xdr:spPr bwMode="auto">
        <a:xfrm>
          <a:off x="123825" y="76200"/>
          <a:ext cx="7181850" cy="2200275"/>
        </a:xfrm>
        <a:prstGeom prst="rect">
          <a:avLst/>
        </a:prstGeom>
        <a:solidFill>
          <a:srgbClr val="00FFFF"/>
        </a:solidFill>
        <a:ln w="1">
          <a:noFill/>
          <a:miter lim="800000"/>
          <a:headEnd/>
          <a:tailEnd/>
        </a:ln>
      </xdr:spPr>
      <xdr:txBody>
        <a:bodyPr vertOverflow="clip" wrap="square" lIns="36576" tIns="27432" rIns="36576" bIns="0" anchor="t" upright="1"/>
        <a:lstStyle/>
        <a:p>
          <a:pPr algn="just" rtl="0">
            <a:defRPr sz="1000"/>
          </a:pPr>
          <a:r>
            <a:rPr lang="en-GB" sz="1200" b="1" i="0" u="none" strike="noStrike" baseline="0">
              <a:solidFill>
                <a:srgbClr val="000000"/>
              </a:solidFill>
              <a:latin typeface="Akzidenz Grotesk Light"/>
            </a:rPr>
            <a:t>Example 1C - Hold To Maturity Analysis</a:t>
          </a:r>
          <a:endParaRPr lang="en-GB" sz="1000" b="0" i="0" u="none" strike="noStrike" baseline="0">
            <a:solidFill>
              <a:srgbClr val="000000"/>
            </a:solidFill>
            <a:latin typeface="Akzidenz Grotesk Light"/>
          </a:endParaRPr>
        </a:p>
        <a:p>
          <a:pPr algn="just" rtl="0">
            <a:defRPr sz="1000"/>
          </a:pPr>
          <a:r>
            <a:rPr lang="en-GB" sz="1000" b="0" i="0" u="none" strike="noStrike" baseline="0">
              <a:solidFill>
                <a:srgbClr val="000000"/>
              </a:solidFill>
              <a:latin typeface="Akzidenz Grotesk Light"/>
            </a:rPr>
            <a:t>Example 1C illustrates the use of the model for analysing the portfolio over its hold to maturity time horizon. To illustrate a multi - year time horizon, the data used in this example has been extended as follows:</a:t>
          </a:r>
        </a:p>
        <a:p>
          <a:pPr algn="just" rtl="0">
            <a:defRPr sz="1000"/>
          </a:pPr>
          <a:endParaRPr lang="en-GB" sz="1000" b="0" i="0" u="none" strike="noStrike" baseline="0">
            <a:solidFill>
              <a:srgbClr val="000000"/>
            </a:solidFill>
            <a:latin typeface="Akzidenz Grotesk Light"/>
          </a:endParaRPr>
        </a:p>
        <a:p>
          <a:pPr algn="just" rtl="0">
            <a:defRPr sz="1000"/>
          </a:pPr>
          <a:r>
            <a:rPr lang="en-GB" sz="1000" b="0" i="0" u="none" strike="noStrike" baseline="0">
              <a:solidFill>
                <a:srgbClr val="000000"/>
              </a:solidFill>
              <a:latin typeface="Akzidenz Grotesk Light"/>
            </a:rPr>
            <a:t>- The obligor details used in the other examples have been extended to show the exposures rolling off over a period of up to three years. Before use, the data is rearranged in the Data Input to Model range. </a:t>
          </a:r>
        </a:p>
        <a:p>
          <a:pPr algn="just" rtl="0">
            <a:defRPr sz="1000"/>
          </a:pPr>
          <a:endParaRPr lang="en-GB" sz="1000" b="0" i="0" u="none" strike="noStrike" baseline="0">
            <a:solidFill>
              <a:srgbClr val="000000"/>
            </a:solidFill>
            <a:latin typeface="Akzidenz Grotesk Light"/>
          </a:endParaRPr>
        </a:p>
        <a:p>
          <a:pPr algn="just" rtl="0">
            <a:defRPr sz="1000"/>
          </a:pPr>
          <a:r>
            <a:rPr lang="en-GB" sz="1000" b="0" i="0" u="none" strike="noStrike" baseline="0">
              <a:solidFill>
                <a:srgbClr val="000000"/>
              </a:solidFill>
              <a:latin typeface="Akzidenz Grotesk Light"/>
            </a:rPr>
            <a:t>- The static data (default rates and default rate standard deviations) used in the other examples have been extended over three years. The one year default rates are the same as in the other examples, but this example also introduces a term structure of default rates by specifying marginal probabilities of default in years 2 and 3 of the portfolio.</a:t>
          </a:r>
        </a:p>
        <a:p>
          <a:pPr algn="just" rtl="0">
            <a:defRPr sz="1000"/>
          </a:pPr>
          <a:endParaRPr lang="en-GB" sz="1000" b="0" i="0" u="none" strike="noStrike" baseline="0">
            <a:solidFill>
              <a:srgbClr val="000000"/>
            </a:solidFill>
            <a:latin typeface="Akzidenz Grotesk Light"/>
          </a:endParaRPr>
        </a:p>
        <a:p>
          <a:pPr algn="just" rtl="0">
            <a:defRPr sz="1000"/>
          </a:pPr>
          <a:r>
            <a:rPr lang="en-GB" sz="1000" b="0" i="0" u="none" strike="noStrike" baseline="0">
              <a:solidFill>
                <a:srgbClr val="000000"/>
              </a:solidFill>
              <a:latin typeface="Akzidenz Grotesk Light"/>
            </a:rPr>
            <a:t>The model outputs are the same as the other example, but in this example the model calculates a risk contribution for each obligor for each year in which the obligor has an exposure outstanding.</a:t>
          </a:r>
        </a:p>
      </xdr:txBody>
    </xdr:sp>
    <xdr:clientData/>
  </xdr:twoCellAnchor>
  <xdr:twoCellAnchor>
    <xdr:from>
      <xdr:col>26</xdr:col>
      <xdr:colOff>161925</xdr:colOff>
      <xdr:row>15</xdr:row>
      <xdr:rowOff>0</xdr:rowOff>
    </xdr:from>
    <xdr:to>
      <xdr:col>37</xdr:col>
      <xdr:colOff>561975</xdr:colOff>
      <xdr:row>47</xdr:row>
      <xdr:rowOff>19050</xdr:rowOff>
    </xdr:to>
    <xdr:graphicFrame macro="">
      <xdr:nvGraphicFramePr>
        <xdr:cNvPr id="5128"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21</xdr:col>
      <xdr:colOff>9525</xdr:colOff>
      <xdr:row>7</xdr:row>
      <xdr:rowOff>0</xdr:rowOff>
    </xdr:from>
    <xdr:to>
      <xdr:col>32</xdr:col>
      <xdr:colOff>0</xdr:colOff>
      <xdr:row>39</xdr:row>
      <xdr:rowOff>133350</xdr:rowOff>
    </xdr:to>
    <xdr:graphicFrame macro="">
      <xdr:nvGraphicFramePr>
        <xdr:cNvPr id="6147"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47625</xdr:colOff>
      <xdr:row>1</xdr:row>
      <xdr:rowOff>0</xdr:rowOff>
    </xdr:from>
    <xdr:to>
      <xdr:col>7</xdr:col>
      <xdr:colOff>619125</xdr:colOff>
      <xdr:row>5</xdr:row>
      <xdr:rowOff>66675</xdr:rowOff>
    </xdr:to>
    <xdr:sp macro="" textlink="">
      <xdr:nvSpPr>
        <xdr:cNvPr id="6150" name="Text 6"/>
        <xdr:cNvSpPr txBox="1">
          <a:spLocks noChangeArrowheads="1"/>
        </xdr:cNvSpPr>
      </xdr:nvSpPr>
      <xdr:spPr bwMode="auto">
        <a:xfrm>
          <a:off x="266700" y="161925"/>
          <a:ext cx="4791075" cy="714375"/>
        </a:xfrm>
        <a:prstGeom prst="rect">
          <a:avLst/>
        </a:prstGeom>
        <a:solidFill>
          <a:srgbClr val="00FFFF"/>
        </a:solidFill>
        <a:ln w="1">
          <a:noFill/>
          <a:miter lim="800000"/>
          <a:headEnd/>
          <a:tailEnd/>
        </a:ln>
      </xdr:spPr>
      <xdr:txBody>
        <a:bodyPr vertOverflow="clip" wrap="square" lIns="36576" tIns="27432" rIns="36576" bIns="0" anchor="t" upright="1"/>
        <a:lstStyle/>
        <a:p>
          <a:pPr algn="just" rtl="0">
            <a:defRPr sz="1000"/>
          </a:pPr>
          <a:r>
            <a:rPr lang="en-GB" sz="1200" b="1" i="0" u="none" strike="noStrike" baseline="0">
              <a:solidFill>
                <a:srgbClr val="000000"/>
              </a:solidFill>
              <a:latin typeface="Akzidenz Grotesk Light"/>
            </a:rPr>
            <a:t>Example 2 - Each obligor allocated to only one sector</a:t>
          </a:r>
          <a:endParaRPr lang="en-GB" sz="1000" b="0" i="0" u="none" strike="noStrike" baseline="0">
            <a:solidFill>
              <a:srgbClr val="000000"/>
            </a:solidFill>
            <a:latin typeface="Akzidenz Grotesk Light"/>
          </a:endParaRPr>
        </a:p>
        <a:p>
          <a:pPr algn="just" rtl="0">
            <a:defRPr sz="1000"/>
          </a:pPr>
          <a:r>
            <a:rPr lang="en-GB" sz="1000" b="0" i="0" u="none" strike="noStrike" baseline="0">
              <a:solidFill>
                <a:srgbClr val="000000"/>
              </a:solidFill>
              <a:latin typeface="Akzidenz Grotesk Light"/>
            </a:rPr>
            <a:t>In example 2, each obligor is allocated to only one sector.  In this example, countries are the sectors.  This assumes that each obligor is subject to only one systematic factor, which is responsible for all of the uncertainty of the obligor's default rate.</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21</xdr:col>
      <xdr:colOff>600075</xdr:colOff>
      <xdr:row>7</xdr:row>
      <xdr:rowOff>28575</xdr:rowOff>
    </xdr:from>
    <xdr:to>
      <xdr:col>33</xdr:col>
      <xdr:colOff>0</xdr:colOff>
      <xdr:row>39</xdr:row>
      <xdr:rowOff>142875</xdr:rowOff>
    </xdr:to>
    <xdr:graphicFrame macro="">
      <xdr:nvGraphicFramePr>
        <xdr:cNvPr id="7171"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190500</xdr:colOff>
      <xdr:row>1</xdr:row>
      <xdr:rowOff>0</xdr:rowOff>
    </xdr:from>
    <xdr:to>
      <xdr:col>7</xdr:col>
      <xdr:colOff>428625</xdr:colOff>
      <xdr:row>5</xdr:row>
      <xdr:rowOff>66675</xdr:rowOff>
    </xdr:to>
    <xdr:sp macro="" textlink="">
      <xdr:nvSpPr>
        <xdr:cNvPr id="7172" name="Text 4"/>
        <xdr:cNvSpPr txBox="1">
          <a:spLocks noChangeArrowheads="1"/>
        </xdr:cNvSpPr>
      </xdr:nvSpPr>
      <xdr:spPr bwMode="auto">
        <a:xfrm>
          <a:off x="190500" y="161925"/>
          <a:ext cx="4676775" cy="714375"/>
        </a:xfrm>
        <a:prstGeom prst="rect">
          <a:avLst/>
        </a:prstGeom>
        <a:solidFill>
          <a:srgbClr val="00FFFF"/>
        </a:solidFill>
        <a:ln w="1">
          <a:noFill/>
          <a:miter lim="800000"/>
          <a:headEnd/>
          <a:tailEnd/>
        </a:ln>
      </xdr:spPr>
      <xdr:txBody>
        <a:bodyPr vertOverflow="clip" wrap="square" lIns="36576" tIns="27432" rIns="36576" bIns="0" anchor="t" upright="1"/>
        <a:lstStyle/>
        <a:p>
          <a:pPr algn="just" rtl="0">
            <a:defRPr sz="1000"/>
          </a:pPr>
          <a:r>
            <a:rPr lang="en-GB" sz="1200" b="1" i="0" u="none" strike="noStrike" baseline="0">
              <a:solidFill>
                <a:srgbClr val="000000"/>
              </a:solidFill>
              <a:latin typeface="Akzidenz Grotesk Light"/>
            </a:rPr>
            <a:t>Example 3 - Each obligor apportioned to several sectors</a:t>
          </a:r>
          <a:endParaRPr lang="en-GB" sz="1000" b="0" i="0" u="none" strike="noStrike" baseline="0">
            <a:solidFill>
              <a:srgbClr val="000000"/>
            </a:solidFill>
            <a:latin typeface="Akzidenz Grotesk Light"/>
          </a:endParaRPr>
        </a:p>
        <a:p>
          <a:pPr algn="just" rtl="0">
            <a:defRPr sz="1000"/>
          </a:pPr>
          <a:r>
            <a:rPr lang="en-GB" sz="1000" b="0" i="0" u="none" strike="noStrike" baseline="0">
              <a:solidFill>
                <a:srgbClr val="000000"/>
              </a:solidFill>
              <a:latin typeface="Akzidenz Grotesk Light"/>
            </a:rPr>
            <a:t>In example 3, each obligor is apportioned to a number of sectors.  Countries are the sectors.  This reflects the situation in which the fortunes of an obligor are affected by a number of systematic factors.</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209550</xdr:colOff>
      <xdr:row>0</xdr:row>
      <xdr:rowOff>114300</xdr:rowOff>
    </xdr:from>
    <xdr:to>
      <xdr:col>11</xdr:col>
      <xdr:colOff>142875</xdr:colOff>
      <xdr:row>12</xdr:row>
      <xdr:rowOff>28575</xdr:rowOff>
    </xdr:to>
    <xdr:sp macro="" textlink="">
      <xdr:nvSpPr>
        <xdr:cNvPr id="8197" name="Text 5"/>
        <xdr:cNvSpPr txBox="1">
          <a:spLocks noChangeArrowheads="1"/>
        </xdr:cNvSpPr>
      </xdr:nvSpPr>
      <xdr:spPr bwMode="auto">
        <a:xfrm>
          <a:off x="209550" y="114300"/>
          <a:ext cx="7391400" cy="1857375"/>
        </a:xfrm>
        <a:prstGeom prst="rect">
          <a:avLst/>
        </a:prstGeom>
        <a:solidFill>
          <a:srgbClr val="00FFFF"/>
        </a:solidFill>
        <a:ln w="1">
          <a:noFill/>
          <a:miter lim="800000"/>
          <a:headEnd/>
          <a:tailEnd/>
        </a:ln>
      </xdr:spPr>
      <xdr:txBody>
        <a:bodyPr vertOverflow="clip" wrap="square" lIns="36576" tIns="27432" rIns="36576" bIns="0" anchor="t" upright="1"/>
        <a:lstStyle/>
        <a:p>
          <a:pPr algn="just" rtl="0">
            <a:defRPr sz="1000"/>
          </a:pPr>
          <a:r>
            <a:rPr lang="en-GB" sz="1200" b="1" i="0" u="none" strike="noStrike" baseline="0">
              <a:solidFill>
                <a:srgbClr val="000000"/>
              </a:solidFill>
              <a:latin typeface="Akzidenz Grotesk Light"/>
            </a:rPr>
            <a:t>Blank Template</a:t>
          </a:r>
        </a:p>
        <a:p>
          <a:pPr algn="just" rtl="0">
            <a:defRPr sz="1000"/>
          </a:pPr>
          <a:r>
            <a:rPr lang="en-GB" sz="1000" b="0" i="0" u="none" strike="noStrike" baseline="0">
              <a:solidFill>
                <a:srgbClr val="000000"/>
              </a:solidFill>
              <a:latin typeface="Akzidenz Grotesk Light"/>
            </a:rPr>
            <a:t>This worksheet has been set up as a blank template, to allow users to customise and input their own data. To use this sheet, follow the steps outlined below: </a:t>
          </a:r>
        </a:p>
        <a:p>
          <a:pPr algn="just" rtl="0">
            <a:defRPr sz="1000"/>
          </a:pPr>
          <a:endParaRPr lang="en-GB" sz="1000" b="0" i="0" u="none" strike="noStrike" baseline="0">
            <a:solidFill>
              <a:srgbClr val="000000"/>
            </a:solidFill>
            <a:latin typeface="Akzidenz Grotesk Light"/>
          </a:endParaRPr>
        </a:p>
        <a:p>
          <a:pPr algn="just" rtl="0">
            <a:defRPr sz="1000"/>
          </a:pPr>
          <a:r>
            <a:rPr lang="en-GB" sz="1000" b="0" i="0" u="none" strike="noStrike" baseline="0">
              <a:solidFill>
                <a:srgbClr val="000000"/>
              </a:solidFill>
              <a:latin typeface="Akzidenz Grotesk Light"/>
            </a:rPr>
            <a:t>(1) Copy your data into this spreadsheet. The data should be in the same form as the examples, with up to 4,000 obligors and 8 sectors permitted. The header row shown below has one column for sectors.If more than one sector is required then more columns must be added. Examples (2) and (3) in this workbook illustate how this should be done.</a:t>
          </a:r>
        </a:p>
        <a:p>
          <a:pPr algn="just" rtl="0">
            <a:defRPr sz="1000"/>
          </a:pPr>
          <a:endParaRPr lang="en-GB" sz="1000" b="0" i="0" u="none" strike="noStrike" baseline="0">
            <a:solidFill>
              <a:srgbClr val="000000"/>
            </a:solidFill>
            <a:latin typeface="Akzidenz Grotesk Light"/>
          </a:endParaRPr>
        </a:p>
        <a:p>
          <a:pPr algn="just" rtl="0">
            <a:defRPr sz="1000"/>
          </a:pPr>
          <a:r>
            <a:rPr lang="en-GB" sz="1000" b="0" i="0" u="none" strike="noStrike" baseline="0">
              <a:solidFill>
                <a:srgbClr val="000000"/>
              </a:solidFill>
              <a:latin typeface="Akzidenz Grotesk Light"/>
            </a:rPr>
            <a:t>(2) Use the "Activate Model" button to call the model. Alter the data ranges to accommodate the correct row and column ranges for your data, and alter the output settings and ranges as required.</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cr1.xla"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DialogInputData3"/>
      <sheetName val="DialogInputData2"/>
      <sheetName val="DialogInputData1C"/>
      <sheetName val="DialogInputData1B"/>
      <sheetName val="DialogInputData1A"/>
      <sheetName val="DialogInputData"/>
      <sheetName val="DialogSetPercentiles"/>
      <sheetName val="DialogOutputData"/>
      <sheetName val="DialogTestData"/>
      <sheetName val="DialogMeanSD"/>
      <sheetName val="DialogDisclaimer"/>
      <sheetName val="ListBoxes"/>
    </sheetNames>
    <definedNames>
      <definedName name="Example0"/>
      <definedName name="Example1A"/>
      <definedName name="Example1B"/>
      <definedName name="Example1C"/>
      <definedName name="Example2"/>
      <definedName name="Example3"/>
      <definedName name="ExampleBlank"/>
      <definedName name="ExampleReturn"/>
      <definedName name="ExecuteCreditRiskPlusModel"/>
    </defined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oleObject" Target="../embeddings/oleObject1.bin"/><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openxmlformats.org/officeDocument/2006/relationships/oleObject" Target="../embeddings/oleObject2.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oleObject" Target="../embeddings/oleObject3.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sheetPr enableFormatConditionsCalculation="0">
    <tabColor indexed="41"/>
  </sheetPr>
  <dimension ref="B3:D9"/>
  <sheetViews>
    <sheetView workbookViewId="0">
      <selection activeCell="E8" sqref="E8"/>
    </sheetView>
  </sheetViews>
  <sheetFormatPr defaultRowHeight="12.75"/>
  <cols>
    <col min="1" max="16384" width="9.140625" style="95"/>
  </cols>
  <sheetData>
    <row r="3" spans="2:4">
      <c r="D3" s="95" t="s">
        <v>101</v>
      </c>
    </row>
    <row r="5" spans="2:4">
      <c r="B5"/>
    </row>
    <row r="8" spans="2:4">
      <c r="D8" s="95" t="s">
        <v>100</v>
      </c>
    </row>
    <row r="9" spans="2:4">
      <c r="D9" s="96" t="s">
        <v>99</v>
      </c>
    </row>
  </sheetData>
  <phoneticPr fontId="4" type="noConversion"/>
  <pageMargins left="0.75" right="0.75" top="1" bottom="1" header="0.5" footer="0.5"/>
  <pageSetup paperSize="9" orientation="portrait" r:id="rId1"/>
  <headerFooter alignWithMargins="0"/>
  <legacyDrawing r:id="rId2"/>
  <oleObjects>
    <oleObject progId="Package" dvAspect="DVASPECT_ICON" shapeId="9217" r:id="rId3"/>
    <oleObject progId="AcroExch.Document.7" dvAspect="DVASPECT_ICON" shapeId="9219" r:id="rId4"/>
  </oleObjects>
</worksheet>
</file>

<file path=xl/worksheets/sheet2.xml><?xml version="1.0" encoding="utf-8"?>
<worksheet xmlns="http://schemas.openxmlformats.org/spreadsheetml/2006/main" xmlns:r="http://schemas.openxmlformats.org/officeDocument/2006/relationships">
  <sheetPr>
    <pageSetUpPr fitToPage="1"/>
  </sheetPr>
  <dimension ref="B6:O34"/>
  <sheetViews>
    <sheetView showGridLines="0" workbookViewId="0">
      <selection activeCell="I2" sqref="I2"/>
    </sheetView>
  </sheetViews>
  <sheetFormatPr defaultRowHeight="12.75"/>
  <cols>
    <col min="2" max="5" width="10.7109375" customWidth="1"/>
    <col min="6" max="7" width="6.140625" customWidth="1"/>
    <col min="8" max="15" width="11.7109375" customWidth="1"/>
  </cols>
  <sheetData>
    <row r="6" spans="2:15" ht="26.25">
      <c r="B6" s="85" t="s">
        <v>0</v>
      </c>
      <c r="C6" s="86"/>
      <c r="D6" s="86"/>
      <c r="E6" s="86"/>
      <c r="F6" s="86"/>
      <c r="G6" s="86"/>
      <c r="H6" s="86"/>
      <c r="I6" s="86"/>
      <c r="J6" s="86"/>
      <c r="K6" s="86"/>
      <c r="L6" s="86"/>
      <c r="M6" s="86"/>
      <c r="N6" s="86"/>
      <c r="O6" s="87" t="s">
        <v>1</v>
      </c>
    </row>
    <row r="7" spans="2:15">
      <c r="B7" s="7"/>
      <c r="C7" s="7"/>
      <c r="D7" s="7"/>
      <c r="E7" s="7"/>
      <c r="F7" s="7"/>
      <c r="G7" s="7"/>
      <c r="H7" s="7"/>
      <c r="I7" s="7"/>
      <c r="J7" s="7"/>
      <c r="K7" s="7"/>
      <c r="L7" s="7"/>
      <c r="M7" s="7"/>
      <c r="N7" s="7"/>
      <c r="O7" s="7"/>
    </row>
    <row r="34" spans="2:15">
      <c r="B34" s="88"/>
      <c r="C34" s="88"/>
      <c r="D34" s="88"/>
      <c r="E34" s="88"/>
      <c r="F34" s="88"/>
      <c r="G34" s="88"/>
      <c r="H34" s="88"/>
      <c r="I34" s="88"/>
      <c r="J34" s="88"/>
      <c r="K34" s="88"/>
      <c r="L34" s="88"/>
      <c r="M34" s="88"/>
      <c r="N34" s="88"/>
      <c r="O34" s="88"/>
    </row>
  </sheetData>
  <sheetProtection password="886F" sheet="1" objects="1" scenarios="1"/>
  <phoneticPr fontId="4" type="noConversion"/>
  <printOptions horizontalCentered="1"/>
  <pageMargins left="0.55118110236220474" right="0.55118110236220474" top="0.74803149606299213" bottom="0.6692913385826772" header="0.51181102362204722" footer="0.51181102362204722"/>
  <pageSetup paperSize="9" scale="81" orientation="landscape" verticalDpi="1200" r:id="rId1"/>
  <headerFooter alignWithMargins="0"/>
  <drawing r:id="rId2"/>
  <legacyDrawing r:id="rId3"/>
  <oleObjects>
    <oleObject progId="Word.Document.6" shapeId="1040" r:id="rId4"/>
  </oleObjects>
</worksheet>
</file>

<file path=xl/worksheets/sheet3.xml><?xml version="1.0" encoding="utf-8"?>
<worksheet xmlns="http://schemas.openxmlformats.org/spreadsheetml/2006/main" xmlns:r="http://schemas.openxmlformats.org/officeDocument/2006/relationships">
  <dimension ref="B8:I37"/>
  <sheetViews>
    <sheetView showGridLines="0" workbookViewId="0">
      <selection activeCell="M8" sqref="M8"/>
    </sheetView>
  </sheetViews>
  <sheetFormatPr defaultRowHeight="12.75"/>
  <cols>
    <col min="2" max="2" width="8.7109375" customWidth="1"/>
    <col min="3" max="3" width="12.7109375" customWidth="1"/>
    <col min="4" max="4" width="9.7109375" customWidth="1"/>
    <col min="7" max="7" width="9.7109375" customWidth="1"/>
    <col min="8" max="9" width="11.7109375" customWidth="1"/>
  </cols>
  <sheetData>
    <row r="8" spans="2:9" ht="12.75" customHeight="1"/>
    <row r="9" spans="2:9" ht="18">
      <c r="B9" s="11" t="s">
        <v>2</v>
      </c>
      <c r="C9" s="3"/>
      <c r="D9" s="3"/>
      <c r="G9" s="11" t="s">
        <v>3</v>
      </c>
    </row>
    <row r="10" spans="2:9">
      <c r="B10" s="12"/>
      <c r="C10" s="13"/>
      <c r="D10" s="14" t="s">
        <v>4</v>
      </c>
      <c r="G10" s="14" t="s">
        <v>4</v>
      </c>
      <c r="H10" s="23" t="s">
        <v>5</v>
      </c>
      <c r="I10" s="23" t="s">
        <v>6</v>
      </c>
    </row>
    <row r="11" spans="2:9">
      <c r="B11" s="15" t="s">
        <v>7</v>
      </c>
      <c r="C11" s="16" t="s">
        <v>8</v>
      </c>
      <c r="D11" s="15" t="s">
        <v>9</v>
      </c>
      <c r="G11" s="15" t="s">
        <v>9</v>
      </c>
      <c r="H11" s="16" t="s">
        <v>10</v>
      </c>
      <c r="I11" s="16" t="s">
        <v>11</v>
      </c>
    </row>
    <row r="12" spans="2:9">
      <c r="B12" s="17">
        <v>1</v>
      </c>
      <c r="C12" s="18">
        <v>358475</v>
      </c>
      <c r="D12" s="19" t="s">
        <v>12</v>
      </c>
      <c r="G12" s="17" t="s">
        <v>13</v>
      </c>
      <c r="H12" s="24">
        <v>1.4999999999999999E-2</v>
      </c>
      <c r="I12" s="24">
        <f t="shared" ref="I12:I19" si="0">H12*0.5</f>
        <v>7.4999999999999997E-3</v>
      </c>
    </row>
    <row r="13" spans="2:9">
      <c r="B13" s="17">
        <v>2</v>
      </c>
      <c r="C13" s="18">
        <v>1089819</v>
      </c>
      <c r="D13" s="19" t="s">
        <v>12</v>
      </c>
      <c r="G13" s="17" t="s">
        <v>14</v>
      </c>
      <c r="H13" s="24">
        <v>1.6E-2</v>
      </c>
      <c r="I13" s="24">
        <f t="shared" si="0"/>
        <v>8.0000000000000002E-3</v>
      </c>
    </row>
    <row r="14" spans="2:9">
      <c r="B14" s="17">
        <v>3</v>
      </c>
      <c r="C14" s="18">
        <v>1799710</v>
      </c>
      <c r="D14" s="19" t="s">
        <v>15</v>
      </c>
      <c r="G14" s="17" t="s">
        <v>16</v>
      </c>
      <c r="H14" s="24">
        <v>0.03</v>
      </c>
      <c r="I14" s="24">
        <f t="shared" si="0"/>
        <v>1.4999999999999999E-2</v>
      </c>
    </row>
    <row r="15" spans="2:9">
      <c r="B15" s="17">
        <v>4</v>
      </c>
      <c r="C15" s="18">
        <v>1933116</v>
      </c>
      <c r="D15" s="19" t="s">
        <v>17</v>
      </c>
      <c r="G15" s="17" t="s">
        <v>18</v>
      </c>
      <c r="H15" s="24">
        <v>0.05</v>
      </c>
      <c r="I15" s="24">
        <f t="shared" si="0"/>
        <v>2.5000000000000001E-2</v>
      </c>
    </row>
    <row r="16" spans="2:9">
      <c r="B16" s="17">
        <v>5</v>
      </c>
      <c r="C16" s="18">
        <v>2317327</v>
      </c>
      <c r="D16" s="19" t="s">
        <v>17</v>
      </c>
      <c r="G16" s="17" t="s">
        <v>19</v>
      </c>
      <c r="H16" s="24">
        <v>7.4999999999999997E-2</v>
      </c>
      <c r="I16" s="24">
        <f t="shared" si="0"/>
        <v>3.7499999999999999E-2</v>
      </c>
    </row>
    <row r="17" spans="2:9">
      <c r="B17" s="17">
        <v>6</v>
      </c>
      <c r="C17" s="18">
        <v>2410929</v>
      </c>
      <c r="D17" s="19" t="s">
        <v>17</v>
      </c>
      <c r="G17" s="17" t="s">
        <v>15</v>
      </c>
      <c r="H17" s="24">
        <v>0.1</v>
      </c>
      <c r="I17" s="24">
        <f t="shared" si="0"/>
        <v>0.05</v>
      </c>
    </row>
    <row r="18" spans="2:9">
      <c r="B18" s="17">
        <v>7</v>
      </c>
      <c r="C18" s="18">
        <v>2652184</v>
      </c>
      <c r="D18" s="19" t="s">
        <v>12</v>
      </c>
      <c r="G18" s="17" t="s">
        <v>17</v>
      </c>
      <c r="H18" s="24">
        <v>0.15</v>
      </c>
      <c r="I18" s="24">
        <f t="shared" si="0"/>
        <v>7.4999999999999997E-2</v>
      </c>
    </row>
    <row r="19" spans="2:9">
      <c r="B19" s="17">
        <v>8</v>
      </c>
      <c r="C19" s="18">
        <v>2957685</v>
      </c>
      <c r="D19" s="19" t="s">
        <v>17</v>
      </c>
      <c r="G19" s="20" t="s">
        <v>12</v>
      </c>
      <c r="H19" s="25">
        <v>0.3</v>
      </c>
      <c r="I19" s="25">
        <f t="shared" si="0"/>
        <v>0.15</v>
      </c>
    </row>
    <row r="20" spans="2:9">
      <c r="B20" s="17">
        <v>9</v>
      </c>
      <c r="C20" s="18">
        <v>3137989</v>
      </c>
      <c r="D20" s="19" t="s">
        <v>18</v>
      </c>
    </row>
    <row r="21" spans="2:9">
      <c r="B21" s="17">
        <v>10</v>
      </c>
      <c r="C21" s="18">
        <v>3204044</v>
      </c>
      <c r="D21" s="19" t="s">
        <v>18</v>
      </c>
    </row>
    <row r="22" spans="2:9">
      <c r="B22" s="17">
        <v>11</v>
      </c>
      <c r="C22" s="18">
        <v>4727724</v>
      </c>
      <c r="D22" s="19" t="s">
        <v>13</v>
      </c>
    </row>
    <row r="23" spans="2:9">
      <c r="B23" s="17">
        <v>12</v>
      </c>
      <c r="C23" s="18">
        <v>4830517</v>
      </c>
      <c r="D23" s="19" t="s">
        <v>18</v>
      </c>
    </row>
    <row r="24" spans="2:9">
      <c r="B24" s="17">
        <v>13</v>
      </c>
      <c r="C24" s="18">
        <v>4912097</v>
      </c>
      <c r="D24" s="19" t="s">
        <v>18</v>
      </c>
    </row>
    <row r="25" spans="2:9">
      <c r="B25" s="17">
        <v>14</v>
      </c>
      <c r="C25" s="18">
        <v>4928989</v>
      </c>
      <c r="D25" s="19" t="s">
        <v>12</v>
      </c>
    </row>
    <row r="26" spans="2:9">
      <c r="B26" s="17">
        <v>15</v>
      </c>
      <c r="C26" s="18">
        <v>5042312</v>
      </c>
      <c r="D26" s="19" t="s">
        <v>15</v>
      </c>
    </row>
    <row r="27" spans="2:9">
      <c r="B27" s="17">
        <v>16</v>
      </c>
      <c r="C27" s="18">
        <v>5320364</v>
      </c>
      <c r="D27" s="19" t="s">
        <v>19</v>
      </c>
    </row>
    <row r="28" spans="2:9">
      <c r="B28" s="17">
        <v>17</v>
      </c>
      <c r="C28" s="18">
        <v>5435457</v>
      </c>
      <c r="D28" s="19" t="s">
        <v>18</v>
      </c>
    </row>
    <row r="29" spans="2:9">
      <c r="B29" s="17">
        <v>18</v>
      </c>
      <c r="C29" s="18">
        <v>5517586</v>
      </c>
      <c r="D29" s="19" t="s">
        <v>16</v>
      </c>
    </row>
    <row r="30" spans="2:9">
      <c r="B30" s="17">
        <v>19</v>
      </c>
      <c r="C30" s="18">
        <v>5764596</v>
      </c>
      <c r="D30" s="19" t="s">
        <v>19</v>
      </c>
    </row>
    <row r="31" spans="2:9">
      <c r="B31" s="17">
        <v>20</v>
      </c>
      <c r="C31" s="18">
        <v>5847845</v>
      </c>
      <c r="D31" s="19" t="s">
        <v>16</v>
      </c>
    </row>
    <row r="32" spans="2:9">
      <c r="B32" s="17">
        <v>21</v>
      </c>
      <c r="C32" s="18">
        <v>6466533</v>
      </c>
      <c r="D32" s="19" t="s">
        <v>12</v>
      </c>
    </row>
    <row r="33" spans="2:4">
      <c r="B33" s="17">
        <v>22</v>
      </c>
      <c r="C33" s="18">
        <v>6480322</v>
      </c>
      <c r="D33" s="19" t="s">
        <v>12</v>
      </c>
    </row>
    <row r="34" spans="2:4">
      <c r="B34" s="17">
        <v>23</v>
      </c>
      <c r="C34" s="18">
        <v>7727651</v>
      </c>
      <c r="D34" s="19" t="s">
        <v>14</v>
      </c>
    </row>
    <row r="35" spans="2:4">
      <c r="B35" s="17">
        <v>24</v>
      </c>
      <c r="C35" s="18">
        <v>15410906</v>
      </c>
      <c r="D35" s="19" t="s">
        <v>15</v>
      </c>
    </row>
    <row r="36" spans="2:4">
      <c r="B36" s="20">
        <v>25</v>
      </c>
      <c r="C36" s="21">
        <v>20238895</v>
      </c>
      <c r="D36" s="22" t="s">
        <v>19</v>
      </c>
    </row>
    <row r="37" spans="2:4">
      <c r="B37" s="9"/>
      <c r="C37" s="7"/>
      <c r="D37" s="10"/>
    </row>
  </sheetData>
  <phoneticPr fontId="4" type="noConversion"/>
  <pageMargins left="0.75" right="0.75" top="1" bottom="1" header="0.5" footer="0.5"/>
  <pageSetup paperSize="9" orientation="portrait" verticalDpi="1200" r:id="rId1"/>
  <headerFooter alignWithMargins="0">
    <oddHeader>&amp;A</oddHeader>
    <oddFooter>Page &amp;P</oddFooter>
  </headerFooter>
  <drawing r:id="rId2"/>
  <legacyDrawing r:id="rId3"/>
</worksheet>
</file>

<file path=xl/worksheets/sheet4.xml><?xml version="1.0" encoding="utf-8"?>
<worksheet xmlns="http://schemas.openxmlformats.org/spreadsheetml/2006/main" xmlns:r="http://schemas.openxmlformats.org/officeDocument/2006/relationships">
  <dimension ref="A4:Q494"/>
  <sheetViews>
    <sheetView showGridLines="0" tabSelected="1" workbookViewId="0">
      <selection activeCell="M37" sqref="M37"/>
    </sheetView>
  </sheetViews>
  <sheetFormatPr defaultRowHeight="12.75"/>
  <cols>
    <col min="1" max="1" width="3.28515625" customWidth="1"/>
    <col min="2" max="2" width="9.42578125" customWidth="1"/>
    <col min="3" max="3" width="12.28515625" customWidth="1"/>
    <col min="4" max="4" width="6.140625" customWidth="1"/>
    <col min="5" max="6" width="12.85546875" customWidth="1"/>
    <col min="7" max="7" width="11.85546875" customWidth="1"/>
    <col min="8" max="8" width="3.28515625" customWidth="1"/>
    <col min="9" max="9" width="6.5703125" customWidth="1"/>
    <col min="10" max="11" width="11" customWidth="1"/>
    <col min="12" max="12" width="3.28515625" customWidth="1"/>
    <col min="13" max="13" width="9.28515625" customWidth="1"/>
    <col min="14" max="14" width="10.140625" customWidth="1"/>
    <col min="15" max="15" width="3.28515625" customWidth="1"/>
    <col min="16" max="16" width="11.7109375" customWidth="1"/>
    <col min="17" max="17" width="10" customWidth="1"/>
    <col min="18" max="18" width="3.28515625" customWidth="1"/>
  </cols>
  <sheetData>
    <row r="4" spans="1:17">
      <c r="C4" s="3"/>
      <c r="D4" s="3"/>
      <c r="E4" s="3"/>
    </row>
    <row r="5" spans="1:17">
      <c r="B5" s="8"/>
      <c r="C5" s="3"/>
      <c r="D5" s="3"/>
      <c r="E5" s="3"/>
      <c r="P5" s="39"/>
    </row>
    <row r="6" spans="1:17">
      <c r="B6" s="8"/>
      <c r="C6" s="3"/>
      <c r="D6" s="3"/>
      <c r="E6" s="3"/>
      <c r="H6" s="4"/>
      <c r="J6" s="4"/>
      <c r="Q6" s="39"/>
    </row>
    <row r="7" spans="1:17" ht="20.25">
      <c r="B7" s="34" t="s">
        <v>2</v>
      </c>
      <c r="C7" s="3"/>
      <c r="D7" s="3"/>
      <c r="E7" s="3"/>
      <c r="I7" s="35" t="s">
        <v>20</v>
      </c>
    </row>
    <row r="8" spans="1:17">
      <c r="B8" s="12"/>
      <c r="C8" s="13"/>
      <c r="D8" s="14"/>
      <c r="E8" s="26"/>
      <c r="F8" s="26" t="s">
        <v>10</v>
      </c>
      <c r="G8" s="27" t="s">
        <v>21</v>
      </c>
      <c r="I8" s="26"/>
      <c r="J8" s="26"/>
      <c r="K8" s="26"/>
      <c r="M8" s="26"/>
      <c r="N8" s="26" t="s">
        <v>4</v>
      </c>
      <c r="P8" s="26" t="s">
        <v>4</v>
      </c>
      <c r="Q8" s="26"/>
    </row>
    <row r="9" spans="1:17">
      <c r="B9" s="28"/>
      <c r="C9" s="28"/>
      <c r="D9" s="29"/>
      <c r="E9" s="30" t="s">
        <v>5</v>
      </c>
      <c r="F9" s="30" t="s">
        <v>6</v>
      </c>
      <c r="G9" s="31" t="s">
        <v>22</v>
      </c>
      <c r="I9" s="30"/>
      <c r="J9" s="30" t="s">
        <v>23</v>
      </c>
      <c r="K9" s="30" t="s">
        <v>24</v>
      </c>
      <c r="M9" s="30"/>
      <c r="N9" s="30" t="s">
        <v>25</v>
      </c>
      <c r="O9" s="8"/>
      <c r="P9" s="30" t="s">
        <v>25</v>
      </c>
      <c r="Q9" s="30"/>
    </row>
    <row r="10" spans="1:17">
      <c r="B10" s="15" t="s">
        <v>7</v>
      </c>
      <c r="C10" s="16" t="s">
        <v>8</v>
      </c>
      <c r="D10" s="15" t="s">
        <v>9</v>
      </c>
      <c r="E10" s="16" t="s">
        <v>10</v>
      </c>
      <c r="F10" s="16" t="s">
        <v>11</v>
      </c>
      <c r="G10" s="32" t="s">
        <v>26</v>
      </c>
      <c r="I10" s="15" t="s">
        <v>7</v>
      </c>
      <c r="J10" s="16" t="s">
        <v>25</v>
      </c>
      <c r="K10" s="16" t="s">
        <v>27</v>
      </c>
      <c r="M10" s="16" t="s">
        <v>28</v>
      </c>
      <c r="N10" s="16" t="s">
        <v>29</v>
      </c>
      <c r="P10" s="16" t="s">
        <v>29</v>
      </c>
      <c r="Q10" s="16" t="s">
        <v>30</v>
      </c>
    </row>
    <row r="11" spans="1:17">
      <c r="A11" s="4"/>
      <c r="B11" s="17">
        <v>1</v>
      </c>
      <c r="C11" s="18">
        <v>358475</v>
      </c>
      <c r="D11" s="19" t="s">
        <v>12</v>
      </c>
      <c r="E11" s="24">
        <f t="shared" ref="E11:E33" si="0">VLOOKUP($D11,DefaultRates,2,FALSE)</f>
        <v>0.3</v>
      </c>
      <c r="F11" s="24">
        <f>VLOOKUP($D11,DefaultRates,3,FALSE)</f>
        <v>0.15</v>
      </c>
      <c r="G11" s="37">
        <v>1</v>
      </c>
      <c r="H11" s="4"/>
      <c r="I11" s="17">
        <v>1</v>
      </c>
      <c r="J11" s="49">
        <v>107542.5</v>
      </c>
      <c r="K11" s="49">
        <v>228711</v>
      </c>
      <c r="M11" s="40" t="s">
        <v>5</v>
      </c>
      <c r="N11" s="18">
        <v>14221863</v>
      </c>
      <c r="P11" s="18">
        <v>0</v>
      </c>
      <c r="Q11" s="36">
        <v>9.8813999999999999E-2</v>
      </c>
    </row>
    <row r="12" spans="1:17">
      <c r="A12" s="4"/>
      <c r="B12" s="17">
        <v>2</v>
      </c>
      <c r="C12" s="18">
        <v>1089819</v>
      </c>
      <c r="D12" s="19" t="s">
        <v>12</v>
      </c>
      <c r="E12" s="24">
        <f t="shared" si="0"/>
        <v>0.3</v>
      </c>
      <c r="F12" s="24">
        <f t="shared" ref="F12:F27" si="1">VLOOKUP($D12,DefaultRates,3,FALSE)</f>
        <v>0.15</v>
      </c>
      <c r="G12" s="37">
        <v>1</v>
      </c>
      <c r="H12" s="4"/>
      <c r="I12" s="17">
        <v>2</v>
      </c>
      <c r="J12" s="49">
        <v>326945.7</v>
      </c>
      <c r="K12" s="49">
        <v>764758</v>
      </c>
      <c r="M12" s="47">
        <v>50</v>
      </c>
      <c r="N12" s="18">
        <v>11089455</v>
      </c>
      <c r="O12" s="4"/>
      <c r="P12" s="18">
        <v>202389</v>
      </c>
      <c r="Q12" s="36">
        <v>0</v>
      </c>
    </row>
    <row r="13" spans="1:17">
      <c r="A13" s="4"/>
      <c r="B13" s="17">
        <v>3</v>
      </c>
      <c r="C13" s="18">
        <v>1799710</v>
      </c>
      <c r="D13" s="19" t="s">
        <v>15</v>
      </c>
      <c r="E13" s="24">
        <f t="shared" si="0"/>
        <v>0.1</v>
      </c>
      <c r="F13" s="24">
        <f t="shared" si="1"/>
        <v>0.05</v>
      </c>
      <c r="G13" s="37">
        <v>1</v>
      </c>
      <c r="H13" s="4"/>
      <c r="I13" s="17">
        <v>3</v>
      </c>
      <c r="J13" s="49">
        <v>179971</v>
      </c>
      <c r="K13" s="49">
        <v>426743</v>
      </c>
      <c r="M13" s="47">
        <v>75</v>
      </c>
      <c r="N13" s="18">
        <v>20498062</v>
      </c>
      <c r="O13" s="4"/>
      <c r="P13" s="18">
        <v>404778</v>
      </c>
      <c r="Q13" s="36">
        <v>1.4718999999999999E-2</v>
      </c>
    </row>
    <row r="14" spans="1:17">
      <c r="A14" s="4"/>
      <c r="B14" s="17">
        <v>4</v>
      </c>
      <c r="C14" s="18">
        <v>1933116</v>
      </c>
      <c r="D14" s="19" t="s">
        <v>17</v>
      </c>
      <c r="E14" s="24">
        <f t="shared" si="0"/>
        <v>0.15</v>
      </c>
      <c r="F14" s="24">
        <f t="shared" si="1"/>
        <v>7.4999999999999997E-2</v>
      </c>
      <c r="G14" s="37">
        <v>1</v>
      </c>
      <c r="H14" s="4"/>
      <c r="I14" s="17">
        <v>4</v>
      </c>
      <c r="J14" s="49">
        <v>289967.40000000002</v>
      </c>
      <c r="K14" s="49">
        <v>716735</v>
      </c>
      <c r="M14" s="47">
        <v>95</v>
      </c>
      <c r="N14" s="18">
        <v>38908486</v>
      </c>
      <c r="O14" s="4"/>
      <c r="P14" s="18">
        <v>607167</v>
      </c>
      <c r="Q14" s="36">
        <v>0</v>
      </c>
    </row>
    <row r="15" spans="1:17">
      <c r="A15" s="4"/>
      <c r="B15" s="17">
        <v>5</v>
      </c>
      <c r="C15" s="18">
        <v>2317327</v>
      </c>
      <c r="D15" s="19" t="s">
        <v>17</v>
      </c>
      <c r="E15" s="24">
        <f t="shared" si="0"/>
        <v>0.15</v>
      </c>
      <c r="F15" s="24">
        <f t="shared" si="1"/>
        <v>7.4999999999999997E-2</v>
      </c>
      <c r="G15" s="37">
        <v>1</v>
      </c>
      <c r="H15" s="4"/>
      <c r="I15" s="17">
        <v>5</v>
      </c>
      <c r="J15" s="49">
        <v>347599.05</v>
      </c>
      <c r="K15" s="49">
        <v>896874</v>
      </c>
      <c r="M15" s="47">
        <v>97.5</v>
      </c>
      <c r="N15" s="18">
        <v>46152128</v>
      </c>
      <c r="O15" s="4"/>
      <c r="P15" s="18">
        <v>809556</v>
      </c>
      <c r="Q15" s="36">
        <v>1.3699999999999999E-3</v>
      </c>
    </row>
    <row r="16" spans="1:17">
      <c r="A16" s="4"/>
      <c r="B16" s="17">
        <v>6</v>
      </c>
      <c r="C16" s="18">
        <v>2410929</v>
      </c>
      <c r="D16" s="19" t="s">
        <v>17</v>
      </c>
      <c r="E16" s="24">
        <f t="shared" si="0"/>
        <v>0.15</v>
      </c>
      <c r="F16" s="24">
        <f t="shared" si="1"/>
        <v>7.4999999999999997E-2</v>
      </c>
      <c r="G16" s="37">
        <v>1</v>
      </c>
      <c r="H16" s="4"/>
      <c r="I16" s="17">
        <v>6</v>
      </c>
      <c r="J16" s="49">
        <v>361639.35</v>
      </c>
      <c r="K16" s="49">
        <v>910914</v>
      </c>
      <c r="M16" s="54">
        <v>99</v>
      </c>
      <c r="N16" s="52">
        <v>55311503</v>
      </c>
      <c r="O16" s="4"/>
      <c r="P16" s="18">
        <v>1011945</v>
      </c>
      <c r="Q16" s="36">
        <v>0</v>
      </c>
    </row>
    <row r="17" spans="1:17">
      <c r="A17" s="4"/>
      <c r="B17" s="17">
        <v>7</v>
      </c>
      <c r="C17" s="18">
        <v>2652184</v>
      </c>
      <c r="D17" s="19" t="s">
        <v>12</v>
      </c>
      <c r="E17" s="24">
        <f t="shared" si="0"/>
        <v>0.3</v>
      </c>
      <c r="F17" s="24">
        <f t="shared" si="1"/>
        <v>0.15</v>
      </c>
      <c r="G17" s="37">
        <v>1</v>
      </c>
      <c r="H17" s="4"/>
      <c r="I17" s="17">
        <v>7</v>
      </c>
      <c r="J17" s="49">
        <v>795655.2</v>
      </c>
      <c r="K17" s="49">
        <v>2163988</v>
      </c>
      <c r="M17" s="47">
        <v>99.5</v>
      </c>
      <c r="N17" s="18">
        <v>62033181</v>
      </c>
      <c r="O17" s="4"/>
      <c r="P17" s="18">
        <v>1214334</v>
      </c>
      <c r="Q17" s="36">
        <v>1.5018E-2</v>
      </c>
    </row>
    <row r="18" spans="1:17">
      <c r="A18" s="4"/>
      <c r="B18" s="17">
        <v>8</v>
      </c>
      <c r="C18" s="18">
        <v>2957685</v>
      </c>
      <c r="D18" s="19" t="s">
        <v>17</v>
      </c>
      <c r="E18" s="24">
        <f t="shared" si="0"/>
        <v>0.15</v>
      </c>
      <c r="F18" s="24">
        <f t="shared" si="1"/>
        <v>7.4999999999999997E-2</v>
      </c>
      <c r="G18" s="37">
        <v>1</v>
      </c>
      <c r="H18" s="4"/>
      <c r="I18" s="17">
        <v>8</v>
      </c>
      <c r="J18" s="49">
        <v>443652.75</v>
      </c>
      <c r="K18" s="49">
        <v>1199910</v>
      </c>
      <c r="M18" s="47">
        <v>99.75</v>
      </c>
      <c r="N18" s="18">
        <v>68612540</v>
      </c>
      <c r="O18" s="4"/>
      <c r="P18" s="18">
        <v>1416723</v>
      </c>
      <c r="Q18" s="36">
        <v>0</v>
      </c>
    </row>
    <row r="19" spans="1:17">
      <c r="A19" s="4"/>
      <c r="B19" s="17">
        <v>9</v>
      </c>
      <c r="C19" s="18">
        <v>3137989</v>
      </c>
      <c r="D19" s="19" t="s">
        <v>18</v>
      </c>
      <c r="E19" s="24">
        <f t="shared" si="0"/>
        <v>0.05</v>
      </c>
      <c r="F19" s="24">
        <f t="shared" si="1"/>
        <v>2.5000000000000001E-2</v>
      </c>
      <c r="G19" s="37">
        <v>1</v>
      </c>
      <c r="H19" s="4"/>
      <c r="I19" s="17">
        <v>9</v>
      </c>
      <c r="J19" s="49">
        <v>156899.45000000001</v>
      </c>
      <c r="K19" s="49">
        <v>434047</v>
      </c>
      <c r="M19" s="48">
        <v>99.9</v>
      </c>
      <c r="N19" s="21">
        <v>77133478</v>
      </c>
      <c r="O19" s="4"/>
      <c r="P19" s="18">
        <v>1619112</v>
      </c>
      <c r="Q19" s="36">
        <v>2.784E-3</v>
      </c>
    </row>
    <row r="20" spans="1:17">
      <c r="A20" s="4"/>
      <c r="B20" s="17">
        <v>10</v>
      </c>
      <c r="C20" s="18">
        <v>3204044</v>
      </c>
      <c r="D20" s="19" t="s">
        <v>18</v>
      </c>
      <c r="E20" s="24">
        <f t="shared" si="0"/>
        <v>0.05</v>
      </c>
      <c r="F20" s="24">
        <f t="shared" si="1"/>
        <v>2.5000000000000001E-2</v>
      </c>
      <c r="G20" s="37">
        <v>1</v>
      </c>
      <c r="H20" s="4"/>
      <c r="I20" s="17">
        <v>10</v>
      </c>
      <c r="J20" s="49">
        <v>160202.20000000001</v>
      </c>
      <c r="K20" s="49">
        <v>437350</v>
      </c>
      <c r="O20" s="4"/>
      <c r="P20" s="18">
        <v>1821501</v>
      </c>
      <c r="Q20" s="36">
        <v>5.4739999999999997E-3</v>
      </c>
    </row>
    <row r="21" spans="1:17">
      <c r="A21" s="4"/>
      <c r="B21" s="17">
        <v>11</v>
      </c>
      <c r="C21" s="18">
        <v>4727724</v>
      </c>
      <c r="D21" s="19" t="s">
        <v>13</v>
      </c>
      <c r="E21" s="24">
        <f t="shared" si="0"/>
        <v>1.4999999999999999E-2</v>
      </c>
      <c r="F21" s="24">
        <f t="shared" si="1"/>
        <v>7.4999999999999997E-3</v>
      </c>
      <c r="G21" s="37">
        <v>1</v>
      </c>
      <c r="H21" s="4"/>
      <c r="I21" s="17">
        <v>11</v>
      </c>
      <c r="J21" s="49">
        <v>70915.86</v>
      </c>
      <c r="K21" s="49">
        <v>225356</v>
      </c>
      <c r="O21" s="4"/>
      <c r="P21" s="18">
        <v>2023890</v>
      </c>
      <c r="Q21" s="36">
        <v>8.2480000000000001E-3</v>
      </c>
    </row>
    <row r="22" spans="1:17">
      <c r="A22" s="4"/>
      <c r="B22" s="17">
        <v>12</v>
      </c>
      <c r="C22" s="18">
        <v>4830517</v>
      </c>
      <c r="D22" s="19" t="s">
        <v>18</v>
      </c>
      <c r="E22" s="24">
        <f t="shared" si="0"/>
        <v>0.05</v>
      </c>
      <c r="F22" s="24">
        <f t="shared" si="1"/>
        <v>2.5000000000000001E-2</v>
      </c>
      <c r="G22" s="37">
        <v>1</v>
      </c>
      <c r="H22" s="4"/>
      <c r="I22" s="17">
        <v>12</v>
      </c>
      <c r="J22" s="49">
        <v>241525.85</v>
      </c>
      <c r="K22" s="49">
        <v>756325</v>
      </c>
      <c r="O22" s="4"/>
      <c r="P22" s="18">
        <v>2226279</v>
      </c>
      <c r="Q22" s="36">
        <v>1.0189999999999999E-3</v>
      </c>
    </row>
    <row r="23" spans="1:17">
      <c r="A23" s="4"/>
      <c r="B23" s="17">
        <v>13</v>
      </c>
      <c r="C23" s="18">
        <v>4912097</v>
      </c>
      <c r="D23" s="19" t="s">
        <v>18</v>
      </c>
      <c r="E23" s="24">
        <f t="shared" si="0"/>
        <v>0.05</v>
      </c>
      <c r="F23" s="24">
        <f t="shared" si="1"/>
        <v>2.5000000000000001E-2</v>
      </c>
      <c r="G23" s="37">
        <v>1</v>
      </c>
      <c r="H23" s="4"/>
      <c r="I23" s="17">
        <v>13</v>
      </c>
      <c r="J23" s="49">
        <v>245604.85</v>
      </c>
      <c r="K23" s="49">
        <v>794754</v>
      </c>
      <c r="O23" s="4"/>
      <c r="P23" s="18">
        <v>2428668</v>
      </c>
      <c r="Q23" s="36">
        <v>1.9091E-2</v>
      </c>
    </row>
    <row r="24" spans="1:17">
      <c r="A24" s="4"/>
      <c r="B24" s="17">
        <v>14</v>
      </c>
      <c r="C24" s="18">
        <v>4928989</v>
      </c>
      <c r="D24" s="19" t="s">
        <v>12</v>
      </c>
      <c r="E24" s="24">
        <f t="shared" si="0"/>
        <v>0.3</v>
      </c>
      <c r="F24" s="24">
        <f t="shared" si="1"/>
        <v>0.15</v>
      </c>
      <c r="G24" s="37">
        <v>1</v>
      </c>
      <c r="H24" s="4"/>
      <c r="I24" s="17">
        <v>14</v>
      </c>
      <c r="J24" s="49">
        <v>1478696.7</v>
      </c>
      <c r="K24" s="49">
        <v>4773594</v>
      </c>
      <c r="O24" s="4"/>
      <c r="P24" s="18">
        <v>2631057</v>
      </c>
      <c r="Q24" s="36">
        <v>1.1400000000000001E-4</v>
      </c>
    </row>
    <row r="25" spans="1:17">
      <c r="A25" s="4"/>
      <c r="B25" s="17">
        <v>15</v>
      </c>
      <c r="C25" s="18">
        <v>5042312</v>
      </c>
      <c r="D25" s="19" t="s">
        <v>15</v>
      </c>
      <c r="E25" s="24">
        <f t="shared" si="0"/>
        <v>0.1</v>
      </c>
      <c r="F25" s="24">
        <f t="shared" si="1"/>
        <v>0.05</v>
      </c>
      <c r="G25" s="37">
        <v>1</v>
      </c>
      <c r="H25" s="4"/>
      <c r="I25" s="17">
        <v>15</v>
      </c>
      <c r="J25" s="49">
        <v>504231.2</v>
      </c>
      <c r="K25" s="49">
        <v>1602530</v>
      </c>
      <c r="O25" s="4"/>
      <c r="P25" s="18">
        <v>2833446</v>
      </c>
      <c r="Q25" s="36">
        <v>1.9050999999999998E-2</v>
      </c>
    </row>
    <row r="26" spans="1:17">
      <c r="A26" s="4"/>
      <c r="B26" s="17">
        <v>16</v>
      </c>
      <c r="C26" s="18">
        <v>5320364</v>
      </c>
      <c r="D26" s="19" t="s">
        <v>19</v>
      </c>
      <c r="E26" s="24">
        <f t="shared" si="0"/>
        <v>7.4999999999999997E-2</v>
      </c>
      <c r="F26" s="24">
        <f t="shared" si="1"/>
        <v>3.7499999999999999E-2</v>
      </c>
      <c r="G26" s="37">
        <v>1</v>
      </c>
      <c r="H26" s="4"/>
      <c r="I26" s="17">
        <v>16</v>
      </c>
      <c r="J26" s="49">
        <v>399027.3</v>
      </c>
      <c r="K26" s="49">
        <v>1330448</v>
      </c>
      <c r="O26" s="4"/>
      <c r="P26" s="18">
        <v>3035835</v>
      </c>
      <c r="Q26" s="36">
        <v>9.1389999999999996E-3</v>
      </c>
    </row>
    <row r="27" spans="1:17">
      <c r="A27" s="4"/>
      <c r="B27" s="17">
        <v>17</v>
      </c>
      <c r="C27" s="18">
        <v>5435457</v>
      </c>
      <c r="D27" s="19" t="s">
        <v>18</v>
      </c>
      <c r="E27" s="24">
        <f t="shared" si="0"/>
        <v>0.05</v>
      </c>
      <c r="F27" s="24">
        <f t="shared" si="1"/>
        <v>2.5000000000000001E-2</v>
      </c>
      <c r="G27" s="37">
        <v>1</v>
      </c>
      <c r="H27" s="4"/>
      <c r="I27" s="17">
        <v>17</v>
      </c>
      <c r="J27" s="49">
        <v>271772.84999999998</v>
      </c>
      <c r="K27" s="49">
        <v>892720</v>
      </c>
      <c r="O27" s="4"/>
      <c r="P27" s="18">
        <v>3238224</v>
      </c>
      <c r="Q27" s="36">
        <v>1.0212000000000001E-2</v>
      </c>
    </row>
    <row r="28" spans="1:17">
      <c r="A28" s="4"/>
      <c r="B28" s="17">
        <v>18</v>
      </c>
      <c r="C28" s="18">
        <v>5517586</v>
      </c>
      <c r="D28" s="19" t="s">
        <v>16</v>
      </c>
      <c r="E28" s="24">
        <f t="shared" si="0"/>
        <v>0.03</v>
      </c>
      <c r="F28" s="24">
        <f t="shared" ref="F28:F33" si="2">VLOOKUP($D28,DefaultRates,3,FALSE)</f>
        <v>1.4999999999999999E-2</v>
      </c>
      <c r="G28" s="37">
        <v>1</v>
      </c>
      <c r="H28" s="4"/>
      <c r="I28" s="17">
        <v>18</v>
      </c>
      <c r="J28" s="49">
        <v>165527.57999999999</v>
      </c>
      <c r="K28" s="49">
        <v>560564</v>
      </c>
      <c r="O28" s="4"/>
      <c r="P28" s="18">
        <v>3440613</v>
      </c>
      <c r="Q28" s="36">
        <v>1.7390000000000001E-3</v>
      </c>
    </row>
    <row r="29" spans="1:17">
      <c r="A29" s="4"/>
      <c r="B29" s="17">
        <v>19</v>
      </c>
      <c r="C29" s="18">
        <v>5764596</v>
      </c>
      <c r="D29" s="19" t="s">
        <v>19</v>
      </c>
      <c r="E29" s="24">
        <f t="shared" si="0"/>
        <v>7.4999999999999997E-2</v>
      </c>
      <c r="F29" s="24">
        <f t="shared" si="2"/>
        <v>3.7499999999999999E-2</v>
      </c>
      <c r="G29" s="37">
        <v>1</v>
      </c>
      <c r="H29" s="4"/>
      <c r="I29" s="17">
        <v>19</v>
      </c>
      <c r="J29" s="49">
        <v>432344.7</v>
      </c>
      <c r="K29" s="49">
        <v>1477654</v>
      </c>
      <c r="O29" s="4"/>
      <c r="P29" s="18">
        <v>3643002</v>
      </c>
      <c r="Q29" s="36">
        <v>5.0509999999999999E-3</v>
      </c>
    </row>
    <row r="30" spans="1:17">
      <c r="A30" s="4"/>
      <c r="B30" s="17">
        <v>20</v>
      </c>
      <c r="C30" s="18">
        <v>5847845</v>
      </c>
      <c r="D30" s="19" t="s">
        <v>16</v>
      </c>
      <c r="E30" s="24">
        <f t="shared" si="0"/>
        <v>0.03</v>
      </c>
      <c r="F30" s="24">
        <f t="shared" si="2"/>
        <v>1.4999999999999999E-2</v>
      </c>
      <c r="G30" s="37">
        <v>1</v>
      </c>
      <c r="H30" s="4"/>
      <c r="I30" s="17">
        <v>20</v>
      </c>
      <c r="J30" s="49">
        <v>175435.35</v>
      </c>
      <c r="K30" s="49">
        <v>593559</v>
      </c>
      <c r="O30" s="4"/>
      <c r="P30" s="18">
        <v>3845391</v>
      </c>
      <c r="Q30" s="36">
        <v>7.4799999999999997E-4</v>
      </c>
    </row>
    <row r="31" spans="1:17">
      <c r="A31" s="4"/>
      <c r="B31" s="17">
        <v>21</v>
      </c>
      <c r="C31" s="18">
        <v>6466533</v>
      </c>
      <c r="D31" s="19" t="s">
        <v>12</v>
      </c>
      <c r="E31" s="24">
        <f t="shared" si="0"/>
        <v>0.3</v>
      </c>
      <c r="F31" s="24">
        <f t="shared" si="2"/>
        <v>0.15</v>
      </c>
      <c r="G31" s="37">
        <v>1</v>
      </c>
      <c r="H31" s="4"/>
      <c r="I31" s="17">
        <v>21</v>
      </c>
      <c r="J31" s="49">
        <v>1939959.9</v>
      </c>
      <c r="K31" s="49">
        <v>6850969</v>
      </c>
      <c r="O31" s="4"/>
      <c r="P31" s="18">
        <v>4047780</v>
      </c>
      <c r="Q31" s="36">
        <v>4.2729999999999999E-3</v>
      </c>
    </row>
    <row r="32" spans="1:17">
      <c r="A32" s="4"/>
      <c r="B32" s="17">
        <v>22</v>
      </c>
      <c r="C32" s="18">
        <v>6480322</v>
      </c>
      <c r="D32" s="19" t="s">
        <v>12</v>
      </c>
      <c r="E32" s="24">
        <f t="shared" si="0"/>
        <v>0.3</v>
      </c>
      <c r="F32" s="24">
        <f t="shared" si="2"/>
        <v>0.15</v>
      </c>
      <c r="G32" s="37">
        <v>1</v>
      </c>
      <c r="H32" s="4"/>
      <c r="I32" s="17">
        <v>22</v>
      </c>
      <c r="J32" s="49">
        <v>1944096.6</v>
      </c>
      <c r="K32" s="49">
        <v>7110748</v>
      </c>
      <c r="O32" s="4"/>
      <c r="P32" s="18">
        <v>4250169</v>
      </c>
      <c r="Q32" s="36">
        <v>2.905E-3</v>
      </c>
    </row>
    <row r="33" spans="1:17">
      <c r="A33" s="4"/>
      <c r="B33" s="17">
        <v>23</v>
      </c>
      <c r="C33" s="18">
        <v>7727651</v>
      </c>
      <c r="D33" s="19" t="s">
        <v>14</v>
      </c>
      <c r="E33" s="24">
        <f t="shared" si="0"/>
        <v>1.6E-2</v>
      </c>
      <c r="F33" s="24">
        <f t="shared" si="2"/>
        <v>8.0000000000000002E-3</v>
      </c>
      <c r="G33" s="37">
        <v>1</v>
      </c>
      <c r="H33" s="4"/>
      <c r="I33" s="17">
        <v>23</v>
      </c>
      <c r="J33" s="49">
        <v>123642.416</v>
      </c>
      <c r="K33" s="49">
        <v>487938</v>
      </c>
      <c r="O33" s="4"/>
      <c r="P33" s="18">
        <v>4452558</v>
      </c>
      <c r="Q33" s="36">
        <v>3.6779999999999998E-3</v>
      </c>
    </row>
    <row r="34" spans="1:17">
      <c r="A34" s="4"/>
      <c r="B34" s="17">
        <v>24</v>
      </c>
      <c r="C34" s="18">
        <v>15410906</v>
      </c>
      <c r="D34" s="19" t="s">
        <v>15</v>
      </c>
      <c r="E34" s="24">
        <v>0.1</v>
      </c>
      <c r="F34" s="24">
        <v>0.05</v>
      </c>
      <c r="G34" s="37">
        <v>1</v>
      </c>
      <c r="H34" s="4"/>
      <c r="I34" s="17">
        <v>24</v>
      </c>
      <c r="J34" s="49">
        <v>1541090.6</v>
      </c>
      <c r="K34" s="49">
        <v>9056197</v>
      </c>
      <c r="O34" s="4"/>
      <c r="P34" s="18">
        <v>4654947</v>
      </c>
      <c r="Q34" s="36">
        <v>1.717E-3</v>
      </c>
    </row>
    <row r="35" spans="1:17">
      <c r="A35" s="4"/>
      <c r="B35" s="20">
        <v>25</v>
      </c>
      <c r="C35" s="21">
        <v>20238895</v>
      </c>
      <c r="D35" s="22" t="s">
        <v>19</v>
      </c>
      <c r="E35" s="25">
        <v>7.4999999999999997E-2</v>
      </c>
      <c r="F35" s="25">
        <v>3.7499999999999999E-2</v>
      </c>
      <c r="G35" s="38">
        <v>1</v>
      </c>
      <c r="H35" s="4"/>
      <c r="I35" s="20">
        <v>25</v>
      </c>
      <c r="J35" s="50">
        <v>1517917.125</v>
      </c>
      <c r="K35" s="50">
        <v>10618120</v>
      </c>
      <c r="O35" s="4"/>
      <c r="P35" s="18">
        <v>4857336</v>
      </c>
      <c r="Q35" s="36">
        <v>8.482E-3</v>
      </c>
    </row>
    <row r="36" spans="1:17">
      <c r="B36" s="9"/>
      <c r="C36" s="7"/>
      <c r="D36" s="10"/>
      <c r="E36" s="10"/>
      <c r="F36" s="7"/>
      <c r="G36" s="7"/>
      <c r="O36" s="4"/>
      <c r="P36" s="18">
        <v>5059725</v>
      </c>
      <c r="Q36" s="36">
        <v>2.6039E-2</v>
      </c>
    </row>
    <row r="37" spans="1:17">
      <c r="B37" s="2"/>
      <c r="C37" s="4"/>
      <c r="E37" s="1"/>
      <c r="J37" s="4"/>
      <c r="K37" s="4"/>
      <c r="O37" s="4"/>
      <c r="P37" s="18">
        <v>5262114</v>
      </c>
      <c r="Q37" s="36">
        <v>5.8570000000000002E-3</v>
      </c>
    </row>
    <row r="38" spans="1:17">
      <c r="B38" s="2"/>
      <c r="C38" s="4"/>
      <c r="D38" s="1"/>
      <c r="E38" s="1"/>
      <c r="O38" s="4"/>
      <c r="P38" s="18">
        <v>5464503</v>
      </c>
      <c r="Q38" s="36">
        <v>1.3781E-2</v>
      </c>
    </row>
    <row r="39" spans="1:17">
      <c r="O39" s="4"/>
      <c r="P39" s="18">
        <v>5666892</v>
      </c>
      <c r="Q39" s="36">
        <v>5.9329999999999999E-3</v>
      </c>
    </row>
    <row r="40" spans="1:17">
      <c r="B40" s="2"/>
      <c r="D40" s="1"/>
      <c r="E40" s="1"/>
      <c r="O40" s="4"/>
      <c r="P40" s="18">
        <v>5869281</v>
      </c>
      <c r="Q40" s="36">
        <v>9.9100000000000004E-3</v>
      </c>
    </row>
    <row r="41" spans="1:17">
      <c r="O41" s="4"/>
      <c r="P41" s="18">
        <v>6071670</v>
      </c>
      <c r="Q41" s="36">
        <v>4.2820000000000002E-3</v>
      </c>
    </row>
    <row r="42" spans="1:17">
      <c r="O42" s="4"/>
      <c r="P42" s="18">
        <v>6274059</v>
      </c>
      <c r="Q42" s="36">
        <v>7.332E-3</v>
      </c>
    </row>
    <row r="43" spans="1:17">
      <c r="O43" s="4"/>
      <c r="P43" s="18">
        <v>6476448</v>
      </c>
      <c r="Q43" s="36">
        <v>1.8686000000000001E-2</v>
      </c>
    </row>
    <row r="44" spans="1:17">
      <c r="O44" s="4"/>
      <c r="P44" s="18">
        <v>6678837</v>
      </c>
      <c r="Q44" s="36">
        <v>1.9835999999999999E-2</v>
      </c>
    </row>
    <row r="45" spans="1:17">
      <c r="O45" s="4"/>
      <c r="P45" s="18">
        <v>6881226</v>
      </c>
      <c r="Q45" s="36">
        <v>6.9090000000000002E-3</v>
      </c>
    </row>
    <row r="46" spans="1:17">
      <c r="O46" s="4"/>
      <c r="P46" s="18">
        <v>7083615</v>
      </c>
      <c r="Q46" s="36">
        <v>8.0110000000000008E-3</v>
      </c>
    </row>
    <row r="47" spans="1:17">
      <c r="O47" s="4"/>
      <c r="P47" s="18">
        <v>7286004</v>
      </c>
      <c r="Q47" s="36">
        <v>3.6359999999999999E-3</v>
      </c>
    </row>
    <row r="48" spans="1:17">
      <c r="O48" s="4"/>
      <c r="P48" s="18">
        <v>7488393</v>
      </c>
      <c r="Q48" s="36">
        <v>8.345E-3</v>
      </c>
    </row>
    <row r="49" spans="15:17">
      <c r="O49" s="4"/>
      <c r="P49" s="18">
        <v>7690782</v>
      </c>
      <c r="Q49" s="36">
        <v>6.1710000000000003E-3</v>
      </c>
    </row>
    <row r="50" spans="15:17">
      <c r="O50" s="4"/>
      <c r="P50" s="18">
        <v>7893171</v>
      </c>
      <c r="Q50" s="36">
        <v>1.3664000000000001E-2</v>
      </c>
    </row>
    <row r="51" spans="15:17">
      <c r="O51" s="4"/>
      <c r="P51" s="18">
        <v>8095560</v>
      </c>
      <c r="Q51" s="36">
        <v>5.8589999999999996E-3</v>
      </c>
    </row>
    <row r="52" spans="15:17">
      <c r="O52" s="4"/>
      <c r="P52" s="18">
        <v>8297949</v>
      </c>
      <c r="Q52" s="36">
        <v>9.5390000000000006E-3</v>
      </c>
    </row>
    <row r="53" spans="15:17">
      <c r="O53" s="4"/>
      <c r="P53" s="18">
        <v>8500338</v>
      </c>
      <c r="Q53" s="36">
        <v>6.1000000000000004E-3</v>
      </c>
    </row>
    <row r="54" spans="15:17">
      <c r="O54" s="4"/>
      <c r="P54" s="18">
        <v>8702727</v>
      </c>
      <c r="Q54" s="36">
        <v>7.2430000000000003E-3</v>
      </c>
    </row>
    <row r="55" spans="15:17">
      <c r="O55" s="4"/>
      <c r="P55" s="18">
        <v>8905116</v>
      </c>
      <c r="Q55" s="36">
        <v>6.8129999999999996E-3</v>
      </c>
    </row>
    <row r="56" spans="15:17">
      <c r="O56" s="4"/>
      <c r="P56" s="18">
        <v>9107505</v>
      </c>
      <c r="Q56" s="36">
        <v>7.9489999999999995E-3</v>
      </c>
    </row>
    <row r="57" spans="15:17">
      <c r="O57" s="4"/>
      <c r="P57" s="18">
        <v>9309894</v>
      </c>
      <c r="Q57" s="36">
        <v>6.4349999999999997E-3</v>
      </c>
    </row>
    <row r="58" spans="15:17">
      <c r="O58" s="4"/>
      <c r="P58" s="18">
        <v>9512283</v>
      </c>
      <c r="Q58" s="36">
        <v>8.9009999999999992E-3</v>
      </c>
    </row>
    <row r="59" spans="15:17">
      <c r="O59" s="4"/>
      <c r="P59" s="18">
        <v>9714672</v>
      </c>
      <c r="Q59" s="36">
        <v>6.2989999999999999E-3</v>
      </c>
    </row>
    <row r="60" spans="15:17">
      <c r="O60" s="4"/>
      <c r="P60" s="18">
        <v>9917061</v>
      </c>
      <c r="Q60" s="36">
        <v>7.1159999999999999E-3</v>
      </c>
    </row>
    <row r="61" spans="15:17">
      <c r="O61" s="4"/>
      <c r="P61" s="18">
        <v>10119450</v>
      </c>
      <c r="Q61" s="36">
        <v>7.4190000000000002E-3</v>
      </c>
    </row>
    <row r="62" spans="15:17">
      <c r="O62" s="4"/>
      <c r="P62" s="18">
        <v>10321839</v>
      </c>
      <c r="Q62" s="36">
        <v>5.6109999999999997E-3</v>
      </c>
    </row>
    <row r="63" spans="15:17">
      <c r="O63" s="4"/>
      <c r="P63" s="18">
        <v>10524228</v>
      </c>
      <c r="Q63" s="36">
        <v>6.3489999999999996E-3</v>
      </c>
    </row>
    <row r="64" spans="15:17">
      <c r="O64" s="4"/>
      <c r="P64" s="18">
        <v>10726617</v>
      </c>
      <c r="Q64" s="36">
        <v>6.0530000000000002E-3</v>
      </c>
    </row>
    <row r="65" spans="15:17">
      <c r="O65" s="4"/>
      <c r="P65" s="18">
        <v>10929006</v>
      </c>
      <c r="Q65" s="36">
        <v>6.4780000000000003E-3</v>
      </c>
    </row>
    <row r="66" spans="15:17">
      <c r="O66" s="4"/>
      <c r="P66" s="18">
        <v>11131395</v>
      </c>
      <c r="Q66" s="36">
        <v>4.7879999999999997E-3</v>
      </c>
    </row>
    <row r="67" spans="15:17">
      <c r="O67" s="4"/>
      <c r="P67" s="18">
        <v>11333784</v>
      </c>
      <c r="Q67" s="36">
        <v>6.0029999999999997E-3</v>
      </c>
    </row>
    <row r="68" spans="15:17">
      <c r="O68" s="4"/>
      <c r="P68" s="18">
        <v>11536173</v>
      </c>
      <c r="Q68" s="36">
        <v>9.8560000000000002E-3</v>
      </c>
    </row>
    <row r="69" spans="15:17">
      <c r="O69" s="4"/>
      <c r="P69" s="18">
        <v>11738562</v>
      </c>
      <c r="Q69" s="36">
        <v>9.3889999999999998E-3</v>
      </c>
    </row>
    <row r="70" spans="15:17">
      <c r="O70" s="4"/>
      <c r="P70" s="18">
        <v>11940951</v>
      </c>
      <c r="Q70" s="36">
        <v>6.9230000000000003E-3</v>
      </c>
    </row>
    <row r="71" spans="15:17">
      <c r="O71" s="4"/>
      <c r="P71" s="18">
        <v>12143340</v>
      </c>
      <c r="Q71" s="36">
        <v>6.9230000000000003E-3</v>
      </c>
    </row>
    <row r="72" spans="15:17">
      <c r="O72" s="4"/>
      <c r="P72" s="18">
        <v>12345729</v>
      </c>
      <c r="Q72" s="36">
        <v>5.8129999999999996E-3</v>
      </c>
    </row>
    <row r="73" spans="15:17">
      <c r="O73" s="4"/>
      <c r="P73" s="18">
        <v>12548118</v>
      </c>
      <c r="Q73" s="36">
        <v>6.1060000000000003E-3</v>
      </c>
    </row>
    <row r="74" spans="15:17">
      <c r="O74" s="4"/>
      <c r="P74" s="18">
        <v>12750507</v>
      </c>
      <c r="Q74" s="36">
        <v>5.1229999999999999E-3</v>
      </c>
    </row>
    <row r="75" spans="15:17">
      <c r="O75" s="4"/>
      <c r="P75" s="18">
        <v>12952896</v>
      </c>
      <c r="Q75" s="36">
        <v>7.7409999999999996E-3</v>
      </c>
    </row>
    <row r="76" spans="15:17">
      <c r="O76" s="4"/>
      <c r="P76" s="18">
        <v>13155285</v>
      </c>
      <c r="Q76" s="36">
        <v>7.3990000000000002E-3</v>
      </c>
    </row>
    <row r="77" spans="15:17">
      <c r="O77" s="4"/>
      <c r="P77" s="18">
        <v>13357674</v>
      </c>
      <c r="Q77" s="36">
        <v>7.2570000000000004E-3</v>
      </c>
    </row>
    <row r="78" spans="15:17">
      <c r="O78" s="4"/>
      <c r="P78" s="18">
        <v>13560063</v>
      </c>
      <c r="Q78" s="36">
        <v>5.1269999999999996E-3</v>
      </c>
    </row>
    <row r="79" spans="15:17">
      <c r="O79" s="4"/>
      <c r="P79" s="18">
        <v>13762452</v>
      </c>
      <c r="Q79" s="36">
        <v>5.2960000000000004E-3</v>
      </c>
    </row>
    <row r="80" spans="15:17">
      <c r="O80" s="4"/>
      <c r="P80" s="18">
        <v>13964841</v>
      </c>
      <c r="Q80" s="36">
        <v>4.8170000000000001E-3</v>
      </c>
    </row>
    <row r="81" spans="15:17">
      <c r="O81" s="4"/>
      <c r="P81" s="18">
        <v>14167230</v>
      </c>
      <c r="Q81" s="36">
        <v>5.4099999999999999E-3</v>
      </c>
    </row>
    <row r="82" spans="15:17">
      <c r="O82" s="4"/>
      <c r="P82" s="18">
        <v>14369619</v>
      </c>
      <c r="Q82" s="36">
        <v>5.7349999999999996E-3</v>
      </c>
    </row>
    <row r="83" spans="15:17">
      <c r="O83" s="4"/>
      <c r="P83" s="18">
        <v>14572008</v>
      </c>
      <c r="Q83" s="36">
        <v>6.1390000000000004E-3</v>
      </c>
    </row>
    <row r="84" spans="15:17">
      <c r="O84" s="4"/>
      <c r="P84" s="18">
        <v>14774397</v>
      </c>
      <c r="Q84" s="36">
        <v>5.0499999999999998E-3</v>
      </c>
    </row>
    <row r="85" spans="15:17">
      <c r="O85" s="4"/>
      <c r="P85" s="18">
        <v>14976786</v>
      </c>
      <c r="Q85" s="36">
        <v>5.2810000000000001E-3</v>
      </c>
    </row>
    <row r="86" spans="15:17">
      <c r="O86" s="4"/>
      <c r="P86" s="18">
        <v>15179175</v>
      </c>
      <c r="Q86" s="36">
        <v>4.6340000000000001E-3</v>
      </c>
    </row>
    <row r="87" spans="15:17">
      <c r="O87" s="4"/>
      <c r="P87" s="18">
        <v>15381564</v>
      </c>
      <c r="Q87" s="36">
        <v>4.7070000000000002E-3</v>
      </c>
    </row>
    <row r="88" spans="15:17">
      <c r="O88" s="4"/>
      <c r="P88" s="18">
        <v>15583953</v>
      </c>
      <c r="Q88" s="36">
        <v>1.0074E-2</v>
      </c>
    </row>
    <row r="89" spans="15:17">
      <c r="O89" s="4"/>
      <c r="P89" s="18">
        <v>15786342</v>
      </c>
      <c r="Q89" s="36">
        <v>4.6519999999999999E-3</v>
      </c>
    </row>
    <row r="90" spans="15:17">
      <c r="O90" s="4"/>
      <c r="P90" s="18">
        <v>15988731</v>
      </c>
      <c r="Q90" s="36">
        <v>5.594E-3</v>
      </c>
    </row>
    <row r="91" spans="15:17">
      <c r="O91" s="4"/>
      <c r="P91" s="18">
        <v>16191120</v>
      </c>
      <c r="Q91" s="36">
        <v>4.3969999999999999E-3</v>
      </c>
    </row>
    <row r="92" spans="15:17">
      <c r="O92" s="4"/>
      <c r="P92" s="18">
        <v>16393509</v>
      </c>
      <c r="Q92" s="36">
        <v>4.3689999999999996E-3</v>
      </c>
    </row>
    <row r="93" spans="15:17">
      <c r="O93" s="4"/>
      <c r="P93" s="18">
        <v>16595898</v>
      </c>
      <c r="Q93" s="36">
        <v>4.6860000000000001E-3</v>
      </c>
    </row>
    <row r="94" spans="15:17">
      <c r="O94" s="4"/>
      <c r="P94" s="18">
        <v>16798287</v>
      </c>
      <c r="Q94" s="36">
        <v>5.424E-3</v>
      </c>
    </row>
    <row r="95" spans="15:17">
      <c r="O95" s="4"/>
      <c r="P95" s="18">
        <v>17000676</v>
      </c>
      <c r="Q95" s="36">
        <v>4.1330000000000004E-3</v>
      </c>
    </row>
    <row r="96" spans="15:17">
      <c r="O96" s="4"/>
      <c r="P96" s="18">
        <v>17203065</v>
      </c>
      <c r="Q96" s="36">
        <v>4.3410000000000002E-3</v>
      </c>
    </row>
    <row r="97" spans="15:17">
      <c r="O97" s="4"/>
      <c r="P97" s="18">
        <v>17405454</v>
      </c>
      <c r="Q97" s="36">
        <v>4.4380000000000001E-3</v>
      </c>
    </row>
    <row r="98" spans="15:17">
      <c r="O98" s="4"/>
      <c r="P98" s="18">
        <v>17607843</v>
      </c>
      <c r="Q98" s="36">
        <v>4.3870000000000003E-3</v>
      </c>
    </row>
    <row r="99" spans="15:17">
      <c r="O99" s="4"/>
      <c r="P99" s="18">
        <v>17810232</v>
      </c>
      <c r="Q99" s="36">
        <v>3.6709999999999998E-3</v>
      </c>
    </row>
    <row r="100" spans="15:17">
      <c r="O100" s="4"/>
      <c r="P100" s="18">
        <v>18012621</v>
      </c>
      <c r="Q100" s="36">
        <v>5.581E-3</v>
      </c>
    </row>
    <row r="101" spans="15:17">
      <c r="O101" s="4"/>
      <c r="P101" s="18">
        <v>18215010</v>
      </c>
      <c r="Q101" s="36">
        <v>4.3509999999999998E-3</v>
      </c>
    </row>
    <row r="102" spans="15:17">
      <c r="O102" s="4"/>
      <c r="P102" s="18">
        <v>18417399</v>
      </c>
      <c r="Q102" s="36">
        <v>5.4879999999999998E-3</v>
      </c>
    </row>
    <row r="103" spans="15:17">
      <c r="O103" s="4"/>
      <c r="P103" s="18">
        <v>18619788</v>
      </c>
      <c r="Q103" s="36">
        <v>4.2770000000000004E-3</v>
      </c>
    </row>
    <row r="104" spans="15:17">
      <c r="O104" s="4"/>
      <c r="P104" s="18">
        <v>18822177</v>
      </c>
      <c r="Q104" s="36">
        <v>4.333E-3</v>
      </c>
    </row>
    <row r="105" spans="15:17">
      <c r="O105" s="4"/>
      <c r="P105" s="18">
        <v>19024566</v>
      </c>
      <c r="Q105" s="36">
        <v>3.4629999999999999E-3</v>
      </c>
    </row>
    <row r="106" spans="15:17">
      <c r="O106" s="4"/>
      <c r="P106" s="18">
        <v>19226955</v>
      </c>
      <c r="Q106" s="36">
        <v>3.728E-3</v>
      </c>
    </row>
    <row r="107" spans="15:17">
      <c r="O107" s="4"/>
      <c r="P107" s="18">
        <v>19429344</v>
      </c>
      <c r="Q107" s="36">
        <v>3.467E-3</v>
      </c>
    </row>
    <row r="108" spans="15:17">
      <c r="O108" s="4"/>
      <c r="P108" s="18">
        <v>19631733</v>
      </c>
      <c r="Q108" s="36">
        <v>3.96E-3</v>
      </c>
    </row>
    <row r="109" spans="15:17">
      <c r="O109" s="4"/>
      <c r="P109" s="18">
        <v>19834122</v>
      </c>
      <c r="Q109" s="36">
        <v>3.627E-3</v>
      </c>
    </row>
    <row r="110" spans="15:17">
      <c r="O110" s="4"/>
      <c r="P110" s="18">
        <v>20036511</v>
      </c>
      <c r="Q110" s="36">
        <v>3.542E-3</v>
      </c>
    </row>
    <row r="111" spans="15:17">
      <c r="O111" s="4"/>
      <c r="P111" s="18">
        <v>20238900</v>
      </c>
      <c r="Q111" s="36">
        <v>7.2189999999999997E-3</v>
      </c>
    </row>
    <row r="112" spans="15:17">
      <c r="O112" s="4"/>
      <c r="P112" s="18">
        <v>20441289</v>
      </c>
      <c r="Q112" s="36">
        <v>3.5639999999999999E-3</v>
      </c>
    </row>
    <row r="113" spans="15:17">
      <c r="O113" s="4"/>
      <c r="P113" s="18">
        <v>20643678</v>
      </c>
      <c r="Q113" s="36">
        <v>5.3990000000000002E-3</v>
      </c>
    </row>
    <row r="114" spans="15:17">
      <c r="O114" s="4"/>
      <c r="P114" s="18">
        <v>20846067</v>
      </c>
      <c r="Q114" s="36">
        <v>3.398E-3</v>
      </c>
    </row>
    <row r="115" spans="15:17">
      <c r="O115" s="4"/>
      <c r="P115" s="18">
        <v>21048456</v>
      </c>
      <c r="Q115" s="36">
        <v>4.0280000000000003E-3</v>
      </c>
    </row>
    <row r="116" spans="15:17">
      <c r="O116" s="4"/>
      <c r="P116" s="18">
        <v>21250845</v>
      </c>
      <c r="Q116" s="36">
        <v>3.2880000000000001E-3</v>
      </c>
    </row>
    <row r="117" spans="15:17">
      <c r="O117" s="4"/>
      <c r="P117" s="18">
        <v>21453234</v>
      </c>
      <c r="Q117" s="36">
        <v>4.1949999999999999E-3</v>
      </c>
    </row>
    <row r="118" spans="15:17">
      <c r="O118" s="4"/>
      <c r="P118" s="18">
        <v>21655623</v>
      </c>
      <c r="Q118" s="36">
        <v>2.9919999999999999E-3</v>
      </c>
    </row>
    <row r="119" spans="15:17">
      <c r="O119" s="4"/>
      <c r="P119" s="18">
        <v>21858012</v>
      </c>
      <c r="Q119" s="36">
        <v>3.2729999999999999E-3</v>
      </c>
    </row>
    <row r="120" spans="15:17">
      <c r="O120" s="4"/>
      <c r="P120" s="18">
        <v>22060401</v>
      </c>
      <c r="Q120" s="36">
        <v>4.0800000000000003E-3</v>
      </c>
    </row>
    <row r="121" spans="15:17">
      <c r="O121" s="4"/>
      <c r="P121" s="18">
        <v>22262790</v>
      </c>
      <c r="Q121" s="36">
        <v>4.287E-3</v>
      </c>
    </row>
    <row r="122" spans="15:17">
      <c r="O122" s="4"/>
      <c r="P122" s="18">
        <v>22465179</v>
      </c>
      <c r="Q122" s="36">
        <v>3.0349999999999999E-3</v>
      </c>
    </row>
    <row r="123" spans="15:17">
      <c r="O123" s="4"/>
      <c r="P123" s="18">
        <v>22667568</v>
      </c>
      <c r="Q123" s="36">
        <v>3.9950000000000003E-3</v>
      </c>
    </row>
    <row r="124" spans="15:17">
      <c r="O124" s="4"/>
      <c r="P124" s="18">
        <v>22869957</v>
      </c>
      <c r="Q124" s="36">
        <v>2.555E-3</v>
      </c>
    </row>
    <row r="125" spans="15:17">
      <c r="O125" s="4"/>
      <c r="P125" s="18">
        <v>23072346</v>
      </c>
      <c r="Q125" s="36">
        <v>4.0099999999999997E-3</v>
      </c>
    </row>
    <row r="126" spans="15:17">
      <c r="O126" s="4"/>
      <c r="P126" s="18">
        <v>23274735</v>
      </c>
      <c r="Q126" s="36">
        <v>3.2569999999999999E-3</v>
      </c>
    </row>
    <row r="127" spans="15:17">
      <c r="O127" s="4"/>
      <c r="P127" s="18">
        <v>23477124</v>
      </c>
      <c r="Q127" s="36">
        <v>3.8920000000000001E-3</v>
      </c>
    </row>
    <row r="128" spans="15:17">
      <c r="O128" s="4"/>
      <c r="P128" s="18">
        <v>23679513</v>
      </c>
      <c r="Q128" s="36">
        <v>2.696E-3</v>
      </c>
    </row>
    <row r="129" spans="15:17">
      <c r="O129" s="4"/>
      <c r="P129" s="18">
        <v>23881902</v>
      </c>
      <c r="Q129" s="36">
        <v>3.2030000000000001E-3</v>
      </c>
    </row>
    <row r="130" spans="15:17">
      <c r="O130" s="4"/>
      <c r="P130" s="18">
        <v>24084291</v>
      </c>
      <c r="Q130" s="36">
        <v>2.5400000000000002E-3</v>
      </c>
    </row>
    <row r="131" spans="15:17">
      <c r="O131" s="4"/>
      <c r="P131" s="18">
        <v>24286680</v>
      </c>
      <c r="Q131" s="36">
        <v>2.8149999999999998E-3</v>
      </c>
    </row>
    <row r="132" spans="15:17">
      <c r="O132" s="4"/>
      <c r="P132" s="18">
        <v>24489069</v>
      </c>
      <c r="Q132" s="36">
        <v>2.6740000000000002E-3</v>
      </c>
    </row>
    <row r="133" spans="15:17">
      <c r="O133" s="4"/>
      <c r="P133" s="18">
        <v>24691458</v>
      </c>
      <c r="Q133" s="36">
        <v>2.8860000000000001E-3</v>
      </c>
    </row>
    <row r="134" spans="15:17">
      <c r="O134" s="4"/>
      <c r="P134" s="18">
        <v>24893847</v>
      </c>
      <c r="Q134" s="36">
        <v>2.5660000000000001E-3</v>
      </c>
    </row>
    <row r="135" spans="15:17">
      <c r="O135" s="4"/>
      <c r="P135" s="18">
        <v>25096236</v>
      </c>
      <c r="Q135" s="36">
        <v>3.0990000000000002E-3</v>
      </c>
    </row>
    <row r="136" spans="15:17">
      <c r="O136" s="4"/>
      <c r="P136" s="18">
        <v>25298625</v>
      </c>
      <c r="Q136" s="36">
        <v>3.6589999999999999E-3</v>
      </c>
    </row>
    <row r="137" spans="15:17">
      <c r="O137" s="4"/>
      <c r="P137" s="18">
        <v>25501014</v>
      </c>
      <c r="Q137" s="36">
        <v>2.6979999999999999E-3</v>
      </c>
    </row>
    <row r="138" spans="15:17">
      <c r="O138" s="4"/>
      <c r="P138" s="18">
        <v>25703403</v>
      </c>
      <c r="Q138" s="36">
        <v>3.065E-3</v>
      </c>
    </row>
    <row r="139" spans="15:17">
      <c r="O139" s="4"/>
      <c r="P139" s="18">
        <v>25905792</v>
      </c>
      <c r="Q139" s="36">
        <v>2.5110000000000002E-3</v>
      </c>
    </row>
    <row r="140" spans="15:17">
      <c r="O140" s="4"/>
      <c r="P140" s="18">
        <v>26108181</v>
      </c>
      <c r="Q140" s="36">
        <v>2.7499999999999998E-3</v>
      </c>
    </row>
    <row r="141" spans="15:17">
      <c r="O141" s="4"/>
      <c r="P141" s="18">
        <v>26310570</v>
      </c>
      <c r="Q141" s="36">
        <v>2.431E-3</v>
      </c>
    </row>
    <row r="142" spans="15:17">
      <c r="O142" s="4"/>
      <c r="P142" s="18">
        <v>26512959</v>
      </c>
      <c r="Q142" s="36">
        <v>2.5709999999999999E-3</v>
      </c>
    </row>
    <row r="143" spans="15:17">
      <c r="O143" s="4"/>
      <c r="P143" s="18">
        <v>26715348</v>
      </c>
      <c r="Q143" s="36">
        <v>2.9390000000000002E-3</v>
      </c>
    </row>
    <row r="144" spans="15:17">
      <c r="O144" s="4"/>
      <c r="P144" s="18">
        <v>26917737</v>
      </c>
      <c r="Q144" s="36">
        <v>3.055E-3</v>
      </c>
    </row>
    <row r="145" spans="15:17">
      <c r="O145" s="4"/>
      <c r="P145" s="18">
        <v>27120126</v>
      </c>
      <c r="Q145" s="36">
        <v>2.6900000000000001E-3</v>
      </c>
    </row>
    <row r="146" spans="15:17">
      <c r="O146" s="4"/>
      <c r="P146" s="18">
        <v>27322515</v>
      </c>
      <c r="Q146" s="36">
        <v>2.6940000000000002E-3</v>
      </c>
    </row>
    <row r="147" spans="15:17">
      <c r="O147" s="4"/>
      <c r="P147" s="18">
        <v>27524904</v>
      </c>
      <c r="Q147" s="36">
        <v>2.2360000000000001E-3</v>
      </c>
    </row>
    <row r="148" spans="15:17">
      <c r="O148" s="4"/>
      <c r="P148" s="18">
        <v>27727293</v>
      </c>
      <c r="Q148" s="36">
        <v>2.4889999999999999E-3</v>
      </c>
    </row>
    <row r="149" spans="15:17">
      <c r="O149" s="4"/>
      <c r="P149" s="18">
        <v>27929682</v>
      </c>
      <c r="Q149" s="36">
        <v>2.212E-3</v>
      </c>
    </row>
    <row r="150" spans="15:17">
      <c r="O150" s="4"/>
      <c r="P150" s="18">
        <v>28132071</v>
      </c>
      <c r="Q150" s="36">
        <v>2.6800000000000001E-3</v>
      </c>
    </row>
    <row r="151" spans="15:17">
      <c r="O151" s="4"/>
      <c r="P151" s="18">
        <v>28334460</v>
      </c>
      <c r="Q151" s="36">
        <v>2.091E-3</v>
      </c>
    </row>
    <row r="152" spans="15:17">
      <c r="O152" s="4"/>
      <c r="P152" s="18">
        <v>28536849</v>
      </c>
      <c r="Q152" s="36">
        <v>2.526E-3</v>
      </c>
    </row>
    <row r="153" spans="15:17">
      <c r="O153" s="4"/>
      <c r="P153" s="18">
        <v>28739238</v>
      </c>
      <c r="Q153" s="36">
        <v>2.222E-3</v>
      </c>
    </row>
    <row r="154" spans="15:17">
      <c r="O154" s="4"/>
      <c r="P154" s="18">
        <v>28941627</v>
      </c>
      <c r="Q154" s="36">
        <v>2.297E-3</v>
      </c>
    </row>
    <row r="155" spans="15:17">
      <c r="O155" s="4"/>
      <c r="P155" s="18">
        <v>29144016</v>
      </c>
      <c r="Q155" s="36">
        <v>2.0409999999999998E-3</v>
      </c>
    </row>
    <row r="156" spans="15:17">
      <c r="O156" s="4"/>
      <c r="P156" s="18">
        <v>29346405</v>
      </c>
      <c r="Q156" s="36">
        <v>2.1159999999999998E-3</v>
      </c>
    </row>
    <row r="157" spans="15:17">
      <c r="O157" s="4"/>
      <c r="P157" s="18">
        <v>29548794</v>
      </c>
      <c r="Q157" s="36">
        <v>1.9469999999999999E-3</v>
      </c>
    </row>
    <row r="158" spans="15:17">
      <c r="O158" s="4"/>
      <c r="P158" s="18">
        <v>29751183</v>
      </c>
      <c r="Q158" s="36">
        <v>2.1619999999999999E-3</v>
      </c>
    </row>
    <row r="159" spans="15:17">
      <c r="O159" s="4"/>
      <c r="P159" s="18">
        <v>29953572</v>
      </c>
      <c r="Q159" s="36">
        <v>1.9910000000000001E-3</v>
      </c>
    </row>
    <row r="160" spans="15:17">
      <c r="O160" s="4"/>
      <c r="P160" s="18">
        <v>30155961</v>
      </c>
      <c r="Q160" s="36">
        <v>2.0739999999999999E-3</v>
      </c>
    </row>
    <row r="161" spans="15:17">
      <c r="O161" s="4"/>
      <c r="P161" s="18">
        <v>30358350</v>
      </c>
      <c r="Q161" s="36">
        <v>1.9499999999999999E-3</v>
      </c>
    </row>
    <row r="162" spans="15:17">
      <c r="O162" s="4"/>
      <c r="P162" s="18">
        <v>30560739</v>
      </c>
      <c r="Q162" s="36">
        <v>1.8580000000000001E-3</v>
      </c>
    </row>
    <row r="163" spans="15:17">
      <c r="O163" s="4"/>
      <c r="P163" s="18">
        <v>30763128</v>
      </c>
      <c r="Q163" s="36">
        <v>1.797E-3</v>
      </c>
    </row>
    <row r="164" spans="15:17">
      <c r="O164" s="4"/>
      <c r="P164" s="18">
        <v>30965517</v>
      </c>
      <c r="Q164" s="36">
        <v>1.789E-3</v>
      </c>
    </row>
    <row r="165" spans="15:17">
      <c r="O165" s="4"/>
      <c r="P165" s="18">
        <v>31167906</v>
      </c>
      <c r="Q165" s="36">
        <v>1.9680000000000001E-3</v>
      </c>
    </row>
    <row r="166" spans="15:17">
      <c r="O166" s="4"/>
      <c r="P166" s="18">
        <v>31370295</v>
      </c>
      <c r="Q166" s="36">
        <v>1.678E-3</v>
      </c>
    </row>
    <row r="167" spans="15:17">
      <c r="O167" s="4"/>
      <c r="P167" s="18">
        <v>31572684</v>
      </c>
      <c r="Q167" s="36">
        <v>1.7570000000000001E-3</v>
      </c>
    </row>
    <row r="168" spans="15:17">
      <c r="O168" s="4"/>
      <c r="P168" s="18">
        <v>31775073</v>
      </c>
      <c r="Q168" s="36">
        <v>1.916E-3</v>
      </c>
    </row>
    <row r="169" spans="15:17">
      <c r="O169" s="4"/>
      <c r="P169" s="18">
        <v>31977462</v>
      </c>
      <c r="Q169" s="36">
        <v>1.8519999999999999E-3</v>
      </c>
    </row>
    <row r="170" spans="15:17">
      <c r="O170" s="4"/>
      <c r="P170" s="18">
        <v>32179851</v>
      </c>
      <c r="Q170" s="36">
        <v>1.7309999999999999E-3</v>
      </c>
    </row>
    <row r="171" spans="15:17">
      <c r="O171" s="4"/>
      <c r="P171" s="18">
        <v>32382240</v>
      </c>
      <c r="Q171" s="36">
        <v>1.722E-3</v>
      </c>
    </row>
    <row r="172" spans="15:17">
      <c r="O172" s="4"/>
      <c r="P172" s="18">
        <v>32584629</v>
      </c>
      <c r="Q172" s="36">
        <v>1.575E-3</v>
      </c>
    </row>
    <row r="173" spans="15:17">
      <c r="O173" s="4"/>
      <c r="P173" s="18">
        <v>32787018</v>
      </c>
      <c r="Q173" s="36">
        <v>1.5889999999999999E-3</v>
      </c>
    </row>
    <row r="174" spans="15:17">
      <c r="O174" s="4"/>
      <c r="P174" s="18">
        <v>32989407</v>
      </c>
      <c r="Q174" s="36">
        <v>1.5139999999999999E-3</v>
      </c>
    </row>
    <row r="175" spans="15:17">
      <c r="O175" s="4"/>
      <c r="P175" s="18">
        <v>33191796</v>
      </c>
      <c r="Q175" s="36">
        <v>1.6490000000000001E-3</v>
      </c>
    </row>
    <row r="176" spans="15:17">
      <c r="O176" s="4"/>
      <c r="P176" s="18">
        <v>33394185</v>
      </c>
      <c r="Q176" s="36">
        <v>1.5560000000000001E-3</v>
      </c>
    </row>
    <row r="177" spans="15:17">
      <c r="O177" s="4"/>
      <c r="P177" s="18">
        <v>33596574</v>
      </c>
      <c r="Q177" s="36">
        <v>1.658E-3</v>
      </c>
    </row>
    <row r="178" spans="15:17">
      <c r="O178" s="4"/>
      <c r="P178" s="18">
        <v>33798963</v>
      </c>
      <c r="Q178" s="36">
        <v>1.456E-3</v>
      </c>
    </row>
    <row r="179" spans="15:17">
      <c r="O179" s="4"/>
      <c r="P179" s="18">
        <v>34001352</v>
      </c>
      <c r="Q179" s="36">
        <v>1.5E-3</v>
      </c>
    </row>
    <row r="180" spans="15:17">
      <c r="O180" s="4"/>
      <c r="P180" s="18">
        <v>34203741</v>
      </c>
      <c r="Q180" s="36">
        <v>1.374E-3</v>
      </c>
    </row>
    <row r="181" spans="15:17">
      <c r="O181" s="4"/>
      <c r="P181" s="18">
        <v>34406130</v>
      </c>
      <c r="Q181" s="36">
        <v>1.4040000000000001E-3</v>
      </c>
    </row>
    <row r="182" spans="15:17">
      <c r="O182" s="4"/>
      <c r="P182" s="18">
        <v>34608519</v>
      </c>
      <c r="Q182" s="36">
        <v>1.358E-3</v>
      </c>
    </row>
    <row r="183" spans="15:17">
      <c r="O183" s="4"/>
      <c r="P183" s="18">
        <v>34810908</v>
      </c>
      <c r="Q183" s="36">
        <v>1.3929999999999999E-3</v>
      </c>
    </row>
    <row r="184" spans="15:17">
      <c r="O184" s="4"/>
      <c r="P184" s="18">
        <v>35013297</v>
      </c>
      <c r="Q184" s="36">
        <v>1.2949999999999999E-3</v>
      </c>
    </row>
    <row r="185" spans="15:17">
      <c r="O185" s="4"/>
      <c r="P185" s="18">
        <v>35215686</v>
      </c>
      <c r="Q185" s="36">
        <v>1.335E-3</v>
      </c>
    </row>
    <row r="186" spans="15:17">
      <c r="O186" s="4"/>
      <c r="P186" s="18">
        <v>35418075</v>
      </c>
      <c r="Q186" s="36">
        <v>1.2459999999999999E-3</v>
      </c>
    </row>
    <row r="187" spans="15:17">
      <c r="O187" s="4"/>
      <c r="P187" s="18">
        <v>35620464</v>
      </c>
      <c r="Q187" s="36">
        <v>1.2340000000000001E-3</v>
      </c>
    </row>
    <row r="188" spans="15:17">
      <c r="O188" s="4"/>
      <c r="P188" s="18">
        <v>35822853</v>
      </c>
      <c r="Q188" s="36">
        <v>1.457E-3</v>
      </c>
    </row>
    <row r="189" spans="15:17">
      <c r="O189" s="4"/>
      <c r="P189" s="18">
        <v>36025242</v>
      </c>
      <c r="Q189" s="36">
        <v>1.191E-3</v>
      </c>
    </row>
    <row r="190" spans="15:17">
      <c r="O190" s="4"/>
      <c r="P190" s="18">
        <v>36227631</v>
      </c>
      <c r="Q190" s="36">
        <v>1.271E-3</v>
      </c>
    </row>
    <row r="191" spans="15:17">
      <c r="O191" s="4"/>
      <c r="P191" s="18">
        <v>36430020</v>
      </c>
      <c r="Q191" s="36">
        <v>1.1479999999999999E-3</v>
      </c>
    </row>
    <row r="192" spans="15:17">
      <c r="O192" s="4"/>
      <c r="P192" s="18">
        <v>36632409</v>
      </c>
      <c r="Q192" s="36">
        <v>1.1540000000000001E-3</v>
      </c>
    </row>
    <row r="193" spans="15:17">
      <c r="O193" s="4"/>
      <c r="P193" s="18">
        <v>36834798</v>
      </c>
      <c r="Q193" s="36">
        <v>1.1360000000000001E-3</v>
      </c>
    </row>
    <row r="194" spans="15:17">
      <c r="O194" s="4"/>
      <c r="P194" s="18">
        <v>37037187</v>
      </c>
      <c r="Q194" s="36">
        <v>1.1620000000000001E-3</v>
      </c>
    </row>
    <row r="195" spans="15:17">
      <c r="O195" s="4"/>
      <c r="P195" s="18">
        <v>37239576</v>
      </c>
      <c r="Q195" s="36">
        <v>1.054E-3</v>
      </c>
    </row>
    <row r="196" spans="15:17">
      <c r="O196" s="4"/>
      <c r="P196" s="18">
        <v>37441965</v>
      </c>
      <c r="Q196" s="36">
        <v>1.054E-3</v>
      </c>
    </row>
    <row r="197" spans="15:17">
      <c r="O197" s="4"/>
      <c r="P197" s="18">
        <v>37644354</v>
      </c>
      <c r="Q197" s="36">
        <v>1.0759999999999999E-3</v>
      </c>
    </row>
    <row r="198" spans="15:17">
      <c r="O198" s="4"/>
      <c r="P198" s="18">
        <v>37846743</v>
      </c>
      <c r="Q198" s="36">
        <v>1.0610000000000001E-3</v>
      </c>
    </row>
    <row r="199" spans="15:17">
      <c r="O199" s="4"/>
      <c r="P199" s="18">
        <v>38049132</v>
      </c>
      <c r="Q199" s="36">
        <v>9.7199999999999999E-4</v>
      </c>
    </row>
    <row r="200" spans="15:17">
      <c r="O200" s="4"/>
      <c r="P200" s="18">
        <v>38251521</v>
      </c>
      <c r="Q200" s="36">
        <v>1.0820000000000001E-3</v>
      </c>
    </row>
    <row r="201" spans="15:17">
      <c r="O201" s="4"/>
      <c r="P201" s="18">
        <v>38453910</v>
      </c>
      <c r="Q201" s="36">
        <v>9.7099999999999997E-4</v>
      </c>
    </row>
    <row r="202" spans="15:17">
      <c r="O202" s="4"/>
      <c r="P202" s="18">
        <v>38656299</v>
      </c>
      <c r="Q202" s="36">
        <v>1.059E-3</v>
      </c>
    </row>
    <row r="203" spans="15:17">
      <c r="O203" s="4"/>
      <c r="P203" s="18">
        <v>38858688</v>
      </c>
      <c r="Q203" s="36">
        <v>9.5699999999999995E-4</v>
      </c>
    </row>
    <row r="204" spans="15:17">
      <c r="O204" s="4"/>
      <c r="P204" s="18">
        <v>39061077</v>
      </c>
      <c r="Q204" s="36">
        <v>9.77E-4</v>
      </c>
    </row>
    <row r="205" spans="15:17">
      <c r="O205" s="4"/>
      <c r="P205" s="18">
        <v>39263466</v>
      </c>
      <c r="Q205" s="36">
        <v>8.7100000000000003E-4</v>
      </c>
    </row>
    <row r="206" spans="15:17">
      <c r="O206" s="4"/>
      <c r="P206" s="18">
        <v>39465855</v>
      </c>
      <c r="Q206" s="36">
        <v>8.9800000000000004E-4</v>
      </c>
    </row>
    <row r="207" spans="15:17">
      <c r="O207" s="4"/>
      <c r="P207" s="18">
        <v>39668244</v>
      </c>
      <c r="Q207" s="36">
        <v>8.4699999999999999E-4</v>
      </c>
    </row>
    <row r="208" spans="15:17">
      <c r="O208" s="4"/>
      <c r="P208" s="18">
        <v>39870633</v>
      </c>
      <c r="Q208" s="36">
        <v>8.7500000000000002E-4</v>
      </c>
    </row>
    <row r="209" spans="15:17">
      <c r="O209" s="4"/>
      <c r="P209" s="18">
        <v>40073022</v>
      </c>
      <c r="Q209" s="36">
        <v>8.4000000000000003E-4</v>
      </c>
    </row>
    <row r="210" spans="15:17">
      <c r="O210" s="4"/>
      <c r="P210" s="18">
        <v>40275411</v>
      </c>
      <c r="Q210" s="36">
        <v>8.3900000000000001E-4</v>
      </c>
    </row>
    <row r="211" spans="15:17">
      <c r="O211" s="4"/>
      <c r="P211" s="18">
        <v>40477800</v>
      </c>
      <c r="Q211" s="36">
        <v>8.92E-4</v>
      </c>
    </row>
    <row r="212" spans="15:17">
      <c r="O212" s="4"/>
      <c r="P212" s="18">
        <v>40680189</v>
      </c>
      <c r="Q212" s="36">
        <v>8.1499999999999997E-4</v>
      </c>
    </row>
    <row r="213" spans="15:17">
      <c r="O213" s="4"/>
      <c r="P213" s="18">
        <v>40882578</v>
      </c>
      <c r="Q213" s="36">
        <v>8.7200000000000005E-4</v>
      </c>
    </row>
    <row r="214" spans="15:17">
      <c r="O214" s="4"/>
      <c r="P214" s="18">
        <v>41084967</v>
      </c>
      <c r="Q214" s="36">
        <v>7.7200000000000001E-4</v>
      </c>
    </row>
    <row r="215" spans="15:17">
      <c r="O215" s="4"/>
      <c r="P215" s="18">
        <v>41287356</v>
      </c>
      <c r="Q215" s="36">
        <v>7.9600000000000005E-4</v>
      </c>
    </row>
    <row r="216" spans="15:17">
      <c r="O216" s="4"/>
      <c r="P216" s="18">
        <v>41489745</v>
      </c>
      <c r="Q216" s="36">
        <v>7.3999999999999999E-4</v>
      </c>
    </row>
    <row r="217" spans="15:17">
      <c r="O217" s="4"/>
      <c r="P217" s="18">
        <v>41692134</v>
      </c>
      <c r="Q217" s="36">
        <v>7.6300000000000001E-4</v>
      </c>
    </row>
    <row r="218" spans="15:17">
      <c r="O218" s="4"/>
      <c r="P218" s="18">
        <v>41894523</v>
      </c>
      <c r="Q218" s="36">
        <v>7.0600000000000003E-4</v>
      </c>
    </row>
    <row r="219" spans="15:17">
      <c r="O219" s="4"/>
      <c r="P219" s="18">
        <v>42096912</v>
      </c>
      <c r="Q219" s="36">
        <v>7.0500000000000001E-4</v>
      </c>
    </row>
    <row r="220" spans="15:17">
      <c r="O220" s="4"/>
      <c r="P220" s="18">
        <v>42299301</v>
      </c>
      <c r="Q220" s="36">
        <v>7.3200000000000001E-4</v>
      </c>
    </row>
    <row r="221" spans="15:17">
      <c r="O221" s="4"/>
      <c r="P221" s="18">
        <v>42501690</v>
      </c>
      <c r="Q221" s="36">
        <v>7.3300000000000004E-4</v>
      </c>
    </row>
    <row r="222" spans="15:17">
      <c r="O222" s="4"/>
      <c r="P222" s="18">
        <v>42704079</v>
      </c>
      <c r="Q222" s="36">
        <v>6.7500000000000004E-4</v>
      </c>
    </row>
    <row r="223" spans="15:17">
      <c r="O223" s="4"/>
      <c r="P223" s="18">
        <v>42906468</v>
      </c>
      <c r="Q223" s="36">
        <v>6.9499999999999998E-4</v>
      </c>
    </row>
    <row r="224" spans="15:17">
      <c r="O224" s="4"/>
      <c r="P224" s="18">
        <v>43108857</v>
      </c>
      <c r="Q224" s="36">
        <v>6.1899999999999998E-4</v>
      </c>
    </row>
    <row r="225" spans="15:17">
      <c r="O225" s="4"/>
      <c r="P225" s="18">
        <v>43311246</v>
      </c>
      <c r="Q225" s="36">
        <v>6.7400000000000001E-4</v>
      </c>
    </row>
    <row r="226" spans="15:17">
      <c r="O226" s="4"/>
      <c r="P226" s="18">
        <v>43513635</v>
      </c>
      <c r="Q226" s="36">
        <v>6.2699999999999995E-4</v>
      </c>
    </row>
    <row r="227" spans="15:17">
      <c r="O227" s="4"/>
      <c r="P227" s="18">
        <v>43716024</v>
      </c>
      <c r="Q227" s="36">
        <v>6.6299999999999996E-4</v>
      </c>
    </row>
    <row r="228" spans="15:17">
      <c r="O228" s="4"/>
      <c r="P228" s="18">
        <v>43918413</v>
      </c>
      <c r="Q228" s="36">
        <v>5.8299999999999997E-4</v>
      </c>
    </row>
    <row r="229" spans="15:17">
      <c r="O229" s="4"/>
      <c r="P229" s="18">
        <v>44120802</v>
      </c>
      <c r="Q229" s="36">
        <v>6.1700000000000004E-4</v>
      </c>
    </row>
    <row r="230" spans="15:17">
      <c r="O230" s="4"/>
      <c r="P230" s="18">
        <v>44323191</v>
      </c>
      <c r="Q230" s="36">
        <v>5.6599999999999999E-4</v>
      </c>
    </row>
    <row r="231" spans="15:17">
      <c r="O231" s="4"/>
      <c r="P231" s="18">
        <v>44525580</v>
      </c>
      <c r="Q231" s="36">
        <v>5.7399999999999997E-4</v>
      </c>
    </row>
    <row r="232" spans="15:17">
      <c r="O232" s="4"/>
      <c r="P232" s="18">
        <v>44727969</v>
      </c>
      <c r="Q232" s="36">
        <v>5.4900000000000001E-4</v>
      </c>
    </row>
    <row r="233" spans="15:17">
      <c r="O233" s="4"/>
      <c r="P233" s="18">
        <v>44930358</v>
      </c>
      <c r="Q233" s="36">
        <v>5.5800000000000001E-4</v>
      </c>
    </row>
    <row r="234" spans="15:17">
      <c r="O234" s="4"/>
      <c r="P234" s="18">
        <v>45132747</v>
      </c>
      <c r="Q234" s="36">
        <v>5.2899999999999996E-4</v>
      </c>
    </row>
    <row r="235" spans="15:17">
      <c r="O235" s="4"/>
      <c r="P235" s="18">
        <v>45335136</v>
      </c>
      <c r="Q235" s="36">
        <v>5.5199999999999997E-4</v>
      </c>
    </row>
    <row r="236" spans="15:17">
      <c r="O236" s="4"/>
      <c r="P236" s="18">
        <v>45537525</v>
      </c>
      <c r="Q236" s="36">
        <v>5.4799999999999998E-4</v>
      </c>
    </row>
    <row r="237" spans="15:17">
      <c r="O237" s="4"/>
      <c r="P237" s="18">
        <v>45739914</v>
      </c>
      <c r="Q237" s="36">
        <v>5.1800000000000001E-4</v>
      </c>
    </row>
    <row r="238" spans="15:17">
      <c r="O238" s="4"/>
      <c r="P238" s="18">
        <v>45942303</v>
      </c>
      <c r="Q238" s="36">
        <v>5.13E-4</v>
      </c>
    </row>
    <row r="239" spans="15:17">
      <c r="O239" s="4"/>
      <c r="P239" s="18">
        <v>46144692</v>
      </c>
      <c r="Q239" s="36">
        <v>4.8799999999999999E-4</v>
      </c>
    </row>
    <row r="240" spans="15:17">
      <c r="O240" s="4"/>
      <c r="P240" s="18">
        <v>46347081</v>
      </c>
      <c r="Q240" s="36">
        <v>4.8500000000000003E-4</v>
      </c>
    </row>
    <row r="241" spans="15:17">
      <c r="O241" s="4"/>
      <c r="P241" s="18">
        <v>46549470</v>
      </c>
      <c r="Q241" s="36">
        <v>4.7100000000000001E-4</v>
      </c>
    </row>
    <row r="242" spans="15:17">
      <c r="O242" s="4"/>
      <c r="P242" s="18">
        <v>46751859</v>
      </c>
      <c r="Q242" s="36">
        <v>4.7199999999999998E-4</v>
      </c>
    </row>
    <row r="243" spans="15:17">
      <c r="O243" s="4"/>
      <c r="P243" s="18">
        <v>46954248</v>
      </c>
      <c r="Q243" s="36">
        <v>4.66E-4</v>
      </c>
    </row>
    <row r="244" spans="15:17">
      <c r="O244" s="4"/>
      <c r="P244" s="18">
        <v>47156637</v>
      </c>
      <c r="Q244" s="36">
        <v>4.6500000000000003E-4</v>
      </c>
    </row>
    <row r="245" spans="15:17">
      <c r="O245" s="4"/>
      <c r="P245" s="18">
        <v>47359026</v>
      </c>
      <c r="Q245" s="36">
        <v>4.5899999999999999E-4</v>
      </c>
    </row>
    <row r="246" spans="15:17">
      <c r="O246" s="4"/>
      <c r="P246" s="18">
        <v>47561415</v>
      </c>
      <c r="Q246" s="36">
        <v>4.4900000000000002E-4</v>
      </c>
    </row>
    <row r="247" spans="15:17">
      <c r="O247" s="4"/>
      <c r="P247" s="18">
        <v>47763804</v>
      </c>
      <c r="Q247" s="36">
        <v>4.2499999999999998E-4</v>
      </c>
    </row>
    <row r="248" spans="15:17">
      <c r="O248" s="4"/>
      <c r="P248" s="18">
        <v>47966193</v>
      </c>
      <c r="Q248" s="36">
        <v>4.26E-4</v>
      </c>
    </row>
    <row r="249" spans="15:17">
      <c r="O249" s="4"/>
      <c r="P249" s="18">
        <v>48168582</v>
      </c>
      <c r="Q249" s="36">
        <v>4.0400000000000001E-4</v>
      </c>
    </row>
    <row r="250" spans="15:17">
      <c r="O250" s="4"/>
      <c r="P250" s="18">
        <v>48370971</v>
      </c>
      <c r="Q250" s="36">
        <v>4.17E-4</v>
      </c>
    </row>
    <row r="251" spans="15:17">
      <c r="O251" s="4"/>
      <c r="P251" s="18">
        <v>48573360</v>
      </c>
      <c r="Q251" s="36">
        <v>3.8699999999999997E-4</v>
      </c>
    </row>
    <row r="252" spans="15:17">
      <c r="O252" s="4"/>
      <c r="P252" s="18">
        <v>48775749</v>
      </c>
      <c r="Q252" s="36">
        <v>4.0400000000000001E-4</v>
      </c>
    </row>
    <row r="253" spans="15:17">
      <c r="O253" s="4"/>
      <c r="P253" s="18">
        <v>48978138</v>
      </c>
      <c r="Q253" s="36">
        <v>3.8200000000000002E-4</v>
      </c>
    </row>
    <row r="254" spans="15:17">
      <c r="O254" s="4"/>
      <c r="P254" s="18">
        <v>49180527</v>
      </c>
      <c r="Q254" s="36">
        <v>3.8699999999999997E-4</v>
      </c>
    </row>
    <row r="255" spans="15:17">
      <c r="O255" s="4"/>
      <c r="P255" s="18">
        <v>49382916</v>
      </c>
      <c r="Q255" s="36">
        <v>3.6200000000000002E-4</v>
      </c>
    </row>
    <row r="256" spans="15:17">
      <c r="O256" s="4"/>
      <c r="P256" s="18">
        <v>49585305</v>
      </c>
      <c r="Q256" s="36">
        <v>3.6299999999999999E-4</v>
      </c>
    </row>
    <row r="257" spans="15:17">
      <c r="O257" s="4"/>
      <c r="P257" s="18">
        <v>49787694</v>
      </c>
      <c r="Q257" s="36">
        <v>3.4600000000000001E-4</v>
      </c>
    </row>
    <row r="258" spans="15:17">
      <c r="O258" s="4"/>
      <c r="P258" s="18">
        <v>49990083</v>
      </c>
      <c r="Q258" s="36">
        <v>3.5199999999999999E-4</v>
      </c>
    </row>
    <row r="259" spans="15:17">
      <c r="O259" s="4"/>
      <c r="P259" s="18">
        <v>50192472</v>
      </c>
      <c r="Q259" s="36">
        <v>3.39E-4</v>
      </c>
    </row>
    <row r="260" spans="15:17">
      <c r="O260" s="4"/>
      <c r="P260" s="18">
        <v>50394861</v>
      </c>
      <c r="Q260" s="36">
        <v>3.4099999999999999E-4</v>
      </c>
    </row>
    <row r="261" spans="15:17">
      <c r="O261" s="4"/>
      <c r="P261" s="18">
        <v>50597250</v>
      </c>
      <c r="Q261" s="36">
        <v>3.2600000000000001E-4</v>
      </c>
    </row>
    <row r="262" spans="15:17">
      <c r="O262" s="4"/>
      <c r="P262" s="18">
        <v>50799639</v>
      </c>
      <c r="Q262" s="36">
        <v>3.2200000000000002E-4</v>
      </c>
    </row>
    <row r="263" spans="15:17">
      <c r="O263" s="4"/>
      <c r="P263" s="18">
        <v>51002028</v>
      </c>
      <c r="Q263" s="36">
        <v>3.0899999999999998E-4</v>
      </c>
    </row>
    <row r="264" spans="15:17">
      <c r="O264" s="4"/>
      <c r="P264" s="18">
        <v>51204417</v>
      </c>
      <c r="Q264" s="36">
        <v>3.0600000000000001E-4</v>
      </c>
    </row>
    <row r="265" spans="15:17">
      <c r="O265" s="4"/>
      <c r="P265" s="18">
        <v>51406806</v>
      </c>
      <c r="Q265" s="36">
        <v>3.1E-4</v>
      </c>
    </row>
    <row r="266" spans="15:17">
      <c r="O266" s="4"/>
      <c r="P266" s="18">
        <v>51609195</v>
      </c>
      <c r="Q266" s="36">
        <v>2.9300000000000002E-4</v>
      </c>
    </row>
    <row r="267" spans="15:17">
      <c r="O267" s="4"/>
      <c r="P267" s="18">
        <v>51811584</v>
      </c>
      <c r="Q267" s="36">
        <v>2.9300000000000002E-4</v>
      </c>
    </row>
    <row r="268" spans="15:17">
      <c r="O268" s="4"/>
      <c r="P268" s="18">
        <v>52013973</v>
      </c>
      <c r="Q268" s="36">
        <v>2.92E-4</v>
      </c>
    </row>
    <row r="269" spans="15:17">
      <c r="O269" s="4"/>
      <c r="P269" s="18">
        <v>52216362</v>
      </c>
      <c r="Q269" s="36">
        <v>2.8499999999999999E-4</v>
      </c>
    </row>
    <row r="270" spans="15:17">
      <c r="O270" s="4"/>
      <c r="P270" s="18">
        <v>52418751</v>
      </c>
      <c r="Q270" s="36">
        <v>2.7799999999999998E-4</v>
      </c>
    </row>
    <row r="271" spans="15:17">
      <c r="O271" s="4"/>
      <c r="P271" s="18">
        <v>52621140</v>
      </c>
      <c r="Q271" s="36">
        <v>2.7300000000000002E-4</v>
      </c>
    </row>
    <row r="272" spans="15:17">
      <c r="O272" s="4"/>
      <c r="P272" s="18">
        <v>52823529</v>
      </c>
      <c r="Q272" s="36">
        <v>2.61E-4</v>
      </c>
    </row>
    <row r="273" spans="15:17">
      <c r="O273" s="4"/>
      <c r="P273" s="18">
        <v>53025918</v>
      </c>
      <c r="Q273" s="36">
        <v>2.5799999999999998E-4</v>
      </c>
    </row>
    <row r="274" spans="15:17">
      <c r="O274" s="4"/>
      <c r="P274" s="18">
        <v>53228307</v>
      </c>
      <c r="Q274" s="36">
        <v>2.5300000000000002E-4</v>
      </c>
    </row>
    <row r="275" spans="15:17">
      <c r="O275" s="4"/>
      <c r="P275" s="18">
        <v>53430696</v>
      </c>
      <c r="Q275" s="36">
        <v>2.5300000000000002E-4</v>
      </c>
    </row>
    <row r="276" spans="15:17">
      <c r="O276" s="4"/>
      <c r="P276" s="18">
        <v>53633085</v>
      </c>
      <c r="Q276" s="36">
        <v>2.43E-4</v>
      </c>
    </row>
    <row r="277" spans="15:17">
      <c r="O277" s="4"/>
      <c r="P277" s="18">
        <v>53835474</v>
      </c>
      <c r="Q277" s="36">
        <v>2.4800000000000001E-4</v>
      </c>
    </row>
    <row r="278" spans="15:17">
      <c r="O278" s="4"/>
      <c r="P278" s="18">
        <v>54037863</v>
      </c>
      <c r="Q278" s="36">
        <v>2.3499999999999999E-4</v>
      </c>
    </row>
    <row r="279" spans="15:17">
      <c r="O279" s="4"/>
      <c r="P279" s="18">
        <v>54240252</v>
      </c>
      <c r="Q279" s="36">
        <v>2.3599999999999999E-4</v>
      </c>
    </row>
    <row r="280" spans="15:17">
      <c r="O280" s="4"/>
      <c r="P280" s="18">
        <v>54442641</v>
      </c>
      <c r="Q280" s="36">
        <v>2.24E-4</v>
      </c>
    </row>
    <row r="281" spans="15:17">
      <c r="O281" s="4"/>
      <c r="P281" s="18">
        <v>54645030</v>
      </c>
      <c r="Q281" s="36">
        <v>2.23E-4</v>
      </c>
    </row>
    <row r="282" spans="15:17">
      <c r="O282" s="4"/>
      <c r="P282" s="18">
        <v>54847419</v>
      </c>
      <c r="Q282" s="36">
        <v>2.1499999999999999E-4</v>
      </c>
    </row>
    <row r="283" spans="15:17">
      <c r="O283" s="4"/>
      <c r="P283" s="18">
        <v>55049808</v>
      </c>
      <c r="Q283" s="36">
        <v>2.1499999999999999E-4</v>
      </c>
    </row>
    <row r="284" spans="15:17">
      <c r="O284" s="4"/>
      <c r="P284" s="18">
        <v>55252197</v>
      </c>
      <c r="Q284" s="36">
        <v>2.0699999999999999E-4</v>
      </c>
    </row>
    <row r="285" spans="15:17">
      <c r="O285" s="4"/>
      <c r="P285" s="18">
        <v>55454586</v>
      </c>
      <c r="Q285" s="36">
        <v>2.0699999999999999E-4</v>
      </c>
    </row>
    <row r="286" spans="15:17">
      <c r="O286" s="4"/>
      <c r="P286" s="18">
        <v>55656975</v>
      </c>
      <c r="Q286" s="36">
        <v>1.9900000000000001E-4</v>
      </c>
    </row>
    <row r="287" spans="15:17">
      <c r="O287" s="4"/>
      <c r="P287" s="18">
        <v>55859364</v>
      </c>
      <c r="Q287" s="36">
        <v>1.9699999999999999E-4</v>
      </c>
    </row>
    <row r="288" spans="15:17">
      <c r="O288" s="4"/>
      <c r="P288" s="18">
        <v>56061753</v>
      </c>
      <c r="Q288" s="36">
        <v>1.9799999999999999E-4</v>
      </c>
    </row>
    <row r="289" spans="15:17">
      <c r="O289" s="4"/>
      <c r="P289" s="18">
        <v>56264142</v>
      </c>
      <c r="Q289" s="36">
        <v>1.8799999999999999E-4</v>
      </c>
    </row>
    <row r="290" spans="15:17">
      <c r="O290" s="4"/>
      <c r="P290" s="18">
        <v>56466531</v>
      </c>
      <c r="Q290" s="36">
        <v>1.8900000000000001E-4</v>
      </c>
    </row>
    <row r="291" spans="15:17">
      <c r="O291" s="4"/>
      <c r="P291" s="18">
        <v>56668920</v>
      </c>
      <c r="Q291" s="36">
        <v>1.8100000000000001E-4</v>
      </c>
    </row>
    <row r="292" spans="15:17">
      <c r="O292" s="4"/>
      <c r="P292" s="18">
        <v>56871309</v>
      </c>
      <c r="Q292" s="36">
        <v>1.7899999999999999E-4</v>
      </c>
    </row>
    <row r="293" spans="15:17">
      <c r="O293" s="4"/>
      <c r="P293" s="18">
        <v>57073698</v>
      </c>
      <c r="Q293" s="36">
        <v>1.75E-4</v>
      </c>
    </row>
    <row r="294" spans="15:17">
      <c r="O294" s="4"/>
      <c r="P294" s="18">
        <v>57276087</v>
      </c>
      <c r="Q294" s="36">
        <v>1.73E-4</v>
      </c>
    </row>
    <row r="295" spans="15:17">
      <c r="O295" s="4"/>
      <c r="P295" s="18">
        <v>57478476</v>
      </c>
      <c r="Q295" s="36">
        <v>1.66E-4</v>
      </c>
    </row>
    <row r="296" spans="15:17">
      <c r="O296" s="4"/>
      <c r="P296" s="18">
        <v>57680865</v>
      </c>
      <c r="Q296" s="36">
        <v>1.63E-4</v>
      </c>
    </row>
    <row r="297" spans="15:17">
      <c r="O297" s="4"/>
      <c r="P297" s="18">
        <v>57883254</v>
      </c>
      <c r="Q297" s="36">
        <v>1.6200000000000001E-4</v>
      </c>
    </row>
    <row r="298" spans="15:17">
      <c r="O298" s="4"/>
      <c r="P298" s="18">
        <v>58085643</v>
      </c>
      <c r="Q298" s="36">
        <v>1.5899999999999999E-4</v>
      </c>
    </row>
    <row r="299" spans="15:17">
      <c r="O299" s="4"/>
      <c r="P299" s="18">
        <v>58288032</v>
      </c>
      <c r="Q299" s="36">
        <v>1.5300000000000001E-4</v>
      </c>
    </row>
    <row r="300" spans="15:17">
      <c r="O300" s="4"/>
      <c r="P300" s="18">
        <v>58490421</v>
      </c>
      <c r="Q300" s="36">
        <v>1.55E-4</v>
      </c>
    </row>
    <row r="301" spans="15:17">
      <c r="O301" s="4"/>
      <c r="P301" s="18">
        <v>58692810</v>
      </c>
      <c r="Q301" s="36">
        <v>1.47E-4</v>
      </c>
    </row>
    <row r="302" spans="15:17">
      <c r="O302" s="4"/>
      <c r="P302" s="18">
        <v>58895199</v>
      </c>
      <c r="Q302" s="36">
        <v>1.4899999999999999E-4</v>
      </c>
    </row>
    <row r="303" spans="15:17">
      <c r="O303" s="4"/>
      <c r="P303" s="18">
        <v>59097588</v>
      </c>
      <c r="Q303" s="36">
        <v>1.4300000000000001E-4</v>
      </c>
    </row>
    <row r="304" spans="15:17">
      <c r="O304" s="4"/>
      <c r="P304" s="18">
        <v>59299977</v>
      </c>
      <c r="Q304" s="36">
        <v>1.4300000000000001E-4</v>
      </c>
    </row>
    <row r="305" spans="15:17">
      <c r="O305" s="4"/>
      <c r="P305" s="18">
        <v>59502366</v>
      </c>
      <c r="Q305" s="36">
        <v>1.35E-4</v>
      </c>
    </row>
    <row r="306" spans="15:17">
      <c r="O306" s="4"/>
      <c r="P306" s="18">
        <v>59704755</v>
      </c>
      <c r="Q306" s="36">
        <v>1.35E-4</v>
      </c>
    </row>
    <row r="307" spans="15:17">
      <c r="O307" s="4"/>
      <c r="P307" s="18">
        <v>59907144</v>
      </c>
      <c r="Q307" s="36">
        <v>1.2999999999999999E-4</v>
      </c>
    </row>
    <row r="308" spans="15:17">
      <c r="O308" s="4"/>
      <c r="P308" s="18">
        <v>60109533</v>
      </c>
      <c r="Q308" s="36">
        <v>1.2899999999999999E-4</v>
      </c>
    </row>
    <row r="309" spans="15:17">
      <c r="O309" s="4"/>
      <c r="P309" s="18">
        <v>60311922</v>
      </c>
      <c r="Q309" s="36">
        <v>1.26E-4</v>
      </c>
    </row>
    <row r="310" spans="15:17">
      <c r="O310" s="4"/>
      <c r="P310" s="18">
        <v>60514311</v>
      </c>
      <c r="Q310" s="36">
        <v>1.2400000000000001E-4</v>
      </c>
    </row>
    <row r="311" spans="15:17">
      <c r="O311" s="4"/>
      <c r="P311" s="18">
        <v>60716700</v>
      </c>
      <c r="Q311" s="36">
        <v>1.22E-4</v>
      </c>
    </row>
    <row r="312" spans="15:17">
      <c r="O312" s="4"/>
      <c r="P312" s="18">
        <v>60919089</v>
      </c>
      <c r="Q312" s="36">
        <v>1.2E-4</v>
      </c>
    </row>
    <row r="313" spans="15:17">
      <c r="O313" s="4"/>
      <c r="P313" s="18">
        <v>61121478</v>
      </c>
      <c r="Q313" s="36">
        <v>1.1900000000000001E-4</v>
      </c>
    </row>
    <row r="314" spans="15:17">
      <c r="O314" s="4"/>
      <c r="P314" s="18">
        <v>61323867</v>
      </c>
      <c r="Q314" s="36">
        <v>1.1400000000000001E-4</v>
      </c>
    </row>
    <row r="315" spans="15:17">
      <c r="O315" s="4"/>
      <c r="P315" s="18">
        <v>61526256</v>
      </c>
      <c r="Q315" s="36">
        <v>1.13E-4</v>
      </c>
    </row>
    <row r="316" spans="15:17">
      <c r="O316" s="4"/>
      <c r="P316" s="18">
        <v>61728645</v>
      </c>
      <c r="Q316" s="36">
        <v>1.0900000000000001E-4</v>
      </c>
    </row>
    <row r="317" spans="15:17">
      <c r="O317" s="4"/>
      <c r="P317" s="18">
        <v>61931034</v>
      </c>
      <c r="Q317" s="36">
        <v>1.08E-4</v>
      </c>
    </row>
    <row r="318" spans="15:17">
      <c r="O318" s="4"/>
      <c r="P318" s="18">
        <v>62133423</v>
      </c>
      <c r="Q318" s="36">
        <v>1.05E-4</v>
      </c>
    </row>
    <row r="319" spans="15:17">
      <c r="O319" s="4"/>
      <c r="P319" s="18">
        <v>62335812</v>
      </c>
      <c r="Q319" s="36">
        <v>1.03E-4</v>
      </c>
    </row>
    <row r="320" spans="15:17">
      <c r="O320" s="4"/>
      <c r="P320" s="18">
        <v>62538201</v>
      </c>
      <c r="Q320" s="36">
        <v>1.02E-4</v>
      </c>
    </row>
    <row r="321" spans="15:17">
      <c r="O321" s="4"/>
      <c r="P321" s="18">
        <v>62740590</v>
      </c>
      <c r="Q321" s="36">
        <v>1E-4</v>
      </c>
    </row>
    <row r="322" spans="15:17">
      <c r="O322" s="4"/>
      <c r="P322" s="18">
        <v>62942979</v>
      </c>
      <c r="Q322" s="36">
        <v>9.7E-5</v>
      </c>
    </row>
    <row r="323" spans="15:17">
      <c r="O323" s="4"/>
      <c r="P323" s="18">
        <v>63145368</v>
      </c>
      <c r="Q323" s="36">
        <v>9.6000000000000002E-5</v>
      </c>
    </row>
    <row r="324" spans="15:17">
      <c r="O324" s="4"/>
      <c r="P324" s="18">
        <v>63347757</v>
      </c>
      <c r="Q324" s="36">
        <v>9.2E-5</v>
      </c>
    </row>
    <row r="325" spans="15:17">
      <c r="O325" s="4"/>
      <c r="P325" s="18">
        <v>63550146</v>
      </c>
      <c r="Q325" s="36">
        <v>9.2E-5</v>
      </c>
    </row>
    <row r="326" spans="15:17">
      <c r="O326" s="4"/>
      <c r="P326" s="18">
        <v>63752535</v>
      </c>
      <c r="Q326" s="36">
        <v>8.8999999999999995E-5</v>
      </c>
    </row>
    <row r="327" spans="15:17">
      <c r="O327" s="4"/>
      <c r="P327" s="18">
        <v>63954924</v>
      </c>
      <c r="Q327" s="36">
        <v>8.8999999999999995E-5</v>
      </c>
    </row>
    <row r="328" spans="15:17">
      <c r="O328" s="4"/>
      <c r="P328" s="18">
        <v>64157313</v>
      </c>
      <c r="Q328" s="36">
        <v>8.5000000000000006E-5</v>
      </c>
    </row>
    <row r="329" spans="15:17">
      <c r="O329" s="4"/>
      <c r="P329" s="18">
        <v>64359702</v>
      </c>
      <c r="Q329" s="36">
        <v>8.5000000000000006E-5</v>
      </c>
    </row>
    <row r="330" spans="15:17">
      <c r="O330" s="4"/>
      <c r="P330" s="18">
        <v>64562091</v>
      </c>
      <c r="Q330" s="36">
        <v>8.2000000000000001E-5</v>
      </c>
    </row>
    <row r="331" spans="15:17">
      <c r="O331" s="4"/>
      <c r="P331" s="18">
        <v>64764480</v>
      </c>
      <c r="Q331" s="36">
        <v>8.1000000000000004E-5</v>
      </c>
    </row>
    <row r="332" spans="15:17">
      <c r="O332" s="4"/>
      <c r="P332" s="18">
        <v>64966869</v>
      </c>
      <c r="Q332" s="36">
        <v>7.7999999999999999E-5</v>
      </c>
    </row>
    <row r="333" spans="15:17">
      <c r="O333" s="4"/>
      <c r="P333" s="18">
        <v>65169258</v>
      </c>
      <c r="Q333" s="36">
        <v>7.7999999999999999E-5</v>
      </c>
    </row>
    <row r="334" spans="15:17">
      <c r="O334" s="4"/>
      <c r="P334" s="18">
        <v>65371647</v>
      </c>
      <c r="Q334" s="36">
        <v>7.4999999999999993E-5</v>
      </c>
    </row>
    <row r="335" spans="15:17">
      <c r="O335" s="4"/>
      <c r="P335" s="18">
        <v>65574036</v>
      </c>
      <c r="Q335" s="36">
        <v>7.4999999999999993E-5</v>
      </c>
    </row>
    <row r="336" spans="15:17">
      <c r="O336" s="4"/>
      <c r="P336" s="18">
        <v>65776425</v>
      </c>
      <c r="Q336" s="36">
        <v>7.2999999999999999E-5</v>
      </c>
    </row>
    <row r="337" spans="15:17">
      <c r="O337" s="4"/>
      <c r="P337" s="18">
        <v>65978814</v>
      </c>
      <c r="Q337" s="36">
        <v>7.2000000000000002E-5</v>
      </c>
    </row>
    <row r="338" spans="15:17">
      <c r="O338" s="4"/>
      <c r="P338" s="18">
        <v>66181203</v>
      </c>
      <c r="Q338" s="36">
        <v>6.9999999999999994E-5</v>
      </c>
    </row>
    <row r="339" spans="15:17">
      <c r="O339" s="4"/>
      <c r="P339" s="18">
        <v>66383592</v>
      </c>
      <c r="Q339" s="36">
        <v>6.7999999999999999E-5</v>
      </c>
    </row>
    <row r="340" spans="15:17">
      <c r="O340" s="4"/>
      <c r="P340" s="18">
        <v>66585981</v>
      </c>
      <c r="Q340" s="36">
        <v>6.7000000000000002E-5</v>
      </c>
    </row>
    <row r="341" spans="15:17">
      <c r="O341" s="4"/>
      <c r="P341" s="18">
        <v>66788370</v>
      </c>
      <c r="Q341" s="36">
        <v>6.4999999999999994E-5</v>
      </c>
    </row>
    <row r="342" spans="15:17">
      <c r="O342" s="4"/>
      <c r="P342" s="18">
        <v>66990759</v>
      </c>
      <c r="Q342" s="36">
        <v>6.3999999999999997E-5</v>
      </c>
    </row>
    <row r="343" spans="15:17">
      <c r="O343" s="4"/>
      <c r="P343" s="18">
        <v>67193148</v>
      </c>
      <c r="Q343" s="36">
        <v>6.3E-5</v>
      </c>
    </row>
    <row r="344" spans="15:17">
      <c r="O344" s="4"/>
      <c r="P344" s="18">
        <v>67395537</v>
      </c>
      <c r="Q344" s="36">
        <v>6.2000000000000003E-5</v>
      </c>
    </row>
    <row r="345" spans="15:17">
      <c r="O345" s="4"/>
      <c r="P345" s="18">
        <v>67597926</v>
      </c>
      <c r="Q345" s="36">
        <v>6.0999999999999999E-5</v>
      </c>
    </row>
    <row r="346" spans="15:17">
      <c r="O346" s="4"/>
      <c r="P346" s="18">
        <v>67800315</v>
      </c>
      <c r="Q346" s="36">
        <v>5.8999999999999998E-5</v>
      </c>
    </row>
    <row r="347" spans="15:17">
      <c r="O347" s="4"/>
      <c r="P347" s="18">
        <v>68002704</v>
      </c>
      <c r="Q347" s="36">
        <v>5.8E-5</v>
      </c>
    </row>
    <row r="348" spans="15:17">
      <c r="O348" s="4"/>
      <c r="P348" s="18">
        <v>68205093</v>
      </c>
      <c r="Q348" s="36">
        <v>5.7000000000000003E-5</v>
      </c>
    </row>
    <row r="349" spans="15:17">
      <c r="O349" s="4"/>
      <c r="P349" s="18">
        <v>68407482</v>
      </c>
      <c r="Q349" s="36">
        <v>5.5000000000000002E-5</v>
      </c>
    </row>
    <row r="350" spans="15:17">
      <c r="O350" s="4"/>
      <c r="P350" s="18">
        <v>68609871</v>
      </c>
      <c r="Q350" s="36">
        <v>5.5000000000000002E-5</v>
      </c>
    </row>
    <row r="351" spans="15:17">
      <c r="O351" s="4"/>
      <c r="P351" s="18">
        <v>68812260</v>
      </c>
      <c r="Q351" s="36">
        <v>5.3000000000000001E-5</v>
      </c>
    </row>
    <row r="352" spans="15:17">
      <c r="O352" s="4"/>
      <c r="P352" s="18">
        <v>69014649</v>
      </c>
      <c r="Q352" s="36">
        <v>5.3000000000000001E-5</v>
      </c>
    </row>
    <row r="353" spans="15:17">
      <c r="O353" s="4"/>
      <c r="P353" s="18">
        <v>69217038</v>
      </c>
      <c r="Q353" s="36">
        <v>5.1E-5</v>
      </c>
    </row>
    <row r="354" spans="15:17">
      <c r="O354" s="4"/>
      <c r="P354" s="18">
        <v>69419427</v>
      </c>
      <c r="Q354" s="36">
        <v>5.1E-5</v>
      </c>
    </row>
    <row r="355" spans="15:17">
      <c r="O355" s="4"/>
      <c r="P355" s="18">
        <v>69621816</v>
      </c>
      <c r="Q355" s="36">
        <v>4.8999999999999998E-5</v>
      </c>
    </row>
    <row r="356" spans="15:17">
      <c r="O356" s="4"/>
      <c r="P356" s="18">
        <v>69824205</v>
      </c>
      <c r="Q356" s="36">
        <v>4.8000000000000001E-5</v>
      </c>
    </row>
    <row r="357" spans="15:17">
      <c r="O357" s="4"/>
      <c r="P357" s="18">
        <v>70026594</v>
      </c>
      <c r="Q357" s="36">
        <v>4.6999999999999997E-5</v>
      </c>
    </row>
    <row r="358" spans="15:17">
      <c r="O358" s="4"/>
      <c r="P358" s="18">
        <v>70228983</v>
      </c>
      <c r="Q358" s="36">
        <v>4.6E-5</v>
      </c>
    </row>
    <row r="359" spans="15:17">
      <c r="O359" s="4"/>
      <c r="P359" s="18">
        <v>70431372</v>
      </c>
      <c r="Q359" s="36">
        <v>4.5000000000000003E-5</v>
      </c>
    </row>
    <row r="360" spans="15:17">
      <c r="O360" s="4"/>
      <c r="P360" s="18">
        <v>70633761</v>
      </c>
      <c r="Q360" s="36">
        <v>4.3999999999999999E-5</v>
      </c>
    </row>
    <row r="361" spans="15:17">
      <c r="O361" s="4"/>
      <c r="P361" s="18">
        <v>70836150</v>
      </c>
      <c r="Q361" s="36">
        <v>4.3000000000000002E-5</v>
      </c>
    </row>
    <row r="362" spans="15:17">
      <c r="O362" s="4"/>
      <c r="P362" s="18">
        <v>71038539</v>
      </c>
      <c r="Q362" s="36">
        <v>4.1999999999999998E-5</v>
      </c>
    </row>
    <row r="363" spans="15:17">
      <c r="O363" s="4"/>
      <c r="P363" s="18">
        <v>71240928</v>
      </c>
      <c r="Q363" s="36">
        <v>4.1E-5</v>
      </c>
    </row>
    <row r="364" spans="15:17">
      <c r="O364" s="4"/>
      <c r="P364" s="18">
        <v>71443317</v>
      </c>
      <c r="Q364" s="36">
        <v>4.0000000000000003E-5</v>
      </c>
    </row>
    <row r="365" spans="15:17">
      <c r="O365" s="4"/>
      <c r="P365" s="18">
        <v>71645706</v>
      </c>
      <c r="Q365" s="36">
        <v>4.0000000000000003E-5</v>
      </c>
    </row>
    <row r="366" spans="15:17">
      <c r="O366" s="4"/>
      <c r="P366" s="18">
        <v>71848095</v>
      </c>
      <c r="Q366" s="36">
        <v>3.8999999999999999E-5</v>
      </c>
    </row>
    <row r="367" spans="15:17">
      <c r="O367" s="4"/>
      <c r="P367" s="18">
        <v>72050484</v>
      </c>
      <c r="Q367" s="36">
        <v>3.8000000000000002E-5</v>
      </c>
    </row>
    <row r="368" spans="15:17">
      <c r="O368" s="4"/>
      <c r="P368" s="18">
        <v>72252873</v>
      </c>
      <c r="Q368" s="36">
        <v>3.6999999999999998E-5</v>
      </c>
    </row>
    <row r="369" spans="15:17">
      <c r="O369" s="4"/>
      <c r="P369" s="18">
        <v>72455262</v>
      </c>
      <c r="Q369" s="36">
        <v>3.6999999999999998E-5</v>
      </c>
    </row>
    <row r="370" spans="15:17">
      <c r="O370" s="4"/>
      <c r="P370" s="18">
        <v>72657651</v>
      </c>
      <c r="Q370" s="36">
        <v>3.6000000000000001E-5</v>
      </c>
    </row>
    <row r="371" spans="15:17">
      <c r="O371" s="4"/>
      <c r="P371" s="18">
        <v>72860040</v>
      </c>
      <c r="Q371" s="36">
        <v>3.4999999999999997E-5</v>
      </c>
    </row>
    <row r="372" spans="15:17">
      <c r="O372" s="4"/>
      <c r="P372" s="18">
        <v>73062429</v>
      </c>
      <c r="Q372" s="36">
        <v>3.4E-5</v>
      </c>
    </row>
    <row r="373" spans="15:17">
      <c r="O373" s="4"/>
      <c r="P373" s="18">
        <v>73264818</v>
      </c>
      <c r="Q373" s="36">
        <v>3.3000000000000003E-5</v>
      </c>
    </row>
    <row r="374" spans="15:17">
      <c r="O374" s="4"/>
      <c r="P374" s="18">
        <v>73467207</v>
      </c>
      <c r="Q374" s="36">
        <v>3.3000000000000003E-5</v>
      </c>
    </row>
    <row r="375" spans="15:17">
      <c r="O375" s="4"/>
      <c r="P375" s="18">
        <v>73669596</v>
      </c>
      <c r="Q375" s="36">
        <v>3.1999999999999999E-5</v>
      </c>
    </row>
    <row r="376" spans="15:17">
      <c r="O376" s="4"/>
      <c r="P376" s="18">
        <v>73871985</v>
      </c>
      <c r="Q376" s="36">
        <v>3.1000000000000001E-5</v>
      </c>
    </row>
    <row r="377" spans="15:17">
      <c r="O377" s="4"/>
      <c r="P377" s="18">
        <v>74074374</v>
      </c>
      <c r="Q377" s="36">
        <v>3.1000000000000001E-5</v>
      </c>
    </row>
    <row r="378" spans="15:17">
      <c r="O378" s="4"/>
      <c r="P378" s="18">
        <v>74276763</v>
      </c>
      <c r="Q378" s="36">
        <v>3.0000000000000001E-5</v>
      </c>
    </row>
    <row r="379" spans="15:17">
      <c r="O379" s="4"/>
      <c r="P379" s="18">
        <v>74479152</v>
      </c>
      <c r="Q379" s="36">
        <v>3.0000000000000001E-5</v>
      </c>
    </row>
    <row r="380" spans="15:17">
      <c r="O380" s="4"/>
      <c r="P380" s="18">
        <v>74681541</v>
      </c>
      <c r="Q380" s="36">
        <v>2.9E-5</v>
      </c>
    </row>
    <row r="381" spans="15:17">
      <c r="O381" s="4"/>
      <c r="P381" s="18">
        <v>74883930</v>
      </c>
      <c r="Q381" s="36">
        <v>2.8E-5</v>
      </c>
    </row>
    <row r="382" spans="15:17">
      <c r="O382" s="4"/>
      <c r="P382" s="18">
        <v>75086319</v>
      </c>
      <c r="Q382" s="36">
        <v>2.6999999999999999E-5</v>
      </c>
    </row>
    <row r="383" spans="15:17">
      <c r="O383" s="4"/>
      <c r="P383" s="18">
        <v>75288708</v>
      </c>
      <c r="Q383" s="36">
        <v>2.6999999999999999E-5</v>
      </c>
    </row>
    <row r="384" spans="15:17">
      <c r="O384" s="4"/>
      <c r="P384" s="18">
        <v>75491097</v>
      </c>
      <c r="Q384" s="36">
        <v>2.5999999999999998E-5</v>
      </c>
    </row>
    <row r="385" spans="15:17">
      <c r="O385" s="4"/>
      <c r="P385" s="18">
        <v>75693486</v>
      </c>
      <c r="Q385" s="36">
        <v>2.5999999999999998E-5</v>
      </c>
    </row>
    <row r="386" spans="15:17">
      <c r="O386" s="4"/>
      <c r="P386" s="18">
        <v>75895875</v>
      </c>
      <c r="Q386" s="36">
        <v>2.5000000000000001E-5</v>
      </c>
    </row>
    <row r="387" spans="15:17">
      <c r="O387" s="4"/>
      <c r="P387" s="18">
        <v>76098264</v>
      </c>
      <c r="Q387" s="36">
        <v>2.5000000000000001E-5</v>
      </c>
    </row>
    <row r="388" spans="15:17">
      <c r="O388" s="4"/>
      <c r="P388" s="18">
        <v>76300653</v>
      </c>
      <c r="Q388" s="36">
        <v>2.4000000000000001E-5</v>
      </c>
    </row>
    <row r="389" spans="15:17">
      <c r="O389" s="4"/>
      <c r="P389" s="18">
        <v>76503042</v>
      </c>
      <c r="Q389" s="36">
        <v>2.4000000000000001E-5</v>
      </c>
    </row>
    <row r="390" spans="15:17">
      <c r="O390" s="4"/>
      <c r="P390" s="18">
        <v>76705431</v>
      </c>
      <c r="Q390" s="36">
        <v>2.3E-5</v>
      </c>
    </row>
    <row r="391" spans="15:17">
      <c r="O391" s="4"/>
      <c r="P391" s="18">
        <v>76907820</v>
      </c>
      <c r="Q391" s="36">
        <v>2.3E-5</v>
      </c>
    </row>
    <row r="392" spans="15:17">
      <c r="O392" s="4"/>
      <c r="P392" s="18">
        <v>77110209</v>
      </c>
      <c r="Q392" s="36">
        <v>2.1999999999999999E-5</v>
      </c>
    </row>
    <row r="393" spans="15:17">
      <c r="O393" s="4"/>
      <c r="P393" s="18">
        <v>77312598</v>
      </c>
      <c r="Q393" s="36">
        <v>2.1999999999999999E-5</v>
      </c>
    </row>
    <row r="394" spans="15:17">
      <c r="O394" s="4"/>
      <c r="P394" s="18">
        <v>77514987</v>
      </c>
      <c r="Q394" s="36">
        <v>2.0999999999999999E-5</v>
      </c>
    </row>
    <row r="395" spans="15:17">
      <c r="O395" s="4"/>
      <c r="P395" s="18">
        <v>77717376</v>
      </c>
      <c r="Q395" s="36">
        <v>2.0999999999999999E-5</v>
      </c>
    </row>
    <row r="396" spans="15:17">
      <c r="O396" s="4"/>
      <c r="P396" s="18">
        <v>77919765</v>
      </c>
      <c r="Q396" s="36">
        <v>2.0000000000000002E-5</v>
      </c>
    </row>
    <row r="397" spans="15:17">
      <c r="O397" s="4"/>
      <c r="P397" s="18">
        <v>78122154</v>
      </c>
      <c r="Q397" s="36">
        <v>2.0000000000000002E-5</v>
      </c>
    </row>
    <row r="398" spans="15:17">
      <c r="O398" s="4"/>
      <c r="P398" s="18">
        <v>78324543</v>
      </c>
      <c r="Q398" s="36">
        <v>2.0000000000000002E-5</v>
      </c>
    </row>
    <row r="399" spans="15:17">
      <c r="O399" s="4"/>
      <c r="P399" s="18">
        <v>78526932</v>
      </c>
      <c r="Q399" s="36">
        <v>1.9000000000000001E-5</v>
      </c>
    </row>
    <row r="400" spans="15:17">
      <c r="O400" s="4"/>
      <c r="P400" s="18">
        <v>78729321</v>
      </c>
      <c r="Q400" s="36">
        <v>1.9000000000000001E-5</v>
      </c>
    </row>
    <row r="401" spans="15:17">
      <c r="O401" s="4"/>
      <c r="P401" s="18">
        <v>78931710</v>
      </c>
      <c r="Q401" s="36">
        <v>1.8E-5</v>
      </c>
    </row>
    <row r="402" spans="15:17">
      <c r="O402" s="4"/>
      <c r="P402" s="18">
        <v>79134099</v>
      </c>
      <c r="Q402" s="36">
        <v>1.8E-5</v>
      </c>
    </row>
    <row r="403" spans="15:17">
      <c r="O403" s="4"/>
      <c r="P403" s="18">
        <v>79336488</v>
      </c>
      <c r="Q403" s="36">
        <v>1.8E-5</v>
      </c>
    </row>
    <row r="404" spans="15:17">
      <c r="O404" s="4"/>
      <c r="P404" s="18">
        <v>79538877</v>
      </c>
      <c r="Q404" s="36">
        <v>1.7E-5</v>
      </c>
    </row>
    <row r="405" spans="15:17">
      <c r="O405" s="4"/>
      <c r="P405" s="18">
        <v>79741266</v>
      </c>
      <c r="Q405" s="36">
        <v>1.7E-5</v>
      </c>
    </row>
    <row r="406" spans="15:17">
      <c r="O406" s="4"/>
      <c r="P406" s="18">
        <v>79943655</v>
      </c>
      <c r="Q406" s="36">
        <v>1.7E-5</v>
      </c>
    </row>
    <row r="407" spans="15:17">
      <c r="O407" s="4"/>
      <c r="P407" s="18">
        <v>80146044</v>
      </c>
      <c r="Q407" s="36">
        <v>1.5999999999999999E-5</v>
      </c>
    </row>
    <row r="408" spans="15:17">
      <c r="O408" s="4"/>
      <c r="P408" s="18">
        <v>80348433</v>
      </c>
      <c r="Q408" s="36">
        <v>1.5999999999999999E-5</v>
      </c>
    </row>
    <row r="409" spans="15:17">
      <c r="O409" s="4"/>
      <c r="P409" s="18">
        <v>80550822</v>
      </c>
      <c r="Q409" s="36">
        <v>1.5E-5</v>
      </c>
    </row>
    <row r="410" spans="15:17">
      <c r="O410" s="4"/>
      <c r="P410" s="18">
        <v>80753211</v>
      </c>
      <c r="Q410" s="36">
        <v>1.5E-5</v>
      </c>
    </row>
    <row r="411" spans="15:17">
      <c r="O411" s="4"/>
      <c r="P411" s="18">
        <v>80955600</v>
      </c>
      <c r="Q411" s="36">
        <v>1.5E-5</v>
      </c>
    </row>
    <row r="412" spans="15:17">
      <c r="O412" s="4"/>
      <c r="P412" s="18">
        <v>81157989</v>
      </c>
      <c r="Q412" s="36">
        <v>1.4E-5</v>
      </c>
    </row>
    <row r="413" spans="15:17">
      <c r="O413" s="4"/>
      <c r="P413" s="18">
        <v>81360378</v>
      </c>
      <c r="Q413" s="36">
        <v>1.4E-5</v>
      </c>
    </row>
    <row r="414" spans="15:17">
      <c r="O414" s="4"/>
      <c r="P414" s="18">
        <v>81562767</v>
      </c>
      <c r="Q414" s="36">
        <v>1.4E-5</v>
      </c>
    </row>
    <row r="415" spans="15:17">
      <c r="O415" s="4"/>
      <c r="P415" s="18">
        <v>81765156</v>
      </c>
      <c r="Q415" s="36">
        <v>1.4E-5</v>
      </c>
    </row>
    <row r="416" spans="15:17">
      <c r="O416" s="4"/>
      <c r="P416" s="18">
        <v>81967545</v>
      </c>
      <c r="Q416" s="36">
        <v>1.2999999999999999E-5</v>
      </c>
    </row>
    <row r="417" spans="15:17">
      <c r="O417" s="4"/>
      <c r="P417" s="18">
        <v>82169934</v>
      </c>
      <c r="Q417" s="36">
        <v>1.2999999999999999E-5</v>
      </c>
    </row>
    <row r="418" spans="15:17">
      <c r="O418" s="4"/>
      <c r="P418" s="18">
        <v>82372323</v>
      </c>
      <c r="Q418" s="36">
        <v>1.2999999999999999E-5</v>
      </c>
    </row>
    <row r="419" spans="15:17">
      <c r="O419" s="4"/>
      <c r="P419" s="18">
        <v>82574712</v>
      </c>
      <c r="Q419" s="36">
        <v>1.2E-5</v>
      </c>
    </row>
    <row r="420" spans="15:17">
      <c r="O420" s="4"/>
      <c r="P420" s="18">
        <v>82777101</v>
      </c>
      <c r="Q420" s="36">
        <v>1.2E-5</v>
      </c>
    </row>
    <row r="421" spans="15:17">
      <c r="O421" s="4"/>
      <c r="P421" s="18">
        <v>82979490</v>
      </c>
      <c r="Q421" s="36">
        <v>1.2E-5</v>
      </c>
    </row>
    <row r="422" spans="15:17">
      <c r="O422" s="4"/>
      <c r="P422" s="18">
        <v>83181879</v>
      </c>
      <c r="Q422" s="36">
        <v>1.2E-5</v>
      </c>
    </row>
    <row r="423" spans="15:17">
      <c r="O423" s="4"/>
      <c r="P423" s="21">
        <v>83384268</v>
      </c>
      <c r="Q423" s="94">
        <v>1.1E-5</v>
      </c>
    </row>
    <row r="424" spans="15:17">
      <c r="O424" s="4"/>
    </row>
    <row r="425" spans="15:17">
      <c r="O425" s="4"/>
    </row>
    <row r="426" spans="15:17">
      <c r="O426" s="4"/>
    </row>
    <row r="427" spans="15:17">
      <c r="O427" s="4"/>
    </row>
    <row r="428" spans="15:17">
      <c r="O428" s="4"/>
    </row>
    <row r="429" spans="15:17">
      <c r="O429" s="4"/>
    </row>
    <row r="430" spans="15:17">
      <c r="O430" s="4"/>
    </row>
    <row r="431" spans="15:17">
      <c r="O431" s="4"/>
    </row>
    <row r="432" spans="15:17">
      <c r="O432" s="4"/>
    </row>
    <row r="433" spans="15:15">
      <c r="O433" s="4"/>
    </row>
    <row r="434" spans="15:15">
      <c r="O434" s="4"/>
    </row>
    <row r="435" spans="15:15">
      <c r="O435" s="4"/>
    </row>
    <row r="436" spans="15:15">
      <c r="O436" s="4"/>
    </row>
    <row r="437" spans="15:15">
      <c r="O437" s="4"/>
    </row>
    <row r="438" spans="15:15">
      <c r="O438" s="4"/>
    </row>
    <row r="439" spans="15:15">
      <c r="O439" s="4"/>
    </row>
    <row r="440" spans="15:15">
      <c r="O440" s="4"/>
    </row>
    <row r="441" spans="15:15">
      <c r="O441" s="4"/>
    </row>
    <row r="442" spans="15:15">
      <c r="O442" s="4"/>
    </row>
    <row r="443" spans="15:15">
      <c r="O443" s="4"/>
    </row>
    <row r="444" spans="15:15">
      <c r="O444" s="4"/>
    </row>
    <row r="445" spans="15:15">
      <c r="O445" s="4"/>
    </row>
    <row r="446" spans="15:15">
      <c r="O446" s="4"/>
    </row>
    <row r="447" spans="15:15">
      <c r="O447" s="4"/>
    </row>
    <row r="448" spans="15:15">
      <c r="O448" s="4"/>
    </row>
    <row r="449" spans="15:15">
      <c r="O449" s="4"/>
    </row>
    <row r="450" spans="15:15">
      <c r="O450" s="4"/>
    </row>
    <row r="451" spans="15:15">
      <c r="O451" s="4"/>
    </row>
    <row r="452" spans="15:15">
      <c r="O452" s="4"/>
    </row>
    <row r="453" spans="15:15">
      <c r="O453" s="4"/>
    </row>
    <row r="454" spans="15:15">
      <c r="O454" s="4"/>
    </row>
    <row r="455" spans="15:15">
      <c r="O455" s="4"/>
    </row>
    <row r="456" spans="15:15">
      <c r="O456" s="4"/>
    </row>
    <row r="457" spans="15:15">
      <c r="O457" s="4"/>
    </row>
    <row r="458" spans="15:15">
      <c r="O458" s="4"/>
    </row>
    <row r="459" spans="15:15">
      <c r="O459" s="4"/>
    </row>
    <row r="460" spans="15:15">
      <c r="O460" s="4"/>
    </row>
    <row r="461" spans="15:15">
      <c r="O461" s="4"/>
    </row>
    <row r="462" spans="15:15">
      <c r="O462" s="4"/>
    </row>
    <row r="463" spans="15:15">
      <c r="O463" s="4"/>
    </row>
    <row r="464" spans="15:15">
      <c r="O464" s="4"/>
    </row>
    <row r="465" spans="15:15">
      <c r="O465" s="4"/>
    </row>
    <row r="466" spans="15:15">
      <c r="O466" s="4"/>
    </row>
    <row r="467" spans="15:15">
      <c r="O467" s="4"/>
    </row>
    <row r="468" spans="15:15">
      <c r="O468" s="4"/>
    </row>
    <row r="469" spans="15:15">
      <c r="O469" s="4"/>
    </row>
    <row r="470" spans="15:15">
      <c r="O470" s="4"/>
    </row>
    <row r="471" spans="15:15">
      <c r="O471" s="4"/>
    </row>
    <row r="472" spans="15:15">
      <c r="O472" s="4"/>
    </row>
    <row r="473" spans="15:15">
      <c r="O473" s="4"/>
    </row>
    <row r="474" spans="15:15">
      <c r="O474" s="4"/>
    </row>
    <row r="475" spans="15:15">
      <c r="O475" s="4"/>
    </row>
    <row r="476" spans="15:15">
      <c r="O476" s="4"/>
    </row>
    <row r="477" spans="15:15">
      <c r="O477" s="4"/>
    </row>
    <row r="478" spans="15:15">
      <c r="O478" s="4"/>
    </row>
    <row r="479" spans="15:15">
      <c r="O479" s="4"/>
    </row>
    <row r="480" spans="15:15">
      <c r="O480" s="4"/>
    </row>
    <row r="481" spans="15:15">
      <c r="O481" s="4"/>
    </row>
    <row r="482" spans="15:15">
      <c r="O482" s="4"/>
    </row>
    <row r="483" spans="15:15">
      <c r="O483" s="4"/>
    </row>
    <row r="484" spans="15:15">
      <c r="O484" s="4"/>
    </row>
    <row r="485" spans="15:15">
      <c r="O485" s="4"/>
    </row>
    <row r="486" spans="15:15">
      <c r="O486" s="4"/>
    </row>
    <row r="487" spans="15:15">
      <c r="O487" s="4"/>
    </row>
    <row r="488" spans="15:15">
      <c r="O488" s="4"/>
    </row>
    <row r="489" spans="15:15">
      <c r="O489" s="4"/>
    </row>
    <row r="490" spans="15:15">
      <c r="O490" s="4"/>
    </row>
    <row r="491" spans="15:15">
      <c r="O491" s="4"/>
    </row>
    <row r="492" spans="15:15">
      <c r="O492" s="4"/>
    </row>
    <row r="493" spans="15:15">
      <c r="O493" s="4"/>
    </row>
    <row r="494" spans="15:15">
      <c r="O494" s="4"/>
    </row>
  </sheetData>
  <phoneticPr fontId="4" type="noConversion"/>
  <pageMargins left="0.75" right="0.75" top="1" bottom="1" header="0.5" footer="0.5"/>
  <pageSetup paperSize="9" orientation="portrait" verticalDpi="1200" r:id="rId1"/>
  <headerFooter alignWithMargins="0">
    <oddHeader>&amp;A</oddHeader>
    <oddFooter>Page &amp;P</oddFooter>
  </headerFooter>
  <drawing r:id="rId2"/>
  <legacyDrawing r:id="rId3"/>
</worksheet>
</file>

<file path=xl/worksheets/sheet5.xml><?xml version="1.0" encoding="utf-8"?>
<worksheet xmlns="http://schemas.openxmlformats.org/spreadsheetml/2006/main" xmlns:r="http://schemas.openxmlformats.org/officeDocument/2006/relationships">
  <dimension ref="A4:Q898"/>
  <sheetViews>
    <sheetView showGridLines="0" workbookViewId="0">
      <selection activeCell="K6" sqref="K6"/>
    </sheetView>
  </sheetViews>
  <sheetFormatPr defaultRowHeight="12.75"/>
  <cols>
    <col min="1" max="1" width="3.28515625" customWidth="1"/>
    <col min="2" max="2" width="13.85546875" customWidth="1"/>
    <col min="3" max="3" width="11.28515625" customWidth="1"/>
    <col min="4" max="4" width="11.5703125" customWidth="1"/>
    <col min="5" max="5" width="12.140625" customWidth="1"/>
    <col min="6" max="6" width="10.5703125" customWidth="1"/>
    <col min="7" max="7" width="10.42578125" customWidth="1"/>
    <col min="8" max="8" width="3.28515625" customWidth="1"/>
    <col min="9" max="10" width="10.28515625" customWidth="1"/>
    <col min="11" max="11" width="11" customWidth="1"/>
    <col min="12" max="12" width="3.28515625" customWidth="1"/>
    <col min="13" max="14" width="11.7109375" customWidth="1"/>
    <col min="15" max="15" width="3.28515625" customWidth="1"/>
    <col min="16" max="17" width="11.7109375" customWidth="1"/>
    <col min="18" max="18" width="3.28515625" customWidth="1"/>
  </cols>
  <sheetData>
    <row r="4" spans="1:17">
      <c r="C4" s="3"/>
      <c r="D4" s="3"/>
      <c r="E4" s="3"/>
    </row>
    <row r="5" spans="1:17">
      <c r="B5" s="8"/>
      <c r="C5" s="3"/>
      <c r="D5" s="3"/>
      <c r="E5" s="3"/>
      <c r="Q5" s="39"/>
    </row>
    <row r="6" spans="1:17">
      <c r="B6" s="8"/>
      <c r="C6" s="3"/>
      <c r="D6" s="3"/>
      <c r="E6" s="3"/>
      <c r="G6" s="84"/>
      <c r="H6" s="4"/>
      <c r="K6" s="4"/>
    </row>
    <row r="7" spans="1:17" ht="20.25">
      <c r="B7" s="34" t="s">
        <v>2</v>
      </c>
      <c r="C7" s="3"/>
      <c r="D7" s="3"/>
      <c r="E7" s="3"/>
      <c r="F7" s="2"/>
      <c r="I7" s="35" t="s">
        <v>20</v>
      </c>
      <c r="J7" s="35"/>
    </row>
    <row r="8" spans="1:17">
      <c r="B8" s="12"/>
      <c r="C8" s="13"/>
      <c r="D8" s="14"/>
      <c r="E8" s="26"/>
      <c r="F8" s="26" t="s">
        <v>10</v>
      </c>
      <c r="G8" s="27" t="s">
        <v>21</v>
      </c>
      <c r="I8" s="26"/>
      <c r="J8" s="26"/>
      <c r="K8" s="26"/>
      <c r="M8" s="26"/>
      <c r="N8" s="26" t="s">
        <v>4</v>
      </c>
      <c r="P8" s="26" t="s">
        <v>4</v>
      </c>
      <c r="Q8" s="26"/>
    </row>
    <row r="9" spans="1:17">
      <c r="B9" s="28"/>
      <c r="C9" s="28"/>
      <c r="D9" s="29"/>
      <c r="E9" s="30" t="s">
        <v>5</v>
      </c>
      <c r="F9" s="30" t="s">
        <v>6</v>
      </c>
      <c r="G9" s="31" t="s">
        <v>22</v>
      </c>
      <c r="I9" s="30"/>
      <c r="J9" s="30" t="s">
        <v>23</v>
      </c>
      <c r="K9" s="30" t="s">
        <v>24</v>
      </c>
      <c r="M9" s="30"/>
      <c r="N9" s="30" t="s">
        <v>25</v>
      </c>
      <c r="O9" s="8"/>
      <c r="P9" s="30" t="s">
        <v>25</v>
      </c>
      <c r="Q9" s="30"/>
    </row>
    <row r="10" spans="1:17">
      <c r="B10" s="15" t="s">
        <v>7</v>
      </c>
      <c r="C10" s="16" t="s">
        <v>8</v>
      </c>
      <c r="D10" s="15" t="s">
        <v>9</v>
      </c>
      <c r="E10" s="16" t="s">
        <v>10</v>
      </c>
      <c r="F10" s="16" t="s">
        <v>11</v>
      </c>
      <c r="G10" s="32" t="s">
        <v>26</v>
      </c>
      <c r="I10" s="15" t="s">
        <v>7</v>
      </c>
      <c r="J10" s="16" t="s">
        <v>25</v>
      </c>
      <c r="K10" s="16" t="s">
        <v>27</v>
      </c>
      <c r="M10" s="16" t="s">
        <v>28</v>
      </c>
      <c r="N10" s="16" t="s">
        <v>29</v>
      </c>
      <c r="P10" s="16" t="s">
        <v>29</v>
      </c>
      <c r="Q10" s="16" t="s">
        <v>30</v>
      </c>
    </row>
    <row r="11" spans="1:17">
      <c r="A11" s="4"/>
      <c r="B11" s="17">
        <v>1</v>
      </c>
      <c r="C11" s="18">
        <v>358475</v>
      </c>
      <c r="D11" s="19" t="s">
        <v>12</v>
      </c>
      <c r="E11" s="24">
        <f t="shared" ref="E11:E32" si="0">VLOOKUP($D11,DefaultRates,2,FALSE)</f>
        <v>0.3</v>
      </c>
      <c r="F11" s="24">
        <f t="shared" ref="F11:F32" si="1">VLOOKUP($D11,DefaultRates,3,FALSE)</f>
        <v>0.15</v>
      </c>
      <c r="G11" s="37">
        <v>1</v>
      </c>
      <c r="H11" s="4"/>
      <c r="I11" s="17">
        <v>1</v>
      </c>
      <c r="J11" s="49">
        <v>107542.5</v>
      </c>
      <c r="K11" s="49">
        <v>230466</v>
      </c>
      <c r="M11" s="40" t="s">
        <v>5</v>
      </c>
      <c r="N11" s="18">
        <v>11162856</v>
      </c>
      <c r="P11" s="18">
        <v>0</v>
      </c>
      <c r="Q11" s="53">
        <v>0.10523</v>
      </c>
    </row>
    <row r="12" spans="1:17">
      <c r="A12" s="4"/>
      <c r="B12" s="17">
        <v>2</v>
      </c>
      <c r="C12" s="18">
        <v>1089819</v>
      </c>
      <c r="D12" s="19" t="s">
        <v>12</v>
      </c>
      <c r="E12" s="24">
        <f t="shared" si="0"/>
        <v>0.3</v>
      </c>
      <c r="F12" s="24">
        <f t="shared" si="1"/>
        <v>0.15</v>
      </c>
      <c r="G12" s="37">
        <v>1</v>
      </c>
      <c r="H12" s="4"/>
      <c r="I12" s="17">
        <v>2</v>
      </c>
      <c r="J12" s="49">
        <v>326945.7</v>
      </c>
      <c r="K12" s="49">
        <v>785414</v>
      </c>
      <c r="M12" s="47">
        <v>50</v>
      </c>
      <c r="N12" s="18">
        <v>9191511</v>
      </c>
      <c r="P12" s="18">
        <v>77277</v>
      </c>
      <c r="Q12" s="53">
        <v>0</v>
      </c>
    </row>
    <row r="13" spans="1:17">
      <c r="A13" s="4"/>
      <c r="B13" s="17">
        <v>3</v>
      </c>
      <c r="C13" s="18">
        <v>1799710</v>
      </c>
      <c r="D13" s="19" t="s">
        <v>15</v>
      </c>
      <c r="E13" s="24">
        <f t="shared" si="0"/>
        <v>0.1</v>
      </c>
      <c r="F13" s="24">
        <f t="shared" si="1"/>
        <v>0.05</v>
      </c>
      <c r="G13" s="37">
        <v>1</v>
      </c>
      <c r="H13" s="4"/>
      <c r="I13" s="17">
        <v>3</v>
      </c>
      <c r="J13" s="49">
        <v>179971</v>
      </c>
      <c r="K13" s="49">
        <v>467542</v>
      </c>
      <c r="M13" s="47">
        <v>75</v>
      </c>
      <c r="N13" s="18">
        <v>16114274</v>
      </c>
      <c r="P13" s="18">
        <v>154554</v>
      </c>
      <c r="Q13" s="53">
        <v>0</v>
      </c>
    </row>
    <row r="14" spans="1:17">
      <c r="A14" s="4"/>
      <c r="B14" s="17">
        <v>4</v>
      </c>
      <c r="C14" s="18">
        <v>1933116</v>
      </c>
      <c r="D14" s="19" t="s">
        <v>17</v>
      </c>
      <c r="E14" s="24">
        <f t="shared" si="0"/>
        <v>0.15</v>
      </c>
      <c r="F14" s="24">
        <f t="shared" si="1"/>
        <v>7.4999999999999997E-2</v>
      </c>
      <c r="G14" s="37">
        <v>1</v>
      </c>
      <c r="H14" s="4"/>
      <c r="I14" s="17">
        <v>4</v>
      </c>
      <c r="J14" s="49">
        <v>289967.40000000002</v>
      </c>
      <c r="K14" s="49">
        <v>772818</v>
      </c>
      <c r="M14" s="47">
        <v>95</v>
      </c>
      <c r="N14" s="18">
        <v>28823669</v>
      </c>
      <c r="P14" s="18">
        <v>231831</v>
      </c>
      <c r="Q14" s="53">
        <v>0</v>
      </c>
    </row>
    <row r="15" spans="1:17">
      <c r="A15" s="4"/>
      <c r="B15" s="17">
        <v>5</v>
      </c>
      <c r="C15" s="18">
        <v>2317327</v>
      </c>
      <c r="D15" s="19" t="s">
        <v>17</v>
      </c>
      <c r="E15" s="24">
        <f t="shared" si="0"/>
        <v>0.15</v>
      </c>
      <c r="F15" s="24">
        <f t="shared" si="1"/>
        <v>7.4999999999999997E-2</v>
      </c>
      <c r="G15" s="37">
        <v>1</v>
      </c>
      <c r="H15" s="4"/>
      <c r="I15" s="17">
        <v>5</v>
      </c>
      <c r="J15" s="49">
        <v>347599.05</v>
      </c>
      <c r="K15" s="49">
        <v>940613</v>
      </c>
      <c r="M15" s="47">
        <v>97.5</v>
      </c>
      <c r="N15" s="18">
        <v>33733871</v>
      </c>
      <c r="P15" s="18">
        <v>309108</v>
      </c>
      <c r="Q15" s="53">
        <v>0</v>
      </c>
    </row>
    <row r="16" spans="1:17">
      <c r="A16" s="4"/>
      <c r="B16" s="17">
        <v>6</v>
      </c>
      <c r="C16" s="18">
        <v>2410929</v>
      </c>
      <c r="D16" s="19" t="s">
        <v>17</v>
      </c>
      <c r="E16" s="24">
        <f t="shared" si="0"/>
        <v>0.15</v>
      </c>
      <c r="F16" s="24">
        <f t="shared" si="1"/>
        <v>7.4999999999999997E-2</v>
      </c>
      <c r="G16" s="37">
        <v>1</v>
      </c>
      <c r="H16" s="4"/>
      <c r="I16" s="17">
        <v>6</v>
      </c>
      <c r="J16" s="49">
        <v>361639.35</v>
      </c>
      <c r="K16" s="49">
        <v>1013323</v>
      </c>
      <c r="M16" s="54">
        <v>99</v>
      </c>
      <c r="N16" s="52">
        <v>39946857</v>
      </c>
      <c r="P16" s="18">
        <v>386385</v>
      </c>
      <c r="Q16" s="53">
        <v>1.6681000000000001E-2</v>
      </c>
    </row>
    <row r="17" spans="1:17">
      <c r="A17" s="4"/>
      <c r="B17" s="17">
        <v>7</v>
      </c>
      <c r="C17" s="18">
        <v>2652184</v>
      </c>
      <c r="D17" s="19" t="s">
        <v>12</v>
      </c>
      <c r="E17" s="24">
        <f t="shared" si="0"/>
        <v>0.3</v>
      </c>
      <c r="F17" s="24">
        <f t="shared" si="1"/>
        <v>0.15</v>
      </c>
      <c r="G17" s="37">
        <v>1</v>
      </c>
      <c r="H17" s="4"/>
      <c r="I17" s="17">
        <v>7</v>
      </c>
      <c r="J17" s="49">
        <v>795655.2</v>
      </c>
      <c r="K17" s="49">
        <v>2284000</v>
      </c>
      <c r="M17" s="47">
        <v>99.5</v>
      </c>
      <c r="N17" s="18">
        <v>44482660</v>
      </c>
      <c r="P17" s="18">
        <v>463662</v>
      </c>
      <c r="Q17" s="53">
        <v>0</v>
      </c>
    </row>
    <row r="18" spans="1:17">
      <c r="A18" s="4"/>
      <c r="B18" s="17">
        <v>8</v>
      </c>
      <c r="C18" s="18">
        <v>2957685</v>
      </c>
      <c r="D18" s="19" t="s">
        <v>17</v>
      </c>
      <c r="E18" s="24">
        <f t="shared" si="0"/>
        <v>0.15</v>
      </c>
      <c r="F18" s="24">
        <f t="shared" si="1"/>
        <v>7.4999999999999997E-2</v>
      </c>
      <c r="G18" s="37">
        <v>1</v>
      </c>
      <c r="H18" s="4"/>
      <c r="I18" s="17">
        <v>8</v>
      </c>
      <c r="J18" s="49">
        <v>443652.75</v>
      </c>
      <c r="K18" s="49">
        <v>1319516</v>
      </c>
      <c r="M18" s="47">
        <v>99.75</v>
      </c>
      <c r="N18" s="18">
        <v>48915922</v>
      </c>
      <c r="P18" s="18">
        <v>540939</v>
      </c>
      <c r="Q18" s="53">
        <v>0</v>
      </c>
    </row>
    <row r="19" spans="1:17">
      <c r="A19" s="4"/>
      <c r="B19" s="17">
        <v>9</v>
      </c>
      <c r="C19" s="18">
        <v>3137989</v>
      </c>
      <c r="D19" s="19" t="s">
        <v>18</v>
      </c>
      <c r="E19" s="24">
        <f t="shared" si="0"/>
        <v>0.05</v>
      </c>
      <c r="F19" s="24">
        <f t="shared" si="1"/>
        <v>2.5000000000000001E-2</v>
      </c>
      <c r="G19" s="37">
        <v>1</v>
      </c>
      <c r="H19" s="4"/>
      <c r="I19" s="17">
        <v>9</v>
      </c>
      <c r="J19" s="49">
        <v>156899.45000000001</v>
      </c>
      <c r="K19" s="49">
        <v>471998</v>
      </c>
      <c r="M19" s="48">
        <v>99.9</v>
      </c>
      <c r="N19" s="21">
        <v>54644673</v>
      </c>
      <c r="P19" s="18">
        <v>618216</v>
      </c>
      <c r="Q19" s="53">
        <v>0</v>
      </c>
    </row>
    <row r="20" spans="1:17">
      <c r="A20" s="4"/>
      <c r="B20" s="17">
        <v>10</v>
      </c>
      <c r="C20" s="18">
        <v>3204044</v>
      </c>
      <c r="D20" s="19" t="s">
        <v>18</v>
      </c>
      <c r="E20" s="24">
        <f t="shared" si="0"/>
        <v>0.05</v>
      </c>
      <c r="F20" s="24">
        <f t="shared" si="1"/>
        <v>2.5000000000000001E-2</v>
      </c>
      <c r="G20" s="37">
        <v>1</v>
      </c>
      <c r="H20" s="4"/>
      <c r="I20" s="17">
        <v>10</v>
      </c>
      <c r="J20" s="49">
        <v>160202.20000000001</v>
      </c>
      <c r="K20" s="49">
        <v>487172</v>
      </c>
      <c r="P20" s="18">
        <v>695493</v>
      </c>
      <c r="Q20" s="53">
        <v>0</v>
      </c>
    </row>
    <row r="21" spans="1:17">
      <c r="A21" s="4"/>
      <c r="B21" s="17">
        <v>11</v>
      </c>
      <c r="C21" s="18">
        <v>4727724</v>
      </c>
      <c r="D21" s="19" t="s">
        <v>13</v>
      </c>
      <c r="E21" s="24">
        <f t="shared" si="0"/>
        <v>1.4999999999999999E-2</v>
      </c>
      <c r="F21" s="24">
        <f t="shared" si="1"/>
        <v>7.4999999999999997E-3</v>
      </c>
      <c r="G21" s="37">
        <v>1</v>
      </c>
      <c r="H21" s="4"/>
      <c r="I21" s="17">
        <v>11</v>
      </c>
      <c r="J21" s="49">
        <v>70915.86</v>
      </c>
      <c r="K21" s="49">
        <v>252792</v>
      </c>
      <c r="P21" s="18">
        <v>772770</v>
      </c>
      <c r="Q21" s="53">
        <v>1.653E-3</v>
      </c>
    </row>
    <row r="22" spans="1:17">
      <c r="A22" s="4"/>
      <c r="B22" s="17">
        <v>12</v>
      </c>
      <c r="C22" s="18">
        <v>4830517</v>
      </c>
      <c r="D22" s="19" t="s">
        <v>18</v>
      </c>
      <c r="E22" s="24">
        <f t="shared" si="0"/>
        <v>0.05</v>
      </c>
      <c r="F22" s="24">
        <f t="shared" si="1"/>
        <v>2.5000000000000001E-2</v>
      </c>
      <c r="G22" s="37">
        <v>1</v>
      </c>
      <c r="H22" s="4"/>
      <c r="I22" s="17">
        <v>12</v>
      </c>
      <c r="J22" s="49">
        <v>241525.85</v>
      </c>
      <c r="K22" s="49">
        <v>863835</v>
      </c>
      <c r="P22" s="18">
        <v>850047</v>
      </c>
      <c r="Q22" s="53">
        <v>0</v>
      </c>
    </row>
    <row r="23" spans="1:17">
      <c r="A23" s="4"/>
      <c r="B23" s="17">
        <v>13</v>
      </c>
      <c r="C23" s="18">
        <v>4912097</v>
      </c>
      <c r="D23" s="19" t="s">
        <v>18</v>
      </c>
      <c r="E23" s="24">
        <f t="shared" si="0"/>
        <v>0.05</v>
      </c>
      <c r="F23" s="24">
        <f t="shared" si="1"/>
        <v>2.5000000000000001E-2</v>
      </c>
      <c r="G23" s="37">
        <v>1</v>
      </c>
      <c r="H23" s="4"/>
      <c r="I23" s="17">
        <v>13</v>
      </c>
      <c r="J23" s="49">
        <v>245604.85</v>
      </c>
      <c r="K23" s="49">
        <v>884171</v>
      </c>
      <c r="P23" s="18">
        <v>927324</v>
      </c>
      <c r="Q23" s="53">
        <v>0</v>
      </c>
    </row>
    <row r="24" spans="1:17">
      <c r="A24" s="4"/>
      <c r="B24" s="17">
        <v>14</v>
      </c>
      <c r="C24" s="18">
        <v>4928989</v>
      </c>
      <c r="D24" s="19" t="s">
        <v>12</v>
      </c>
      <c r="E24" s="24">
        <f t="shared" si="0"/>
        <v>0.3</v>
      </c>
      <c r="F24" s="24">
        <f t="shared" si="1"/>
        <v>0.15</v>
      </c>
      <c r="G24" s="37">
        <v>1</v>
      </c>
      <c r="H24" s="4"/>
      <c r="I24" s="17">
        <v>14</v>
      </c>
      <c r="J24" s="49">
        <v>1478696.7</v>
      </c>
      <c r="K24" s="49">
        <v>5310091</v>
      </c>
      <c r="P24" s="18">
        <v>1004601</v>
      </c>
      <c r="Q24" s="53">
        <v>0</v>
      </c>
    </row>
    <row r="25" spans="1:17">
      <c r="A25" s="4"/>
      <c r="B25" s="17">
        <v>15</v>
      </c>
      <c r="C25" s="18">
        <v>5042312</v>
      </c>
      <c r="D25" s="19" t="s">
        <v>15</v>
      </c>
      <c r="E25" s="24">
        <f t="shared" si="0"/>
        <v>0.1</v>
      </c>
      <c r="F25" s="24">
        <f t="shared" si="1"/>
        <v>0.05</v>
      </c>
      <c r="G25" s="37">
        <v>1</v>
      </c>
      <c r="H25" s="4"/>
      <c r="I25" s="17">
        <v>15</v>
      </c>
      <c r="J25" s="49">
        <v>504231.2</v>
      </c>
      <c r="K25" s="49">
        <v>1847584</v>
      </c>
      <c r="P25" s="18">
        <v>1081878</v>
      </c>
      <c r="Q25" s="53">
        <v>0</v>
      </c>
    </row>
    <row r="26" spans="1:17">
      <c r="A26" s="4"/>
      <c r="B26" s="17">
        <v>16</v>
      </c>
      <c r="C26" s="18">
        <v>5320364</v>
      </c>
      <c r="D26" s="19" t="s">
        <v>19</v>
      </c>
      <c r="E26" s="24">
        <f t="shared" si="0"/>
        <v>7.4999999999999997E-2</v>
      </c>
      <c r="F26" s="24">
        <f t="shared" si="1"/>
        <v>3.7499999999999999E-2</v>
      </c>
      <c r="G26" s="37">
        <v>1</v>
      </c>
      <c r="H26" s="4"/>
      <c r="I26" s="17">
        <v>16</v>
      </c>
      <c r="J26" s="49">
        <v>399027.3</v>
      </c>
      <c r="K26" s="49">
        <v>1483284</v>
      </c>
      <c r="P26" s="18">
        <v>1159155</v>
      </c>
      <c r="Q26" s="53">
        <v>1.7035999999999999E-2</v>
      </c>
    </row>
    <row r="27" spans="1:17">
      <c r="A27" s="4"/>
      <c r="B27" s="17">
        <v>17</v>
      </c>
      <c r="C27" s="18">
        <v>5435457</v>
      </c>
      <c r="D27" s="19" t="s">
        <v>18</v>
      </c>
      <c r="E27" s="24">
        <f t="shared" si="0"/>
        <v>0.05</v>
      </c>
      <c r="F27" s="24">
        <f t="shared" si="1"/>
        <v>2.5000000000000001E-2</v>
      </c>
      <c r="G27" s="37">
        <v>1</v>
      </c>
      <c r="H27" s="4"/>
      <c r="I27" s="17">
        <v>17</v>
      </c>
      <c r="J27" s="49">
        <v>271772.84999999998</v>
      </c>
      <c r="K27" s="49">
        <v>1029714</v>
      </c>
      <c r="P27" s="18">
        <v>1236432</v>
      </c>
      <c r="Q27" s="53">
        <v>0</v>
      </c>
    </row>
    <row r="28" spans="1:17">
      <c r="A28" s="4"/>
      <c r="B28" s="17">
        <v>18</v>
      </c>
      <c r="C28" s="18">
        <v>5517586</v>
      </c>
      <c r="D28" s="19" t="s">
        <v>16</v>
      </c>
      <c r="E28" s="24">
        <f t="shared" si="0"/>
        <v>0.03</v>
      </c>
      <c r="F28" s="24">
        <f t="shared" si="1"/>
        <v>1.4999999999999999E-2</v>
      </c>
      <c r="G28" s="37">
        <v>1</v>
      </c>
      <c r="H28" s="4"/>
      <c r="I28" s="17">
        <v>18</v>
      </c>
      <c r="J28" s="49">
        <v>165527.57999999999</v>
      </c>
      <c r="K28" s="49">
        <v>631003</v>
      </c>
      <c r="P28" s="18">
        <v>1313709</v>
      </c>
      <c r="Q28" s="53">
        <v>0</v>
      </c>
    </row>
    <row r="29" spans="1:17">
      <c r="A29" s="4"/>
      <c r="B29" s="17">
        <v>19</v>
      </c>
      <c r="C29" s="18">
        <v>5764596</v>
      </c>
      <c r="D29" s="19" t="s">
        <v>19</v>
      </c>
      <c r="E29" s="24">
        <f t="shared" si="0"/>
        <v>7.4999999999999997E-2</v>
      </c>
      <c r="F29" s="24">
        <f t="shared" si="1"/>
        <v>3.7499999999999999E-2</v>
      </c>
      <c r="G29" s="37">
        <v>1</v>
      </c>
      <c r="H29" s="4"/>
      <c r="I29" s="17">
        <v>19</v>
      </c>
      <c r="J29" s="49">
        <v>432344.7</v>
      </c>
      <c r="K29" s="49">
        <v>1678157</v>
      </c>
      <c r="P29" s="18">
        <v>1390986</v>
      </c>
      <c r="Q29" s="53">
        <v>0</v>
      </c>
    </row>
    <row r="30" spans="1:17">
      <c r="A30" s="4"/>
      <c r="B30" s="17">
        <v>20</v>
      </c>
      <c r="C30" s="18">
        <v>5847845</v>
      </c>
      <c r="D30" s="19" t="s">
        <v>16</v>
      </c>
      <c r="E30" s="24">
        <f t="shared" si="0"/>
        <v>0.03</v>
      </c>
      <c r="F30" s="24">
        <f t="shared" si="1"/>
        <v>1.4999999999999999E-2</v>
      </c>
      <c r="G30" s="37">
        <v>1</v>
      </c>
      <c r="H30" s="4"/>
      <c r="I30" s="17">
        <v>20</v>
      </c>
      <c r="J30" s="49">
        <v>175435.35</v>
      </c>
      <c r="K30" s="49">
        <v>684949</v>
      </c>
      <c r="P30" s="18">
        <v>1468263</v>
      </c>
      <c r="Q30" s="53">
        <v>0</v>
      </c>
    </row>
    <row r="31" spans="1:17">
      <c r="A31" s="4"/>
      <c r="B31" s="17">
        <v>21</v>
      </c>
      <c r="C31" s="18">
        <v>6466533</v>
      </c>
      <c r="D31" s="19" t="s">
        <v>12</v>
      </c>
      <c r="E31" s="24">
        <f t="shared" si="0"/>
        <v>0.3</v>
      </c>
      <c r="F31" s="24">
        <f t="shared" si="1"/>
        <v>0.15</v>
      </c>
      <c r="G31" s="37">
        <v>1</v>
      </c>
      <c r="H31" s="4"/>
      <c r="I31" s="17">
        <v>21</v>
      </c>
      <c r="J31" s="49">
        <v>1939959.9</v>
      </c>
      <c r="K31" s="49">
        <v>7973270</v>
      </c>
      <c r="P31" s="18">
        <v>1545540</v>
      </c>
      <c r="Q31" s="53">
        <v>3.359E-3</v>
      </c>
    </row>
    <row r="32" spans="1:17">
      <c r="A32" s="4"/>
      <c r="B32" s="17">
        <v>22</v>
      </c>
      <c r="C32" s="18">
        <v>6480322</v>
      </c>
      <c r="D32" s="19" t="s">
        <v>12</v>
      </c>
      <c r="E32" s="24">
        <f t="shared" si="0"/>
        <v>0.3</v>
      </c>
      <c r="F32" s="24">
        <f t="shared" si="1"/>
        <v>0.15</v>
      </c>
      <c r="G32" s="37">
        <v>1</v>
      </c>
      <c r="H32" s="4"/>
      <c r="I32" s="17">
        <v>22</v>
      </c>
      <c r="J32" s="49">
        <v>1944096.6</v>
      </c>
      <c r="K32" s="49">
        <v>7977407</v>
      </c>
      <c r="P32" s="18">
        <v>1622817</v>
      </c>
      <c r="Q32" s="53">
        <v>0</v>
      </c>
    </row>
    <row r="33" spans="1:17">
      <c r="A33" s="4"/>
      <c r="B33" s="20">
        <v>23</v>
      </c>
      <c r="C33" s="21">
        <v>7727651</v>
      </c>
      <c r="D33" s="22" t="s">
        <v>14</v>
      </c>
      <c r="E33" s="25">
        <f>VLOOKUP($D33,DefaultRates,2,FALSE)</f>
        <v>1.6E-2</v>
      </c>
      <c r="F33" s="25">
        <f>VLOOKUP($D33,DefaultRates,3,FALSE)</f>
        <v>8.0000000000000002E-3</v>
      </c>
      <c r="G33" s="38">
        <v>1</v>
      </c>
      <c r="H33" s="4"/>
      <c r="I33" s="20">
        <v>23</v>
      </c>
      <c r="J33" s="50">
        <v>123642.416</v>
      </c>
      <c r="K33" s="50">
        <v>557737</v>
      </c>
      <c r="P33" s="18">
        <v>1700094</v>
      </c>
      <c r="Q33" s="53">
        <v>0</v>
      </c>
    </row>
    <row r="34" spans="1:17">
      <c r="A34" s="4"/>
      <c r="P34" s="18">
        <v>1777371</v>
      </c>
      <c r="Q34" s="53">
        <v>0</v>
      </c>
    </row>
    <row r="35" spans="1:17" ht="20.25">
      <c r="A35" s="4"/>
      <c r="B35" s="55" t="s">
        <v>31</v>
      </c>
      <c r="C35" s="7"/>
      <c r="D35" s="10"/>
      <c r="E35" s="10"/>
      <c r="F35" s="7"/>
      <c r="H35" s="4"/>
      <c r="P35" s="18">
        <v>1854648</v>
      </c>
      <c r="Q35" s="53">
        <v>5.816E-3</v>
      </c>
    </row>
    <row r="36" spans="1:17">
      <c r="H36" s="4"/>
      <c r="P36" s="18">
        <v>1931925</v>
      </c>
      <c r="Q36" s="53">
        <v>3.9899999999999999E-4</v>
      </c>
    </row>
    <row r="37" spans="1:17" ht="13.5" thickBot="1">
      <c r="B37" s="8" t="s">
        <v>32</v>
      </c>
      <c r="G37" s="7"/>
      <c r="P37" s="18">
        <v>2009202</v>
      </c>
      <c r="Q37" s="53">
        <v>8.6499999999999997E-3</v>
      </c>
    </row>
    <row r="38" spans="1:17">
      <c r="B38" s="59"/>
      <c r="C38" s="59"/>
      <c r="D38" s="60" t="s">
        <v>23</v>
      </c>
      <c r="E38" s="61" t="s">
        <v>24</v>
      </c>
      <c r="P38" s="18">
        <v>2086479</v>
      </c>
      <c r="Q38" s="53">
        <v>0</v>
      </c>
    </row>
    <row r="39" spans="1:17">
      <c r="B39" s="62" t="s">
        <v>7</v>
      </c>
      <c r="C39" s="63" t="s">
        <v>8</v>
      </c>
      <c r="D39" s="64" t="s">
        <v>25</v>
      </c>
      <c r="E39" s="65" t="s">
        <v>27</v>
      </c>
      <c r="P39" s="18">
        <v>2163756</v>
      </c>
      <c r="Q39" s="53">
        <v>0</v>
      </c>
    </row>
    <row r="40" spans="1:17">
      <c r="B40" s="2">
        <v>24</v>
      </c>
      <c r="C40" s="56">
        <v>15410906</v>
      </c>
      <c r="D40" s="56">
        <v>1541090.6</v>
      </c>
      <c r="E40" s="56">
        <v>9056197</v>
      </c>
      <c r="P40" s="18">
        <v>2241033</v>
      </c>
      <c r="Q40" s="53">
        <v>1.152E-3</v>
      </c>
    </row>
    <row r="41" spans="1:17">
      <c r="B41" s="2">
        <v>25</v>
      </c>
      <c r="C41" s="56">
        <v>20238895</v>
      </c>
      <c r="D41" s="56">
        <v>1517917.125</v>
      </c>
      <c r="E41" s="56">
        <v>10618120</v>
      </c>
      <c r="P41" s="18">
        <v>2318310</v>
      </c>
      <c r="Q41" s="53">
        <v>1.072E-2</v>
      </c>
    </row>
    <row r="42" spans="1:17" ht="13.5" thickBot="1">
      <c r="B42" s="66" t="s">
        <v>33</v>
      </c>
      <c r="C42" s="58">
        <f>SUM(C40:C41)</f>
        <v>35649801</v>
      </c>
      <c r="D42" s="58">
        <f>SUM(D40:D41)</f>
        <v>3059007.7250000001</v>
      </c>
      <c r="E42" s="58">
        <f>SUM(E40:E41)</f>
        <v>19674317</v>
      </c>
      <c r="P42" s="18">
        <v>2395587</v>
      </c>
      <c r="Q42" s="53">
        <v>1.714E-3</v>
      </c>
    </row>
    <row r="43" spans="1:17">
      <c r="P43" s="18">
        <v>2472864</v>
      </c>
      <c r="Q43" s="53">
        <v>8.7650000000000002E-3</v>
      </c>
    </row>
    <row r="44" spans="1:17" ht="13.5" thickBot="1">
      <c r="B44" s="8" t="s">
        <v>34</v>
      </c>
      <c r="C44" s="57"/>
      <c r="D44" s="57"/>
      <c r="E44" s="57"/>
      <c r="P44" s="18">
        <v>2550141</v>
      </c>
      <c r="Q44" s="53">
        <v>0</v>
      </c>
    </row>
    <row r="45" spans="1:17">
      <c r="B45" s="59"/>
      <c r="C45" s="59"/>
      <c r="D45" s="60"/>
      <c r="E45" s="61" t="s">
        <v>35</v>
      </c>
      <c r="F45" s="61" t="s">
        <v>36</v>
      </c>
      <c r="P45" s="18">
        <v>2627418</v>
      </c>
      <c r="Q45" s="53">
        <v>1.37E-4</v>
      </c>
    </row>
    <row r="46" spans="1:17">
      <c r="B46" s="62"/>
      <c r="C46" s="63" t="s">
        <v>37</v>
      </c>
      <c r="D46" s="64" t="s">
        <v>38</v>
      </c>
      <c r="E46" s="65" t="s">
        <v>39</v>
      </c>
      <c r="F46" s="65" t="s">
        <v>39</v>
      </c>
      <c r="P46" s="18">
        <v>2704695</v>
      </c>
      <c r="Q46" s="53">
        <v>1.9817999999999999E-2</v>
      </c>
    </row>
    <row r="47" spans="1:17">
      <c r="B47" s="8" t="s">
        <v>8</v>
      </c>
      <c r="C47" s="4">
        <v>130513072</v>
      </c>
      <c r="D47" s="4">
        <f>SUM(C11:C33)</f>
        <v>94863271</v>
      </c>
      <c r="E47" s="67">
        <f>D47-C47</f>
        <v>-35649801</v>
      </c>
      <c r="F47" s="71">
        <f>-E47/C47</f>
        <v>0.27315119055660569</v>
      </c>
      <c r="P47" s="18">
        <v>2781972</v>
      </c>
      <c r="Q47" s="53">
        <v>2.04E-4</v>
      </c>
    </row>
    <row r="48" spans="1:17">
      <c r="B48" s="8" t="s">
        <v>5</v>
      </c>
      <c r="C48" s="56">
        <v>14221863</v>
      </c>
      <c r="D48" s="56">
        <f>N11</f>
        <v>11162856</v>
      </c>
      <c r="E48" s="67">
        <f>D48-C48</f>
        <v>-3059007</v>
      </c>
      <c r="F48" s="71">
        <f>-E48/C48</f>
        <v>0.21509186243743172</v>
      </c>
      <c r="P48" s="18">
        <v>2859249</v>
      </c>
      <c r="Q48" s="53">
        <v>1.737E-3</v>
      </c>
    </row>
    <row r="49" spans="2:17" ht="13.5" thickBot="1">
      <c r="B49" s="70" t="s">
        <v>40</v>
      </c>
      <c r="C49" s="68">
        <v>55311503</v>
      </c>
      <c r="D49" s="68">
        <f>N16</f>
        <v>39946857</v>
      </c>
      <c r="E49" s="69">
        <f>D49-C49</f>
        <v>-15364646</v>
      </c>
      <c r="F49" s="72">
        <f>-E49/C49</f>
        <v>0.27778391775034572</v>
      </c>
      <c r="P49" s="18">
        <v>2936526</v>
      </c>
      <c r="Q49" s="53">
        <v>0</v>
      </c>
    </row>
    <row r="50" spans="2:17">
      <c r="P50" s="18">
        <v>3013803</v>
      </c>
      <c r="Q50" s="53">
        <v>1.0003E-2</v>
      </c>
    </row>
    <row r="51" spans="2:17">
      <c r="P51" s="18">
        <v>3091080</v>
      </c>
      <c r="Q51" s="53">
        <v>3.7620000000000002E-3</v>
      </c>
    </row>
    <row r="52" spans="2:17">
      <c r="P52" s="18">
        <v>3168357</v>
      </c>
      <c r="Q52" s="53">
        <v>4.7239999999999999E-3</v>
      </c>
    </row>
    <row r="53" spans="2:17">
      <c r="P53" s="18">
        <v>3245634</v>
      </c>
      <c r="Q53" s="53">
        <v>3.1649999999999998E-3</v>
      </c>
    </row>
    <row r="54" spans="2:17">
      <c r="P54" s="18">
        <v>3322911</v>
      </c>
      <c r="Q54" s="53">
        <v>0</v>
      </c>
    </row>
    <row r="55" spans="2:17">
      <c r="P55" s="18">
        <v>3400188</v>
      </c>
      <c r="Q55" s="53">
        <v>2.0270000000000002E-3</v>
      </c>
    </row>
    <row r="56" spans="2:17">
      <c r="P56" s="18">
        <v>3477465</v>
      </c>
      <c r="Q56" s="53">
        <v>2.382E-3</v>
      </c>
    </row>
    <row r="57" spans="2:17">
      <c r="P57" s="18">
        <v>3554742</v>
      </c>
      <c r="Q57" s="53">
        <v>1.003E-3</v>
      </c>
    </row>
    <row r="58" spans="2:17">
      <c r="P58" s="18">
        <v>3632019</v>
      </c>
      <c r="Q58" s="53">
        <v>2.3649999999999999E-3</v>
      </c>
    </row>
    <row r="59" spans="2:17">
      <c r="P59" s="18">
        <v>3709296</v>
      </c>
      <c r="Q59" s="53">
        <v>2.0100000000000001E-4</v>
      </c>
    </row>
    <row r="60" spans="2:17">
      <c r="P60" s="18">
        <v>3786573</v>
      </c>
      <c r="Q60" s="53">
        <v>2.4600000000000002E-4</v>
      </c>
    </row>
    <row r="61" spans="2:17">
      <c r="P61" s="18">
        <v>3863850</v>
      </c>
      <c r="Q61" s="53">
        <v>4.6449999999999998E-3</v>
      </c>
    </row>
    <row r="62" spans="2:17">
      <c r="P62" s="18">
        <v>3941127</v>
      </c>
      <c r="Q62" s="53">
        <v>1.27E-4</v>
      </c>
    </row>
    <row r="63" spans="2:17">
      <c r="P63" s="18">
        <v>4018404</v>
      </c>
      <c r="Q63" s="53">
        <v>9.3400000000000004E-4</v>
      </c>
    </row>
    <row r="64" spans="2:17">
      <c r="P64" s="18">
        <v>4095681</v>
      </c>
      <c r="Q64" s="53">
        <v>4.8000000000000001E-5</v>
      </c>
    </row>
    <row r="65" spans="16:17">
      <c r="P65" s="18">
        <v>4172958</v>
      </c>
      <c r="Q65" s="53">
        <v>2.5560000000000001E-3</v>
      </c>
    </row>
    <row r="66" spans="16:17">
      <c r="P66" s="18">
        <v>4250235</v>
      </c>
      <c r="Q66" s="53">
        <v>1.0529999999999999E-3</v>
      </c>
    </row>
    <row r="67" spans="16:17">
      <c r="P67" s="18">
        <v>4327512</v>
      </c>
      <c r="Q67" s="53">
        <v>2.3470000000000001E-3</v>
      </c>
    </row>
    <row r="68" spans="16:17">
      <c r="P68" s="18">
        <v>4404789</v>
      </c>
      <c r="Q68" s="53">
        <v>7.6400000000000003E-4</v>
      </c>
    </row>
    <row r="69" spans="16:17">
      <c r="P69" s="18">
        <v>4482066</v>
      </c>
      <c r="Q69" s="53">
        <v>9.0700000000000004E-4</v>
      </c>
    </row>
    <row r="70" spans="16:17">
      <c r="P70" s="18">
        <v>4559343</v>
      </c>
      <c r="Q70" s="53">
        <v>1.828E-3</v>
      </c>
    </row>
    <row r="71" spans="16:17">
      <c r="P71" s="18">
        <v>4636620</v>
      </c>
      <c r="Q71" s="53">
        <v>8.4999999999999995E-4</v>
      </c>
    </row>
    <row r="72" spans="16:17">
      <c r="P72" s="18">
        <v>4713897</v>
      </c>
      <c r="Q72" s="53">
        <v>2.3760000000000001E-3</v>
      </c>
    </row>
    <row r="73" spans="16:17">
      <c r="P73" s="18">
        <v>4791174</v>
      </c>
      <c r="Q73" s="53">
        <v>2.1970000000000002E-3</v>
      </c>
    </row>
    <row r="74" spans="16:17">
      <c r="P74" s="18">
        <v>4868451</v>
      </c>
      <c r="Q74" s="53">
        <v>3.846E-3</v>
      </c>
    </row>
    <row r="75" spans="16:17">
      <c r="P75" s="18">
        <v>4945728</v>
      </c>
      <c r="Q75" s="53">
        <v>2.1727E-2</v>
      </c>
    </row>
    <row r="76" spans="16:17">
      <c r="P76" s="18">
        <v>5023005</v>
      </c>
      <c r="Q76" s="53">
        <v>3.7569999999999999E-3</v>
      </c>
    </row>
    <row r="77" spans="16:17">
      <c r="P77" s="18">
        <v>5100282</v>
      </c>
      <c r="Q77" s="53">
        <v>6.6400000000000001E-3</v>
      </c>
    </row>
    <row r="78" spans="16:17">
      <c r="P78" s="18">
        <v>5177559</v>
      </c>
      <c r="Q78" s="53">
        <v>2.7269999999999998E-3</v>
      </c>
    </row>
    <row r="79" spans="16:17">
      <c r="P79" s="18">
        <v>5254836</v>
      </c>
      <c r="Q79" s="53">
        <v>1.0809999999999999E-3</v>
      </c>
    </row>
    <row r="80" spans="16:17">
      <c r="P80" s="18">
        <v>5332113</v>
      </c>
      <c r="Q80" s="53">
        <v>1.0102E-2</v>
      </c>
    </row>
    <row r="81" spans="16:17">
      <c r="P81" s="18">
        <v>5409390</v>
      </c>
      <c r="Q81" s="53">
        <v>2.7439999999999999E-3</v>
      </c>
    </row>
    <row r="82" spans="16:17">
      <c r="P82" s="18">
        <v>5486667</v>
      </c>
      <c r="Q82" s="53">
        <v>5.9550000000000002E-3</v>
      </c>
    </row>
    <row r="83" spans="16:17">
      <c r="P83" s="18">
        <v>5563944</v>
      </c>
      <c r="Q83" s="53">
        <v>2.7780000000000001E-3</v>
      </c>
    </row>
    <row r="84" spans="16:17">
      <c r="P84" s="18">
        <v>5641221</v>
      </c>
      <c r="Q84" s="53">
        <v>6.9399999999999996E-4</v>
      </c>
    </row>
    <row r="85" spans="16:17">
      <c r="P85" s="18">
        <v>5718498</v>
      </c>
      <c r="Q85" s="53">
        <v>4.2040000000000003E-3</v>
      </c>
    </row>
    <row r="86" spans="16:17">
      <c r="P86" s="18">
        <v>5795775</v>
      </c>
      <c r="Q86" s="53">
        <v>5.1729999999999996E-3</v>
      </c>
    </row>
    <row r="87" spans="16:17">
      <c r="P87" s="18">
        <v>5873052</v>
      </c>
      <c r="Q87" s="53">
        <v>4.0489999999999996E-3</v>
      </c>
    </row>
    <row r="88" spans="16:17">
      <c r="P88" s="18">
        <v>5950329</v>
      </c>
      <c r="Q88" s="53">
        <v>1.575E-3</v>
      </c>
    </row>
    <row r="89" spans="16:17">
      <c r="P89" s="18">
        <v>6027606</v>
      </c>
      <c r="Q89" s="53">
        <v>1.41E-3</v>
      </c>
    </row>
    <row r="90" spans="16:17">
      <c r="P90" s="18">
        <v>6104883</v>
      </c>
      <c r="Q90" s="53">
        <v>5.1079999999999997E-3</v>
      </c>
    </row>
    <row r="91" spans="16:17">
      <c r="P91" s="18">
        <v>6182160</v>
      </c>
      <c r="Q91" s="53">
        <v>2.1940000000000002E-3</v>
      </c>
    </row>
    <row r="92" spans="16:17">
      <c r="P92" s="18">
        <v>6259437</v>
      </c>
      <c r="Q92" s="53">
        <v>2.3280000000000002E-3</v>
      </c>
    </row>
    <row r="93" spans="16:17">
      <c r="P93" s="18">
        <v>6336714</v>
      </c>
      <c r="Q93" s="53">
        <v>1.0380000000000001E-3</v>
      </c>
    </row>
    <row r="94" spans="16:17">
      <c r="P94" s="18">
        <v>6413991</v>
      </c>
      <c r="Q94" s="53">
        <v>5.5699999999999999E-4</v>
      </c>
    </row>
    <row r="95" spans="16:17">
      <c r="P95" s="18">
        <v>6491268</v>
      </c>
      <c r="Q95" s="53">
        <v>3.8310999999999998E-2</v>
      </c>
    </row>
    <row r="96" spans="16:17">
      <c r="P96" s="18">
        <v>6568545</v>
      </c>
      <c r="Q96" s="53">
        <v>1.036E-3</v>
      </c>
    </row>
    <row r="97" spans="16:17">
      <c r="P97" s="18">
        <v>6645822</v>
      </c>
      <c r="Q97" s="53">
        <v>1.6199999999999999E-3</v>
      </c>
    </row>
    <row r="98" spans="16:17">
      <c r="P98" s="18">
        <v>6723099</v>
      </c>
      <c r="Q98" s="53">
        <v>1.0250000000000001E-3</v>
      </c>
    </row>
    <row r="99" spans="16:17">
      <c r="P99" s="18">
        <v>6800376</v>
      </c>
      <c r="Q99" s="53">
        <v>1.8979999999999999E-3</v>
      </c>
    </row>
    <row r="100" spans="16:17">
      <c r="P100" s="18">
        <v>6877653</v>
      </c>
      <c r="Q100" s="53">
        <v>8.7019999999999997E-3</v>
      </c>
    </row>
    <row r="101" spans="16:17">
      <c r="P101" s="18">
        <v>6954930</v>
      </c>
      <c r="Q101" s="53">
        <v>3.7829999999999999E-3</v>
      </c>
    </row>
    <row r="102" spans="16:17">
      <c r="P102" s="18">
        <v>7032207</v>
      </c>
      <c r="Q102" s="53">
        <v>1.4040000000000001E-3</v>
      </c>
    </row>
    <row r="103" spans="16:17">
      <c r="P103" s="18">
        <v>7109484</v>
      </c>
      <c r="Q103" s="53">
        <v>1.224E-3</v>
      </c>
    </row>
    <row r="104" spans="16:17">
      <c r="P104" s="18">
        <v>7186761</v>
      </c>
      <c r="Q104" s="53">
        <v>1.619E-3</v>
      </c>
    </row>
    <row r="105" spans="16:17">
      <c r="P105" s="18">
        <v>7264038</v>
      </c>
      <c r="Q105" s="53">
        <v>4.2820000000000002E-3</v>
      </c>
    </row>
    <row r="106" spans="16:17">
      <c r="P106" s="18">
        <v>7341315</v>
      </c>
      <c r="Q106" s="53">
        <v>2.4090000000000001E-3</v>
      </c>
    </row>
    <row r="107" spans="16:17">
      <c r="P107" s="18">
        <v>7418592</v>
      </c>
      <c r="Q107" s="53">
        <v>3.7590000000000002E-3</v>
      </c>
    </row>
    <row r="108" spans="16:17">
      <c r="P108" s="18">
        <v>7495869</v>
      </c>
      <c r="Q108" s="53">
        <v>1.3090000000000001E-3</v>
      </c>
    </row>
    <row r="109" spans="16:17">
      <c r="P109" s="18">
        <v>7573146</v>
      </c>
      <c r="Q109" s="53">
        <v>2.055E-3</v>
      </c>
    </row>
    <row r="110" spans="16:17">
      <c r="P110" s="18">
        <v>7650423</v>
      </c>
      <c r="Q110" s="53">
        <v>1.3653999999999999E-2</v>
      </c>
    </row>
    <row r="111" spans="16:17">
      <c r="P111" s="18">
        <v>7727700</v>
      </c>
      <c r="Q111" s="53">
        <v>2.2550000000000001E-3</v>
      </c>
    </row>
    <row r="112" spans="16:17">
      <c r="P112" s="18">
        <v>7804977</v>
      </c>
      <c r="Q112" s="53">
        <v>3.8240000000000001E-3</v>
      </c>
    </row>
    <row r="113" spans="16:17">
      <c r="P113" s="18">
        <v>7882254</v>
      </c>
      <c r="Q113" s="53">
        <v>1.5070000000000001E-3</v>
      </c>
    </row>
    <row r="114" spans="16:17">
      <c r="P114" s="18">
        <v>7959531</v>
      </c>
      <c r="Q114" s="53">
        <v>3.5959999999999998E-3</v>
      </c>
    </row>
    <row r="115" spans="16:17">
      <c r="P115" s="18">
        <v>8036808</v>
      </c>
      <c r="Q115" s="53">
        <v>5.0200000000000002E-3</v>
      </c>
    </row>
    <row r="116" spans="16:17">
      <c r="P116" s="18">
        <v>8114085</v>
      </c>
      <c r="Q116" s="53">
        <v>3.3670000000000002E-3</v>
      </c>
    </row>
    <row r="117" spans="16:17">
      <c r="P117" s="18">
        <v>8191362</v>
      </c>
      <c r="Q117" s="53">
        <v>2.9729999999999999E-3</v>
      </c>
    </row>
    <row r="118" spans="16:17">
      <c r="P118" s="18">
        <v>8268639</v>
      </c>
      <c r="Q118" s="53">
        <v>1.748E-3</v>
      </c>
    </row>
    <row r="119" spans="16:17">
      <c r="P119" s="18">
        <v>8345916</v>
      </c>
      <c r="Q119" s="53">
        <v>4.6039999999999996E-3</v>
      </c>
    </row>
    <row r="120" spans="16:17">
      <c r="P120" s="18">
        <v>8423193</v>
      </c>
      <c r="Q120" s="53">
        <v>1.91E-3</v>
      </c>
    </row>
    <row r="121" spans="16:17">
      <c r="P121" s="18">
        <v>8500470</v>
      </c>
      <c r="Q121" s="53">
        <v>6.3559999999999997E-3</v>
      </c>
    </row>
    <row r="122" spans="16:17">
      <c r="P122" s="18">
        <v>8577747</v>
      </c>
      <c r="Q122" s="53">
        <v>2.3180000000000002E-3</v>
      </c>
    </row>
    <row r="123" spans="16:17">
      <c r="P123" s="18">
        <v>8655024</v>
      </c>
      <c r="Q123" s="53">
        <v>9.6199999999999996E-4</v>
      </c>
    </row>
    <row r="124" spans="16:17">
      <c r="P124" s="18">
        <v>8732301</v>
      </c>
      <c r="Q124" s="53">
        <v>1.825E-3</v>
      </c>
    </row>
    <row r="125" spans="16:17">
      <c r="P125" s="18">
        <v>8809578</v>
      </c>
      <c r="Q125" s="53">
        <v>7.1799999999999998E-3</v>
      </c>
    </row>
    <row r="126" spans="16:17">
      <c r="P126" s="18">
        <v>8886855</v>
      </c>
      <c r="Q126" s="53">
        <v>2.1879999999999998E-3</v>
      </c>
    </row>
    <row r="127" spans="16:17">
      <c r="P127" s="18">
        <v>8964132</v>
      </c>
      <c r="Q127" s="53">
        <v>5.4039999999999999E-3</v>
      </c>
    </row>
    <row r="128" spans="16:17">
      <c r="P128" s="18">
        <v>9041409</v>
      </c>
      <c r="Q128" s="53">
        <v>8.4099999999999995E-4</v>
      </c>
    </row>
    <row r="129" spans="16:17">
      <c r="P129" s="18">
        <v>9118686</v>
      </c>
      <c r="Q129" s="53">
        <v>1.4319999999999999E-3</v>
      </c>
    </row>
    <row r="130" spans="16:17">
      <c r="P130" s="18">
        <v>9195963</v>
      </c>
      <c r="Q130" s="53">
        <v>9.9059999999999999E-3</v>
      </c>
    </row>
    <row r="131" spans="16:17">
      <c r="P131" s="18">
        <v>9273240</v>
      </c>
      <c r="Q131" s="53">
        <v>1.601E-3</v>
      </c>
    </row>
    <row r="132" spans="16:17">
      <c r="P132" s="18">
        <v>9350517</v>
      </c>
      <c r="Q132" s="53">
        <v>1.9659999999999999E-3</v>
      </c>
    </row>
    <row r="133" spans="16:17">
      <c r="P133" s="18">
        <v>9427794</v>
      </c>
      <c r="Q133" s="53">
        <v>1.041E-3</v>
      </c>
    </row>
    <row r="134" spans="16:17">
      <c r="P134" s="18">
        <v>9505071</v>
      </c>
      <c r="Q134" s="53">
        <v>5.5469999999999998E-3</v>
      </c>
    </row>
    <row r="135" spans="16:17">
      <c r="P135" s="18">
        <v>9582348</v>
      </c>
      <c r="Q135" s="53">
        <v>2.8670000000000002E-3</v>
      </c>
    </row>
    <row r="136" spans="16:17">
      <c r="P136" s="18">
        <v>9659625</v>
      </c>
      <c r="Q136" s="53">
        <v>3.9050000000000001E-3</v>
      </c>
    </row>
    <row r="137" spans="16:17">
      <c r="P137" s="18">
        <v>9736902</v>
      </c>
      <c r="Q137" s="53">
        <v>2.8110000000000001E-3</v>
      </c>
    </row>
    <row r="138" spans="16:17">
      <c r="P138" s="18">
        <v>9814179</v>
      </c>
      <c r="Q138" s="53">
        <v>1.7229999999999999E-3</v>
      </c>
    </row>
    <row r="139" spans="16:17">
      <c r="P139" s="18">
        <v>9891456</v>
      </c>
      <c r="Q139" s="53">
        <v>4.7159999999999997E-3</v>
      </c>
    </row>
    <row r="140" spans="16:17">
      <c r="P140" s="18">
        <v>9968733</v>
      </c>
      <c r="Q140" s="53">
        <v>3.2299999999999998E-3</v>
      </c>
    </row>
    <row r="141" spans="16:17">
      <c r="P141" s="18">
        <v>10046010</v>
      </c>
      <c r="Q141" s="53">
        <v>3.2030000000000001E-3</v>
      </c>
    </row>
    <row r="142" spans="16:17">
      <c r="P142" s="18">
        <v>10123287</v>
      </c>
      <c r="Q142" s="53">
        <v>3.0130000000000001E-3</v>
      </c>
    </row>
    <row r="143" spans="16:17">
      <c r="P143" s="18">
        <v>10200564</v>
      </c>
      <c r="Q143" s="53">
        <v>1.5610000000000001E-3</v>
      </c>
    </row>
    <row r="144" spans="16:17">
      <c r="P144" s="18">
        <v>10277841</v>
      </c>
      <c r="Q144" s="53">
        <v>3.1589999999999999E-3</v>
      </c>
    </row>
    <row r="145" spans="16:17">
      <c r="P145" s="18">
        <v>10355118</v>
      </c>
      <c r="Q145" s="53">
        <v>4.2290000000000001E-3</v>
      </c>
    </row>
    <row r="146" spans="16:17">
      <c r="P146" s="18">
        <v>10432395</v>
      </c>
      <c r="Q146" s="53">
        <v>2.9359999999999998E-3</v>
      </c>
    </row>
    <row r="147" spans="16:17">
      <c r="P147" s="18">
        <v>10509672</v>
      </c>
      <c r="Q147" s="53">
        <v>2.317E-3</v>
      </c>
    </row>
    <row r="148" spans="16:17">
      <c r="P148" s="18">
        <v>10586949</v>
      </c>
      <c r="Q148" s="53">
        <v>1.379E-3</v>
      </c>
    </row>
    <row r="149" spans="16:17">
      <c r="P149" s="18">
        <v>10664226</v>
      </c>
      <c r="Q149" s="53">
        <v>3.5839999999999999E-3</v>
      </c>
    </row>
    <row r="150" spans="16:17">
      <c r="P150" s="18">
        <v>10741503</v>
      </c>
      <c r="Q150" s="53">
        <v>2.8760000000000001E-3</v>
      </c>
    </row>
    <row r="151" spans="16:17">
      <c r="P151" s="18">
        <v>10818780</v>
      </c>
      <c r="Q151" s="53">
        <v>3.601E-3</v>
      </c>
    </row>
    <row r="152" spans="16:17">
      <c r="P152" s="18">
        <v>10896057</v>
      </c>
      <c r="Q152" s="53">
        <v>2.0500000000000002E-3</v>
      </c>
    </row>
    <row r="153" spans="16:17">
      <c r="P153" s="18">
        <v>10973334</v>
      </c>
      <c r="Q153" s="53">
        <v>1.8879999999999999E-3</v>
      </c>
    </row>
    <row r="154" spans="16:17">
      <c r="P154" s="18">
        <v>11050611</v>
      </c>
      <c r="Q154" s="53">
        <v>2.784E-3</v>
      </c>
    </row>
    <row r="155" spans="16:17">
      <c r="P155" s="18">
        <v>11127888</v>
      </c>
      <c r="Q155" s="53">
        <v>2.0110000000000002E-3</v>
      </c>
    </row>
    <row r="156" spans="16:17">
      <c r="P156" s="18">
        <v>11205165</v>
      </c>
      <c r="Q156" s="53">
        <v>2.9020000000000001E-3</v>
      </c>
    </row>
    <row r="157" spans="16:17">
      <c r="P157" s="18">
        <v>11282442</v>
      </c>
      <c r="Q157" s="53">
        <v>2.3640000000000002E-3</v>
      </c>
    </row>
    <row r="158" spans="16:17">
      <c r="P158" s="18">
        <v>11359719</v>
      </c>
      <c r="Q158" s="53">
        <v>2.7390000000000001E-3</v>
      </c>
    </row>
    <row r="159" spans="16:17">
      <c r="P159" s="18">
        <v>11436996</v>
      </c>
      <c r="Q159" s="53">
        <v>1.0557E-2</v>
      </c>
    </row>
    <row r="160" spans="16:17">
      <c r="P160" s="18">
        <v>11514273</v>
      </c>
      <c r="Q160" s="53">
        <v>3.009E-3</v>
      </c>
    </row>
    <row r="161" spans="16:17">
      <c r="P161" s="18">
        <v>11591550</v>
      </c>
      <c r="Q161" s="53">
        <v>4.2079999999999999E-3</v>
      </c>
    </row>
    <row r="162" spans="16:17">
      <c r="P162" s="18">
        <v>11668827</v>
      </c>
      <c r="Q162" s="53">
        <v>2.4299999999999999E-3</v>
      </c>
    </row>
    <row r="163" spans="16:17">
      <c r="P163" s="18">
        <v>11746104</v>
      </c>
      <c r="Q163" s="53">
        <v>1.536E-3</v>
      </c>
    </row>
    <row r="164" spans="16:17">
      <c r="P164" s="18">
        <v>11823381</v>
      </c>
      <c r="Q164" s="53">
        <v>5.836E-3</v>
      </c>
    </row>
    <row r="165" spans="16:17">
      <c r="P165" s="18">
        <v>11900658</v>
      </c>
      <c r="Q165" s="53">
        <v>2.7759999999999998E-3</v>
      </c>
    </row>
    <row r="166" spans="16:17">
      <c r="P166" s="18">
        <v>11977935</v>
      </c>
      <c r="Q166" s="53">
        <v>3.8739999999999998E-3</v>
      </c>
    </row>
    <row r="167" spans="16:17">
      <c r="P167" s="18">
        <v>12055212</v>
      </c>
      <c r="Q167" s="53">
        <v>2.2699999999999999E-3</v>
      </c>
    </row>
    <row r="168" spans="16:17">
      <c r="P168" s="18">
        <v>12132489</v>
      </c>
      <c r="Q168" s="53">
        <v>1.3259999999999999E-3</v>
      </c>
    </row>
    <row r="169" spans="16:17">
      <c r="P169" s="18">
        <v>12209766</v>
      </c>
      <c r="Q169" s="53">
        <v>3.3809999999999999E-3</v>
      </c>
    </row>
    <row r="170" spans="16:17">
      <c r="P170" s="18">
        <v>12287043</v>
      </c>
      <c r="Q170" s="53">
        <v>3.4849999999999998E-3</v>
      </c>
    </row>
    <row r="171" spans="16:17">
      <c r="P171" s="18">
        <v>12364320</v>
      </c>
      <c r="Q171" s="53">
        <v>3.3270000000000001E-3</v>
      </c>
    </row>
    <row r="172" spans="16:17">
      <c r="P172" s="18">
        <v>12441597</v>
      </c>
      <c r="Q172" s="53">
        <v>1.8220000000000001E-3</v>
      </c>
    </row>
    <row r="173" spans="16:17">
      <c r="P173" s="18">
        <v>12518874</v>
      </c>
      <c r="Q173" s="53">
        <v>1.885E-3</v>
      </c>
    </row>
    <row r="174" spans="16:17">
      <c r="P174" s="18">
        <v>12596151</v>
      </c>
      <c r="Q174" s="53">
        <v>4.3540000000000002E-3</v>
      </c>
    </row>
    <row r="175" spans="16:17">
      <c r="P175" s="18">
        <v>12673428</v>
      </c>
      <c r="Q175" s="53">
        <v>2.441E-3</v>
      </c>
    </row>
    <row r="176" spans="16:17">
      <c r="P176" s="18">
        <v>12750705</v>
      </c>
      <c r="Q176" s="53">
        <v>2.8679999999999999E-3</v>
      </c>
    </row>
    <row r="177" spans="16:17">
      <c r="P177" s="18">
        <v>12827982</v>
      </c>
      <c r="Q177" s="53">
        <v>1.673E-3</v>
      </c>
    </row>
    <row r="178" spans="16:17">
      <c r="P178" s="18">
        <v>12905259</v>
      </c>
      <c r="Q178" s="53">
        <v>1.681E-3</v>
      </c>
    </row>
    <row r="179" spans="16:17">
      <c r="P179" s="18">
        <v>12982536</v>
      </c>
      <c r="Q179" s="53">
        <v>1.0406E-2</v>
      </c>
    </row>
    <row r="180" spans="16:17">
      <c r="P180" s="18">
        <v>13059813</v>
      </c>
      <c r="Q180" s="53">
        <v>2.0300000000000001E-3</v>
      </c>
    </row>
    <row r="181" spans="16:17">
      <c r="P181" s="18">
        <v>13137090</v>
      </c>
      <c r="Q181" s="53">
        <v>2.3670000000000002E-3</v>
      </c>
    </row>
    <row r="182" spans="16:17">
      <c r="P182" s="18">
        <v>13214367</v>
      </c>
      <c r="Q182" s="53">
        <v>1.714E-3</v>
      </c>
    </row>
    <row r="183" spans="16:17">
      <c r="P183" s="18">
        <v>13291644</v>
      </c>
      <c r="Q183" s="53">
        <v>2.1570000000000001E-3</v>
      </c>
    </row>
    <row r="184" spans="16:17">
      <c r="P184" s="18">
        <v>13368921</v>
      </c>
      <c r="Q184" s="53">
        <v>3.7850000000000002E-3</v>
      </c>
    </row>
    <row r="185" spans="16:17">
      <c r="P185" s="18">
        <v>13446198</v>
      </c>
      <c r="Q185" s="53">
        <v>3.297E-3</v>
      </c>
    </row>
    <row r="186" spans="16:17">
      <c r="P186" s="18">
        <v>13523475</v>
      </c>
      <c r="Q186" s="53">
        <v>2.016E-3</v>
      </c>
    </row>
    <row r="187" spans="16:17">
      <c r="P187" s="18">
        <v>13600752</v>
      </c>
      <c r="Q187" s="53">
        <v>1.614E-3</v>
      </c>
    </row>
    <row r="188" spans="16:17">
      <c r="P188" s="18">
        <v>13678029</v>
      </c>
      <c r="Q188" s="53">
        <v>1.8420000000000001E-3</v>
      </c>
    </row>
    <row r="189" spans="16:17">
      <c r="P189" s="18">
        <v>13755306</v>
      </c>
      <c r="Q189" s="53">
        <v>3.14E-3</v>
      </c>
    </row>
    <row r="190" spans="16:17">
      <c r="P190" s="18">
        <v>13832583</v>
      </c>
      <c r="Q190" s="53">
        <v>2.2880000000000001E-3</v>
      </c>
    </row>
    <row r="191" spans="16:17">
      <c r="P191" s="18">
        <v>13909860</v>
      </c>
      <c r="Q191" s="53">
        <v>2.99E-3</v>
      </c>
    </row>
    <row r="192" spans="16:17">
      <c r="P192" s="18">
        <v>13987137</v>
      </c>
      <c r="Q192" s="53">
        <v>1.5E-3</v>
      </c>
    </row>
    <row r="193" spans="16:17">
      <c r="P193" s="18">
        <v>14064414</v>
      </c>
      <c r="Q193" s="53">
        <v>1.9059999999999999E-3</v>
      </c>
    </row>
    <row r="194" spans="16:17">
      <c r="P194" s="18">
        <v>14141691</v>
      </c>
      <c r="Q194" s="53">
        <v>5.9930000000000001E-3</v>
      </c>
    </row>
    <row r="195" spans="16:17">
      <c r="P195" s="18">
        <v>14218968</v>
      </c>
      <c r="Q195" s="53">
        <v>1.949E-3</v>
      </c>
    </row>
    <row r="196" spans="16:17">
      <c r="P196" s="18">
        <v>14296245</v>
      </c>
      <c r="Q196" s="53">
        <v>2.8210000000000002E-3</v>
      </c>
    </row>
    <row r="197" spans="16:17">
      <c r="P197" s="18">
        <v>14373522</v>
      </c>
      <c r="Q197" s="53">
        <v>1.5399999999999999E-3</v>
      </c>
    </row>
    <row r="198" spans="16:17">
      <c r="P198" s="18">
        <v>14450799</v>
      </c>
      <c r="Q198" s="53">
        <v>2.5869999999999999E-3</v>
      </c>
    </row>
    <row r="199" spans="16:17">
      <c r="P199" s="18">
        <v>14528076</v>
      </c>
      <c r="Q199" s="53">
        <v>3.0000000000000001E-3</v>
      </c>
    </row>
    <row r="200" spans="16:17">
      <c r="P200" s="18">
        <v>14605353</v>
      </c>
      <c r="Q200" s="53">
        <v>2.6259999999999999E-3</v>
      </c>
    </row>
    <row r="201" spans="16:17">
      <c r="P201" s="18">
        <v>14682630</v>
      </c>
      <c r="Q201" s="53">
        <v>2.3679999999999999E-3</v>
      </c>
    </row>
    <row r="202" spans="16:17">
      <c r="P202" s="18">
        <v>14759907</v>
      </c>
      <c r="Q202" s="53">
        <v>1.709E-3</v>
      </c>
    </row>
    <row r="203" spans="16:17">
      <c r="P203" s="18">
        <v>14837184</v>
      </c>
      <c r="Q203" s="53">
        <v>2.728E-3</v>
      </c>
    </row>
    <row r="204" spans="16:17">
      <c r="P204" s="18">
        <v>14914461</v>
      </c>
      <c r="Q204" s="53">
        <v>1.8699999999999999E-3</v>
      </c>
    </row>
    <row r="205" spans="16:17">
      <c r="P205" s="18">
        <v>14991738</v>
      </c>
      <c r="Q205" s="53">
        <v>3.3319999999999999E-3</v>
      </c>
    </row>
    <row r="206" spans="16:17">
      <c r="P206" s="18">
        <v>15069015</v>
      </c>
      <c r="Q206" s="53">
        <v>2.1259999999999999E-3</v>
      </c>
    </row>
    <row r="207" spans="16:17">
      <c r="P207" s="18">
        <v>15146292</v>
      </c>
      <c r="Q207" s="53">
        <v>1.3159999999999999E-3</v>
      </c>
    </row>
    <row r="208" spans="16:17">
      <c r="P208" s="18">
        <v>15223569</v>
      </c>
      <c r="Q208" s="53">
        <v>1.825E-3</v>
      </c>
    </row>
    <row r="209" spans="16:17">
      <c r="P209" s="18">
        <v>15300846</v>
      </c>
      <c r="Q209" s="53">
        <v>3.4759999999999999E-3</v>
      </c>
    </row>
    <row r="210" spans="16:17">
      <c r="P210" s="18">
        <v>15378123</v>
      </c>
      <c r="Q210" s="53">
        <v>2.0019999999999999E-3</v>
      </c>
    </row>
    <row r="211" spans="16:17">
      <c r="P211" s="18">
        <v>15455400</v>
      </c>
      <c r="Q211" s="53">
        <v>2.7690000000000002E-3</v>
      </c>
    </row>
    <row r="212" spans="16:17">
      <c r="P212" s="18">
        <v>15532677</v>
      </c>
      <c r="Q212" s="53">
        <v>1.253E-3</v>
      </c>
    </row>
    <row r="213" spans="16:17">
      <c r="P213" s="18">
        <v>15609954</v>
      </c>
      <c r="Q213" s="53">
        <v>1.7110000000000001E-3</v>
      </c>
    </row>
    <row r="214" spans="16:17">
      <c r="P214" s="18">
        <v>15687231</v>
      </c>
      <c r="Q214" s="53">
        <v>3.8899999999999998E-3</v>
      </c>
    </row>
    <row r="215" spans="16:17">
      <c r="P215" s="18">
        <v>15764508</v>
      </c>
      <c r="Q215" s="53">
        <v>1.872E-3</v>
      </c>
    </row>
    <row r="216" spans="16:17">
      <c r="P216" s="18">
        <v>15841785</v>
      </c>
      <c r="Q216" s="53">
        <v>1.73E-3</v>
      </c>
    </row>
    <row r="217" spans="16:17">
      <c r="P217" s="18">
        <v>15919062</v>
      </c>
      <c r="Q217" s="53">
        <v>1.3749999999999999E-3</v>
      </c>
    </row>
    <row r="218" spans="16:17">
      <c r="P218" s="18">
        <v>15996339</v>
      </c>
      <c r="Q218" s="53">
        <v>2.6229999999999999E-3</v>
      </c>
    </row>
    <row r="219" spans="16:17">
      <c r="P219" s="18">
        <v>16073616</v>
      </c>
      <c r="Q219" s="53">
        <v>1.8779999999999999E-3</v>
      </c>
    </row>
    <row r="220" spans="16:17">
      <c r="P220" s="18">
        <v>16150893</v>
      </c>
      <c r="Q220" s="53">
        <v>2.4099999999999998E-3</v>
      </c>
    </row>
    <row r="221" spans="16:17">
      <c r="P221" s="18">
        <v>16228170</v>
      </c>
      <c r="Q221" s="53">
        <v>1.9070000000000001E-3</v>
      </c>
    </row>
    <row r="222" spans="16:17">
      <c r="P222" s="18">
        <v>16305447</v>
      </c>
      <c r="Q222" s="53">
        <v>1.6050000000000001E-3</v>
      </c>
    </row>
    <row r="223" spans="16:17">
      <c r="P223" s="18">
        <v>16382724</v>
      </c>
      <c r="Q223" s="53">
        <v>2.905E-3</v>
      </c>
    </row>
    <row r="224" spans="16:17">
      <c r="P224" s="18">
        <v>16460001</v>
      </c>
      <c r="Q224" s="53">
        <v>2.1549999999999998E-3</v>
      </c>
    </row>
    <row r="225" spans="16:17">
      <c r="P225" s="18">
        <v>16537278</v>
      </c>
      <c r="Q225" s="53">
        <v>2.2829999999999999E-3</v>
      </c>
    </row>
    <row r="226" spans="16:17">
      <c r="P226" s="18">
        <v>16614555</v>
      </c>
      <c r="Q226" s="53">
        <v>2.0309999999999998E-3</v>
      </c>
    </row>
    <row r="227" spans="16:17">
      <c r="P227" s="18">
        <v>16691832</v>
      </c>
      <c r="Q227" s="53">
        <v>1.4170000000000001E-3</v>
      </c>
    </row>
    <row r="228" spans="16:17">
      <c r="P228" s="18">
        <v>16769109</v>
      </c>
      <c r="Q228" s="53">
        <v>2.297E-3</v>
      </c>
    </row>
    <row r="229" spans="16:17">
      <c r="P229" s="18">
        <v>16846386</v>
      </c>
      <c r="Q229" s="53">
        <v>2.3800000000000002E-3</v>
      </c>
    </row>
    <row r="230" spans="16:17">
      <c r="P230" s="18">
        <v>16923663</v>
      </c>
      <c r="Q230" s="53">
        <v>2.1749999999999999E-3</v>
      </c>
    </row>
    <row r="231" spans="16:17">
      <c r="P231" s="18">
        <v>17000940</v>
      </c>
      <c r="Q231" s="53">
        <v>1.7390000000000001E-3</v>
      </c>
    </row>
    <row r="232" spans="16:17">
      <c r="P232" s="18">
        <v>17078217</v>
      </c>
      <c r="Q232" s="53">
        <v>1.2999999999999999E-3</v>
      </c>
    </row>
    <row r="233" spans="16:17">
      <c r="P233" s="18">
        <v>17155494</v>
      </c>
      <c r="Q233" s="53">
        <v>2.235E-3</v>
      </c>
    </row>
    <row r="234" spans="16:17">
      <c r="P234" s="18">
        <v>17232771</v>
      </c>
      <c r="Q234" s="53">
        <v>1.9759999999999999E-3</v>
      </c>
    </row>
    <row r="235" spans="16:17">
      <c r="P235" s="18">
        <v>17310048</v>
      </c>
      <c r="Q235" s="53">
        <v>2.2959999999999999E-3</v>
      </c>
    </row>
    <row r="236" spans="16:17">
      <c r="P236" s="18">
        <v>17387325</v>
      </c>
      <c r="Q236" s="53">
        <v>1.585E-3</v>
      </c>
    </row>
    <row r="237" spans="16:17">
      <c r="P237" s="18">
        <v>17464602</v>
      </c>
      <c r="Q237" s="53">
        <v>1.49E-3</v>
      </c>
    </row>
    <row r="238" spans="16:17">
      <c r="P238" s="18">
        <v>17541879</v>
      </c>
      <c r="Q238" s="53">
        <v>1.951E-3</v>
      </c>
    </row>
    <row r="239" spans="16:17">
      <c r="P239" s="18">
        <v>17619156</v>
      </c>
      <c r="Q239" s="53">
        <v>1.5989999999999999E-3</v>
      </c>
    </row>
    <row r="240" spans="16:17">
      <c r="P240" s="18">
        <v>17696433</v>
      </c>
      <c r="Q240" s="53">
        <v>1.9710000000000001E-3</v>
      </c>
    </row>
    <row r="241" spans="16:17">
      <c r="P241" s="18">
        <v>17773710</v>
      </c>
      <c r="Q241" s="53">
        <v>1.604E-3</v>
      </c>
    </row>
    <row r="242" spans="16:17">
      <c r="P242" s="18">
        <v>17850987</v>
      </c>
      <c r="Q242" s="53">
        <v>1.6080000000000001E-3</v>
      </c>
    </row>
    <row r="243" spans="16:17">
      <c r="P243" s="18">
        <v>17928264</v>
      </c>
      <c r="Q243" s="53">
        <v>3.7039999999999998E-3</v>
      </c>
    </row>
    <row r="244" spans="16:17">
      <c r="P244" s="18">
        <v>18005541</v>
      </c>
      <c r="Q244" s="53">
        <v>1.799E-3</v>
      </c>
    </row>
    <row r="245" spans="16:17">
      <c r="P245" s="18">
        <v>18082818</v>
      </c>
      <c r="Q245" s="53">
        <v>2.1299999999999999E-3</v>
      </c>
    </row>
    <row r="246" spans="16:17">
      <c r="P246" s="18">
        <v>18160095</v>
      </c>
      <c r="Q246" s="53">
        <v>1.5690000000000001E-3</v>
      </c>
    </row>
    <row r="247" spans="16:17">
      <c r="P247" s="18">
        <v>18237372</v>
      </c>
      <c r="Q247" s="53">
        <v>1.2780000000000001E-3</v>
      </c>
    </row>
    <row r="248" spans="16:17">
      <c r="P248" s="18">
        <v>18314649</v>
      </c>
      <c r="Q248" s="53">
        <v>2.4970000000000001E-3</v>
      </c>
    </row>
    <row r="249" spans="16:17">
      <c r="P249" s="18">
        <v>18391926</v>
      </c>
      <c r="Q249" s="53">
        <v>1.787E-3</v>
      </c>
    </row>
    <row r="250" spans="16:17">
      <c r="P250" s="18">
        <v>18469203</v>
      </c>
      <c r="Q250" s="53">
        <v>1.9819999999999998E-3</v>
      </c>
    </row>
    <row r="251" spans="16:17">
      <c r="P251" s="18">
        <v>18546480</v>
      </c>
      <c r="Q251" s="53">
        <v>1.4450000000000001E-3</v>
      </c>
    </row>
    <row r="252" spans="16:17">
      <c r="P252" s="18">
        <v>18623757</v>
      </c>
      <c r="Q252" s="53">
        <v>1.1800000000000001E-3</v>
      </c>
    </row>
    <row r="253" spans="16:17">
      <c r="P253" s="18">
        <v>18701034</v>
      </c>
      <c r="Q253" s="53">
        <v>1.864E-3</v>
      </c>
    </row>
    <row r="254" spans="16:17">
      <c r="P254" s="18">
        <v>18778311</v>
      </c>
      <c r="Q254" s="53">
        <v>1.8109999999999999E-3</v>
      </c>
    </row>
    <row r="255" spans="16:17">
      <c r="P255" s="18">
        <v>18855588</v>
      </c>
      <c r="Q255" s="53">
        <v>1.8730000000000001E-3</v>
      </c>
    </row>
    <row r="256" spans="16:17">
      <c r="P256" s="18">
        <v>18932865</v>
      </c>
      <c r="Q256" s="53">
        <v>1.2960000000000001E-3</v>
      </c>
    </row>
    <row r="257" spans="16:17">
      <c r="P257" s="18">
        <v>19010142</v>
      </c>
      <c r="Q257" s="53">
        <v>1.3420000000000001E-3</v>
      </c>
    </row>
    <row r="258" spans="16:17">
      <c r="P258" s="18">
        <v>19087419</v>
      </c>
      <c r="Q258" s="53">
        <v>2.2360000000000001E-3</v>
      </c>
    </row>
    <row r="259" spans="16:17">
      <c r="P259" s="18">
        <v>19164696</v>
      </c>
      <c r="Q259" s="53">
        <v>1.5269999999999999E-3</v>
      </c>
    </row>
    <row r="260" spans="16:17">
      <c r="P260" s="18">
        <v>19241973</v>
      </c>
      <c r="Q260" s="53">
        <v>1.779E-3</v>
      </c>
    </row>
    <row r="261" spans="16:17">
      <c r="P261" s="18">
        <v>19319250</v>
      </c>
      <c r="Q261" s="53">
        <v>1.238E-3</v>
      </c>
    </row>
    <row r="262" spans="16:17">
      <c r="P262" s="18">
        <v>19396527</v>
      </c>
      <c r="Q262" s="53">
        <v>1.2999999999999999E-3</v>
      </c>
    </row>
    <row r="263" spans="16:17">
      <c r="P263" s="18">
        <v>19473804</v>
      </c>
      <c r="Q263" s="53">
        <v>2.967E-3</v>
      </c>
    </row>
    <row r="264" spans="16:17">
      <c r="P264" s="18">
        <v>19551081</v>
      </c>
      <c r="Q264" s="53">
        <v>1.4450000000000001E-3</v>
      </c>
    </row>
    <row r="265" spans="16:17">
      <c r="P265" s="18">
        <v>19628358</v>
      </c>
      <c r="Q265" s="53">
        <v>1.5610000000000001E-3</v>
      </c>
    </row>
    <row r="266" spans="16:17">
      <c r="P266" s="18">
        <v>19705635</v>
      </c>
      <c r="Q266" s="53">
        <v>1.2409999999999999E-3</v>
      </c>
    </row>
    <row r="267" spans="16:17">
      <c r="P267" s="18">
        <v>19782912</v>
      </c>
      <c r="Q267" s="53">
        <v>1.382E-3</v>
      </c>
    </row>
    <row r="268" spans="16:17">
      <c r="P268" s="18">
        <v>19860189</v>
      </c>
      <c r="Q268" s="53">
        <v>1.678E-3</v>
      </c>
    </row>
    <row r="269" spans="16:17">
      <c r="P269" s="18">
        <v>19937466</v>
      </c>
      <c r="Q269" s="53">
        <v>1.7819999999999999E-3</v>
      </c>
    </row>
    <row r="270" spans="16:17">
      <c r="P270" s="18">
        <v>20014743</v>
      </c>
      <c r="Q270" s="53">
        <v>1.3780000000000001E-3</v>
      </c>
    </row>
    <row r="271" spans="16:17">
      <c r="P271" s="18">
        <v>20092020</v>
      </c>
      <c r="Q271" s="53">
        <v>1.1440000000000001E-3</v>
      </c>
    </row>
    <row r="272" spans="16:17">
      <c r="P272" s="18">
        <v>20169297</v>
      </c>
      <c r="Q272" s="53">
        <v>1.238E-3</v>
      </c>
    </row>
    <row r="273" spans="16:17">
      <c r="P273" s="18">
        <v>20246574</v>
      </c>
      <c r="Q273" s="53">
        <v>1.6379999999999999E-3</v>
      </c>
    </row>
    <row r="274" spans="16:17">
      <c r="P274" s="18">
        <v>20323851</v>
      </c>
      <c r="Q274" s="53">
        <v>1.3940000000000001E-3</v>
      </c>
    </row>
    <row r="275" spans="16:17">
      <c r="P275" s="18">
        <v>20401128</v>
      </c>
      <c r="Q275" s="53">
        <v>1.6019999999999999E-3</v>
      </c>
    </row>
    <row r="276" spans="16:17">
      <c r="P276" s="18">
        <v>20478405</v>
      </c>
      <c r="Q276" s="53">
        <v>1.062E-3</v>
      </c>
    </row>
    <row r="277" spans="16:17">
      <c r="P277" s="18">
        <v>20555682</v>
      </c>
      <c r="Q277" s="53">
        <v>1.2049999999999999E-3</v>
      </c>
    </row>
    <row r="278" spans="16:17">
      <c r="P278" s="18">
        <v>20632959</v>
      </c>
      <c r="Q278" s="53">
        <v>2.2409999999999999E-3</v>
      </c>
    </row>
    <row r="279" spans="16:17">
      <c r="P279" s="18">
        <v>20710236</v>
      </c>
      <c r="Q279" s="53">
        <v>1.224E-3</v>
      </c>
    </row>
    <row r="280" spans="16:17">
      <c r="P280" s="18">
        <v>20787513</v>
      </c>
      <c r="Q280" s="53">
        <v>1.48E-3</v>
      </c>
    </row>
    <row r="281" spans="16:17">
      <c r="P281" s="18">
        <v>20864790</v>
      </c>
      <c r="Q281" s="53">
        <v>1.052E-3</v>
      </c>
    </row>
    <row r="282" spans="16:17">
      <c r="P282" s="18">
        <v>20942067</v>
      </c>
      <c r="Q282" s="53">
        <v>1.354E-3</v>
      </c>
    </row>
    <row r="283" spans="16:17">
      <c r="P283" s="18">
        <v>21019344</v>
      </c>
      <c r="Q283" s="53">
        <v>1.446E-3</v>
      </c>
    </row>
    <row r="284" spans="16:17">
      <c r="P284" s="18">
        <v>21096621</v>
      </c>
      <c r="Q284" s="53">
        <v>1.423E-3</v>
      </c>
    </row>
    <row r="285" spans="16:17">
      <c r="P285" s="18">
        <v>21173898</v>
      </c>
      <c r="Q285" s="53">
        <v>1.3110000000000001E-3</v>
      </c>
    </row>
    <row r="286" spans="16:17">
      <c r="P286" s="18">
        <v>21251175</v>
      </c>
      <c r="Q286" s="53">
        <v>1.0889999999999999E-3</v>
      </c>
    </row>
    <row r="287" spans="16:17">
      <c r="P287" s="18">
        <v>21328452</v>
      </c>
      <c r="Q287" s="53">
        <v>1.377E-3</v>
      </c>
    </row>
    <row r="288" spans="16:17">
      <c r="P288" s="18">
        <v>21405729</v>
      </c>
      <c r="Q288" s="53">
        <v>1.1609999999999999E-3</v>
      </c>
    </row>
    <row r="289" spans="16:17">
      <c r="P289" s="18">
        <v>21483006</v>
      </c>
      <c r="Q289" s="53">
        <v>1.5349999999999999E-3</v>
      </c>
    </row>
    <row r="290" spans="16:17">
      <c r="P290" s="18">
        <v>21560283</v>
      </c>
      <c r="Q290" s="53">
        <v>1.243E-3</v>
      </c>
    </row>
    <row r="291" spans="16:17">
      <c r="P291" s="18">
        <v>21637560</v>
      </c>
      <c r="Q291" s="53">
        <v>9.4300000000000004E-4</v>
      </c>
    </row>
    <row r="292" spans="16:17">
      <c r="P292" s="18">
        <v>21714837</v>
      </c>
      <c r="Q292" s="53">
        <v>1.1429999999999999E-3</v>
      </c>
    </row>
    <row r="293" spans="16:17">
      <c r="P293" s="18">
        <v>21792114</v>
      </c>
      <c r="Q293" s="53">
        <v>1.516E-3</v>
      </c>
    </row>
    <row r="294" spans="16:17">
      <c r="P294" s="18">
        <v>21869391</v>
      </c>
      <c r="Q294" s="53">
        <v>1.1980000000000001E-3</v>
      </c>
    </row>
    <row r="295" spans="16:17">
      <c r="P295" s="18">
        <v>21946668</v>
      </c>
      <c r="Q295" s="53">
        <v>1.3159999999999999E-3</v>
      </c>
    </row>
    <row r="296" spans="16:17">
      <c r="P296" s="18">
        <v>22023945</v>
      </c>
      <c r="Q296" s="53">
        <v>9.01E-4</v>
      </c>
    </row>
    <row r="297" spans="16:17">
      <c r="P297" s="18">
        <v>22101222</v>
      </c>
      <c r="Q297" s="53">
        <v>1.0920000000000001E-3</v>
      </c>
    </row>
    <row r="298" spans="16:17">
      <c r="P298" s="18">
        <v>22178499</v>
      </c>
      <c r="Q298" s="53">
        <v>1.5150000000000001E-3</v>
      </c>
    </row>
    <row r="299" spans="16:17">
      <c r="P299" s="18">
        <v>22255776</v>
      </c>
      <c r="Q299" s="53">
        <v>1.1670000000000001E-3</v>
      </c>
    </row>
    <row r="300" spans="16:17">
      <c r="P300" s="18">
        <v>22333053</v>
      </c>
      <c r="Q300" s="53">
        <v>1.047E-3</v>
      </c>
    </row>
    <row r="301" spans="16:17">
      <c r="P301" s="18">
        <v>22410330</v>
      </c>
      <c r="Q301" s="53">
        <v>9.3300000000000002E-4</v>
      </c>
    </row>
    <row r="302" spans="16:17">
      <c r="P302" s="18">
        <v>22487607</v>
      </c>
      <c r="Q302" s="53">
        <v>1.2130000000000001E-3</v>
      </c>
    </row>
    <row r="303" spans="16:17">
      <c r="P303" s="18">
        <v>22564884</v>
      </c>
      <c r="Q303" s="53">
        <v>1.0349999999999999E-3</v>
      </c>
    </row>
    <row r="304" spans="16:17">
      <c r="P304" s="18">
        <v>22642161</v>
      </c>
      <c r="Q304" s="53">
        <v>1.23E-3</v>
      </c>
    </row>
    <row r="305" spans="16:17">
      <c r="P305" s="18">
        <v>22719438</v>
      </c>
      <c r="Q305" s="53">
        <v>1.0460000000000001E-3</v>
      </c>
    </row>
    <row r="306" spans="16:17">
      <c r="P306" s="18">
        <v>22796715</v>
      </c>
      <c r="Q306" s="53">
        <v>9.5699999999999995E-4</v>
      </c>
    </row>
    <row r="307" spans="16:17">
      <c r="P307" s="18">
        <v>22873992</v>
      </c>
      <c r="Q307" s="53">
        <v>1.323E-3</v>
      </c>
    </row>
    <row r="308" spans="16:17">
      <c r="P308" s="18">
        <v>22951269</v>
      </c>
      <c r="Q308" s="53">
        <v>1.108E-3</v>
      </c>
    </row>
    <row r="309" spans="16:17">
      <c r="P309" s="18">
        <v>23028546</v>
      </c>
      <c r="Q309" s="53">
        <v>1.165E-3</v>
      </c>
    </row>
    <row r="310" spans="16:17">
      <c r="P310" s="18">
        <v>23105823</v>
      </c>
      <c r="Q310" s="53">
        <v>1.0629999999999999E-3</v>
      </c>
    </row>
    <row r="311" spans="16:17">
      <c r="P311" s="18">
        <v>23183100</v>
      </c>
      <c r="Q311" s="53">
        <v>8.6399999999999997E-4</v>
      </c>
    </row>
    <row r="312" spans="16:17">
      <c r="P312" s="18">
        <v>23260377</v>
      </c>
      <c r="Q312" s="53">
        <v>1.145E-3</v>
      </c>
    </row>
    <row r="313" spans="16:17">
      <c r="P313" s="18">
        <v>23337654</v>
      </c>
      <c r="Q313" s="53">
        <v>1.1299999999999999E-3</v>
      </c>
    </row>
    <row r="314" spans="16:17">
      <c r="P314" s="18">
        <v>23414931</v>
      </c>
      <c r="Q314" s="53">
        <v>1.109E-3</v>
      </c>
    </row>
    <row r="315" spans="16:17">
      <c r="P315" s="18">
        <v>23492208</v>
      </c>
      <c r="Q315" s="53">
        <v>9.5100000000000002E-4</v>
      </c>
    </row>
    <row r="316" spans="16:17">
      <c r="P316" s="18">
        <v>23569485</v>
      </c>
      <c r="Q316" s="53">
        <v>8.0800000000000002E-4</v>
      </c>
    </row>
    <row r="317" spans="16:17">
      <c r="P317" s="18">
        <v>23646762</v>
      </c>
      <c r="Q317" s="53">
        <v>1.08E-3</v>
      </c>
    </row>
    <row r="318" spans="16:17">
      <c r="P318" s="18">
        <v>23724039</v>
      </c>
      <c r="Q318" s="53">
        <v>1.0020000000000001E-3</v>
      </c>
    </row>
    <row r="319" spans="16:17">
      <c r="P319" s="18">
        <v>23801316</v>
      </c>
      <c r="Q319" s="53">
        <v>1.1130000000000001E-3</v>
      </c>
    </row>
    <row r="320" spans="16:17">
      <c r="P320" s="18">
        <v>23878593</v>
      </c>
      <c r="Q320" s="53">
        <v>8.8000000000000003E-4</v>
      </c>
    </row>
    <row r="321" spans="16:17">
      <c r="P321" s="18">
        <v>23955870</v>
      </c>
      <c r="Q321" s="53">
        <v>8.4699999999999999E-4</v>
      </c>
    </row>
    <row r="322" spans="16:17">
      <c r="P322" s="18">
        <v>24033147</v>
      </c>
      <c r="Q322" s="53">
        <v>1.0039999999999999E-3</v>
      </c>
    </row>
    <row r="323" spans="16:17">
      <c r="P323" s="18">
        <v>24110424</v>
      </c>
      <c r="Q323" s="53">
        <v>8.8599999999999996E-4</v>
      </c>
    </row>
    <row r="324" spans="16:17">
      <c r="P324" s="18">
        <v>24187701</v>
      </c>
      <c r="Q324" s="53">
        <v>1.011E-3</v>
      </c>
    </row>
    <row r="325" spans="16:17">
      <c r="P325" s="18">
        <v>24264978</v>
      </c>
      <c r="Q325" s="53">
        <v>8.5999999999999998E-4</v>
      </c>
    </row>
    <row r="326" spans="16:17">
      <c r="P326" s="18">
        <v>24342255</v>
      </c>
      <c r="Q326" s="53">
        <v>8.3699999999999996E-4</v>
      </c>
    </row>
    <row r="327" spans="16:17">
      <c r="P327" s="18">
        <v>24419532</v>
      </c>
      <c r="Q327" s="53">
        <v>1.2819999999999999E-3</v>
      </c>
    </row>
    <row r="328" spans="16:17">
      <c r="P328" s="18">
        <v>24496809</v>
      </c>
      <c r="Q328" s="53">
        <v>9.0600000000000001E-4</v>
      </c>
    </row>
    <row r="329" spans="16:17">
      <c r="P329" s="18">
        <v>24574086</v>
      </c>
      <c r="Q329" s="53">
        <v>9.859999999999999E-4</v>
      </c>
    </row>
    <row r="330" spans="16:17">
      <c r="P330" s="18">
        <v>24651363</v>
      </c>
      <c r="Q330" s="53">
        <v>8.2799999999999996E-4</v>
      </c>
    </row>
    <row r="331" spans="16:17">
      <c r="P331" s="18">
        <v>24728640</v>
      </c>
      <c r="Q331" s="53">
        <v>7.5199999999999996E-4</v>
      </c>
    </row>
    <row r="332" spans="16:17">
      <c r="P332" s="18">
        <v>24805917</v>
      </c>
      <c r="Q332" s="53">
        <v>1.0169999999999999E-3</v>
      </c>
    </row>
    <row r="333" spans="16:17">
      <c r="P333" s="18">
        <v>24883194</v>
      </c>
      <c r="Q333" s="53">
        <v>9.0200000000000002E-4</v>
      </c>
    </row>
    <row r="334" spans="16:17">
      <c r="P334" s="18">
        <v>24960471</v>
      </c>
      <c r="Q334" s="53">
        <v>9.2100000000000005E-4</v>
      </c>
    </row>
    <row r="335" spans="16:17">
      <c r="P335" s="18">
        <v>25037748</v>
      </c>
      <c r="Q335" s="53">
        <v>7.67E-4</v>
      </c>
    </row>
    <row r="336" spans="16:17">
      <c r="P336" s="18">
        <v>25115025</v>
      </c>
      <c r="Q336" s="53">
        <v>7.0799999999999997E-4</v>
      </c>
    </row>
    <row r="337" spans="16:17">
      <c r="P337" s="18">
        <v>25192302</v>
      </c>
      <c r="Q337" s="53">
        <v>8.7600000000000004E-4</v>
      </c>
    </row>
    <row r="338" spans="16:17">
      <c r="P338" s="18">
        <v>25269579</v>
      </c>
      <c r="Q338" s="53">
        <v>8.5099999999999998E-4</v>
      </c>
    </row>
    <row r="339" spans="16:17">
      <c r="P339" s="18">
        <v>25346856</v>
      </c>
      <c r="Q339" s="53">
        <v>8.8800000000000001E-4</v>
      </c>
    </row>
    <row r="340" spans="16:17">
      <c r="P340" s="18">
        <v>25424133</v>
      </c>
      <c r="Q340" s="53">
        <v>7.1199999999999996E-4</v>
      </c>
    </row>
    <row r="341" spans="16:17">
      <c r="P341" s="18">
        <v>25501410</v>
      </c>
      <c r="Q341" s="53">
        <v>7.2499999999999995E-4</v>
      </c>
    </row>
    <row r="342" spans="16:17">
      <c r="P342" s="18">
        <v>25578687</v>
      </c>
      <c r="Q342" s="53">
        <v>9.59E-4</v>
      </c>
    </row>
    <row r="343" spans="16:17">
      <c r="P343" s="18">
        <v>25655964</v>
      </c>
      <c r="Q343" s="53">
        <v>7.67E-4</v>
      </c>
    </row>
    <row r="344" spans="16:17">
      <c r="P344" s="18">
        <v>25733241</v>
      </c>
      <c r="Q344" s="53">
        <v>8.5400000000000005E-4</v>
      </c>
    </row>
    <row r="345" spans="16:17">
      <c r="P345" s="18">
        <v>25810518</v>
      </c>
      <c r="Q345" s="53">
        <v>6.8000000000000005E-4</v>
      </c>
    </row>
    <row r="346" spans="16:17">
      <c r="P346" s="18">
        <v>25887795</v>
      </c>
      <c r="Q346" s="53">
        <v>7.0100000000000002E-4</v>
      </c>
    </row>
    <row r="347" spans="16:17">
      <c r="P347" s="18">
        <v>25965072</v>
      </c>
      <c r="Q347" s="53">
        <v>9.8700000000000003E-4</v>
      </c>
    </row>
    <row r="348" spans="16:17">
      <c r="P348" s="18">
        <v>26042349</v>
      </c>
      <c r="Q348" s="53">
        <v>7.4600000000000003E-4</v>
      </c>
    </row>
    <row r="349" spans="16:17">
      <c r="P349" s="18">
        <v>26119626</v>
      </c>
      <c r="Q349" s="53">
        <v>7.7399999999999995E-4</v>
      </c>
    </row>
    <row r="350" spans="16:17">
      <c r="P350" s="18">
        <v>26196903</v>
      </c>
      <c r="Q350" s="53">
        <v>6.6600000000000003E-4</v>
      </c>
    </row>
    <row r="351" spans="16:17">
      <c r="P351" s="18">
        <v>26274180</v>
      </c>
      <c r="Q351" s="53">
        <v>6.9899999999999997E-4</v>
      </c>
    </row>
    <row r="352" spans="16:17">
      <c r="P352" s="18">
        <v>26351457</v>
      </c>
      <c r="Q352" s="53">
        <v>7.4200000000000004E-4</v>
      </c>
    </row>
    <row r="353" spans="16:17">
      <c r="P353" s="18">
        <v>26428734</v>
      </c>
      <c r="Q353" s="53">
        <v>8.03E-4</v>
      </c>
    </row>
    <row r="354" spans="16:17">
      <c r="P354" s="18">
        <v>26506011</v>
      </c>
      <c r="Q354" s="53">
        <v>7.0600000000000003E-4</v>
      </c>
    </row>
    <row r="355" spans="16:17">
      <c r="P355" s="18">
        <v>26583288</v>
      </c>
      <c r="Q355" s="53">
        <v>6.1700000000000004E-4</v>
      </c>
    </row>
    <row r="356" spans="16:17">
      <c r="P356" s="18">
        <v>26660565</v>
      </c>
      <c r="Q356" s="53">
        <v>6.4700000000000001E-4</v>
      </c>
    </row>
    <row r="357" spans="16:17">
      <c r="P357" s="18">
        <v>26737842</v>
      </c>
      <c r="Q357" s="53">
        <v>7.3999999999999999E-4</v>
      </c>
    </row>
    <row r="358" spans="16:17">
      <c r="P358" s="18">
        <v>26815119</v>
      </c>
      <c r="Q358" s="53">
        <v>6.87E-4</v>
      </c>
    </row>
    <row r="359" spans="16:17">
      <c r="P359" s="18">
        <v>26892396</v>
      </c>
      <c r="Q359" s="53">
        <v>7.3300000000000004E-4</v>
      </c>
    </row>
    <row r="360" spans="16:17">
      <c r="P360" s="18">
        <v>26969673</v>
      </c>
      <c r="Q360" s="53">
        <v>5.7899999999999998E-4</v>
      </c>
    </row>
    <row r="361" spans="16:17">
      <c r="P361" s="18">
        <v>27046950</v>
      </c>
      <c r="Q361" s="53">
        <v>6.1899999999999998E-4</v>
      </c>
    </row>
    <row r="362" spans="16:17">
      <c r="P362" s="18">
        <v>27124227</v>
      </c>
      <c r="Q362" s="53">
        <v>8.3000000000000001E-4</v>
      </c>
    </row>
    <row r="363" spans="16:17">
      <c r="P363" s="18">
        <v>27201504</v>
      </c>
      <c r="Q363" s="53">
        <v>6.2699999999999995E-4</v>
      </c>
    </row>
    <row r="364" spans="16:17">
      <c r="P364" s="18">
        <v>27278781</v>
      </c>
      <c r="Q364" s="53">
        <v>6.7699999999999998E-4</v>
      </c>
    </row>
    <row r="365" spans="16:17">
      <c r="P365" s="18">
        <v>27356058</v>
      </c>
      <c r="Q365" s="53">
        <v>5.6400000000000005E-4</v>
      </c>
    </row>
    <row r="366" spans="16:17">
      <c r="P366" s="18">
        <v>27433335</v>
      </c>
      <c r="Q366" s="53">
        <v>6.2799999999999998E-4</v>
      </c>
    </row>
    <row r="367" spans="16:17">
      <c r="P367" s="18">
        <v>27510612</v>
      </c>
      <c r="Q367" s="53">
        <v>6.4199999999999999E-4</v>
      </c>
    </row>
    <row r="368" spans="16:17">
      <c r="P368" s="18">
        <v>27587889</v>
      </c>
      <c r="Q368" s="53">
        <v>6.5899999999999997E-4</v>
      </c>
    </row>
    <row r="369" spans="16:17">
      <c r="P369" s="18">
        <v>27665166</v>
      </c>
      <c r="Q369" s="53">
        <v>6.1899999999999998E-4</v>
      </c>
    </row>
    <row r="370" spans="16:17">
      <c r="P370" s="18">
        <v>27742443</v>
      </c>
      <c r="Q370" s="53">
        <v>5.5699999999999999E-4</v>
      </c>
    </row>
    <row r="371" spans="16:17">
      <c r="P371" s="18">
        <v>27819720</v>
      </c>
      <c r="Q371" s="53">
        <v>6.2299999999999996E-4</v>
      </c>
    </row>
    <row r="372" spans="16:17">
      <c r="P372" s="18">
        <v>27896997</v>
      </c>
      <c r="Q372" s="53">
        <v>5.7600000000000001E-4</v>
      </c>
    </row>
    <row r="373" spans="16:17">
      <c r="P373" s="18">
        <v>27974274</v>
      </c>
      <c r="Q373" s="53">
        <v>6.5799999999999995E-4</v>
      </c>
    </row>
    <row r="374" spans="16:17">
      <c r="P374" s="18">
        <v>28051551</v>
      </c>
      <c r="Q374" s="53">
        <v>5.9400000000000002E-4</v>
      </c>
    </row>
    <row r="375" spans="16:17">
      <c r="P375" s="18">
        <v>28128828</v>
      </c>
      <c r="Q375" s="53">
        <v>5.0600000000000005E-4</v>
      </c>
    </row>
    <row r="376" spans="16:17">
      <c r="P376" s="18">
        <v>28206105</v>
      </c>
      <c r="Q376" s="53">
        <v>5.6300000000000002E-4</v>
      </c>
    </row>
    <row r="377" spans="16:17">
      <c r="P377" s="18">
        <v>28283382</v>
      </c>
      <c r="Q377" s="53">
        <v>6.3100000000000005E-4</v>
      </c>
    </row>
    <row r="378" spans="16:17">
      <c r="P378" s="18">
        <v>28360659</v>
      </c>
      <c r="Q378" s="53">
        <v>5.7399999999999997E-4</v>
      </c>
    </row>
    <row r="379" spans="16:17">
      <c r="P379" s="18">
        <v>28437936</v>
      </c>
      <c r="Q379" s="53">
        <v>5.8299999999999997E-4</v>
      </c>
    </row>
    <row r="380" spans="16:17">
      <c r="P380" s="18">
        <v>28515213</v>
      </c>
      <c r="Q380" s="53">
        <v>4.8099999999999998E-4</v>
      </c>
    </row>
    <row r="381" spans="16:17">
      <c r="P381" s="18">
        <v>28592490</v>
      </c>
      <c r="Q381" s="53">
        <v>5.3600000000000002E-4</v>
      </c>
    </row>
    <row r="382" spans="16:17">
      <c r="P382" s="18">
        <v>28669767</v>
      </c>
      <c r="Q382" s="53">
        <v>6.02E-4</v>
      </c>
    </row>
    <row r="383" spans="16:17">
      <c r="P383" s="18">
        <v>28747044</v>
      </c>
      <c r="Q383" s="53">
        <v>5.5999999999999995E-4</v>
      </c>
    </row>
    <row r="384" spans="16:17">
      <c r="P384" s="18">
        <v>28824321</v>
      </c>
      <c r="Q384" s="53">
        <v>5.1199999999999998E-4</v>
      </c>
    </row>
    <row r="385" spans="16:17">
      <c r="P385" s="18">
        <v>28901598</v>
      </c>
      <c r="Q385" s="53">
        <v>4.8000000000000001E-4</v>
      </c>
    </row>
    <row r="386" spans="16:17">
      <c r="P386" s="18">
        <v>28978875</v>
      </c>
      <c r="Q386" s="53">
        <v>5.3499999999999999E-4</v>
      </c>
    </row>
    <row r="387" spans="16:17">
      <c r="P387" s="18">
        <v>29056152</v>
      </c>
      <c r="Q387" s="53">
        <v>4.9299999999999995E-4</v>
      </c>
    </row>
    <row r="388" spans="16:17">
      <c r="P388" s="18">
        <v>29133429</v>
      </c>
      <c r="Q388" s="53">
        <v>5.5099999999999995E-4</v>
      </c>
    </row>
    <row r="389" spans="16:17">
      <c r="P389" s="18">
        <v>29210706</v>
      </c>
      <c r="Q389" s="53">
        <v>4.9399999999999997E-4</v>
      </c>
    </row>
    <row r="390" spans="16:17">
      <c r="P390" s="18">
        <v>29287983</v>
      </c>
      <c r="Q390" s="53">
        <v>4.6700000000000002E-4</v>
      </c>
    </row>
    <row r="391" spans="16:17">
      <c r="P391" s="18">
        <v>29365260</v>
      </c>
      <c r="Q391" s="53">
        <v>5.4799999999999998E-4</v>
      </c>
    </row>
    <row r="392" spans="16:17">
      <c r="P392" s="18">
        <v>29442537</v>
      </c>
      <c r="Q392" s="53">
        <v>5.0000000000000001E-4</v>
      </c>
    </row>
    <row r="393" spans="16:17">
      <c r="P393" s="18">
        <v>29519814</v>
      </c>
      <c r="Q393" s="53">
        <v>5.1699999999999999E-4</v>
      </c>
    </row>
    <row r="394" spans="16:17">
      <c r="P394" s="18">
        <v>29597091</v>
      </c>
      <c r="Q394" s="53">
        <v>4.8500000000000003E-4</v>
      </c>
    </row>
    <row r="395" spans="16:17">
      <c r="P395" s="18">
        <v>29674368</v>
      </c>
      <c r="Q395" s="53">
        <v>4.3100000000000001E-4</v>
      </c>
    </row>
    <row r="396" spans="16:17">
      <c r="P396" s="18">
        <v>29751645</v>
      </c>
      <c r="Q396" s="53">
        <v>4.9799999999999996E-4</v>
      </c>
    </row>
    <row r="397" spans="16:17">
      <c r="P397" s="18">
        <v>29828922</v>
      </c>
      <c r="Q397" s="53">
        <v>4.9100000000000001E-4</v>
      </c>
    </row>
    <row r="398" spans="16:17">
      <c r="P398" s="18">
        <v>29906199</v>
      </c>
      <c r="Q398" s="53">
        <v>4.8999999999999998E-4</v>
      </c>
    </row>
    <row r="399" spans="16:17">
      <c r="P399" s="18">
        <v>29983476</v>
      </c>
      <c r="Q399" s="53">
        <v>4.4499999999999997E-4</v>
      </c>
    </row>
    <row r="400" spans="16:17">
      <c r="P400" s="18">
        <v>30060753</v>
      </c>
      <c r="Q400" s="53">
        <v>4.0700000000000003E-4</v>
      </c>
    </row>
    <row r="401" spans="16:17">
      <c r="P401" s="18">
        <v>30138030</v>
      </c>
      <c r="Q401" s="53">
        <v>4.6799999999999999E-4</v>
      </c>
    </row>
    <row r="402" spans="16:17">
      <c r="P402" s="18">
        <v>30215307</v>
      </c>
      <c r="Q402" s="53">
        <v>4.4799999999999999E-4</v>
      </c>
    </row>
    <row r="403" spans="16:17">
      <c r="P403" s="18">
        <v>30292584</v>
      </c>
      <c r="Q403" s="53">
        <v>4.7899999999999999E-4</v>
      </c>
    </row>
    <row r="404" spans="16:17">
      <c r="P404" s="18">
        <v>30369861</v>
      </c>
      <c r="Q404" s="53">
        <v>4.15E-4</v>
      </c>
    </row>
    <row r="405" spans="16:17">
      <c r="P405" s="18">
        <v>30447138</v>
      </c>
      <c r="Q405" s="53">
        <v>4.0499999999999998E-4</v>
      </c>
    </row>
    <row r="406" spans="16:17">
      <c r="P406" s="18">
        <v>30524415</v>
      </c>
      <c r="Q406" s="53">
        <v>4.4499999999999997E-4</v>
      </c>
    </row>
    <row r="407" spans="16:17">
      <c r="P407" s="18">
        <v>30601692</v>
      </c>
      <c r="Q407" s="53">
        <v>4.1199999999999999E-4</v>
      </c>
    </row>
    <row r="408" spans="16:17">
      <c r="P408" s="18">
        <v>30678969</v>
      </c>
      <c r="Q408" s="53">
        <v>4.4700000000000002E-4</v>
      </c>
    </row>
    <row r="409" spans="16:17">
      <c r="P409" s="18">
        <v>30756246</v>
      </c>
      <c r="Q409" s="53">
        <v>3.9899999999999999E-4</v>
      </c>
    </row>
    <row r="410" spans="16:17">
      <c r="P410" s="18">
        <v>30833523</v>
      </c>
      <c r="Q410" s="53">
        <v>3.8900000000000002E-4</v>
      </c>
    </row>
    <row r="411" spans="16:17">
      <c r="P411" s="18">
        <v>30910800</v>
      </c>
      <c r="Q411" s="53">
        <v>4.6999999999999999E-4</v>
      </c>
    </row>
    <row r="412" spans="16:17">
      <c r="P412" s="18">
        <v>30988077</v>
      </c>
      <c r="Q412" s="53">
        <v>4.0499999999999998E-4</v>
      </c>
    </row>
    <row r="413" spans="16:17">
      <c r="P413" s="18">
        <v>31065354</v>
      </c>
      <c r="Q413" s="53">
        <v>4.2299999999999998E-4</v>
      </c>
    </row>
    <row r="414" spans="16:17">
      <c r="P414" s="18">
        <v>31142631</v>
      </c>
      <c r="Q414" s="53">
        <v>3.8099999999999999E-4</v>
      </c>
    </row>
    <row r="415" spans="16:17">
      <c r="P415" s="18">
        <v>31219908</v>
      </c>
      <c r="Q415" s="53">
        <v>3.6299999999999999E-4</v>
      </c>
    </row>
    <row r="416" spans="16:17">
      <c r="P416" s="18">
        <v>31297185</v>
      </c>
      <c r="Q416" s="53">
        <v>4.0999999999999999E-4</v>
      </c>
    </row>
    <row r="417" spans="16:17">
      <c r="P417" s="18">
        <v>31374462</v>
      </c>
      <c r="Q417" s="53">
        <v>3.97E-4</v>
      </c>
    </row>
    <row r="418" spans="16:17">
      <c r="P418" s="18">
        <v>31451739</v>
      </c>
      <c r="Q418" s="53">
        <v>3.9599999999999998E-4</v>
      </c>
    </row>
    <row r="419" spans="16:17">
      <c r="P419" s="18">
        <v>31529016</v>
      </c>
      <c r="Q419" s="53">
        <v>3.5599999999999998E-4</v>
      </c>
    </row>
    <row r="420" spans="16:17">
      <c r="P420" s="18">
        <v>31606293</v>
      </c>
      <c r="Q420" s="53">
        <v>3.4299999999999999E-4</v>
      </c>
    </row>
    <row r="421" spans="16:17">
      <c r="P421" s="18">
        <v>31683570</v>
      </c>
      <c r="Q421" s="53">
        <v>3.7599999999999998E-4</v>
      </c>
    </row>
    <row r="422" spans="16:17">
      <c r="P422" s="18">
        <v>31760847</v>
      </c>
      <c r="Q422" s="53">
        <v>3.6900000000000002E-4</v>
      </c>
    </row>
    <row r="423" spans="16:17">
      <c r="P423" s="18">
        <v>31838124</v>
      </c>
      <c r="Q423" s="53">
        <v>3.8099999999999999E-4</v>
      </c>
    </row>
    <row r="424" spans="16:17">
      <c r="P424" s="18">
        <v>31915401</v>
      </c>
      <c r="Q424" s="53">
        <v>3.3399999999999999E-4</v>
      </c>
    </row>
    <row r="425" spans="16:17">
      <c r="P425" s="18">
        <v>31992678</v>
      </c>
      <c r="Q425" s="53">
        <v>3.3599999999999998E-4</v>
      </c>
    </row>
    <row r="426" spans="16:17">
      <c r="P426" s="18">
        <v>32069955</v>
      </c>
      <c r="Q426" s="53">
        <v>3.8400000000000001E-4</v>
      </c>
    </row>
    <row r="427" spans="16:17">
      <c r="P427" s="18">
        <v>32147232</v>
      </c>
      <c r="Q427" s="53">
        <v>3.4200000000000002E-4</v>
      </c>
    </row>
    <row r="428" spans="16:17">
      <c r="P428" s="18">
        <v>32224509</v>
      </c>
      <c r="Q428" s="53">
        <v>3.6299999999999999E-4</v>
      </c>
    </row>
    <row r="429" spans="16:17">
      <c r="P429" s="18">
        <v>32301786</v>
      </c>
      <c r="Q429" s="53">
        <v>3.1799999999999998E-4</v>
      </c>
    </row>
    <row r="430" spans="16:17">
      <c r="P430" s="18">
        <v>32379063</v>
      </c>
      <c r="Q430" s="53">
        <v>3.21E-4</v>
      </c>
    </row>
    <row r="431" spans="16:17">
      <c r="P431" s="18">
        <v>32456340</v>
      </c>
      <c r="Q431" s="53">
        <v>3.6499999999999998E-4</v>
      </c>
    </row>
    <row r="432" spans="16:17">
      <c r="P432" s="18">
        <v>32533617</v>
      </c>
      <c r="Q432" s="53">
        <v>3.3100000000000002E-4</v>
      </c>
    </row>
    <row r="433" spans="16:17">
      <c r="P433" s="18">
        <v>32610894</v>
      </c>
      <c r="Q433" s="53">
        <v>3.3599999999999998E-4</v>
      </c>
    </row>
    <row r="434" spans="16:17">
      <c r="P434" s="18">
        <v>32688171</v>
      </c>
      <c r="Q434" s="53">
        <v>3.0600000000000001E-4</v>
      </c>
    </row>
    <row r="435" spans="16:17">
      <c r="P435" s="18">
        <v>32765448</v>
      </c>
      <c r="Q435" s="53">
        <v>3.1100000000000002E-4</v>
      </c>
    </row>
    <row r="436" spans="16:17">
      <c r="P436" s="18">
        <v>32842725</v>
      </c>
      <c r="Q436" s="53">
        <v>3.1500000000000001E-4</v>
      </c>
    </row>
    <row r="437" spans="16:17">
      <c r="P437" s="18">
        <v>32920002</v>
      </c>
      <c r="Q437" s="53">
        <v>3.3199999999999999E-4</v>
      </c>
    </row>
    <row r="438" spans="16:17">
      <c r="P438" s="18">
        <v>32997279</v>
      </c>
      <c r="Q438" s="53">
        <v>3.1199999999999999E-4</v>
      </c>
    </row>
    <row r="439" spans="16:17">
      <c r="P439" s="18">
        <v>33074556</v>
      </c>
      <c r="Q439" s="53">
        <v>2.8499999999999999E-4</v>
      </c>
    </row>
    <row r="440" spans="16:17">
      <c r="P440" s="18">
        <v>33151833</v>
      </c>
      <c r="Q440" s="53">
        <v>2.92E-4</v>
      </c>
    </row>
    <row r="441" spans="16:17">
      <c r="P441" s="18">
        <v>33229110</v>
      </c>
      <c r="Q441" s="53">
        <v>3.0899999999999998E-4</v>
      </c>
    </row>
    <row r="442" spans="16:17">
      <c r="P442" s="18">
        <v>33306387</v>
      </c>
      <c r="Q442" s="53">
        <v>2.99E-4</v>
      </c>
    </row>
    <row r="443" spans="16:17">
      <c r="P443" s="18">
        <v>33383664</v>
      </c>
      <c r="Q443" s="53">
        <v>3.0699999999999998E-4</v>
      </c>
    </row>
    <row r="444" spans="16:17">
      <c r="P444" s="18">
        <v>33460941</v>
      </c>
      <c r="Q444" s="53">
        <v>2.6899999999999998E-4</v>
      </c>
    </row>
    <row r="445" spans="16:17">
      <c r="P445" s="18">
        <v>33538218</v>
      </c>
      <c r="Q445" s="53">
        <v>2.7799999999999998E-4</v>
      </c>
    </row>
    <row r="446" spans="16:17">
      <c r="P446" s="18">
        <v>33615495</v>
      </c>
      <c r="Q446" s="53">
        <v>3.1300000000000002E-4</v>
      </c>
    </row>
    <row r="447" spans="16:17">
      <c r="P447" s="18">
        <v>33692772</v>
      </c>
      <c r="Q447" s="53">
        <v>2.7900000000000001E-4</v>
      </c>
    </row>
    <row r="448" spans="16:17">
      <c r="P448" s="18">
        <v>33770049</v>
      </c>
      <c r="Q448" s="53">
        <v>2.8600000000000001E-4</v>
      </c>
    </row>
    <row r="449" spans="16:17">
      <c r="P449" s="18">
        <v>33847326</v>
      </c>
      <c r="Q449" s="53">
        <v>2.5900000000000001E-4</v>
      </c>
    </row>
    <row r="450" spans="16:17">
      <c r="P450" s="18">
        <v>33924603</v>
      </c>
      <c r="Q450" s="53">
        <v>2.6899999999999998E-4</v>
      </c>
    </row>
    <row r="451" spans="16:17">
      <c r="P451" s="18">
        <v>34001880</v>
      </c>
      <c r="Q451" s="53">
        <v>2.6899999999999998E-4</v>
      </c>
    </row>
    <row r="452" spans="16:17">
      <c r="P452" s="18">
        <v>34079157</v>
      </c>
      <c r="Q452" s="53">
        <v>2.7799999999999998E-4</v>
      </c>
    </row>
    <row r="453" spans="16:17">
      <c r="P453" s="18">
        <v>34156434</v>
      </c>
      <c r="Q453" s="53">
        <v>2.6499999999999999E-4</v>
      </c>
    </row>
    <row r="454" spans="16:17">
      <c r="P454" s="18">
        <v>34233711</v>
      </c>
      <c r="Q454" s="53">
        <v>2.4899999999999998E-4</v>
      </c>
    </row>
    <row r="455" spans="16:17">
      <c r="P455" s="18">
        <v>34310988</v>
      </c>
      <c r="Q455" s="53">
        <v>2.61E-4</v>
      </c>
    </row>
    <row r="456" spans="16:17">
      <c r="P456" s="18">
        <v>34388265</v>
      </c>
      <c r="Q456" s="53">
        <v>2.5099999999999998E-4</v>
      </c>
    </row>
    <row r="457" spans="16:17">
      <c r="P457" s="18">
        <v>34465542</v>
      </c>
      <c r="Q457" s="53">
        <v>2.6699999999999998E-4</v>
      </c>
    </row>
    <row r="458" spans="16:17">
      <c r="P458" s="18">
        <v>34542819</v>
      </c>
      <c r="Q458" s="53">
        <v>2.5399999999999999E-4</v>
      </c>
    </row>
    <row r="459" spans="16:17">
      <c r="P459" s="18">
        <v>34620096</v>
      </c>
      <c r="Q459" s="53">
        <v>2.31E-4</v>
      </c>
    </row>
    <row r="460" spans="16:17">
      <c r="P460" s="18">
        <v>34697373</v>
      </c>
      <c r="Q460" s="53">
        <v>2.43E-4</v>
      </c>
    </row>
    <row r="461" spans="16:17">
      <c r="P461" s="18">
        <v>34774650</v>
      </c>
      <c r="Q461" s="53">
        <v>2.5300000000000002E-4</v>
      </c>
    </row>
    <row r="462" spans="16:17">
      <c r="P462" s="18">
        <v>34851927</v>
      </c>
      <c r="Q462" s="53">
        <v>2.4399999999999999E-4</v>
      </c>
    </row>
    <row r="463" spans="16:17">
      <c r="P463" s="18">
        <v>34929204</v>
      </c>
      <c r="Q463" s="53">
        <v>2.42E-4</v>
      </c>
    </row>
    <row r="464" spans="16:17">
      <c r="P464" s="18">
        <v>35006481</v>
      </c>
      <c r="Q464" s="53">
        <v>2.1900000000000001E-4</v>
      </c>
    </row>
    <row r="465" spans="16:17">
      <c r="P465" s="18">
        <v>35083758</v>
      </c>
      <c r="Q465" s="53">
        <v>2.31E-4</v>
      </c>
    </row>
    <row r="466" spans="16:17">
      <c r="P466" s="18">
        <v>35161035</v>
      </c>
      <c r="Q466" s="53">
        <v>2.3800000000000001E-4</v>
      </c>
    </row>
    <row r="467" spans="16:17">
      <c r="P467" s="18">
        <v>35238312</v>
      </c>
      <c r="Q467" s="53">
        <v>2.3599999999999999E-4</v>
      </c>
    </row>
    <row r="468" spans="16:17">
      <c r="P468" s="18">
        <v>35315589</v>
      </c>
      <c r="Q468" s="53">
        <v>2.2100000000000001E-4</v>
      </c>
    </row>
    <row r="469" spans="16:17">
      <c r="P469" s="18">
        <v>35392866</v>
      </c>
      <c r="Q469" s="53">
        <v>2.13E-4</v>
      </c>
    </row>
    <row r="470" spans="16:17">
      <c r="P470" s="18">
        <v>35470143</v>
      </c>
      <c r="Q470" s="53">
        <v>2.22E-4</v>
      </c>
    </row>
    <row r="471" spans="16:17">
      <c r="P471" s="18">
        <v>35547420</v>
      </c>
      <c r="Q471" s="53">
        <v>2.12E-4</v>
      </c>
    </row>
    <row r="472" spans="16:17">
      <c r="P472" s="18">
        <v>35624697</v>
      </c>
      <c r="Q472" s="53">
        <v>2.2599999999999999E-4</v>
      </c>
    </row>
    <row r="473" spans="16:17">
      <c r="P473" s="18">
        <v>35701974</v>
      </c>
      <c r="Q473" s="53">
        <v>2.1100000000000001E-4</v>
      </c>
    </row>
    <row r="474" spans="16:17">
      <c r="P474" s="18">
        <v>35779251</v>
      </c>
      <c r="Q474" s="53">
        <v>2.03E-4</v>
      </c>
    </row>
    <row r="475" spans="16:17">
      <c r="P475" s="18">
        <v>35856528</v>
      </c>
      <c r="Q475" s="53">
        <v>2.1800000000000001E-4</v>
      </c>
    </row>
    <row r="476" spans="16:17">
      <c r="P476" s="18">
        <v>35933805</v>
      </c>
      <c r="Q476" s="53">
        <v>2.0799999999999999E-4</v>
      </c>
    </row>
    <row r="477" spans="16:17">
      <c r="P477" s="18">
        <v>36011082</v>
      </c>
      <c r="Q477" s="53">
        <v>2.12E-4</v>
      </c>
    </row>
    <row r="478" spans="16:17">
      <c r="P478" s="18">
        <v>36088359</v>
      </c>
      <c r="Q478" s="53">
        <v>2.03E-4</v>
      </c>
    </row>
    <row r="479" spans="16:17">
      <c r="P479" s="18">
        <v>36165636</v>
      </c>
      <c r="Q479" s="53">
        <v>1.9000000000000001E-4</v>
      </c>
    </row>
    <row r="480" spans="16:17">
      <c r="P480" s="18">
        <v>36242913</v>
      </c>
      <c r="Q480" s="53">
        <v>2.02E-4</v>
      </c>
    </row>
    <row r="481" spans="16:17">
      <c r="P481" s="18">
        <v>36320190</v>
      </c>
      <c r="Q481" s="53">
        <v>2.0000000000000001E-4</v>
      </c>
    </row>
    <row r="482" spans="16:17">
      <c r="P482" s="18">
        <v>36397467</v>
      </c>
      <c r="Q482" s="53">
        <v>2.0000000000000001E-4</v>
      </c>
    </row>
    <row r="483" spans="16:17">
      <c r="P483" s="18">
        <v>36474744</v>
      </c>
      <c r="Q483" s="53">
        <v>1.8900000000000001E-4</v>
      </c>
    </row>
    <row r="484" spans="16:17">
      <c r="P484" s="18">
        <v>36552021</v>
      </c>
      <c r="Q484" s="53">
        <v>1.7899999999999999E-4</v>
      </c>
    </row>
    <row r="485" spans="16:17">
      <c r="P485" s="18">
        <v>36629298</v>
      </c>
      <c r="Q485" s="53">
        <v>1.9000000000000001E-4</v>
      </c>
    </row>
    <row r="486" spans="16:17">
      <c r="P486" s="18">
        <v>36706575</v>
      </c>
      <c r="Q486" s="53">
        <v>1.85E-4</v>
      </c>
    </row>
    <row r="487" spans="16:17">
      <c r="P487" s="18">
        <v>36783852</v>
      </c>
      <c r="Q487" s="53">
        <v>1.93E-4</v>
      </c>
    </row>
    <row r="488" spans="16:17">
      <c r="P488" s="18">
        <v>36861129</v>
      </c>
      <c r="Q488" s="53">
        <v>1.7699999999999999E-4</v>
      </c>
    </row>
    <row r="489" spans="16:17">
      <c r="P489" s="18">
        <v>36938406</v>
      </c>
      <c r="Q489" s="53">
        <v>1.74E-4</v>
      </c>
    </row>
    <row r="490" spans="16:17">
      <c r="P490" s="18">
        <v>37015683</v>
      </c>
      <c r="Q490" s="53">
        <v>1.8100000000000001E-4</v>
      </c>
    </row>
    <row r="491" spans="16:17">
      <c r="P491" s="18">
        <v>37092960</v>
      </c>
      <c r="Q491" s="53">
        <v>1.73E-4</v>
      </c>
    </row>
    <row r="492" spans="16:17">
      <c r="P492" s="18">
        <v>37170237</v>
      </c>
      <c r="Q492" s="53">
        <v>1.8100000000000001E-4</v>
      </c>
    </row>
    <row r="493" spans="16:17">
      <c r="P493" s="18">
        <v>37247514</v>
      </c>
      <c r="Q493" s="53">
        <v>1.6799999999999999E-4</v>
      </c>
    </row>
    <row r="494" spans="16:17">
      <c r="P494" s="18">
        <v>37324791</v>
      </c>
      <c r="Q494" s="53">
        <v>1.65E-4</v>
      </c>
    </row>
    <row r="495" spans="16:17">
      <c r="P495" s="18">
        <v>37402068</v>
      </c>
      <c r="Q495" s="53">
        <v>1.7799999999999999E-4</v>
      </c>
    </row>
    <row r="496" spans="16:17">
      <c r="P496" s="18">
        <v>37479345</v>
      </c>
      <c r="Q496" s="53">
        <v>1.6699999999999999E-4</v>
      </c>
    </row>
    <row r="497" spans="16:17">
      <c r="P497" s="18">
        <v>37556622</v>
      </c>
      <c r="Q497" s="53">
        <v>1.7000000000000001E-4</v>
      </c>
    </row>
    <row r="498" spans="16:17">
      <c r="P498" s="18">
        <v>37633899</v>
      </c>
      <c r="Q498" s="53">
        <v>1.6000000000000001E-4</v>
      </c>
    </row>
    <row r="499" spans="16:17">
      <c r="P499" s="18">
        <v>37711176</v>
      </c>
      <c r="Q499" s="53">
        <v>1.55E-4</v>
      </c>
    </row>
    <row r="500" spans="16:17">
      <c r="P500" s="18">
        <v>37788453</v>
      </c>
      <c r="Q500" s="53">
        <v>1.6200000000000001E-4</v>
      </c>
    </row>
    <row r="501" spans="16:17">
      <c r="P501" s="18">
        <v>37865730</v>
      </c>
      <c r="Q501" s="53">
        <v>1.6100000000000001E-4</v>
      </c>
    </row>
    <row r="502" spans="16:17">
      <c r="P502" s="18">
        <v>37943007</v>
      </c>
      <c r="Q502" s="53">
        <v>1.6000000000000001E-4</v>
      </c>
    </row>
    <row r="503" spans="16:17">
      <c r="P503" s="18">
        <v>38020284</v>
      </c>
      <c r="Q503" s="53">
        <v>1.4999999999999999E-4</v>
      </c>
    </row>
    <row r="504" spans="16:17">
      <c r="P504" s="18">
        <v>38097561</v>
      </c>
      <c r="Q504" s="53">
        <v>1.47E-4</v>
      </c>
    </row>
    <row r="505" spans="16:17">
      <c r="P505" s="18">
        <v>38174838</v>
      </c>
      <c r="Q505" s="53">
        <v>1.5200000000000001E-4</v>
      </c>
    </row>
    <row r="506" spans="16:17">
      <c r="P506" s="18">
        <v>38252115</v>
      </c>
      <c r="Q506" s="53">
        <v>1.4999999999999999E-4</v>
      </c>
    </row>
    <row r="507" spans="16:17">
      <c r="P507" s="18">
        <v>38329392</v>
      </c>
      <c r="Q507" s="53">
        <v>1.5300000000000001E-4</v>
      </c>
    </row>
    <row r="508" spans="16:17">
      <c r="P508" s="18">
        <v>38406669</v>
      </c>
      <c r="Q508" s="53">
        <v>1.4100000000000001E-4</v>
      </c>
    </row>
    <row r="509" spans="16:17">
      <c r="P509" s="18">
        <v>38483946</v>
      </c>
      <c r="Q509" s="53">
        <v>1.4100000000000001E-4</v>
      </c>
    </row>
    <row r="510" spans="16:17">
      <c r="P510" s="18">
        <v>38561223</v>
      </c>
      <c r="Q510" s="53">
        <v>1.4899999999999999E-4</v>
      </c>
    </row>
    <row r="511" spans="16:17">
      <c r="P511" s="18">
        <v>38638500</v>
      </c>
      <c r="Q511" s="53">
        <v>1.4100000000000001E-4</v>
      </c>
    </row>
    <row r="512" spans="16:17">
      <c r="P512" s="18">
        <v>38715777</v>
      </c>
      <c r="Q512" s="53">
        <v>1.45E-4</v>
      </c>
    </row>
    <row r="513" spans="16:17">
      <c r="P513" s="18">
        <v>38793054</v>
      </c>
      <c r="Q513" s="53">
        <v>1.34E-4</v>
      </c>
    </row>
    <row r="514" spans="16:17">
      <c r="P514" s="18">
        <v>38870331</v>
      </c>
      <c r="Q514" s="53">
        <v>1.3300000000000001E-4</v>
      </c>
    </row>
    <row r="515" spans="16:17">
      <c r="P515" s="18">
        <v>38947608</v>
      </c>
      <c r="Q515" s="53">
        <v>1.3899999999999999E-4</v>
      </c>
    </row>
    <row r="516" spans="16:17">
      <c r="P516" s="18">
        <v>39024885</v>
      </c>
      <c r="Q516" s="53">
        <v>1.35E-4</v>
      </c>
    </row>
    <row r="517" spans="16:17">
      <c r="P517" s="18">
        <v>39102162</v>
      </c>
      <c r="Q517" s="53">
        <v>1.35E-4</v>
      </c>
    </row>
    <row r="518" spans="16:17">
      <c r="P518" s="18">
        <v>39179439</v>
      </c>
      <c r="Q518" s="53">
        <v>1.27E-4</v>
      </c>
    </row>
    <row r="519" spans="16:17">
      <c r="P519" s="18">
        <v>39256716</v>
      </c>
      <c r="Q519" s="53">
        <v>1.2799999999999999E-4</v>
      </c>
    </row>
    <row r="520" spans="16:17">
      <c r="P520" s="18">
        <v>39333993</v>
      </c>
      <c r="Q520" s="53">
        <v>1.27E-4</v>
      </c>
    </row>
    <row r="521" spans="16:17">
      <c r="P521" s="18">
        <v>39411270</v>
      </c>
      <c r="Q521" s="53">
        <v>1.3100000000000001E-4</v>
      </c>
    </row>
    <row r="522" spans="16:17">
      <c r="P522" s="18">
        <v>39488547</v>
      </c>
      <c r="Q522" s="53">
        <v>1.26E-4</v>
      </c>
    </row>
    <row r="523" spans="16:17">
      <c r="P523" s="18">
        <v>39565824</v>
      </c>
      <c r="Q523" s="53">
        <v>1.1900000000000001E-4</v>
      </c>
    </row>
    <row r="524" spans="16:17">
      <c r="P524" s="18">
        <v>39643101</v>
      </c>
      <c r="Q524" s="53">
        <v>1.2E-4</v>
      </c>
    </row>
    <row r="525" spans="16:17">
      <c r="P525" s="18">
        <v>39720378</v>
      </c>
      <c r="Q525" s="53">
        <v>1.22E-4</v>
      </c>
    </row>
    <row r="526" spans="16:17">
      <c r="P526" s="18">
        <v>39797655</v>
      </c>
      <c r="Q526" s="53">
        <v>1.21E-4</v>
      </c>
    </row>
    <row r="527" spans="16:17">
      <c r="P527" s="18">
        <v>39874932</v>
      </c>
      <c r="Q527" s="53">
        <v>1.21E-4</v>
      </c>
    </row>
    <row r="528" spans="16:17">
      <c r="P528" s="18">
        <v>39952209</v>
      </c>
      <c r="Q528" s="53">
        <v>1.12E-4</v>
      </c>
    </row>
    <row r="529" spans="16:17">
      <c r="P529" s="18">
        <v>40029486</v>
      </c>
      <c r="Q529" s="53">
        <v>1.1400000000000001E-4</v>
      </c>
    </row>
    <row r="530" spans="16:17">
      <c r="P530" s="18">
        <v>40106763</v>
      </c>
      <c r="Q530" s="53">
        <v>1.1900000000000001E-4</v>
      </c>
    </row>
    <row r="531" spans="16:17">
      <c r="P531" s="18">
        <v>40184040</v>
      </c>
      <c r="Q531" s="53">
        <v>1.1400000000000001E-4</v>
      </c>
    </row>
    <row r="532" spans="16:17">
      <c r="P532" s="18">
        <v>40261317</v>
      </c>
      <c r="Q532" s="53">
        <v>1.13E-4</v>
      </c>
    </row>
    <row r="533" spans="16:17">
      <c r="P533" s="18">
        <v>40338594</v>
      </c>
      <c r="Q533" s="53">
        <v>1.07E-4</v>
      </c>
    </row>
    <row r="534" spans="16:17">
      <c r="P534" s="18">
        <v>40415871</v>
      </c>
      <c r="Q534" s="53">
        <v>1.08E-4</v>
      </c>
    </row>
    <row r="535" spans="16:17">
      <c r="P535" s="18">
        <v>40493148</v>
      </c>
      <c r="Q535" s="53">
        <v>1.07E-4</v>
      </c>
    </row>
    <row r="536" spans="16:17">
      <c r="P536" s="4">
        <v>40570425</v>
      </c>
      <c r="Q536" s="1">
        <v>1.1E-4</v>
      </c>
    </row>
    <row r="537" spans="16:17">
      <c r="P537" s="4">
        <v>40647702</v>
      </c>
      <c r="Q537" s="1">
        <v>1.06E-4</v>
      </c>
    </row>
    <row r="538" spans="16:17">
      <c r="P538" s="4">
        <v>40724979</v>
      </c>
      <c r="Q538" s="1">
        <v>1.02E-4</v>
      </c>
    </row>
    <row r="539" spans="16:17">
      <c r="P539" s="4">
        <v>40802256</v>
      </c>
      <c r="Q539" s="1">
        <v>1.0399999999999999E-4</v>
      </c>
    </row>
    <row r="540" spans="16:17">
      <c r="P540" s="4">
        <v>40879533</v>
      </c>
      <c r="Q540" s="1">
        <v>1.01E-4</v>
      </c>
    </row>
    <row r="541" spans="16:17">
      <c r="P541" s="4">
        <v>40956810</v>
      </c>
      <c r="Q541" s="1">
        <v>1.0399999999999999E-4</v>
      </c>
    </row>
    <row r="542" spans="16:17">
      <c r="P542" s="4">
        <v>41034087</v>
      </c>
      <c r="Q542" s="1">
        <v>1.01E-4</v>
      </c>
    </row>
    <row r="543" spans="16:17">
      <c r="P543" s="4">
        <v>41111364</v>
      </c>
      <c r="Q543" s="1">
        <v>9.5000000000000005E-5</v>
      </c>
    </row>
    <row r="544" spans="16:17">
      <c r="P544" s="4">
        <v>41188641</v>
      </c>
      <c r="Q544" s="1">
        <v>9.7E-5</v>
      </c>
    </row>
    <row r="545" spans="16:17">
      <c r="P545" s="4">
        <v>41265918</v>
      </c>
      <c r="Q545" s="1">
        <v>9.7999999999999997E-5</v>
      </c>
    </row>
    <row r="546" spans="16:17">
      <c r="P546" s="4">
        <v>41343195</v>
      </c>
      <c r="Q546" s="1">
        <v>9.7E-5</v>
      </c>
    </row>
    <row r="547" spans="16:17">
      <c r="P547" s="4">
        <v>41420472</v>
      </c>
      <c r="Q547" s="1">
        <v>9.5000000000000005E-5</v>
      </c>
    </row>
    <row r="548" spans="16:17">
      <c r="P548" s="4">
        <v>41497749</v>
      </c>
      <c r="Q548" s="1">
        <v>9.0000000000000006E-5</v>
      </c>
    </row>
    <row r="549" spans="16:17">
      <c r="P549" s="4">
        <v>41575026</v>
      </c>
      <c r="Q549" s="1">
        <v>9.2E-5</v>
      </c>
    </row>
    <row r="550" spans="16:17">
      <c r="P550" s="4">
        <v>41652303</v>
      </c>
      <c r="Q550" s="1">
        <v>9.2E-5</v>
      </c>
    </row>
    <row r="551" spans="16:17">
      <c r="P551" s="4">
        <v>41729580</v>
      </c>
      <c r="Q551" s="1">
        <v>9.2999999999999997E-5</v>
      </c>
    </row>
    <row r="552" spans="16:17">
      <c r="P552" s="4">
        <v>41806857</v>
      </c>
      <c r="Q552" s="1">
        <v>8.8999999999999995E-5</v>
      </c>
    </row>
    <row r="553" spans="16:17">
      <c r="P553" s="4">
        <v>41884134</v>
      </c>
      <c r="Q553" s="1">
        <v>8.6000000000000003E-5</v>
      </c>
    </row>
    <row r="554" spans="16:17">
      <c r="P554" s="4">
        <v>41961411</v>
      </c>
      <c r="Q554" s="1">
        <v>8.7000000000000001E-5</v>
      </c>
    </row>
    <row r="555" spans="16:17">
      <c r="P555" s="4">
        <v>42038688</v>
      </c>
      <c r="Q555" s="1">
        <v>8.5000000000000006E-5</v>
      </c>
    </row>
    <row r="556" spans="16:17">
      <c r="P556" s="4">
        <v>42115965</v>
      </c>
      <c r="Q556" s="1">
        <v>8.7999999999999998E-5</v>
      </c>
    </row>
    <row r="557" spans="16:17">
      <c r="P557" s="4">
        <v>42193242</v>
      </c>
      <c r="Q557" s="1">
        <v>8.3999999999999995E-5</v>
      </c>
    </row>
    <row r="558" spans="16:17">
      <c r="P558" s="4">
        <v>42270519</v>
      </c>
      <c r="Q558" s="1">
        <v>8.2000000000000001E-5</v>
      </c>
    </row>
    <row r="559" spans="16:17">
      <c r="P559" s="4">
        <v>42347796</v>
      </c>
      <c r="Q559" s="1">
        <v>8.3999999999999995E-5</v>
      </c>
    </row>
    <row r="560" spans="16:17">
      <c r="P560" s="4">
        <v>42425073</v>
      </c>
      <c r="Q560" s="1">
        <v>8.2000000000000001E-5</v>
      </c>
    </row>
    <row r="561" spans="16:17">
      <c r="P561" s="4">
        <v>42502350</v>
      </c>
      <c r="Q561" s="1">
        <v>8.2000000000000001E-5</v>
      </c>
    </row>
    <row r="562" spans="16:17">
      <c r="P562" s="4">
        <v>42579627</v>
      </c>
      <c r="Q562" s="1">
        <v>8.0000000000000007E-5</v>
      </c>
    </row>
    <row r="563" spans="16:17">
      <c r="P563" s="4">
        <v>42656904</v>
      </c>
      <c r="Q563" s="1">
        <v>7.7000000000000001E-5</v>
      </c>
    </row>
    <row r="564" spans="16:17">
      <c r="P564" s="4">
        <v>42734181</v>
      </c>
      <c r="Q564" s="1">
        <v>7.7999999999999999E-5</v>
      </c>
    </row>
    <row r="565" spans="16:17">
      <c r="P565" s="4">
        <v>42811458</v>
      </c>
      <c r="Q565" s="1">
        <v>7.7999999999999999E-5</v>
      </c>
    </row>
    <row r="566" spans="16:17">
      <c r="P566" s="4">
        <v>42888735</v>
      </c>
      <c r="Q566" s="1">
        <v>7.7999999999999999E-5</v>
      </c>
    </row>
    <row r="567" spans="16:17">
      <c r="P567" s="4">
        <v>42966012</v>
      </c>
      <c r="Q567" s="1">
        <v>7.4999999999999993E-5</v>
      </c>
    </row>
    <row r="568" spans="16:17">
      <c r="P568" s="4">
        <v>43043289</v>
      </c>
      <c r="Q568" s="1">
        <v>7.2999999999999999E-5</v>
      </c>
    </row>
    <row r="569" spans="16:17">
      <c r="P569" s="4">
        <v>43120566</v>
      </c>
      <c r="Q569" s="1">
        <v>7.3999999999999996E-5</v>
      </c>
    </row>
    <row r="570" spans="16:17">
      <c r="P570" s="4">
        <v>43197843</v>
      </c>
      <c r="Q570" s="1">
        <v>7.2999999999999999E-5</v>
      </c>
    </row>
    <row r="571" spans="16:17">
      <c r="P571" s="4">
        <v>43275120</v>
      </c>
      <c r="Q571" s="1">
        <v>7.3999999999999996E-5</v>
      </c>
    </row>
    <row r="572" spans="16:17">
      <c r="P572" s="4">
        <v>43352397</v>
      </c>
      <c r="Q572" s="1">
        <v>6.9999999999999994E-5</v>
      </c>
    </row>
    <row r="573" spans="16:17">
      <c r="P573" s="4">
        <v>43429674</v>
      </c>
      <c r="Q573" s="1">
        <v>6.8999999999999997E-5</v>
      </c>
    </row>
    <row r="574" spans="16:17">
      <c r="P574" s="4">
        <v>43506951</v>
      </c>
      <c r="Q574" s="1">
        <v>6.9999999999999994E-5</v>
      </c>
    </row>
    <row r="575" spans="16:17">
      <c r="P575" s="4">
        <v>43584228</v>
      </c>
      <c r="Q575" s="1">
        <v>6.7999999999999999E-5</v>
      </c>
    </row>
    <row r="576" spans="16:17">
      <c r="P576" s="4">
        <v>43661505</v>
      </c>
      <c r="Q576" s="1">
        <v>6.9999999999999994E-5</v>
      </c>
    </row>
    <row r="577" spans="16:17">
      <c r="P577" s="4">
        <v>43738782</v>
      </c>
      <c r="Q577" s="1">
        <v>6.6000000000000005E-5</v>
      </c>
    </row>
    <row r="578" spans="16:17">
      <c r="P578" s="4">
        <v>43816059</v>
      </c>
      <c r="Q578" s="1">
        <v>6.4999999999999994E-5</v>
      </c>
    </row>
    <row r="579" spans="16:17">
      <c r="P579" s="4">
        <v>43893336</v>
      </c>
      <c r="Q579" s="1">
        <v>6.7000000000000002E-5</v>
      </c>
    </row>
    <row r="580" spans="16:17">
      <c r="P580" s="4">
        <v>43970613</v>
      </c>
      <c r="Q580" s="1">
        <v>6.4999999999999994E-5</v>
      </c>
    </row>
    <row r="581" spans="16:17">
      <c r="P581" s="4">
        <v>44047890</v>
      </c>
      <c r="Q581" s="1">
        <v>6.4999999999999994E-5</v>
      </c>
    </row>
    <row r="582" spans="16:17">
      <c r="P582" s="4">
        <v>44125167</v>
      </c>
      <c r="Q582" s="1">
        <v>6.3E-5</v>
      </c>
    </row>
    <row r="583" spans="16:17">
      <c r="P583" s="4">
        <v>44202444</v>
      </c>
      <c r="Q583" s="1">
        <v>6.2000000000000003E-5</v>
      </c>
    </row>
    <row r="584" spans="16:17">
      <c r="P584" s="4">
        <v>44279721</v>
      </c>
      <c r="Q584" s="1">
        <v>6.2000000000000003E-5</v>
      </c>
    </row>
    <row r="585" spans="16:17">
      <c r="P585" s="4">
        <v>44356998</v>
      </c>
      <c r="Q585" s="1">
        <v>6.2000000000000003E-5</v>
      </c>
    </row>
    <row r="586" spans="16:17">
      <c r="P586" s="4">
        <v>44434275</v>
      </c>
      <c r="Q586" s="1">
        <v>6.2000000000000003E-5</v>
      </c>
    </row>
    <row r="587" spans="16:17">
      <c r="P587" s="4">
        <v>44511552</v>
      </c>
      <c r="Q587" s="1">
        <v>5.8999999999999998E-5</v>
      </c>
    </row>
    <row r="588" spans="16:17">
      <c r="P588" s="4">
        <v>44588829</v>
      </c>
      <c r="Q588" s="1">
        <v>5.8E-5</v>
      </c>
    </row>
    <row r="589" spans="16:17">
      <c r="P589" s="4">
        <v>44666106</v>
      </c>
      <c r="Q589" s="1">
        <v>5.8999999999999998E-5</v>
      </c>
    </row>
    <row r="590" spans="16:17">
      <c r="P590" s="4">
        <v>44743383</v>
      </c>
      <c r="Q590" s="1">
        <v>5.8E-5</v>
      </c>
    </row>
    <row r="591" spans="16:17">
      <c r="P591" s="4">
        <v>44820660</v>
      </c>
      <c r="Q591" s="1">
        <v>5.8E-5</v>
      </c>
    </row>
    <row r="592" spans="16:17">
      <c r="P592" s="4">
        <v>44897937</v>
      </c>
      <c r="Q592" s="1">
        <v>5.5999999999999999E-5</v>
      </c>
    </row>
    <row r="593" spans="16:17">
      <c r="P593" s="4">
        <v>44975214</v>
      </c>
      <c r="Q593" s="1">
        <v>5.5000000000000002E-5</v>
      </c>
    </row>
    <row r="594" spans="16:17">
      <c r="P594" s="4">
        <v>45052491</v>
      </c>
      <c r="Q594" s="1">
        <v>5.5999999999999999E-5</v>
      </c>
    </row>
    <row r="595" spans="16:17">
      <c r="P595" s="4">
        <v>45129768</v>
      </c>
      <c r="Q595" s="1">
        <v>5.5000000000000002E-5</v>
      </c>
    </row>
    <row r="596" spans="16:17">
      <c r="P596" s="4">
        <v>45207045</v>
      </c>
      <c r="Q596" s="1">
        <v>5.5000000000000002E-5</v>
      </c>
    </row>
    <row r="597" spans="16:17">
      <c r="P597" s="4">
        <v>45284322</v>
      </c>
      <c r="Q597" s="1">
        <v>5.3000000000000001E-5</v>
      </c>
    </row>
    <row r="598" spans="16:17">
      <c r="P598" s="4">
        <v>45361599</v>
      </c>
      <c r="Q598" s="1">
        <v>5.1999999999999997E-5</v>
      </c>
    </row>
    <row r="599" spans="16:17">
      <c r="P599" s="4">
        <v>45438876</v>
      </c>
      <c r="Q599" s="1">
        <v>5.1999999999999997E-5</v>
      </c>
    </row>
    <row r="600" spans="16:17">
      <c r="P600" s="4">
        <v>45516153</v>
      </c>
      <c r="Q600" s="1">
        <v>5.1999999999999997E-5</v>
      </c>
    </row>
    <row r="601" spans="16:17">
      <c r="P601" s="4">
        <v>45593430</v>
      </c>
      <c r="Q601" s="1">
        <v>5.1E-5</v>
      </c>
    </row>
    <row r="602" spans="16:17">
      <c r="P602" s="4">
        <v>45670707</v>
      </c>
      <c r="Q602" s="1">
        <v>5.0000000000000002E-5</v>
      </c>
    </row>
    <row r="603" spans="16:17">
      <c r="P603" s="4">
        <v>45747984</v>
      </c>
      <c r="Q603" s="1">
        <v>4.8999999999999998E-5</v>
      </c>
    </row>
    <row r="604" spans="16:17">
      <c r="P604" s="4">
        <v>45825261</v>
      </c>
      <c r="Q604" s="1">
        <v>4.8999999999999998E-5</v>
      </c>
    </row>
    <row r="605" spans="16:17">
      <c r="P605" s="4">
        <v>45902538</v>
      </c>
      <c r="Q605" s="1">
        <v>4.8999999999999998E-5</v>
      </c>
    </row>
    <row r="606" spans="16:17">
      <c r="P606" s="4">
        <v>45979815</v>
      </c>
      <c r="Q606" s="1">
        <v>4.8000000000000001E-5</v>
      </c>
    </row>
    <row r="607" spans="16:17">
      <c r="P607" s="4">
        <v>46057092</v>
      </c>
      <c r="Q607" s="1">
        <v>4.6999999999999997E-5</v>
      </c>
    </row>
    <row r="608" spans="16:17">
      <c r="P608" s="4">
        <v>46134369</v>
      </c>
      <c r="Q608" s="1">
        <v>4.6999999999999997E-5</v>
      </c>
    </row>
    <row r="609" spans="16:17">
      <c r="P609" s="4">
        <v>46211646</v>
      </c>
      <c r="Q609" s="1">
        <v>4.6999999999999997E-5</v>
      </c>
    </row>
    <row r="610" spans="16:17">
      <c r="P610" s="4">
        <v>46288923</v>
      </c>
      <c r="Q610" s="1">
        <v>4.6E-5</v>
      </c>
    </row>
    <row r="611" spans="16:17">
      <c r="P611" s="4">
        <v>46366200</v>
      </c>
      <c r="Q611" s="1">
        <v>4.6E-5</v>
      </c>
    </row>
    <row r="612" spans="16:17">
      <c r="P612" s="4">
        <v>46443477</v>
      </c>
      <c r="Q612" s="1">
        <v>4.3999999999999999E-5</v>
      </c>
    </row>
    <row r="613" spans="16:17">
      <c r="P613" s="4">
        <v>46520754</v>
      </c>
      <c r="Q613" s="1">
        <v>4.3999999999999999E-5</v>
      </c>
    </row>
    <row r="614" spans="16:17">
      <c r="P614" s="4">
        <v>46598031</v>
      </c>
      <c r="Q614" s="1">
        <v>4.3999999999999999E-5</v>
      </c>
    </row>
    <row r="615" spans="16:17">
      <c r="P615" s="4">
        <v>46675308</v>
      </c>
      <c r="Q615" s="1">
        <v>4.3000000000000002E-5</v>
      </c>
    </row>
    <row r="616" spans="16:17">
      <c r="P616" s="4">
        <v>46752585</v>
      </c>
      <c r="Q616" s="1">
        <v>4.3000000000000002E-5</v>
      </c>
    </row>
    <row r="617" spans="16:17">
      <c r="P617" s="4">
        <v>46829862</v>
      </c>
      <c r="Q617" s="1">
        <v>4.1999999999999998E-5</v>
      </c>
    </row>
    <row r="618" spans="16:17">
      <c r="P618" s="4">
        <v>46907139</v>
      </c>
      <c r="Q618" s="1">
        <v>4.1E-5</v>
      </c>
    </row>
    <row r="619" spans="16:17">
      <c r="P619" s="4">
        <v>46984416</v>
      </c>
      <c r="Q619" s="1">
        <v>4.1E-5</v>
      </c>
    </row>
    <row r="620" spans="16:17">
      <c r="P620" s="4">
        <v>47061693</v>
      </c>
      <c r="Q620" s="1">
        <v>4.1E-5</v>
      </c>
    </row>
    <row r="621" spans="16:17">
      <c r="P621" s="4">
        <v>47138970</v>
      </c>
      <c r="Q621" s="1">
        <v>4.0000000000000003E-5</v>
      </c>
    </row>
    <row r="622" spans="16:17">
      <c r="P622" s="4">
        <v>47216247</v>
      </c>
      <c r="Q622" s="1">
        <v>3.8999999999999999E-5</v>
      </c>
    </row>
    <row r="623" spans="16:17">
      <c r="P623" s="4">
        <v>47293524</v>
      </c>
      <c r="Q623" s="1">
        <v>3.8999999999999999E-5</v>
      </c>
    </row>
    <row r="624" spans="16:17">
      <c r="P624" s="4">
        <v>47370801</v>
      </c>
      <c r="Q624" s="1">
        <v>3.8999999999999999E-5</v>
      </c>
    </row>
    <row r="625" spans="16:17">
      <c r="P625" s="4">
        <v>47448078</v>
      </c>
      <c r="Q625" s="1">
        <v>3.8999999999999999E-5</v>
      </c>
    </row>
    <row r="626" spans="16:17">
      <c r="P626" s="4">
        <v>47525355</v>
      </c>
      <c r="Q626" s="1">
        <v>3.8000000000000002E-5</v>
      </c>
    </row>
    <row r="627" spans="16:17">
      <c r="P627" s="4">
        <v>47602632</v>
      </c>
      <c r="Q627" s="1">
        <v>3.6999999999999998E-5</v>
      </c>
    </row>
    <row r="628" spans="16:17">
      <c r="P628" s="4">
        <v>47679909</v>
      </c>
      <c r="Q628" s="1">
        <v>3.6999999999999998E-5</v>
      </c>
    </row>
    <row r="629" spans="16:17">
      <c r="P629" s="4">
        <v>47757186</v>
      </c>
      <c r="Q629" s="1">
        <v>3.6999999999999998E-5</v>
      </c>
    </row>
    <row r="630" spans="16:17">
      <c r="P630" s="4">
        <v>47834463</v>
      </c>
      <c r="Q630" s="1">
        <v>3.6999999999999998E-5</v>
      </c>
    </row>
    <row r="631" spans="16:17">
      <c r="P631" s="4">
        <v>47911740</v>
      </c>
      <c r="Q631" s="1">
        <v>3.6000000000000001E-5</v>
      </c>
    </row>
    <row r="632" spans="16:17">
      <c r="P632" s="4">
        <v>47989017</v>
      </c>
      <c r="Q632" s="1">
        <v>3.4999999999999997E-5</v>
      </c>
    </row>
    <row r="633" spans="16:17">
      <c r="P633" s="4">
        <v>48066294</v>
      </c>
      <c r="Q633" s="1">
        <v>3.4999999999999997E-5</v>
      </c>
    </row>
    <row r="634" spans="16:17">
      <c r="P634" s="4">
        <v>48143571</v>
      </c>
      <c r="Q634" s="1">
        <v>3.4999999999999997E-5</v>
      </c>
    </row>
    <row r="635" spans="16:17">
      <c r="P635" s="4">
        <v>48220848</v>
      </c>
      <c r="Q635" s="1">
        <v>3.4999999999999997E-5</v>
      </c>
    </row>
    <row r="636" spans="16:17">
      <c r="P636" s="4">
        <v>48298125</v>
      </c>
      <c r="Q636" s="1">
        <v>3.4E-5</v>
      </c>
    </row>
    <row r="637" spans="16:17">
      <c r="P637" s="4">
        <v>48375402</v>
      </c>
      <c r="Q637" s="1">
        <v>3.3000000000000003E-5</v>
      </c>
    </row>
    <row r="638" spans="16:17">
      <c r="P638" s="4">
        <v>48452679</v>
      </c>
      <c r="Q638" s="1">
        <v>3.3000000000000003E-5</v>
      </c>
    </row>
    <row r="639" spans="16:17">
      <c r="P639" s="4">
        <v>48529956</v>
      </c>
      <c r="Q639" s="1">
        <v>3.1999999999999999E-5</v>
      </c>
    </row>
    <row r="640" spans="16:17">
      <c r="P640" s="4">
        <v>48607233</v>
      </c>
      <c r="Q640" s="1">
        <v>3.3000000000000003E-5</v>
      </c>
    </row>
    <row r="641" spans="16:17">
      <c r="P641" s="4">
        <v>48684510</v>
      </c>
      <c r="Q641" s="1">
        <v>3.1999999999999999E-5</v>
      </c>
    </row>
    <row r="642" spans="16:17">
      <c r="P642" s="4">
        <v>48761787</v>
      </c>
      <c r="Q642" s="1">
        <v>3.1000000000000001E-5</v>
      </c>
    </row>
    <row r="643" spans="16:17">
      <c r="P643" s="4">
        <v>48839064</v>
      </c>
      <c r="Q643" s="1">
        <v>3.1000000000000001E-5</v>
      </c>
    </row>
    <row r="644" spans="16:17">
      <c r="P644" s="4">
        <v>48916341</v>
      </c>
      <c r="Q644" s="1">
        <v>3.1000000000000001E-5</v>
      </c>
    </row>
    <row r="645" spans="16:17">
      <c r="P645" s="4">
        <v>48993618</v>
      </c>
      <c r="Q645" s="1">
        <v>3.1000000000000001E-5</v>
      </c>
    </row>
    <row r="646" spans="16:17">
      <c r="P646" s="4">
        <v>49070895</v>
      </c>
      <c r="Q646" s="1">
        <v>3.0000000000000001E-5</v>
      </c>
    </row>
    <row r="647" spans="16:17">
      <c r="P647" s="4">
        <v>49148172</v>
      </c>
      <c r="Q647" s="1">
        <v>2.9E-5</v>
      </c>
    </row>
    <row r="648" spans="16:17">
      <c r="P648" s="4">
        <v>49225449</v>
      </c>
      <c r="Q648" s="1">
        <v>2.9E-5</v>
      </c>
    </row>
    <row r="649" spans="16:17">
      <c r="P649" s="4">
        <v>49302726</v>
      </c>
      <c r="Q649" s="1">
        <v>2.9E-5</v>
      </c>
    </row>
    <row r="650" spans="16:17">
      <c r="P650" s="4">
        <v>49380003</v>
      </c>
      <c r="Q650" s="1">
        <v>2.9E-5</v>
      </c>
    </row>
    <row r="651" spans="16:17">
      <c r="P651" s="4">
        <v>49457280</v>
      </c>
      <c r="Q651" s="1">
        <v>2.8E-5</v>
      </c>
    </row>
    <row r="652" spans="16:17">
      <c r="P652" s="4">
        <v>49534557</v>
      </c>
      <c r="Q652" s="1">
        <v>2.8E-5</v>
      </c>
    </row>
    <row r="653" spans="16:17">
      <c r="P653" s="4">
        <v>49611834</v>
      </c>
      <c r="Q653" s="1">
        <v>2.8E-5</v>
      </c>
    </row>
    <row r="654" spans="16:17">
      <c r="P654" s="4">
        <v>49689111</v>
      </c>
      <c r="Q654" s="1">
        <v>2.6999999999999999E-5</v>
      </c>
    </row>
    <row r="655" spans="16:17">
      <c r="P655" s="4">
        <v>49766388</v>
      </c>
      <c r="Q655" s="1">
        <v>2.6999999999999999E-5</v>
      </c>
    </row>
    <row r="656" spans="16:17">
      <c r="P656" s="4">
        <v>49843665</v>
      </c>
      <c r="Q656" s="1">
        <v>2.5999999999999998E-5</v>
      </c>
    </row>
    <row r="657" spans="16:17">
      <c r="P657" s="4">
        <v>49920942</v>
      </c>
      <c r="Q657" s="1">
        <v>2.5999999999999998E-5</v>
      </c>
    </row>
    <row r="658" spans="16:17">
      <c r="P658" s="4">
        <v>49998219</v>
      </c>
      <c r="Q658" s="1">
        <v>2.5999999999999998E-5</v>
      </c>
    </row>
    <row r="659" spans="16:17">
      <c r="P659" s="4">
        <v>50075496</v>
      </c>
      <c r="Q659" s="1">
        <v>2.5999999999999998E-5</v>
      </c>
    </row>
    <row r="660" spans="16:17">
      <c r="P660" s="4">
        <v>50152773</v>
      </c>
      <c r="Q660" s="1">
        <v>2.5999999999999998E-5</v>
      </c>
    </row>
    <row r="661" spans="16:17">
      <c r="P661" s="4">
        <v>50230050</v>
      </c>
      <c r="Q661" s="1">
        <v>2.5000000000000001E-5</v>
      </c>
    </row>
    <row r="662" spans="16:17">
      <c r="P662" s="4">
        <v>50307327</v>
      </c>
      <c r="Q662" s="1">
        <v>2.5000000000000001E-5</v>
      </c>
    </row>
    <row r="663" spans="16:17">
      <c r="P663" s="4">
        <v>50384604</v>
      </c>
      <c r="Q663" s="1">
        <v>2.5000000000000001E-5</v>
      </c>
    </row>
    <row r="664" spans="16:17">
      <c r="P664" s="4">
        <v>50461881</v>
      </c>
      <c r="Q664" s="1">
        <v>2.4000000000000001E-5</v>
      </c>
    </row>
    <row r="665" spans="16:17">
      <c r="P665" s="4">
        <v>50539158</v>
      </c>
      <c r="Q665" s="1">
        <v>2.4000000000000001E-5</v>
      </c>
    </row>
    <row r="666" spans="16:17">
      <c r="P666" s="4">
        <v>50616435</v>
      </c>
      <c r="Q666" s="1">
        <v>2.4000000000000001E-5</v>
      </c>
    </row>
    <row r="667" spans="16:17">
      <c r="P667" s="4">
        <v>50693712</v>
      </c>
      <c r="Q667" s="1">
        <v>2.3E-5</v>
      </c>
    </row>
    <row r="668" spans="16:17">
      <c r="P668" s="4">
        <v>50770989</v>
      </c>
      <c r="Q668" s="1">
        <v>2.3E-5</v>
      </c>
    </row>
    <row r="669" spans="16:17">
      <c r="P669" s="4">
        <v>50848266</v>
      </c>
      <c r="Q669" s="1">
        <v>2.3E-5</v>
      </c>
    </row>
    <row r="670" spans="16:17">
      <c r="P670" s="4">
        <v>50925543</v>
      </c>
      <c r="Q670" s="1">
        <v>2.3E-5</v>
      </c>
    </row>
    <row r="671" spans="16:17">
      <c r="P671" s="4">
        <v>51002820</v>
      </c>
      <c r="Q671" s="1">
        <v>2.1999999999999999E-5</v>
      </c>
    </row>
    <row r="672" spans="16:17">
      <c r="P672" s="4">
        <v>51080097</v>
      </c>
      <c r="Q672" s="1">
        <v>2.1999999999999999E-5</v>
      </c>
    </row>
    <row r="673" spans="16:17">
      <c r="P673" s="4">
        <v>51157374</v>
      </c>
      <c r="Q673" s="1">
        <v>2.1999999999999999E-5</v>
      </c>
    </row>
    <row r="674" spans="16:17">
      <c r="P674" s="4">
        <v>51234651</v>
      </c>
      <c r="Q674" s="1">
        <v>2.0999999999999999E-5</v>
      </c>
    </row>
    <row r="675" spans="16:17">
      <c r="P675" s="4">
        <v>51311928</v>
      </c>
      <c r="Q675" s="1">
        <v>2.0999999999999999E-5</v>
      </c>
    </row>
    <row r="676" spans="16:17">
      <c r="P676" s="4">
        <v>51389205</v>
      </c>
      <c r="Q676" s="1">
        <v>2.0999999999999999E-5</v>
      </c>
    </row>
    <row r="677" spans="16:17">
      <c r="P677" s="4">
        <v>51466482</v>
      </c>
      <c r="Q677" s="1">
        <v>2.0999999999999999E-5</v>
      </c>
    </row>
    <row r="678" spans="16:17">
      <c r="P678" s="4">
        <v>51543759</v>
      </c>
      <c r="Q678" s="1">
        <v>2.0999999999999999E-5</v>
      </c>
    </row>
    <row r="679" spans="16:17">
      <c r="P679" s="4">
        <v>51621036</v>
      </c>
      <c r="Q679" s="1">
        <v>2.0000000000000002E-5</v>
      </c>
    </row>
    <row r="680" spans="16:17">
      <c r="P680" s="4">
        <v>51698313</v>
      </c>
      <c r="Q680" s="1">
        <v>2.0000000000000002E-5</v>
      </c>
    </row>
    <row r="681" spans="16:17">
      <c r="P681" s="4">
        <v>51775590</v>
      </c>
      <c r="Q681" s="1">
        <v>2.0000000000000002E-5</v>
      </c>
    </row>
    <row r="682" spans="16:17">
      <c r="P682" s="4">
        <v>51852867</v>
      </c>
      <c r="Q682" s="1">
        <v>1.9000000000000001E-5</v>
      </c>
    </row>
    <row r="683" spans="16:17">
      <c r="P683" s="4">
        <v>51930144</v>
      </c>
      <c r="Q683" s="1">
        <v>1.9000000000000001E-5</v>
      </c>
    </row>
    <row r="684" spans="16:17">
      <c r="P684" s="4">
        <v>52007421</v>
      </c>
      <c r="Q684" s="1">
        <v>1.9000000000000001E-5</v>
      </c>
    </row>
    <row r="685" spans="16:17">
      <c r="P685" s="4">
        <v>52084698</v>
      </c>
      <c r="Q685" s="1">
        <v>1.9000000000000001E-5</v>
      </c>
    </row>
    <row r="686" spans="16:17">
      <c r="P686" s="4">
        <v>52161975</v>
      </c>
      <c r="Q686" s="1">
        <v>1.8E-5</v>
      </c>
    </row>
    <row r="687" spans="16:17">
      <c r="P687" s="4">
        <v>52239252</v>
      </c>
      <c r="Q687" s="1">
        <v>1.8E-5</v>
      </c>
    </row>
    <row r="688" spans="16:17">
      <c r="P688" s="4">
        <v>52316529</v>
      </c>
      <c r="Q688" s="1">
        <v>1.8E-5</v>
      </c>
    </row>
    <row r="689" spans="16:17">
      <c r="P689" s="4">
        <v>52393806</v>
      </c>
      <c r="Q689" s="1">
        <v>1.8E-5</v>
      </c>
    </row>
    <row r="690" spans="16:17">
      <c r="P690" s="4">
        <v>52471083</v>
      </c>
      <c r="Q690" s="1">
        <v>1.8E-5</v>
      </c>
    </row>
    <row r="691" spans="16:17">
      <c r="P691" s="4">
        <v>52548360</v>
      </c>
      <c r="Q691" s="1">
        <v>1.7E-5</v>
      </c>
    </row>
    <row r="692" spans="16:17">
      <c r="P692" s="4">
        <v>52625637</v>
      </c>
      <c r="Q692" s="1">
        <v>1.7E-5</v>
      </c>
    </row>
    <row r="693" spans="16:17">
      <c r="P693" s="4">
        <v>52702914</v>
      </c>
      <c r="Q693" s="1">
        <v>1.7E-5</v>
      </c>
    </row>
    <row r="694" spans="16:17">
      <c r="P694" s="4">
        <v>52780191</v>
      </c>
      <c r="Q694" s="1">
        <v>1.7E-5</v>
      </c>
    </row>
    <row r="695" spans="16:17">
      <c r="P695" s="4">
        <v>52857468</v>
      </c>
      <c r="Q695" s="1">
        <v>1.7E-5</v>
      </c>
    </row>
    <row r="696" spans="16:17">
      <c r="P696" s="4">
        <v>52934745</v>
      </c>
      <c r="Q696" s="1">
        <v>1.5999999999999999E-5</v>
      </c>
    </row>
    <row r="697" spans="16:17">
      <c r="P697" s="4">
        <v>53012022</v>
      </c>
      <c r="Q697" s="1">
        <v>1.5999999999999999E-5</v>
      </c>
    </row>
    <row r="698" spans="16:17">
      <c r="P698" s="4">
        <v>53089299</v>
      </c>
      <c r="Q698" s="1">
        <v>1.5999999999999999E-5</v>
      </c>
    </row>
    <row r="699" spans="16:17">
      <c r="P699" s="4">
        <v>53166576</v>
      </c>
      <c r="Q699" s="1">
        <v>1.5999999999999999E-5</v>
      </c>
    </row>
    <row r="700" spans="16:17">
      <c r="P700" s="4">
        <v>53243853</v>
      </c>
      <c r="Q700" s="1">
        <v>1.5999999999999999E-5</v>
      </c>
    </row>
    <row r="701" spans="16:17">
      <c r="P701" s="4">
        <v>53321130</v>
      </c>
      <c r="Q701" s="1">
        <v>1.5E-5</v>
      </c>
    </row>
    <row r="702" spans="16:17">
      <c r="P702" s="4">
        <v>53398407</v>
      </c>
      <c r="Q702" s="1">
        <v>1.5E-5</v>
      </c>
    </row>
    <row r="703" spans="16:17">
      <c r="P703" s="4">
        <v>53475684</v>
      </c>
      <c r="Q703" s="1">
        <v>1.5E-5</v>
      </c>
    </row>
    <row r="704" spans="16:17">
      <c r="P704" s="4">
        <v>53552961</v>
      </c>
      <c r="Q704" s="1">
        <v>1.5E-5</v>
      </c>
    </row>
    <row r="705" spans="16:17">
      <c r="P705" s="4">
        <v>53630238</v>
      </c>
      <c r="Q705" s="1">
        <v>1.5E-5</v>
      </c>
    </row>
    <row r="706" spans="16:17">
      <c r="P706" s="4">
        <v>53707515</v>
      </c>
      <c r="Q706" s="1">
        <v>1.5E-5</v>
      </c>
    </row>
    <row r="707" spans="16:17">
      <c r="P707" s="4">
        <v>53784792</v>
      </c>
      <c r="Q707" s="1">
        <v>1.4E-5</v>
      </c>
    </row>
    <row r="708" spans="16:17">
      <c r="P708" s="4">
        <v>53862069</v>
      </c>
      <c r="Q708" s="1">
        <v>1.4E-5</v>
      </c>
    </row>
    <row r="709" spans="16:17">
      <c r="P709" s="4">
        <v>53939346</v>
      </c>
      <c r="Q709" s="1">
        <v>1.4E-5</v>
      </c>
    </row>
    <row r="710" spans="16:17">
      <c r="P710" s="4">
        <v>54016623</v>
      </c>
      <c r="Q710" s="1">
        <v>1.4E-5</v>
      </c>
    </row>
    <row r="711" spans="16:17">
      <c r="P711" s="4">
        <v>54093900</v>
      </c>
      <c r="Q711" s="1">
        <v>1.4E-5</v>
      </c>
    </row>
    <row r="712" spans="16:17">
      <c r="P712" s="4">
        <v>54171177</v>
      </c>
      <c r="Q712" s="1">
        <v>1.4E-5</v>
      </c>
    </row>
    <row r="713" spans="16:17">
      <c r="P713" s="4">
        <v>54248454</v>
      </c>
      <c r="Q713" s="1">
        <v>1.2999999999999999E-5</v>
      </c>
    </row>
    <row r="714" spans="16:17">
      <c r="P714" s="4">
        <v>54325731</v>
      </c>
      <c r="Q714" s="1">
        <v>1.2999999999999999E-5</v>
      </c>
    </row>
    <row r="715" spans="16:17">
      <c r="P715" s="4">
        <v>54403008</v>
      </c>
      <c r="Q715" s="1">
        <v>1.2999999999999999E-5</v>
      </c>
    </row>
    <row r="716" spans="16:17">
      <c r="P716" s="4">
        <v>54480285</v>
      </c>
      <c r="Q716" s="1">
        <v>1.2999999999999999E-5</v>
      </c>
    </row>
    <row r="717" spans="16:17">
      <c r="P717" s="4">
        <v>54557562</v>
      </c>
      <c r="Q717" s="1">
        <v>1.2999999999999999E-5</v>
      </c>
    </row>
    <row r="718" spans="16:17">
      <c r="P718" s="4">
        <v>54634839</v>
      </c>
      <c r="Q718" s="1">
        <v>1.2999999999999999E-5</v>
      </c>
    </row>
    <row r="719" spans="16:17">
      <c r="P719" s="4">
        <v>54712116</v>
      </c>
      <c r="Q719" s="1">
        <v>1.2999999999999999E-5</v>
      </c>
    </row>
    <row r="720" spans="16:17">
      <c r="P720" s="4">
        <v>54789393</v>
      </c>
      <c r="Q720" s="1">
        <v>1.2E-5</v>
      </c>
    </row>
    <row r="721" spans="16:17">
      <c r="P721" s="4">
        <v>54866670</v>
      </c>
      <c r="Q721" s="1">
        <v>1.2E-5</v>
      </c>
    </row>
    <row r="722" spans="16:17">
      <c r="P722" s="4">
        <v>54943947</v>
      </c>
      <c r="Q722" s="1">
        <v>1.2E-5</v>
      </c>
    </row>
    <row r="723" spans="16:17">
      <c r="P723" s="4">
        <v>55021224</v>
      </c>
      <c r="Q723" s="1">
        <v>1.2E-5</v>
      </c>
    </row>
    <row r="724" spans="16:17">
      <c r="P724" s="4">
        <v>55098501</v>
      </c>
      <c r="Q724" s="1">
        <v>1.2E-5</v>
      </c>
    </row>
    <row r="725" spans="16:17">
      <c r="P725" s="4">
        <v>55175778</v>
      </c>
      <c r="Q725" s="1">
        <v>1.2E-5</v>
      </c>
    </row>
    <row r="726" spans="16:17">
      <c r="P726" s="4">
        <v>55253055</v>
      </c>
      <c r="Q726" s="1">
        <v>1.1E-5</v>
      </c>
    </row>
    <row r="727" spans="16:17">
      <c r="P727" s="4">
        <v>55330332</v>
      </c>
      <c r="Q727" s="1">
        <v>1.1E-5</v>
      </c>
    </row>
    <row r="728" spans="16:17">
      <c r="P728" s="4">
        <v>55407609</v>
      </c>
      <c r="Q728" s="1">
        <v>1.1E-5</v>
      </c>
    </row>
    <row r="729" spans="16:17">
      <c r="P729" s="4">
        <v>55484886</v>
      </c>
      <c r="Q729" s="1">
        <v>1.1E-5</v>
      </c>
    </row>
    <row r="730" spans="16:17">
      <c r="P730" s="4">
        <v>55562163</v>
      </c>
      <c r="Q730" s="1">
        <v>1.1E-5</v>
      </c>
    </row>
    <row r="731" spans="16:17">
      <c r="P731" s="4">
        <v>55639440</v>
      </c>
      <c r="Q731" s="1">
        <v>1.1E-5</v>
      </c>
    </row>
    <row r="732" spans="16:17">
      <c r="P732" s="4">
        <v>55716717</v>
      </c>
      <c r="Q732" s="1">
        <v>1.1E-5</v>
      </c>
    </row>
    <row r="733" spans="16:17">
      <c r="P733" s="4">
        <v>55793994</v>
      </c>
      <c r="Q733" s="1">
        <v>1.0000000000000001E-5</v>
      </c>
    </row>
    <row r="734" spans="16:17">
      <c r="P734" s="4">
        <v>55871271</v>
      </c>
      <c r="Q734" s="1">
        <v>1.0000000000000001E-5</v>
      </c>
    </row>
    <row r="735" spans="16:17">
      <c r="P735" s="4">
        <v>55948548</v>
      </c>
      <c r="Q735" s="1">
        <v>1.0000000000000001E-5</v>
      </c>
    </row>
    <row r="736" spans="16:17">
      <c r="P736" s="4">
        <v>56025825</v>
      </c>
      <c r="Q736" s="1">
        <v>1.0000000000000001E-5</v>
      </c>
    </row>
    <row r="737" spans="16:17">
      <c r="P737" s="4">
        <v>56103102</v>
      </c>
      <c r="Q737" s="1">
        <v>1.0000000000000001E-5</v>
      </c>
    </row>
    <row r="738" spans="16:17">
      <c r="P738" s="4">
        <v>56180379</v>
      </c>
      <c r="Q738" s="1">
        <v>1.0000000000000001E-5</v>
      </c>
    </row>
    <row r="739" spans="16:17">
      <c r="P739" s="4">
        <v>56257656</v>
      </c>
      <c r="Q739" s="1">
        <v>1.0000000000000001E-5</v>
      </c>
    </row>
    <row r="740" spans="16:17">
      <c r="P740" s="4">
        <v>56334933</v>
      </c>
      <c r="Q740" s="1">
        <v>1.0000000000000001E-5</v>
      </c>
    </row>
    <row r="741" spans="16:17">
      <c r="P741" s="4">
        <v>56412210</v>
      </c>
      <c r="Q741" s="1">
        <v>9.0000000000000002E-6</v>
      </c>
    </row>
    <row r="742" spans="16:17">
      <c r="P742" s="4">
        <v>56489487</v>
      </c>
      <c r="Q742" s="1">
        <v>9.0000000000000002E-6</v>
      </c>
    </row>
    <row r="743" spans="16:17">
      <c r="P743" s="4">
        <v>56566764</v>
      </c>
      <c r="Q743" s="1">
        <v>9.0000000000000002E-6</v>
      </c>
    </row>
    <row r="744" spans="16:17">
      <c r="P744" s="4">
        <v>56644041</v>
      </c>
      <c r="Q744" s="1">
        <v>9.0000000000000002E-6</v>
      </c>
    </row>
    <row r="745" spans="16:17">
      <c r="P745" s="4">
        <v>56721318</v>
      </c>
      <c r="Q745" s="1">
        <v>9.0000000000000002E-6</v>
      </c>
    </row>
    <row r="746" spans="16:17">
      <c r="P746" s="4">
        <v>56798595</v>
      </c>
      <c r="Q746" s="1">
        <v>9.0000000000000002E-6</v>
      </c>
    </row>
    <row r="747" spans="16:17">
      <c r="P747" s="4">
        <v>56875872</v>
      </c>
      <c r="Q747" s="1">
        <v>9.0000000000000002E-6</v>
      </c>
    </row>
    <row r="748" spans="16:17">
      <c r="P748" s="4">
        <v>56953149</v>
      </c>
      <c r="Q748" s="1">
        <v>9.0000000000000002E-6</v>
      </c>
    </row>
    <row r="749" spans="16:17">
      <c r="P749" s="4">
        <v>57030426</v>
      </c>
      <c r="Q749" s="1">
        <v>9.0000000000000002E-6</v>
      </c>
    </row>
    <row r="750" spans="16:17">
      <c r="P750" s="4">
        <v>57107703</v>
      </c>
      <c r="Q750" s="1">
        <v>7.9999999999999996E-6</v>
      </c>
    </row>
    <row r="751" spans="16:17">
      <c r="P751" s="4">
        <v>57184980</v>
      </c>
      <c r="Q751" s="1">
        <v>7.9999999999999996E-6</v>
      </c>
    </row>
    <row r="752" spans="16:17">
      <c r="P752" s="4">
        <v>57262257</v>
      </c>
      <c r="Q752" s="1">
        <v>7.9999999999999996E-6</v>
      </c>
    </row>
    <row r="753" spans="16:17">
      <c r="P753" s="4">
        <v>57339534</v>
      </c>
      <c r="Q753" s="1">
        <v>7.9999999999999996E-6</v>
      </c>
    </row>
    <row r="754" spans="16:17">
      <c r="P754" s="4">
        <v>57416811</v>
      </c>
      <c r="Q754" s="1">
        <v>7.9999999999999996E-6</v>
      </c>
    </row>
    <row r="755" spans="16:17">
      <c r="P755" s="4">
        <v>57494088</v>
      </c>
      <c r="Q755" s="1">
        <v>7.9999999999999996E-6</v>
      </c>
    </row>
    <row r="756" spans="16:17">
      <c r="P756" s="4">
        <v>57571365</v>
      </c>
      <c r="Q756" s="1">
        <v>7.9999999999999996E-6</v>
      </c>
    </row>
    <row r="757" spans="16:17">
      <c r="P757" s="4">
        <v>57648642</v>
      </c>
      <c r="Q757" s="1">
        <v>7.9999999999999996E-6</v>
      </c>
    </row>
    <row r="758" spans="16:17">
      <c r="P758" s="4">
        <v>57725919</v>
      </c>
      <c r="Q758" s="1">
        <v>7.9999999999999996E-6</v>
      </c>
    </row>
    <row r="759" spans="16:17">
      <c r="P759" s="4">
        <v>57803196</v>
      </c>
      <c r="Q759" s="1">
        <v>7.9999999999999996E-6</v>
      </c>
    </row>
    <row r="760" spans="16:17">
      <c r="P760" s="4">
        <v>57880473</v>
      </c>
      <c r="Q760" s="1">
        <v>6.9999999999999999E-6</v>
      </c>
    </row>
    <row r="761" spans="16:17">
      <c r="P761" s="4">
        <v>57957750</v>
      </c>
      <c r="Q761" s="1">
        <v>6.9999999999999999E-6</v>
      </c>
    </row>
    <row r="762" spans="16:17">
      <c r="P762" s="4">
        <v>58035027</v>
      </c>
      <c r="Q762" s="1">
        <v>6.9999999999999999E-6</v>
      </c>
    </row>
    <row r="763" spans="16:17">
      <c r="P763" s="4">
        <v>58112304</v>
      </c>
      <c r="Q763" s="1">
        <v>6.9999999999999999E-6</v>
      </c>
    </row>
    <row r="764" spans="16:17">
      <c r="P764" s="4">
        <v>58189581</v>
      </c>
      <c r="Q764" s="1">
        <v>6.9999999999999999E-6</v>
      </c>
    </row>
    <row r="765" spans="16:17">
      <c r="P765" s="4">
        <v>58266858</v>
      </c>
      <c r="Q765" s="1">
        <v>6.9999999999999999E-6</v>
      </c>
    </row>
    <row r="766" spans="16:17">
      <c r="P766" s="4">
        <v>58344135</v>
      </c>
      <c r="Q766" s="1">
        <v>6.9999999999999999E-6</v>
      </c>
    </row>
    <row r="767" spans="16:17">
      <c r="P767" s="4">
        <v>58421412</v>
      </c>
      <c r="Q767" s="1">
        <v>6.9999999999999999E-6</v>
      </c>
    </row>
    <row r="768" spans="16:17">
      <c r="P768" s="4">
        <v>58498689</v>
      </c>
      <c r="Q768" s="1">
        <v>6.9999999999999999E-6</v>
      </c>
    </row>
    <row r="769" spans="16:17">
      <c r="P769" s="4">
        <v>58575966</v>
      </c>
      <c r="Q769" s="1">
        <v>6.9999999999999999E-6</v>
      </c>
    </row>
    <row r="770" spans="16:17">
      <c r="P770" s="4">
        <v>58653243</v>
      </c>
      <c r="Q770" s="1">
        <v>6.9999999999999999E-6</v>
      </c>
    </row>
    <row r="771" spans="16:17">
      <c r="P771" s="4">
        <v>58730520</v>
      </c>
      <c r="Q771" s="1">
        <v>6.9999999999999999E-6</v>
      </c>
    </row>
    <row r="772" spans="16:17">
      <c r="P772" s="4">
        <v>58807797</v>
      </c>
      <c r="Q772" s="1">
        <v>6.0000000000000002E-6</v>
      </c>
    </row>
    <row r="773" spans="16:17">
      <c r="P773" s="4">
        <v>58885074</v>
      </c>
      <c r="Q773" s="1">
        <v>6.0000000000000002E-6</v>
      </c>
    </row>
    <row r="774" spans="16:17">
      <c r="P774" s="4"/>
      <c r="Q774" s="1"/>
    </row>
    <row r="775" spans="16:17">
      <c r="P775" s="4"/>
      <c r="Q775" s="1"/>
    </row>
    <row r="776" spans="16:17">
      <c r="P776" s="4"/>
      <c r="Q776" s="1"/>
    </row>
    <row r="777" spans="16:17">
      <c r="P777" s="4"/>
      <c r="Q777" s="1"/>
    </row>
    <row r="778" spans="16:17">
      <c r="P778" s="4"/>
      <c r="Q778" s="1"/>
    </row>
    <row r="779" spans="16:17">
      <c r="P779" s="4"/>
      <c r="Q779" s="1"/>
    </row>
    <row r="780" spans="16:17">
      <c r="P780" s="4"/>
      <c r="Q780" s="1"/>
    </row>
    <row r="781" spans="16:17">
      <c r="P781" s="4"/>
      <c r="Q781" s="1"/>
    </row>
    <row r="782" spans="16:17">
      <c r="P782" s="4"/>
      <c r="Q782" s="1"/>
    </row>
    <row r="783" spans="16:17">
      <c r="P783" s="4"/>
      <c r="Q783" s="1"/>
    </row>
    <row r="784" spans="16:17">
      <c r="P784" s="4"/>
      <c r="Q784" s="1"/>
    </row>
    <row r="785" spans="16:17">
      <c r="P785" s="4"/>
      <c r="Q785" s="1"/>
    </row>
    <row r="786" spans="16:17">
      <c r="P786" s="4"/>
      <c r="Q786" s="1"/>
    </row>
    <row r="787" spans="16:17">
      <c r="P787" s="4"/>
      <c r="Q787" s="1"/>
    </row>
    <row r="788" spans="16:17">
      <c r="P788" s="4"/>
      <c r="Q788" s="1"/>
    </row>
    <row r="789" spans="16:17">
      <c r="P789" s="4"/>
      <c r="Q789" s="1"/>
    </row>
    <row r="790" spans="16:17">
      <c r="P790" s="4"/>
      <c r="Q790" s="1"/>
    </row>
    <row r="791" spans="16:17">
      <c r="P791" s="4"/>
      <c r="Q791" s="1"/>
    </row>
    <row r="792" spans="16:17">
      <c r="P792" s="4"/>
      <c r="Q792" s="1"/>
    </row>
    <row r="793" spans="16:17">
      <c r="P793" s="4"/>
      <c r="Q793" s="1"/>
    </row>
    <row r="794" spans="16:17">
      <c r="P794" s="4"/>
      <c r="Q794" s="1"/>
    </row>
    <row r="795" spans="16:17">
      <c r="P795" s="4"/>
      <c r="Q795" s="1"/>
    </row>
    <row r="796" spans="16:17">
      <c r="P796" s="4"/>
      <c r="Q796" s="1"/>
    </row>
    <row r="797" spans="16:17">
      <c r="P797" s="4"/>
      <c r="Q797" s="1"/>
    </row>
    <row r="798" spans="16:17">
      <c r="P798" s="4"/>
      <c r="Q798" s="1"/>
    </row>
    <row r="799" spans="16:17">
      <c r="P799" s="4"/>
      <c r="Q799" s="1"/>
    </row>
    <row r="800" spans="16:17">
      <c r="P800" s="4"/>
      <c r="Q800" s="1"/>
    </row>
    <row r="801" spans="16:17">
      <c r="P801" s="4"/>
      <c r="Q801" s="1"/>
    </row>
    <row r="802" spans="16:17">
      <c r="P802" s="4"/>
      <c r="Q802" s="1"/>
    </row>
    <row r="803" spans="16:17">
      <c r="P803" s="4"/>
      <c r="Q803" s="1"/>
    </row>
    <row r="804" spans="16:17">
      <c r="P804" s="4"/>
      <c r="Q804" s="1"/>
    </row>
    <row r="805" spans="16:17">
      <c r="P805" s="4"/>
      <c r="Q805" s="1"/>
    </row>
    <row r="806" spans="16:17">
      <c r="P806" s="4"/>
      <c r="Q806" s="1"/>
    </row>
    <row r="807" spans="16:17">
      <c r="P807" s="4"/>
      <c r="Q807" s="1"/>
    </row>
    <row r="808" spans="16:17">
      <c r="P808" s="4"/>
      <c r="Q808" s="1"/>
    </row>
    <row r="809" spans="16:17">
      <c r="P809" s="4"/>
      <c r="Q809" s="1"/>
    </row>
    <row r="810" spans="16:17">
      <c r="P810" s="4"/>
      <c r="Q810" s="1"/>
    </row>
    <row r="811" spans="16:17">
      <c r="P811" s="4"/>
      <c r="Q811" s="1"/>
    </row>
    <row r="812" spans="16:17">
      <c r="P812" s="4"/>
      <c r="Q812" s="1"/>
    </row>
    <row r="813" spans="16:17">
      <c r="P813" s="4"/>
      <c r="Q813" s="1"/>
    </row>
    <row r="814" spans="16:17">
      <c r="P814" s="4"/>
      <c r="Q814" s="1"/>
    </row>
    <row r="815" spans="16:17">
      <c r="P815" s="4"/>
      <c r="Q815" s="1"/>
    </row>
    <row r="816" spans="16:17">
      <c r="P816" s="4"/>
      <c r="Q816" s="1"/>
    </row>
    <row r="817" spans="16:17">
      <c r="P817" s="4"/>
      <c r="Q817" s="1"/>
    </row>
    <row r="818" spans="16:17">
      <c r="P818" s="4"/>
      <c r="Q818" s="1"/>
    </row>
    <row r="819" spans="16:17">
      <c r="P819" s="4"/>
      <c r="Q819" s="1"/>
    </row>
    <row r="820" spans="16:17">
      <c r="P820" s="4"/>
      <c r="Q820" s="1"/>
    </row>
    <row r="821" spans="16:17">
      <c r="P821" s="4"/>
      <c r="Q821" s="1"/>
    </row>
    <row r="822" spans="16:17">
      <c r="P822" s="4"/>
      <c r="Q822" s="1"/>
    </row>
    <row r="823" spans="16:17">
      <c r="P823" s="4"/>
      <c r="Q823" s="1"/>
    </row>
    <row r="824" spans="16:17">
      <c r="P824" s="4"/>
      <c r="Q824" s="1"/>
    </row>
    <row r="825" spans="16:17">
      <c r="P825" s="4"/>
      <c r="Q825" s="1"/>
    </row>
    <row r="826" spans="16:17">
      <c r="P826" s="4"/>
      <c r="Q826" s="1"/>
    </row>
    <row r="827" spans="16:17">
      <c r="P827" s="4"/>
      <c r="Q827" s="1"/>
    </row>
    <row r="828" spans="16:17">
      <c r="P828" s="4"/>
      <c r="Q828" s="1"/>
    </row>
    <row r="829" spans="16:17">
      <c r="P829" s="4"/>
      <c r="Q829" s="1"/>
    </row>
    <row r="830" spans="16:17">
      <c r="P830" s="4"/>
      <c r="Q830" s="1"/>
    </row>
    <row r="831" spans="16:17">
      <c r="P831" s="4"/>
      <c r="Q831" s="1"/>
    </row>
    <row r="832" spans="16:17">
      <c r="P832" s="4"/>
      <c r="Q832" s="1"/>
    </row>
    <row r="833" spans="16:17">
      <c r="P833" s="4"/>
      <c r="Q833" s="1"/>
    </row>
    <row r="834" spans="16:17">
      <c r="P834" s="4"/>
      <c r="Q834" s="1"/>
    </row>
    <row r="835" spans="16:17">
      <c r="P835" s="4"/>
      <c r="Q835" s="1"/>
    </row>
    <row r="836" spans="16:17">
      <c r="P836" s="4"/>
      <c r="Q836" s="1"/>
    </row>
    <row r="837" spans="16:17">
      <c r="P837" s="4"/>
      <c r="Q837" s="1"/>
    </row>
    <row r="838" spans="16:17">
      <c r="P838" s="4"/>
      <c r="Q838" s="1"/>
    </row>
    <row r="839" spans="16:17">
      <c r="P839" s="4"/>
      <c r="Q839" s="1"/>
    </row>
    <row r="840" spans="16:17">
      <c r="P840" s="4"/>
      <c r="Q840" s="1"/>
    </row>
    <row r="841" spans="16:17">
      <c r="P841" s="4"/>
      <c r="Q841" s="1"/>
    </row>
    <row r="842" spans="16:17">
      <c r="P842" s="4"/>
      <c r="Q842" s="1"/>
    </row>
    <row r="843" spans="16:17">
      <c r="P843" s="4"/>
      <c r="Q843" s="1"/>
    </row>
    <row r="844" spans="16:17">
      <c r="P844" s="4"/>
      <c r="Q844" s="1"/>
    </row>
    <row r="845" spans="16:17">
      <c r="P845" s="4"/>
      <c r="Q845" s="1"/>
    </row>
    <row r="846" spans="16:17">
      <c r="P846" s="4"/>
      <c r="Q846" s="1"/>
    </row>
    <row r="847" spans="16:17">
      <c r="P847" s="4"/>
      <c r="Q847" s="1"/>
    </row>
    <row r="848" spans="16:17">
      <c r="P848" s="4"/>
      <c r="Q848" s="1"/>
    </row>
    <row r="849" spans="16:17">
      <c r="P849" s="4"/>
      <c r="Q849" s="1"/>
    </row>
    <row r="850" spans="16:17">
      <c r="P850" s="4"/>
      <c r="Q850" s="1"/>
    </row>
    <row r="851" spans="16:17">
      <c r="P851" s="4"/>
      <c r="Q851" s="1"/>
    </row>
    <row r="852" spans="16:17">
      <c r="P852" s="4"/>
      <c r="Q852" s="1"/>
    </row>
    <row r="853" spans="16:17">
      <c r="P853" s="4"/>
      <c r="Q853" s="1"/>
    </row>
    <row r="854" spans="16:17">
      <c r="P854" s="4"/>
      <c r="Q854" s="1"/>
    </row>
    <row r="855" spans="16:17">
      <c r="P855" s="4"/>
      <c r="Q855" s="1"/>
    </row>
    <row r="856" spans="16:17">
      <c r="P856" s="4"/>
      <c r="Q856" s="1"/>
    </row>
    <row r="857" spans="16:17">
      <c r="P857" s="4"/>
      <c r="Q857" s="1"/>
    </row>
    <row r="858" spans="16:17">
      <c r="P858" s="4"/>
      <c r="Q858" s="1"/>
    </row>
    <row r="859" spans="16:17">
      <c r="P859" s="4"/>
      <c r="Q859" s="1"/>
    </row>
    <row r="860" spans="16:17">
      <c r="P860" s="4"/>
      <c r="Q860" s="1"/>
    </row>
    <row r="861" spans="16:17">
      <c r="P861" s="4"/>
      <c r="Q861" s="1"/>
    </row>
    <row r="862" spans="16:17">
      <c r="P862" s="4"/>
      <c r="Q862" s="1"/>
    </row>
    <row r="863" spans="16:17">
      <c r="P863" s="4"/>
      <c r="Q863" s="1"/>
    </row>
    <row r="864" spans="16:17">
      <c r="P864" s="4"/>
      <c r="Q864" s="1"/>
    </row>
    <row r="865" spans="16:17">
      <c r="P865" s="4"/>
      <c r="Q865" s="1"/>
    </row>
    <row r="866" spans="16:17">
      <c r="P866" s="4"/>
      <c r="Q866" s="1"/>
    </row>
    <row r="867" spans="16:17">
      <c r="P867" s="4"/>
      <c r="Q867" s="1"/>
    </row>
    <row r="868" spans="16:17">
      <c r="P868" s="4"/>
      <c r="Q868" s="1"/>
    </row>
    <row r="869" spans="16:17">
      <c r="P869" s="4"/>
      <c r="Q869" s="1"/>
    </row>
    <row r="870" spans="16:17">
      <c r="P870" s="4"/>
      <c r="Q870" s="1"/>
    </row>
    <row r="871" spans="16:17">
      <c r="P871" s="4"/>
      <c r="Q871" s="1"/>
    </row>
    <row r="872" spans="16:17">
      <c r="P872" s="4"/>
      <c r="Q872" s="1"/>
    </row>
    <row r="873" spans="16:17">
      <c r="P873" s="4"/>
      <c r="Q873" s="1"/>
    </row>
    <row r="874" spans="16:17">
      <c r="P874" s="4"/>
      <c r="Q874" s="1"/>
    </row>
    <row r="875" spans="16:17">
      <c r="P875" s="4"/>
      <c r="Q875" s="1"/>
    </row>
    <row r="876" spans="16:17">
      <c r="P876" s="4"/>
      <c r="Q876" s="1"/>
    </row>
    <row r="877" spans="16:17">
      <c r="P877" s="4"/>
      <c r="Q877" s="1"/>
    </row>
    <row r="878" spans="16:17">
      <c r="P878" s="4"/>
      <c r="Q878" s="1"/>
    </row>
    <row r="879" spans="16:17">
      <c r="P879" s="4"/>
      <c r="Q879" s="1"/>
    </row>
    <row r="880" spans="16:17">
      <c r="P880" s="4"/>
      <c r="Q880" s="1"/>
    </row>
    <row r="881" spans="16:17">
      <c r="P881" s="4"/>
      <c r="Q881" s="1"/>
    </row>
    <row r="882" spans="16:17">
      <c r="P882" s="4"/>
      <c r="Q882" s="1"/>
    </row>
    <row r="883" spans="16:17">
      <c r="P883" s="4"/>
      <c r="Q883" s="1"/>
    </row>
    <row r="884" spans="16:17">
      <c r="P884" s="4"/>
      <c r="Q884" s="1"/>
    </row>
    <row r="885" spans="16:17">
      <c r="P885" s="4"/>
      <c r="Q885" s="1"/>
    </row>
    <row r="886" spans="16:17">
      <c r="P886" s="4"/>
      <c r="Q886" s="1"/>
    </row>
    <row r="887" spans="16:17">
      <c r="P887" s="4"/>
      <c r="Q887" s="1"/>
    </row>
    <row r="888" spans="16:17">
      <c r="P888" s="4"/>
      <c r="Q888" s="1"/>
    </row>
    <row r="889" spans="16:17">
      <c r="P889" s="4"/>
      <c r="Q889" s="1"/>
    </row>
    <row r="890" spans="16:17">
      <c r="P890" s="4"/>
      <c r="Q890" s="1"/>
    </row>
    <row r="891" spans="16:17">
      <c r="P891" s="4"/>
      <c r="Q891" s="1"/>
    </row>
    <row r="892" spans="16:17">
      <c r="P892" s="4"/>
      <c r="Q892" s="1"/>
    </row>
    <row r="893" spans="16:17">
      <c r="P893" s="4"/>
      <c r="Q893" s="1"/>
    </row>
    <row r="894" spans="16:17">
      <c r="P894" s="4"/>
      <c r="Q894" s="1"/>
    </row>
    <row r="895" spans="16:17">
      <c r="P895" s="4"/>
      <c r="Q895" s="1"/>
    </row>
    <row r="896" spans="16:17">
      <c r="P896" s="4"/>
      <c r="Q896" s="1"/>
    </row>
    <row r="897" spans="16:17">
      <c r="P897" s="4"/>
      <c r="Q897" s="1"/>
    </row>
    <row r="898" spans="16:17">
      <c r="P898" s="4"/>
      <c r="Q898" s="1"/>
    </row>
  </sheetData>
  <phoneticPr fontId="4" type="noConversion"/>
  <pageMargins left="0.75" right="0.75" top="1" bottom="1" header="0.5" footer="0.5"/>
  <pageSetup paperSize="9" orientation="portrait" verticalDpi="1200" r:id="rId1"/>
  <headerFooter alignWithMargins="0">
    <oddHeader>&amp;A</oddHeader>
    <oddFooter>Page &amp;P</oddFooter>
  </headerFooter>
  <drawing r:id="rId2"/>
  <legacyDrawing r:id="rId3"/>
</worksheet>
</file>

<file path=xl/worksheets/sheet6.xml><?xml version="1.0" encoding="utf-8"?>
<worksheet xmlns="http://schemas.openxmlformats.org/spreadsheetml/2006/main" xmlns:r="http://schemas.openxmlformats.org/officeDocument/2006/relationships">
  <dimension ref="B2:AA488"/>
  <sheetViews>
    <sheetView showGridLines="0" workbookViewId="0">
      <selection activeCell="P12" sqref="P12"/>
    </sheetView>
  </sheetViews>
  <sheetFormatPr defaultRowHeight="12.75"/>
  <cols>
    <col min="1" max="1" width="2.28515625" customWidth="1"/>
    <col min="2" max="2" width="7.7109375" customWidth="1"/>
    <col min="3" max="8" width="9.85546875" customWidth="1"/>
    <col min="9" max="9" width="3.28515625" customWidth="1"/>
    <col min="10" max="10" width="6.42578125" customWidth="1"/>
    <col min="11" max="11" width="13.85546875" customWidth="1"/>
    <col min="12" max="12" width="11.28515625" customWidth="1"/>
    <col min="13" max="14" width="10.7109375" customWidth="1"/>
    <col min="15" max="15" width="12.28515625" customWidth="1"/>
    <col min="16" max="16" width="10.42578125" customWidth="1"/>
    <col min="17" max="17" width="3.28515625" customWidth="1"/>
    <col min="18" max="18" width="11.140625" customWidth="1"/>
    <col min="20" max="20" width="11" customWidth="1"/>
    <col min="21" max="21" width="3.28515625" customWidth="1"/>
    <col min="22" max="22" width="9.28515625" customWidth="1"/>
    <col min="23" max="23" width="10.140625" customWidth="1"/>
    <col min="24" max="24" width="3.28515625" customWidth="1"/>
    <col min="25" max="25" width="10.140625" customWidth="1"/>
    <col min="26" max="26" width="10" customWidth="1"/>
    <col min="27" max="27" width="3.28515625" customWidth="1"/>
    <col min="33" max="33" width="3.28515625" customWidth="1"/>
  </cols>
  <sheetData>
    <row r="2" spans="2:26">
      <c r="Q2" t="s">
        <v>41</v>
      </c>
    </row>
    <row r="9" spans="2:26">
      <c r="K9" s="3"/>
      <c r="L9" s="3"/>
      <c r="M9" s="3"/>
    </row>
    <row r="10" spans="2:26">
      <c r="J10" s="8"/>
      <c r="K10" s="3"/>
      <c r="L10" s="3"/>
      <c r="M10" s="3"/>
    </row>
    <row r="11" spans="2:26">
      <c r="J11" s="8"/>
      <c r="K11" s="3"/>
      <c r="L11" s="3"/>
      <c r="M11" s="3"/>
    </row>
    <row r="12" spans="2:26">
      <c r="J12" s="8"/>
      <c r="K12" s="3"/>
      <c r="L12" s="3"/>
      <c r="M12" s="3"/>
    </row>
    <row r="13" spans="2:26">
      <c r="J13" s="8"/>
      <c r="K13" s="3"/>
      <c r="L13" s="3"/>
      <c r="M13" s="3"/>
    </row>
    <row r="14" spans="2:26">
      <c r="J14" s="8"/>
      <c r="K14" s="3"/>
      <c r="L14" s="3"/>
      <c r="M14" s="3"/>
      <c r="R14" s="4"/>
      <c r="T14" s="4"/>
      <c r="U14" s="4"/>
      <c r="Z14" s="39"/>
    </row>
    <row r="15" spans="2:26" ht="20.25">
      <c r="B15" s="11" t="s">
        <v>42</v>
      </c>
      <c r="J15" s="83" t="s">
        <v>43</v>
      </c>
      <c r="M15" s="3"/>
      <c r="N15" s="3"/>
      <c r="O15" s="3"/>
      <c r="R15" s="35" t="s">
        <v>20</v>
      </c>
      <c r="T15" s="35"/>
    </row>
    <row r="16" spans="2:26">
      <c r="B16" s="14" t="s">
        <v>4</v>
      </c>
      <c r="C16" s="90" t="s">
        <v>44</v>
      </c>
      <c r="D16" s="89"/>
      <c r="E16" s="89"/>
      <c r="F16" s="90" t="s">
        <v>45</v>
      </c>
      <c r="G16" s="89"/>
      <c r="H16" s="89"/>
      <c r="J16" s="12"/>
      <c r="K16" s="12"/>
      <c r="L16" s="13"/>
      <c r="M16" s="14"/>
      <c r="N16" s="26"/>
      <c r="O16" s="26" t="s">
        <v>10</v>
      </c>
      <c r="P16" s="27" t="s">
        <v>21</v>
      </c>
      <c r="R16" s="26"/>
      <c r="S16" s="26"/>
      <c r="T16" s="26"/>
      <c r="V16" s="26"/>
      <c r="W16" s="26" t="s">
        <v>4</v>
      </c>
      <c r="Y16" s="26" t="s">
        <v>4</v>
      </c>
      <c r="Z16" s="26"/>
    </row>
    <row r="17" spans="2:27">
      <c r="B17" s="15" t="s">
        <v>9</v>
      </c>
      <c r="C17" s="91" t="s">
        <v>46</v>
      </c>
      <c r="D17" s="16" t="s">
        <v>47</v>
      </c>
      <c r="E17" s="16" t="s">
        <v>48</v>
      </c>
      <c r="F17" s="91" t="s">
        <v>46</v>
      </c>
      <c r="G17" s="16" t="s">
        <v>47</v>
      </c>
      <c r="H17" s="16" t="s">
        <v>48</v>
      </c>
      <c r="J17" s="28"/>
      <c r="K17" s="28"/>
      <c r="L17" s="28"/>
      <c r="M17" s="29"/>
      <c r="N17" s="30" t="s">
        <v>5</v>
      </c>
      <c r="O17" s="30" t="s">
        <v>6</v>
      </c>
      <c r="P17" s="31" t="s">
        <v>22</v>
      </c>
      <c r="R17" s="30"/>
      <c r="S17" s="30" t="s">
        <v>23</v>
      </c>
      <c r="T17" s="30" t="s">
        <v>24</v>
      </c>
      <c r="V17" s="30"/>
      <c r="W17" s="30" t="s">
        <v>25</v>
      </c>
      <c r="X17" s="8"/>
      <c r="Y17" s="30" t="s">
        <v>25</v>
      </c>
      <c r="Z17" s="30"/>
    </row>
    <row r="18" spans="2:27">
      <c r="B18" s="17" t="s">
        <v>13</v>
      </c>
      <c r="C18" s="92">
        <v>1.4999999999999999E-2</v>
      </c>
      <c r="D18" s="24">
        <v>2.5000000000000001E-2</v>
      </c>
      <c r="E18" s="24">
        <v>3.5000000000000003E-2</v>
      </c>
      <c r="F18" s="92">
        <f t="shared" ref="F18:H25" si="0">C18*0.5</f>
        <v>7.4999999999999997E-3</v>
      </c>
      <c r="G18" s="24">
        <f t="shared" si="0"/>
        <v>1.2500000000000001E-2</v>
      </c>
      <c r="H18" s="24">
        <f t="shared" si="0"/>
        <v>1.7500000000000002E-2</v>
      </c>
      <c r="J18" s="15" t="s">
        <v>49</v>
      </c>
      <c r="K18" s="15" t="s">
        <v>7</v>
      </c>
      <c r="L18" s="16" t="s">
        <v>8</v>
      </c>
      <c r="M18" s="15" t="s">
        <v>9</v>
      </c>
      <c r="N18" s="16" t="s">
        <v>10</v>
      </c>
      <c r="O18" s="16" t="s">
        <v>11</v>
      </c>
      <c r="P18" s="32" t="s">
        <v>26</v>
      </c>
      <c r="R18" s="15" t="s">
        <v>7</v>
      </c>
      <c r="S18" s="16" t="s">
        <v>25</v>
      </c>
      <c r="T18" s="16" t="s">
        <v>27</v>
      </c>
      <c r="V18" s="16" t="s">
        <v>28</v>
      </c>
      <c r="W18" s="16" t="s">
        <v>29</v>
      </c>
      <c r="Y18" s="16" t="s">
        <v>29</v>
      </c>
      <c r="Z18" s="16" t="s">
        <v>30</v>
      </c>
    </row>
    <row r="19" spans="2:27">
      <c r="B19" s="17" t="s">
        <v>14</v>
      </c>
      <c r="C19" s="92">
        <v>1.6E-2</v>
      </c>
      <c r="D19" s="24">
        <v>3.1E-2</v>
      </c>
      <c r="E19" s="24">
        <v>4.2000000000000003E-2</v>
      </c>
      <c r="F19" s="92">
        <f t="shared" si="0"/>
        <v>8.0000000000000002E-3</v>
      </c>
      <c r="G19" s="24">
        <f t="shared" si="0"/>
        <v>1.55E-2</v>
      </c>
      <c r="H19" s="24">
        <f t="shared" si="0"/>
        <v>2.1000000000000001E-2</v>
      </c>
      <c r="J19" s="80">
        <v>1</v>
      </c>
      <c r="K19" s="17" t="s">
        <v>50</v>
      </c>
      <c r="L19" s="18">
        <v>358475</v>
      </c>
      <c r="M19" s="19" t="s">
        <v>12</v>
      </c>
      <c r="N19" s="24">
        <f t="shared" ref="N19:N43" si="1">VLOOKUP($M19,MultiYearDefaultRates,2,FALSE)</f>
        <v>0.3</v>
      </c>
      <c r="O19" s="24">
        <f t="shared" ref="O19:O43" si="2">VLOOKUP($M19,MultiYearDefaultRates,5,FALSE)</f>
        <v>0.15</v>
      </c>
      <c r="P19" s="37">
        <v>1</v>
      </c>
      <c r="Q19" s="4"/>
      <c r="R19" s="17" t="s">
        <v>50</v>
      </c>
      <c r="S19" s="49">
        <v>107542.5</v>
      </c>
      <c r="T19" s="49">
        <v>127990</v>
      </c>
      <c r="V19" s="40" t="s">
        <v>5</v>
      </c>
      <c r="W19" s="18">
        <v>17277632</v>
      </c>
      <c r="X19" s="4"/>
      <c r="Y19" s="18">
        <v>0</v>
      </c>
      <c r="Z19" s="53">
        <v>5.7847999999999997E-2</v>
      </c>
      <c r="AA19" s="1"/>
    </row>
    <row r="20" spans="2:27">
      <c r="B20" s="17" t="s">
        <v>16</v>
      </c>
      <c r="C20" s="92">
        <v>0.03</v>
      </c>
      <c r="D20" s="24">
        <v>4.3999999999999997E-2</v>
      </c>
      <c r="E20" s="24">
        <v>5.2999999999999999E-2</v>
      </c>
      <c r="F20" s="92">
        <f t="shared" si="0"/>
        <v>1.4999999999999999E-2</v>
      </c>
      <c r="G20" s="24">
        <f t="shared" si="0"/>
        <v>2.1999999999999999E-2</v>
      </c>
      <c r="H20" s="24">
        <f t="shared" si="0"/>
        <v>2.6499999999999999E-2</v>
      </c>
      <c r="J20" s="17"/>
      <c r="K20" s="17" t="s">
        <v>51</v>
      </c>
      <c r="L20" s="18">
        <v>1089819</v>
      </c>
      <c r="M20" s="19" t="s">
        <v>12</v>
      </c>
      <c r="N20" s="24">
        <f t="shared" si="1"/>
        <v>0.3</v>
      </c>
      <c r="O20" s="24">
        <f t="shared" si="2"/>
        <v>0.15</v>
      </c>
      <c r="P20" s="37">
        <v>1</v>
      </c>
      <c r="Q20" s="4"/>
      <c r="R20" s="17" t="s">
        <v>51</v>
      </c>
      <c r="S20" s="49">
        <v>326945.7</v>
      </c>
      <c r="T20" s="49">
        <v>398799</v>
      </c>
      <c r="V20" s="47">
        <v>50</v>
      </c>
      <c r="W20" s="18">
        <v>14004723</v>
      </c>
      <c r="X20" s="4"/>
      <c r="Y20" s="18">
        <v>202389</v>
      </c>
      <c r="Z20" s="53">
        <v>0</v>
      </c>
      <c r="AA20" s="1"/>
    </row>
    <row r="21" spans="2:27">
      <c r="B21" s="17" t="s">
        <v>18</v>
      </c>
      <c r="C21" s="92">
        <v>0.05</v>
      </c>
      <c r="D21" s="24">
        <v>6.3E-2</v>
      </c>
      <c r="E21" s="24">
        <v>7.0000000000000007E-2</v>
      </c>
      <c r="F21" s="92">
        <f t="shared" si="0"/>
        <v>2.5000000000000001E-2</v>
      </c>
      <c r="G21" s="24">
        <f t="shared" si="0"/>
        <v>3.15E-2</v>
      </c>
      <c r="H21" s="24">
        <f t="shared" si="0"/>
        <v>3.5000000000000003E-2</v>
      </c>
      <c r="J21" s="17"/>
      <c r="K21" s="17" t="s">
        <v>52</v>
      </c>
      <c r="L21" s="18">
        <v>1799710</v>
      </c>
      <c r="M21" s="19" t="s">
        <v>15</v>
      </c>
      <c r="N21" s="24">
        <f t="shared" si="1"/>
        <v>0.1</v>
      </c>
      <c r="O21" s="24">
        <f t="shared" si="2"/>
        <v>0.05</v>
      </c>
      <c r="P21" s="37">
        <v>1</v>
      </c>
      <c r="Q21" s="4"/>
      <c r="R21" s="17" t="s">
        <v>52</v>
      </c>
      <c r="S21" s="49">
        <v>179971</v>
      </c>
      <c r="T21" s="49">
        <v>219839</v>
      </c>
      <c r="V21" s="47">
        <v>75</v>
      </c>
      <c r="W21" s="18">
        <v>24443572</v>
      </c>
      <c r="X21" s="4"/>
      <c r="Y21" s="18">
        <v>404778</v>
      </c>
      <c r="Z21" s="53">
        <v>1.2537E-2</v>
      </c>
      <c r="AA21" s="1"/>
    </row>
    <row r="22" spans="2:27">
      <c r="B22" s="17" t="s">
        <v>19</v>
      </c>
      <c r="C22" s="92">
        <v>7.4999999999999997E-2</v>
      </c>
      <c r="D22" s="24">
        <v>8.5999999999999993E-2</v>
      </c>
      <c r="E22" s="24">
        <v>8.5999999999999993E-2</v>
      </c>
      <c r="F22" s="92">
        <f t="shared" si="0"/>
        <v>3.7499999999999999E-2</v>
      </c>
      <c r="G22" s="24">
        <f t="shared" si="0"/>
        <v>4.2999999999999997E-2</v>
      </c>
      <c r="H22" s="24">
        <f t="shared" si="0"/>
        <v>4.2999999999999997E-2</v>
      </c>
      <c r="J22" s="17"/>
      <c r="K22" s="17" t="s">
        <v>53</v>
      </c>
      <c r="L22" s="18">
        <v>1933116</v>
      </c>
      <c r="M22" s="19" t="s">
        <v>17</v>
      </c>
      <c r="N22" s="24">
        <f t="shared" si="1"/>
        <v>0.15</v>
      </c>
      <c r="O22" s="24">
        <f t="shared" si="2"/>
        <v>7.4999999999999997E-2</v>
      </c>
      <c r="P22" s="37">
        <v>1</v>
      </c>
      <c r="Q22" s="4"/>
      <c r="R22" s="17" t="s">
        <v>53</v>
      </c>
      <c r="S22" s="49">
        <v>289967.40000000002</v>
      </c>
      <c r="T22" s="49">
        <v>358605</v>
      </c>
      <c r="V22" s="47">
        <v>95</v>
      </c>
      <c r="W22" s="18">
        <v>44412639</v>
      </c>
      <c r="X22" s="4"/>
      <c r="Y22" s="18">
        <v>607167</v>
      </c>
      <c r="Z22" s="53">
        <v>0</v>
      </c>
      <c r="AA22" s="1"/>
    </row>
    <row r="23" spans="2:27">
      <c r="B23" s="17" t="s">
        <v>15</v>
      </c>
      <c r="C23" s="92">
        <v>0.1</v>
      </c>
      <c r="D23" s="24">
        <v>0.10100000000000001</v>
      </c>
      <c r="E23" s="24">
        <v>9.6000000000000002E-2</v>
      </c>
      <c r="F23" s="92">
        <f t="shared" si="0"/>
        <v>0.05</v>
      </c>
      <c r="G23" s="24">
        <f t="shared" si="0"/>
        <v>5.0500000000000003E-2</v>
      </c>
      <c r="H23" s="24">
        <f t="shared" si="0"/>
        <v>4.8000000000000001E-2</v>
      </c>
      <c r="J23" s="17"/>
      <c r="K23" s="17" t="s">
        <v>54</v>
      </c>
      <c r="L23" s="18">
        <v>2317327</v>
      </c>
      <c r="M23" s="19" t="s">
        <v>17</v>
      </c>
      <c r="N23" s="24">
        <f t="shared" si="1"/>
        <v>0.15</v>
      </c>
      <c r="O23" s="24">
        <f t="shared" si="2"/>
        <v>7.4999999999999997E-2</v>
      </c>
      <c r="P23" s="37">
        <v>1</v>
      </c>
      <c r="Q23" s="4"/>
      <c r="R23" s="17" t="s">
        <v>54</v>
      </c>
      <c r="S23" s="49">
        <v>347599.05</v>
      </c>
      <c r="T23" s="49">
        <v>435219</v>
      </c>
      <c r="V23" s="47">
        <v>97.5</v>
      </c>
      <c r="W23" s="18">
        <v>52213223</v>
      </c>
      <c r="X23" s="4"/>
      <c r="Y23" s="18">
        <v>809556</v>
      </c>
      <c r="Z23" s="53">
        <v>1.6980000000000001E-3</v>
      </c>
      <c r="AA23" s="1"/>
    </row>
    <row r="24" spans="2:27">
      <c r="B24" s="17" t="s">
        <v>17</v>
      </c>
      <c r="C24" s="92">
        <v>0.15</v>
      </c>
      <c r="D24" s="24">
        <v>0.13100000000000001</v>
      </c>
      <c r="E24" s="24">
        <v>0.111</v>
      </c>
      <c r="F24" s="92">
        <f t="shared" si="0"/>
        <v>7.4999999999999997E-2</v>
      </c>
      <c r="G24" s="24">
        <f t="shared" si="0"/>
        <v>6.5500000000000003E-2</v>
      </c>
      <c r="H24" s="24">
        <f t="shared" si="0"/>
        <v>5.5500000000000001E-2</v>
      </c>
      <c r="J24" s="17"/>
      <c r="K24" s="17" t="s">
        <v>55</v>
      </c>
      <c r="L24" s="18">
        <v>2410929</v>
      </c>
      <c r="M24" s="19" t="s">
        <v>17</v>
      </c>
      <c r="N24" s="24">
        <f t="shared" si="1"/>
        <v>0.15</v>
      </c>
      <c r="O24" s="24">
        <f t="shared" si="2"/>
        <v>7.4999999999999997E-2</v>
      </c>
      <c r="P24" s="37">
        <v>1</v>
      </c>
      <c r="Q24" s="4"/>
      <c r="R24" s="17" t="s">
        <v>55</v>
      </c>
      <c r="S24" s="49">
        <v>361639.35</v>
      </c>
      <c r="T24" s="49">
        <v>449260</v>
      </c>
      <c r="V24" s="54">
        <v>99</v>
      </c>
      <c r="W24" s="52">
        <v>62100307</v>
      </c>
      <c r="X24" s="4"/>
      <c r="Y24" s="18">
        <v>1011945</v>
      </c>
      <c r="Z24" s="53">
        <v>3.5500000000000002E-3</v>
      </c>
      <c r="AA24" s="1"/>
    </row>
    <row r="25" spans="2:27">
      <c r="B25" s="20" t="s">
        <v>12</v>
      </c>
      <c r="C25" s="93">
        <v>0.3</v>
      </c>
      <c r="D25" s="25">
        <v>0.19900000000000001</v>
      </c>
      <c r="E25" s="25">
        <v>0.13400000000000001</v>
      </c>
      <c r="F25" s="93">
        <f t="shared" si="0"/>
        <v>0.15</v>
      </c>
      <c r="G25" s="25">
        <f t="shared" si="0"/>
        <v>9.9500000000000005E-2</v>
      </c>
      <c r="H25" s="25">
        <f t="shared" si="0"/>
        <v>6.7000000000000004E-2</v>
      </c>
      <c r="J25" s="17"/>
      <c r="K25" s="17" t="s">
        <v>56</v>
      </c>
      <c r="L25" s="18">
        <v>2652184</v>
      </c>
      <c r="M25" s="19" t="s">
        <v>12</v>
      </c>
      <c r="N25" s="24">
        <f t="shared" si="1"/>
        <v>0.3</v>
      </c>
      <c r="O25" s="24">
        <f t="shared" si="2"/>
        <v>0.15</v>
      </c>
      <c r="P25" s="37">
        <v>1</v>
      </c>
      <c r="Q25" s="4"/>
      <c r="R25" s="17" t="s">
        <v>56</v>
      </c>
      <c r="S25" s="49">
        <v>795655.2</v>
      </c>
      <c r="T25" s="49">
        <v>1012367</v>
      </c>
      <c r="V25" s="47">
        <v>99.5</v>
      </c>
      <c r="W25" s="18">
        <v>69344616</v>
      </c>
      <c r="X25" s="4"/>
      <c r="Y25" s="18">
        <v>1214334</v>
      </c>
      <c r="Z25" s="53">
        <v>7.8220000000000008E-3</v>
      </c>
      <c r="AA25" s="1"/>
    </row>
    <row r="26" spans="2:27">
      <c r="J26" s="17"/>
      <c r="K26" s="17" t="s">
        <v>57</v>
      </c>
      <c r="L26" s="18">
        <v>2957685</v>
      </c>
      <c r="M26" s="19" t="s">
        <v>17</v>
      </c>
      <c r="N26" s="24">
        <f t="shared" si="1"/>
        <v>0.15</v>
      </c>
      <c r="O26" s="24">
        <f t="shared" si="2"/>
        <v>7.4999999999999997E-2</v>
      </c>
      <c r="P26" s="37">
        <v>1</v>
      </c>
      <c r="Q26" s="4"/>
      <c r="R26" s="17" t="s">
        <v>57</v>
      </c>
      <c r="S26" s="49">
        <v>443652.75</v>
      </c>
      <c r="T26" s="49">
        <v>563033</v>
      </c>
      <c r="V26" s="47">
        <v>99.75</v>
      </c>
      <c r="W26" s="18">
        <v>76431751</v>
      </c>
      <c r="X26" s="4"/>
      <c r="Y26" s="18">
        <v>1416723</v>
      </c>
      <c r="Z26" s="53">
        <v>9.6199999999999996E-4</v>
      </c>
      <c r="AA26" s="1"/>
    </row>
    <row r="27" spans="2:27" ht="20.25">
      <c r="B27" s="34" t="s">
        <v>58</v>
      </c>
      <c r="C27" s="3"/>
      <c r="D27" s="3"/>
      <c r="E27" s="3"/>
      <c r="J27" s="17"/>
      <c r="K27" s="17" t="s">
        <v>59</v>
      </c>
      <c r="L27" s="18">
        <v>3137989</v>
      </c>
      <c r="M27" s="19" t="s">
        <v>18</v>
      </c>
      <c r="N27" s="24">
        <f t="shared" si="1"/>
        <v>0.05</v>
      </c>
      <c r="O27" s="24">
        <f t="shared" si="2"/>
        <v>2.5000000000000001E-2</v>
      </c>
      <c r="P27" s="37">
        <v>1</v>
      </c>
      <c r="Q27" s="4"/>
      <c r="R27" s="17" t="s">
        <v>59</v>
      </c>
      <c r="S27" s="49">
        <v>156899.45000000001</v>
      </c>
      <c r="T27" s="49">
        <v>200514</v>
      </c>
      <c r="V27" s="48">
        <v>99.9</v>
      </c>
      <c r="W27" s="21">
        <v>85604997</v>
      </c>
      <c r="X27" s="4"/>
      <c r="Y27" s="18">
        <v>1619112</v>
      </c>
      <c r="Z27" s="53">
        <v>4.2579999999999996E-3</v>
      </c>
      <c r="AA27" s="1"/>
    </row>
    <row r="28" spans="2:27">
      <c r="B28" s="12"/>
      <c r="C28" s="14"/>
      <c r="D28" s="27" t="s">
        <v>21</v>
      </c>
      <c r="E28" s="79" t="s">
        <v>60</v>
      </c>
      <c r="F28" s="79"/>
      <c r="G28" s="79"/>
      <c r="J28" s="17"/>
      <c r="K28" s="17" t="s">
        <v>61</v>
      </c>
      <c r="L28" s="18">
        <v>3204044</v>
      </c>
      <c r="M28" s="19" t="s">
        <v>18</v>
      </c>
      <c r="N28" s="24">
        <f t="shared" si="1"/>
        <v>0.05</v>
      </c>
      <c r="O28" s="24">
        <f t="shared" si="2"/>
        <v>2.5000000000000001E-2</v>
      </c>
      <c r="P28" s="37">
        <v>1</v>
      </c>
      <c r="Q28" s="4"/>
      <c r="R28" s="17" t="s">
        <v>61</v>
      </c>
      <c r="S28" s="49">
        <v>160202.20000000001</v>
      </c>
      <c r="T28" s="49">
        <v>203816</v>
      </c>
      <c r="Y28" s="18">
        <v>1821501</v>
      </c>
      <c r="Z28" s="53">
        <v>2.9589999999999998E-3</v>
      </c>
      <c r="AA28" s="1"/>
    </row>
    <row r="29" spans="2:27">
      <c r="B29" s="28"/>
      <c r="C29" s="29"/>
      <c r="D29" s="31" t="s">
        <v>22</v>
      </c>
      <c r="E29" s="78"/>
      <c r="F29" s="78"/>
      <c r="G29" s="78"/>
      <c r="J29" s="17"/>
      <c r="K29" s="17" t="s">
        <v>62</v>
      </c>
      <c r="L29" s="18">
        <v>4727724</v>
      </c>
      <c r="M29" s="19" t="s">
        <v>13</v>
      </c>
      <c r="N29" s="24">
        <f t="shared" si="1"/>
        <v>1.4999999999999999E-2</v>
      </c>
      <c r="O29" s="24">
        <f t="shared" si="2"/>
        <v>7.4999999999999997E-3</v>
      </c>
      <c r="P29" s="37">
        <v>1</v>
      </c>
      <c r="Q29" s="4"/>
      <c r="R29" s="17" t="s">
        <v>62</v>
      </c>
      <c r="S29" s="49">
        <v>70915.86</v>
      </c>
      <c r="T29" s="49">
        <v>94747</v>
      </c>
      <c r="Y29" s="18">
        <v>2023890</v>
      </c>
      <c r="Z29" s="53">
        <v>5.1269999999999996E-3</v>
      </c>
      <c r="AA29" s="1"/>
    </row>
    <row r="30" spans="2:27">
      <c r="B30" s="15" t="s">
        <v>7</v>
      </c>
      <c r="C30" s="15" t="s">
        <v>9</v>
      </c>
      <c r="D30" s="32" t="s">
        <v>26</v>
      </c>
      <c r="E30" s="16" t="s">
        <v>63</v>
      </c>
      <c r="F30" s="77" t="s">
        <v>64</v>
      </c>
      <c r="G30" s="77" t="s">
        <v>65</v>
      </c>
      <c r="J30" s="17"/>
      <c r="K30" s="17" t="s">
        <v>66</v>
      </c>
      <c r="L30" s="18">
        <v>4830517</v>
      </c>
      <c r="M30" s="19" t="s">
        <v>18</v>
      </c>
      <c r="N30" s="24">
        <f t="shared" si="1"/>
        <v>0.05</v>
      </c>
      <c r="O30" s="24">
        <f t="shared" si="2"/>
        <v>2.5000000000000001E-2</v>
      </c>
      <c r="P30" s="37">
        <v>1</v>
      </c>
      <c r="Q30" s="4"/>
      <c r="R30" s="17" t="s">
        <v>66</v>
      </c>
      <c r="S30" s="49">
        <v>241525.85</v>
      </c>
      <c r="T30" s="49">
        <v>320963</v>
      </c>
      <c r="Y30" s="18">
        <v>2226279</v>
      </c>
      <c r="Z30" s="53">
        <v>1.3649999999999999E-3</v>
      </c>
      <c r="AA30" s="1"/>
    </row>
    <row r="31" spans="2:27">
      <c r="B31" s="17">
        <v>1</v>
      </c>
      <c r="C31" s="19" t="s">
        <v>12</v>
      </c>
      <c r="D31" s="37">
        <v>1</v>
      </c>
      <c r="E31" s="18">
        <v>358475</v>
      </c>
      <c r="F31" s="18">
        <f>E31</f>
        <v>358475</v>
      </c>
      <c r="G31" s="18">
        <v>0</v>
      </c>
      <c r="J31" s="17"/>
      <c r="K31" s="17" t="s">
        <v>67</v>
      </c>
      <c r="L31" s="18">
        <v>4912097</v>
      </c>
      <c r="M31" s="19" t="s">
        <v>18</v>
      </c>
      <c r="N31" s="24">
        <f t="shared" si="1"/>
        <v>0.05</v>
      </c>
      <c r="O31" s="24">
        <f t="shared" si="2"/>
        <v>2.5000000000000001E-2</v>
      </c>
      <c r="P31" s="37">
        <v>1</v>
      </c>
      <c r="Q31" s="4"/>
      <c r="R31" s="17" t="s">
        <v>67</v>
      </c>
      <c r="S31" s="49">
        <v>245604.85</v>
      </c>
      <c r="T31" s="49">
        <v>330177</v>
      </c>
      <c r="Y31" s="18">
        <v>2428668</v>
      </c>
      <c r="Z31" s="53">
        <v>1.0199E-2</v>
      </c>
      <c r="AA31" s="1"/>
    </row>
    <row r="32" spans="2:27">
      <c r="B32" s="17">
        <v>2</v>
      </c>
      <c r="C32" s="19" t="s">
        <v>12</v>
      </c>
      <c r="D32" s="37">
        <v>1</v>
      </c>
      <c r="E32" s="18">
        <v>1089819</v>
      </c>
      <c r="F32" s="18">
        <v>0</v>
      </c>
      <c r="G32" s="18">
        <f>F32</f>
        <v>0</v>
      </c>
      <c r="J32" s="17"/>
      <c r="K32" s="17" t="s">
        <v>68</v>
      </c>
      <c r="L32" s="18">
        <v>4928989</v>
      </c>
      <c r="M32" s="19" t="s">
        <v>12</v>
      </c>
      <c r="N32" s="24">
        <f t="shared" si="1"/>
        <v>0.3</v>
      </c>
      <c r="O32" s="24">
        <f t="shared" si="2"/>
        <v>0.15</v>
      </c>
      <c r="P32" s="37">
        <v>1</v>
      </c>
      <c r="Q32" s="4"/>
      <c r="R32" s="17" t="s">
        <v>68</v>
      </c>
      <c r="S32" s="49">
        <v>1478696.7</v>
      </c>
      <c r="T32" s="49">
        <v>1986128</v>
      </c>
      <c r="Y32" s="18">
        <v>2631057</v>
      </c>
      <c r="Z32" s="53">
        <v>4.8299999999999998E-4</v>
      </c>
      <c r="AA32" s="1"/>
    </row>
    <row r="33" spans="2:27">
      <c r="B33" s="17">
        <v>3</v>
      </c>
      <c r="C33" s="19" t="s">
        <v>15</v>
      </c>
      <c r="D33" s="37">
        <v>1</v>
      </c>
      <c r="E33" s="18">
        <v>1799710</v>
      </c>
      <c r="F33" s="18">
        <v>0</v>
      </c>
      <c r="G33" s="18">
        <f>F33</f>
        <v>0</v>
      </c>
      <c r="J33" s="17"/>
      <c r="K33" s="17" t="s">
        <v>69</v>
      </c>
      <c r="L33" s="18">
        <v>5042312</v>
      </c>
      <c r="M33" s="19" t="s">
        <v>15</v>
      </c>
      <c r="N33" s="24">
        <f t="shared" si="1"/>
        <v>0.1</v>
      </c>
      <c r="O33" s="24">
        <f t="shared" si="2"/>
        <v>0.05</v>
      </c>
      <c r="P33" s="37">
        <v>1</v>
      </c>
      <c r="Q33" s="4"/>
      <c r="R33" s="17" t="s">
        <v>69</v>
      </c>
      <c r="S33" s="49">
        <v>504231.2</v>
      </c>
      <c r="T33" s="49">
        <v>673375</v>
      </c>
      <c r="Y33" s="18">
        <v>2833446</v>
      </c>
      <c r="Z33" s="53">
        <v>1.2907999999999999E-2</v>
      </c>
      <c r="AA33" s="1"/>
    </row>
    <row r="34" spans="2:27">
      <c r="B34" s="17">
        <v>4</v>
      </c>
      <c r="C34" s="19" t="s">
        <v>17</v>
      </c>
      <c r="D34" s="37">
        <v>1</v>
      </c>
      <c r="E34" s="18">
        <v>1933116</v>
      </c>
      <c r="F34" s="18">
        <f>E34/2</f>
        <v>966558</v>
      </c>
      <c r="G34" s="18">
        <v>0</v>
      </c>
      <c r="J34" s="17"/>
      <c r="K34" s="17" t="s">
        <v>70</v>
      </c>
      <c r="L34" s="18">
        <v>5320364</v>
      </c>
      <c r="M34" s="19" t="s">
        <v>19</v>
      </c>
      <c r="N34" s="24">
        <f t="shared" si="1"/>
        <v>7.4999999999999997E-2</v>
      </c>
      <c r="O34" s="24">
        <f t="shared" si="2"/>
        <v>3.7499999999999999E-2</v>
      </c>
      <c r="P34" s="37">
        <v>1</v>
      </c>
      <c r="Q34" s="4"/>
      <c r="R34" s="17" t="s">
        <v>70</v>
      </c>
      <c r="S34" s="49">
        <v>399027.3</v>
      </c>
      <c r="T34" s="49">
        <v>541946</v>
      </c>
      <c r="Y34" s="18">
        <v>3035835</v>
      </c>
      <c r="Z34" s="53">
        <v>7.3470000000000002E-3</v>
      </c>
      <c r="AA34" s="1"/>
    </row>
    <row r="35" spans="2:27">
      <c r="B35" s="17">
        <v>5</v>
      </c>
      <c r="C35" s="19" t="s">
        <v>17</v>
      </c>
      <c r="D35" s="37">
        <v>1</v>
      </c>
      <c r="E35" s="18">
        <v>2317327</v>
      </c>
      <c r="F35" s="18">
        <v>0</v>
      </c>
      <c r="G35" s="18">
        <f>F35</f>
        <v>0</v>
      </c>
      <c r="J35" s="17"/>
      <c r="K35" s="17" t="s">
        <v>71</v>
      </c>
      <c r="L35" s="18">
        <v>5435457</v>
      </c>
      <c r="M35" s="19" t="s">
        <v>18</v>
      </c>
      <c r="N35" s="24">
        <f t="shared" si="1"/>
        <v>0.05</v>
      </c>
      <c r="O35" s="24">
        <f t="shared" si="2"/>
        <v>2.5000000000000001E-2</v>
      </c>
      <c r="P35" s="37">
        <v>1</v>
      </c>
      <c r="Q35" s="4"/>
      <c r="R35" s="17" t="s">
        <v>71</v>
      </c>
      <c r="S35" s="49">
        <v>271772.84999999998</v>
      </c>
      <c r="T35" s="49">
        <v>367052</v>
      </c>
      <c r="Y35" s="18">
        <v>3238224</v>
      </c>
      <c r="Z35" s="53">
        <v>1.2189999999999999E-2</v>
      </c>
      <c r="AA35" s="1"/>
    </row>
    <row r="36" spans="2:27">
      <c r="B36" s="17">
        <v>6</v>
      </c>
      <c r="C36" s="19" t="s">
        <v>17</v>
      </c>
      <c r="D36" s="37">
        <v>1</v>
      </c>
      <c r="E36" s="18">
        <v>2410929</v>
      </c>
      <c r="F36" s="18">
        <v>0</v>
      </c>
      <c r="G36" s="18">
        <f>F36</f>
        <v>0</v>
      </c>
      <c r="J36" s="17"/>
      <c r="K36" s="17" t="s">
        <v>72</v>
      </c>
      <c r="L36" s="18">
        <v>5517586</v>
      </c>
      <c r="M36" s="19" t="s">
        <v>16</v>
      </c>
      <c r="N36" s="24">
        <f t="shared" si="1"/>
        <v>0.03</v>
      </c>
      <c r="O36" s="24">
        <f t="shared" si="2"/>
        <v>1.4999999999999999E-2</v>
      </c>
      <c r="P36" s="37">
        <v>1</v>
      </c>
      <c r="Q36" s="4"/>
      <c r="R36" s="17" t="s">
        <v>72</v>
      </c>
      <c r="S36" s="49">
        <v>165527.57999999999</v>
      </c>
      <c r="T36" s="49">
        <v>226039</v>
      </c>
      <c r="Y36" s="18">
        <v>3440613</v>
      </c>
      <c r="Z36" s="53">
        <v>2.846E-3</v>
      </c>
      <c r="AA36" s="1"/>
    </row>
    <row r="37" spans="2:27">
      <c r="B37" s="17">
        <v>7</v>
      </c>
      <c r="C37" s="19" t="s">
        <v>12</v>
      </c>
      <c r="D37" s="37">
        <v>1</v>
      </c>
      <c r="E37" s="18">
        <v>2652184</v>
      </c>
      <c r="F37" s="18">
        <v>0</v>
      </c>
      <c r="G37" s="18">
        <f>F37</f>
        <v>0</v>
      </c>
      <c r="J37" s="17"/>
      <c r="K37" s="17" t="s">
        <v>73</v>
      </c>
      <c r="L37" s="18">
        <v>5764596</v>
      </c>
      <c r="M37" s="19" t="s">
        <v>19</v>
      </c>
      <c r="N37" s="24">
        <f t="shared" si="1"/>
        <v>7.4999999999999997E-2</v>
      </c>
      <c r="O37" s="24">
        <f t="shared" si="2"/>
        <v>3.7499999999999999E-2</v>
      </c>
      <c r="P37" s="37">
        <v>1</v>
      </c>
      <c r="Q37" s="4"/>
      <c r="R37" s="17" t="s">
        <v>73</v>
      </c>
      <c r="S37" s="49">
        <v>432344.7</v>
      </c>
      <c r="T37" s="49">
        <v>592201</v>
      </c>
      <c r="Y37" s="18">
        <v>3643002</v>
      </c>
      <c r="Z37" s="53">
        <v>4.6759999999999996E-3</v>
      </c>
      <c r="AA37" s="1"/>
    </row>
    <row r="38" spans="2:27">
      <c r="B38" s="17">
        <v>8</v>
      </c>
      <c r="C38" s="19" t="s">
        <v>17</v>
      </c>
      <c r="D38" s="37">
        <v>1</v>
      </c>
      <c r="E38" s="18">
        <v>2957685</v>
      </c>
      <c r="F38" s="18">
        <v>0</v>
      </c>
      <c r="G38" s="18">
        <f>F38</f>
        <v>0</v>
      </c>
      <c r="J38" s="17"/>
      <c r="K38" s="17" t="s">
        <v>74</v>
      </c>
      <c r="L38" s="18">
        <v>5847845</v>
      </c>
      <c r="M38" s="19" t="s">
        <v>16</v>
      </c>
      <c r="N38" s="24">
        <f t="shared" si="1"/>
        <v>0.03</v>
      </c>
      <c r="O38" s="24">
        <f t="shared" si="2"/>
        <v>1.4999999999999999E-2</v>
      </c>
      <c r="P38" s="37">
        <v>1</v>
      </c>
      <c r="Q38" s="4"/>
      <c r="R38" s="17" t="s">
        <v>74</v>
      </c>
      <c r="S38" s="49">
        <v>175435.35</v>
      </c>
      <c r="T38" s="49">
        <v>239378</v>
      </c>
      <c r="Y38" s="18">
        <v>3845391</v>
      </c>
      <c r="Z38" s="53">
        <v>1.6379999999999999E-3</v>
      </c>
      <c r="AA38" s="1"/>
    </row>
    <row r="39" spans="2:27">
      <c r="B39" s="17">
        <v>9</v>
      </c>
      <c r="C39" s="19" t="s">
        <v>18</v>
      </c>
      <c r="D39" s="37">
        <v>1</v>
      </c>
      <c r="E39" s="18">
        <v>3137989</v>
      </c>
      <c r="F39" s="18">
        <f>E39</f>
        <v>3137989</v>
      </c>
      <c r="G39" s="18">
        <f>F39</f>
        <v>3137989</v>
      </c>
      <c r="J39" s="17"/>
      <c r="K39" s="17" t="s">
        <v>75</v>
      </c>
      <c r="L39" s="18">
        <v>6466533</v>
      </c>
      <c r="M39" s="19" t="s">
        <v>12</v>
      </c>
      <c r="N39" s="24">
        <f t="shared" si="1"/>
        <v>0.3</v>
      </c>
      <c r="O39" s="24">
        <f t="shared" si="2"/>
        <v>0.15</v>
      </c>
      <c r="P39" s="37">
        <v>1</v>
      </c>
      <c r="Q39" s="4"/>
      <c r="R39" s="17" t="s">
        <v>75</v>
      </c>
      <c r="S39" s="49">
        <v>1939959.9</v>
      </c>
      <c r="T39" s="49">
        <v>2687580</v>
      </c>
      <c r="Y39" s="18">
        <v>4047780</v>
      </c>
      <c r="Z39" s="53">
        <v>3.7789999999999998E-3</v>
      </c>
      <c r="AA39" s="1"/>
    </row>
    <row r="40" spans="2:27">
      <c r="B40" s="17">
        <v>10</v>
      </c>
      <c r="C40" s="19" t="s">
        <v>18</v>
      </c>
      <c r="D40" s="37">
        <v>1</v>
      </c>
      <c r="E40" s="18">
        <v>3204044</v>
      </c>
      <c r="F40" s="18">
        <f>E40</f>
        <v>3204044</v>
      </c>
      <c r="G40" s="18">
        <v>0</v>
      </c>
      <c r="J40" s="17"/>
      <c r="K40" s="17" t="s">
        <v>76</v>
      </c>
      <c r="L40" s="18">
        <v>6480322</v>
      </c>
      <c r="M40" s="19" t="s">
        <v>12</v>
      </c>
      <c r="N40" s="24">
        <f t="shared" si="1"/>
        <v>0.3</v>
      </c>
      <c r="O40" s="24">
        <f t="shared" si="2"/>
        <v>0.15</v>
      </c>
      <c r="P40" s="37">
        <v>1</v>
      </c>
      <c r="Q40" s="4"/>
      <c r="R40" s="17" t="s">
        <v>76</v>
      </c>
      <c r="S40" s="49">
        <v>1944096.6</v>
      </c>
      <c r="T40" s="49">
        <v>2729534</v>
      </c>
      <c r="Y40" s="18">
        <v>4250169</v>
      </c>
      <c r="Z40" s="53">
        <v>2.7439999999999999E-3</v>
      </c>
      <c r="AA40" s="1"/>
    </row>
    <row r="41" spans="2:27">
      <c r="B41" s="17">
        <v>11</v>
      </c>
      <c r="C41" s="19" t="s">
        <v>13</v>
      </c>
      <c r="D41" s="37">
        <v>1</v>
      </c>
      <c r="E41" s="18">
        <v>4727724</v>
      </c>
      <c r="F41" s="18">
        <f>E41</f>
        <v>4727724</v>
      </c>
      <c r="G41" s="18">
        <f>F41</f>
        <v>4727724</v>
      </c>
      <c r="J41" s="74"/>
      <c r="K41" s="74" t="s">
        <v>77</v>
      </c>
      <c r="L41" s="75">
        <v>7727651</v>
      </c>
      <c r="M41" s="76" t="s">
        <v>14</v>
      </c>
      <c r="N41" s="24">
        <f t="shared" si="1"/>
        <v>1.6E-2</v>
      </c>
      <c r="O41" s="24">
        <f t="shared" si="2"/>
        <v>8.0000000000000002E-3</v>
      </c>
      <c r="P41" s="73">
        <v>1</v>
      </c>
      <c r="Q41" s="4"/>
      <c r="R41" s="17" t="s">
        <v>77</v>
      </c>
      <c r="S41" s="49">
        <v>123642.416</v>
      </c>
      <c r="T41" s="49">
        <v>178615</v>
      </c>
      <c r="Y41" s="18">
        <v>4452558</v>
      </c>
      <c r="Z41" s="53">
        <v>3.722E-3</v>
      </c>
      <c r="AA41" s="1"/>
    </row>
    <row r="42" spans="2:27">
      <c r="B42" s="17">
        <v>12</v>
      </c>
      <c r="C42" s="19" t="s">
        <v>18</v>
      </c>
      <c r="D42" s="37">
        <v>1</v>
      </c>
      <c r="E42" s="18">
        <v>4830517</v>
      </c>
      <c r="F42" s="18">
        <v>0</v>
      </c>
      <c r="G42" s="18">
        <f>F42</f>
        <v>0</v>
      </c>
      <c r="J42" s="74"/>
      <c r="K42" s="74" t="s">
        <v>78</v>
      </c>
      <c r="L42" s="75">
        <v>15410906</v>
      </c>
      <c r="M42" s="76" t="s">
        <v>15</v>
      </c>
      <c r="N42" s="24">
        <f t="shared" si="1"/>
        <v>0.1</v>
      </c>
      <c r="O42" s="24">
        <f t="shared" si="2"/>
        <v>0.05</v>
      </c>
      <c r="P42" s="73">
        <v>1</v>
      </c>
      <c r="R42" s="17" t="s">
        <v>78</v>
      </c>
      <c r="S42" s="49">
        <v>1541090.6</v>
      </c>
      <c r="T42" s="49">
        <v>2646619</v>
      </c>
      <c r="Y42" s="18">
        <v>4654947</v>
      </c>
      <c r="Z42" s="53">
        <v>1.9059999999999999E-3</v>
      </c>
      <c r="AA42" s="1"/>
    </row>
    <row r="43" spans="2:27">
      <c r="B43" s="17">
        <v>13</v>
      </c>
      <c r="C43" s="19" t="s">
        <v>18</v>
      </c>
      <c r="D43" s="37">
        <v>1</v>
      </c>
      <c r="E43" s="18">
        <v>4912097</v>
      </c>
      <c r="F43" s="18">
        <f>E43</f>
        <v>4912097</v>
      </c>
      <c r="G43" s="18">
        <v>0</v>
      </c>
      <c r="J43" s="74"/>
      <c r="K43" s="74" t="s">
        <v>79</v>
      </c>
      <c r="L43" s="75">
        <v>20238895</v>
      </c>
      <c r="M43" s="76" t="s">
        <v>19</v>
      </c>
      <c r="N43" s="24">
        <f t="shared" si="1"/>
        <v>7.4999999999999997E-2</v>
      </c>
      <c r="O43" s="24">
        <f t="shared" si="2"/>
        <v>3.7499999999999999E-2</v>
      </c>
      <c r="P43" s="73">
        <v>1</v>
      </c>
      <c r="Q43" s="4"/>
      <c r="R43" s="17" t="s">
        <v>79</v>
      </c>
      <c r="S43" s="49">
        <v>1517917.125</v>
      </c>
      <c r="T43" s="49">
        <v>2846573</v>
      </c>
      <c r="Y43" s="18">
        <v>4857336</v>
      </c>
      <c r="Z43" s="53">
        <v>7.1659999999999996E-3</v>
      </c>
      <c r="AA43" s="1"/>
    </row>
    <row r="44" spans="2:27">
      <c r="B44" s="17">
        <v>14</v>
      </c>
      <c r="C44" s="19" t="s">
        <v>12</v>
      </c>
      <c r="D44" s="37">
        <v>1</v>
      </c>
      <c r="E44" s="18">
        <v>4928989</v>
      </c>
      <c r="F44" s="18">
        <v>0</v>
      </c>
      <c r="G44" s="18">
        <f>F44</f>
        <v>0</v>
      </c>
      <c r="J44" s="81">
        <v>2</v>
      </c>
      <c r="K44" s="74" t="s">
        <v>80</v>
      </c>
      <c r="L44" s="75">
        <v>358475</v>
      </c>
      <c r="M44" s="76" t="s">
        <v>12</v>
      </c>
      <c r="N44" s="24">
        <f t="shared" ref="N44:N53" si="3">VLOOKUP($M44,MultiYearDefaultRates,3,FALSE)</f>
        <v>0.19900000000000001</v>
      </c>
      <c r="O44" s="24">
        <f t="shared" ref="O44:O53" si="4">VLOOKUP($M44,MultiYearDefaultRates,6,FALSE)</f>
        <v>9.9500000000000005E-2</v>
      </c>
      <c r="P44" s="73">
        <v>1</v>
      </c>
      <c r="R44" s="17" t="s">
        <v>80</v>
      </c>
      <c r="S44" s="49">
        <v>71336.524999999994</v>
      </c>
      <c r="T44" s="49">
        <v>84900</v>
      </c>
      <c r="Y44" s="18">
        <v>5059725</v>
      </c>
      <c r="Z44" s="53">
        <v>1.609E-2</v>
      </c>
      <c r="AA44" s="1"/>
    </row>
    <row r="45" spans="2:27">
      <c r="B45" s="17">
        <v>15</v>
      </c>
      <c r="C45" s="19" t="s">
        <v>15</v>
      </c>
      <c r="D45" s="37">
        <v>1</v>
      </c>
      <c r="E45" s="18">
        <v>5042312</v>
      </c>
      <c r="F45" s="18">
        <v>0</v>
      </c>
      <c r="G45" s="18">
        <f>F45</f>
        <v>0</v>
      </c>
      <c r="J45" s="17"/>
      <c r="K45" s="17" t="s">
        <v>81</v>
      </c>
      <c r="L45" s="18">
        <v>966558</v>
      </c>
      <c r="M45" s="19" t="s">
        <v>17</v>
      </c>
      <c r="N45" s="24">
        <f t="shared" si="3"/>
        <v>0.13100000000000001</v>
      </c>
      <c r="O45" s="24">
        <f t="shared" si="4"/>
        <v>6.5500000000000003E-2</v>
      </c>
      <c r="P45" s="73">
        <v>1</v>
      </c>
      <c r="R45" s="17" t="s">
        <v>81</v>
      </c>
      <c r="S45" s="49">
        <v>126619.098</v>
      </c>
      <c r="T45" s="49">
        <v>151809</v>
      </c>
      <c r="Y45" s="18">
        <v>5262114</v>
      </c>
      <c r="Z45" s="53">
        <v>4.9220000000000002E-3</v>
      </c>
      <c r="AA45" s="1"/>
    </row>
    <row r="46" spans="2:27">
      <c r="B46" s="17">
        <v>16</v>
      </c>
      <c r="C46" s="19" t="s">
        <v>19</v>
      </c>
      <c r="D46" s="37">
        <v>1</v>
      </c>
      <c r="E46" s="18">
        <v>5320364</v>
      </c>
      <c r="F46" s="18">
        <v>0</v>
      </c>
      <c r="G46" s="18">
        <f>F46</f>
        <v>0</v>
      </c>
      <c r="J46" s="17"/>
      <c r="K46" s="17" t="s">
        <v>82</v>
      </c>
      <c r="L46" s="18">
        <v>3137989</v>
      </c>
      <c r="M46" s="19" t="s">
        <v>18</v>
      </c>
      <c r="N46" s="24">
        <f t="shared" si="3"/>
        <v>6.3E-2</v>
      </c>
      <c r="O46" s="24">
        <f t="shared" si="4"/>
        <v>3.15E-2</v>
      </c>
      <c r="P46" s="73">
        <v>1</v>
      </c>
      <c r="R46" s="17" t="s">
        <v>82</v>
      </c>
      <c r="S46" s="49">
        <v>197693.307</v>
      </c>
      <c r="T46" s="49">
        <v>252647</v>
      </c>
      <c r="Y46" s="18">
        <v>5464503</v>
      </c>
      <c r="Z46" s="53">
        <v>9.5080000000000008E-3</v>
      </c>
      <c r="AA46" s="1"/>
    </row>
    <row r="47" spans="2:27">
      <c r="B47" s="17">
        <v>17</v>
      </c>
      <c r="C47" s="19" t="s">
        <v>18</v>
      </c>
      <c r="D47" s="37">
        <v>1</v>
      </c>
      <c r="E47" s="18">
        <v>5435457</v>
      </c>
      <c r="F47" s="18">
        <f>E47/2</f>
        <v>2717728.5</v>
      </c>
      <c r="G47" s="18">
        <v>0</v>
      </c>
      <c r="J47" s="17"/>
      <c r="K47" s="17" t="s">
        <v>83</v>
      </c>
      <c r="L47" s="18">
        <v>3204044</v>
      </c>
      <c r="M47" s="19" t="s">
        <v>18</v>
      </c>
      <c r="N47" s="24">
        <f t="shared" si="3"/>
        <v>6.3E-2</v>
      </c>
      <c r="O47" s="24">
        <f t="shared" si="4"/>
        <v>3.15E-2</v>
      </c>
      <c r="P47" s="73">
        <v>1</v>
      </c>
      <c r="R47" s="17" t="s">
        <v>83</v>
      </c>
      <c r="S47" s="49">
        <v>201854.772</v>
      </c>
      <c r="T47" s="49">
        <v>256809</v>
      </c>
      <c r="Y47" s="18">
        <v>5666892</v>
      </c>
      <c r="Z47" s="53">
        <v>7.809E-3</v>
      </c>
      <c r="AA47" s="1"/>
    </row>
    <row r="48" spans="2:27">
      <c r="B48" s="17">
        <v>18</v>
      </c>
      <c r="C48" s="19" t="s">
        <v>16</v>
      </c>
      <c r="D48" s="37">
        <v>1</v>
      </c>
      <c r="E48" s="18">
        <v>5517586</v>
      </c>
      <c r="F48" s="18">
        <f>E48</f>
        <v>5517586</v>
      </c>
      <c r="G48" s="18">
        <f>F48</f>
        <v>5517586</v>
      </c>
      <c r="J48" s="17"/>
      <c r="K48" s="17" t="s">
        <v>84</v>
      </c>
      <c r="L48" s="18">
        <v>4727724</v>
      </c>
      <c r="M48" s="19" t="s">
        <v>13</v>
      </c>
      <c r="N48" s="24">
        <f t="shared" si="3"/>
        <v>2.5000000000000001E-2</v>
      </c>
      <c r="O48" s="24">
        <f t="shared" si="4"/>
        <v>1.2500000000000001E-2</v>
      </c>
      <c r="P48" s="73">
        <v>1</v>
      </c>
      <c r="R48" s="17" t="s">
        <v>84</v>
      </c>
      <c r="S48" s="49">
        <v>118193.1</v>
      </c>
      <c r="T48" s="49">
        <v>157912</v>
      </c>
      <c r="Y48" s="18">
        <v>5869281</v>
      </c>
      <c r="Z48" s="53">
        <v>9.9869999999999994E-3</v>
      </c>
      <c r="AA48" s="1"/>
    </row>
    <row r="49" spans="2:27">
      <c r="B49" s="17">
        <v>19</v>
      </c>
      <c r="C49" s="19" t="s">
        <v>19</v>
      </c>
      <c r="D49" s="37">
        <v>1</v>
      </c>
      <c r="E49" s="18">
        <v>5764596</v>
      </c>
      <c r="F49" s="18">
        <f>E49/2</f>
        <v>2882298</v>
      </c>
      <c r="G49" s="18">
        <f>F49/2</f>
        <v>1441149</v>
      </c>
      <c r="J49" s="17"/>
      <c r="K49" s="17" t="s">
        <v>85</v>
      </c>
      <c r="L49" s="18">
        <v>4912097</v>
      </c>
      <c r="M49" s="19" t="s">
        <v>18</v>
      </c>
      <c r="N49" s="24">
        <f t="shared" si="3"/>
        <v>6.3E-2</v>
      </c>
      <c r="O49" s="24">
        <f t="shared" si="4"/>
        <v>3.15E-2</v>
      </c>
      <c r="P49" s="73">
        <v>1</v>
      </c>
      <c r="R49" s="17" t="s">
        <v>85</v>
      </c>
      <c r="S49" s="49">
        <v>309462.11099999998</v>
      </c>
      <c r="T49" s="49">
        <v>416023</v>
      </c>
      <c r="Y49" s="18">
        <v>6071670</v>
      </c>
      <c r="Z49" s="53">
        <v>6.6969999999999998E-3</v>
      </c>
      <c r="AA49" s="1"/>
    </row>
    <row r="50" spans="2:27">
      <c r="B50" s="17">
        <v>20</v>
      </c>
      <c r="C50" s="19" t="s">
        <v>16</v>
      </c>
      <c r="D50" s="37">
        <v>1</v>
      </c>
      <c r="E50" s="18">
        <v>5847845</v>
      </c>
      <c r="F50" s="18">
        <f>E50</f>
        <v>5847845</v>
      </c>
      <c r="G50" s="18">
        <f>F50</f>
        <v>5847845</v>
      </c>
      <c r="J50" s="17"/>
      <c r="K50" s="17" t="s">
        <v>86</v>
      </c>
      <c r="L50" s="18">
        <v>2717728.5</v>
      </c>
      <c r="M50" s="19" t="s">
        <v>18</v>
      </c>
      <c r="N50" s="24">
        <f t="shared" si="3"/>
        <v>6.3E-2</v>
      </c>
      <c r="O50" s="24">
        <f t="shared" si="4"/>
        <v>3.15E-2</v>
      </c>
      <c r="P50" s="73">
        <v>1</v>
      </c>
      <c r="R50" s="17" t="s">
        <v>86</v>
      </c>
      <c r="S50" s="49">
        <v>171216.89550000001</v>
      </c>
      <c r="T50" s="49">
        <v>216726</v>
      </c>
      <c r="Y50" s="18">
        <v>6274059</v>
      </c>
      <c r="Z50" s="53">
        <v>6.6709999999999998E-3</v>
      </c>
      <c r="AA50" s="1"/>
    </row>
    <row r="51" spans="2:27">
      <c r="B51" s="17">
        <v>21</v>
      </c>
      <c r="C51" s="19" t="s">
        <v>12</v>
      </c>
      <c r="D51" s="37">
        <v>1</v>
      </c>
      <c r="E51" s="18">
        <v>6466533</v>
      </c>
      <c r="F51" s="18">
        <v>0</v>
      </c>
      <c r="G51" s="18">
        <f>F51</f>
        <v>0</v>
      </c>
      <c r="J51" s="17"/>
      <c r="K51" s="17" t="s">
        <v>87</v>
      </c>
      <c r="L51" s="18">
        <v>5517586</v>
      </c>
      <c r="M51" s="19" t="s">
        <v>16</v>
      </c>
      <c r="N51" s="24">
        <f t="shared" si="3"/>
        <v>4.3999999999999997E-2</v>
      </c>
      <c r="O51" s="24">
        <f t="shared" si="4"/>
        <v>2.1999999999999999E-2</v>
      </c>
      <c r="P51" s="73">
        <v>1</v>
      </c>
      <c r="R51" s="17" t="s">
        <v>87</v>
      </c>
      <c r="S51" s="49">
        <v>242773.78400000001</v>
      </c>
      <c r="T51" s="49">
        <v>331524</v>
      </c>
      <c r="Y51" s="18">
        <v>6476448</v>
      </c>
      <c r="Z51" s="53">
        <v>1.2383E-2</v>
      </c>
      <c r="AA51" s="1"/>
    </row>
    <row r="52" spans="2:27">
      <c r="B52" s="17">
        <v>22</v>
      </c>
      <c r="C52" s="19" t="s">
        <v>12</v>
      </c>
      <c r="D52" s="37">
        <v>1</v>
      </c>
      <c r="E52" s="18">
        <v>6480322</v>
      </c>
      <c r="F52" s="18">
        <v>0</v>
      </c>
      <c r="G52" s="18">
        <f>F52</f>
        <v>0</v>
      </c>
      <c r="J52" s="17"/>
      <c r="K52" s="17" t="s">
        <v>88</v>
      </c>
      <c r="L52" s="18">
        <v>2882298</v>
      </c>
      <c r="M52" s="19" t="s">
        <v>19</v>
      </c>
      <c r="N52" s="24">
        <f t="shared" si="3"/>
        <v>8.5999999999999993E-2</v>
      </c>
      <c r="O52" s="24">
        <f t="shared" si="4"/>
        <v>4.2999999999999997E-2</v>
      </c>
      <c r="P52" s="73">
        <v>1</v>
      </c>
      <c r="R52" s="17" t="s">
        <v>88</v>
      </c>
      <c r="S52" s="49">
        <v>247877.628</v>
      </c>
      <c r="T52" s="49">
        <v>316322</v>
      </c>
      <c r="Y52" s="18">
        <v>6678837</v>
      </c>
      <c r="Z52" s="53">
        <v>1.2492E-2</v>
      </c>
      <c r="AA52" s="1"/>
    </row>
    <row r="53" spans="2:27">
      <c r="B53" s="74">
        <v>23</v>
      </c>
      <c r="C53" s="76" t="s">
        <v>14</v>
      </c>
      <c r="D53" s="73">
        <v>1</v>
      </c>
      <c r="E53" s="75">
        <v>7727651</v>
      </c>
      <c r="F53" s="75">
        <v>0</v>
      </c>
      <c r="G53" s="75">
        <f>F53</f>
        <v>0</v>
      </c>
      <c r="J53" s="17"/>
      <c r="K53" s="17" t="s">
        <v>89</v>
      </c>
      <c r="L53" s="18">
        <v>5847845</v>
      </c>
      <c r="M53" s="19" t="s">
        <v>16</v>
      </c>
      <c r="N53" s="24">
        <f t="shared" si="3"/>
        <v>4.3999999999999997E-2</v>
      </c>
      <c r="O53" s="24">
        <f t="shared" si="4"/>
        <v>2.1999999999999999E-2</v>
      </c>
      <c r="P53" s="73">
        <v>1</v>
      </c>
      <c r="R53" s="17" t="s">
        <v>89</v>
      </c>
      <c r="S53" s="49">
        <v>257305.18</v>
      </c>
      <c r="T53" s="49">
        <v>351088</v>
      </c>
      <c r="Y53" s="18">
        <v>6881226</v>
      </c>
      <c r="Z53" s="53">
        <v>6.5589999999999997E-3</v>
      </c>
      <c r="AA53" s="1"/>
    </row>
    <row r="54" spans="2:27">
      <c r="B54" s="74">
        <v>24</v>
      </c>
      <c r="C54" s="76" t="s">
        <v>15</v>
      </c>
      <c r="D54" s="73">
        <v>1</v>
      </c>
      <c r="E54" s="75">
        <v>15410906</v>
      </c>
      <c r="F54" s="75">
        <v>0</v>
      </c>
      <c r="G54" s="75">
        <v>0</v>
      </c>
      <c r="J54" s="80">
        <v>3</v>
      </c>
      <c r="K54" s="17" t="s">
        <v>90</v>
      </c>
      <c r="L54" s="18">
        <v>3137989</v>
      </c>
      <c r="M54" s="19" t="s">
        <v>18</v>
      </c>
      <c r="N54" s="24">
        <f>VLOOKUP($M54,MultiYearDefaultRates,4,FALSE)</f>
        <v>7.0000000000000007E-2</v>
      </c>
      <c r="O54" s="24">
        <f>VLOOKUP($M54,MultiYearDefaultRates,7,FALSE)</f>
        <v>3.5000000000000003E-2</v>
      </c>
      <c r="P54" s="73">
        <v>1</v>
      </c>
      <c r="R54" s="17" t="s">
        <v>90</v>
      </c>
      <c r="S54" s="49">
        <v>219659.23</v>
      </c>
      <c r="T54" s="49">
        <v>280719</v>
      </c>
      <c r="Y54" s="18">
        <v>7083615</v>
      </c>
      <c r="Z54" s="53">
        <v>6.6880000000000004E-3</v>
      </c>
      <c r="AA54" s="1"/>
    </row>
    <row r="55" spans="2:27">
      <c r="B55" s="20">
        <v>25</v>
      </c>
      <c r="C55" s="22" t="s">
        <v>19</v>
      </c>
      <c r="D55" s="38">
        <v>1</v>
      </c>
      <c r="E55" s="21">
        <v>20238895</v>
      </c>
      <c r="F55" s="21">
        <v>0</v>
      </c>
      <c r="G55" s="21">
        <v>0</v>
      </c>
      <c r="J55" s="17"/>
      <c r="K55" s="17" t="s">
        <v>91</v>
      </c>
      <c r="L55" s="18">
        <v>4727724</v>
      </c>
      <c r="M55" s="19" t="s">
        <v>13</v>
      </c>
      <c r="N55" s="24">
        <f>VLOOKUP($M55,MultiYearDefaultRates,4,FALSE)</f>
        <v>3.5000000000000003E-2</v>
      </c>
      <c r="O55" s="24">
        <f>VLOOKUP($M55,MultiYearDefaultRates,7,FALSE)</f>
        <v>1.7500000000000002E-2</v>
      </c>
      <c r="P55" s="73">
        <v>1</v>
      </c>
      <c r="R55" s="17" t="s">
        <v>91</v>
      </c>
      <c r="S55" s="49">
        <v>165470.34</v>
      </c>
      <c r="T55" s="49">
        <v>221076</v>
      </c>
      <c r="Y55" s="18">
        <v>7286004</v>
      </c>
      <c r="Z55" s="53">
        <v>4.0969999999999999E-3</v>
      </c>
      <c r="AA55" s="1"/>
    </row>
    <row r="56" spans="2:27">
      <c r="J56" s="17"/>
      <c r="K56" s="17" t="s">
        <v>92</v>
      </c>
      <c r="L56" s="18">
        <v>5517586</v>
      </c>
      <c r="M56" s="19" t="s">
        <v>16</v>
      </c>
      <c r="N56" s="24">
        <f>VLOOKUP($M56,MultiYearDefaultRates,4,FALSE)</f>
        <v>5.2999999999999999E-2</v>
      </c>
      <c r="O56" s="24">
        <f>VLOOKUP($M56,MultiYearDefaultRates,7,FALSE)</f>
        <v>2.6499999999999999E-2</v>
      </c>
      <c r="P56" s="73">
        <v>1</v>
      </c>
      <c r="R56" s="17" t="s">
        <v>92</v>
      </c>
      <c r="S56" s="49">
        <v>292432.05800000002</v>
      </c>
      <c r="T56" s="49">
        <v>399335</v>
      </c>
      <c r="Y56" s="18">
        <v>7488393</v>
      </c>
      <c r="Z56" s="53">
        <v>6.7510000000000001E-3</v>
      </c>
      <c r="AA56" s="1"/>
    </row>
    <row r="57" spans="2:27">
      <c r="J57" s="17"/>
      <c r="K57" s="17" t="s">
        <v>93</v>
      </c>
      <c r="L57" s="18">
        <v>1441149</v>
      </c>
      <c r="M57" s="19" t="s">
        <v>19</v>
      </c>
      <c r="N57" s="24">
        <f>VLOOKUP($M57,MultiYearDefaultRates,4,FALSE)</f>
        <v>8.5999999999999993E-2</v>
      </c>
      <c r="O57" s="24">
        <f>VLOOKUP($M57,MultiYearDefaultRates,7,FALSE)</f>
        <v>4.2999999999999997E-2</v>
      </c>
      <c r="P57" s="73">
        <v>1</v>
      </c>
      <c r="R57" s="17" t="s">
        <v>93</v>
      </c>
      <c r="S57" s="49">
        <v>123938.814</v>
      </c>
      <c r="T57" s="49">
        <v>153411</v>
      </c>
      <c r="Y57" s="18">
        <v>7690782</v>
      </c>
      <c r="Z57" s="53">
        <v>5.744E-3</v>
      </c>
      <c r="AA57" s="1"/>
    </row>
    <row r="58" spans="2:27">
      <c r="J58" s="20"/>
      <c r="K58" s="20" t="s">
        <v>94</v>
      </c>
      <c r="L58" s="21">
        <v>5847845</v>
      </c>
      <c r="M58" s="22" t="s">
        <v>16</v>
      </c>
      <c r="N58" s="25">
        <f>VLOOKUP($M58,MultiYearDefaultRates,4,FALSE)</f>
        <v>5.2999999999999999E-2</v>
      </c>
      <c r="O58" s="25">
        <f>VLOOKUP($M58,MultiYearDefaultRates,7,FALSE)</f>
        <v>2.6499999999999999E-2</v>
      </c>
      <c r="P58" s="38">
        <v>1</v>
      </c>
      <c r="R58" s="20" t="s">
        <v>94</v>
      </c>
      <c r="S58" s="50">
        <v>309935.78499999997</v>
      </c>
      <c r="T58" s="50">
        <v>422901</v>
      </c>
      <c r="Y58" s="18">
        <v>7893171</v>
      </c>
      <c r="Z58" s="53">
        <v>9.4809999999999998E-3</v>
      </c>
      <c r="AA58" s="1"/>
    </row>
    <row r="59" spans="2:27">
      <c r="R59" s="4"/>
      <c r="T59" s="4"/>
      <c r="Y59" s="18">
        <v>8095560</v>
      </c>
      <c r="Z59" s="53">
        <v>6.8780000000000004E-3</v>
      </c>
      <c r="AA59" s="1"/>
    </row>
    <row r="60" spans="2:27">
      <c r="T60" s="4"/>
      <c r="Y60" s="18">
        <v>8297949</v>
      </c>
      <c r="Z60" s="53">
        <v>9.2289999999999994E-3</v>
      </c>
      <c r="AA60" s="1"/>
    </row>
    <row r="61" spans="2:27">
      <c r="T61" s="4"/>
      <c r="Y61" s="18">
        <v>8500338</v>
      </c>
      <c r="Z61" s="53">
        <v>6.1000000000000004E-3</v>
      </c>
      <c r="AA61" s="1"/>
    </row>
    <row r="62" spans="2:27">
      <c r="T62" s="4"/>
      <c r="Y62" s="18">
        <v>8702727</v>
      </c>
      <c r="Z62" s="53">
        <v>7.4780000000000003E-3</v>
      </c>
      <c r="AA62" s="1"/>
    </row>
    <row r="63" spans="2:27">
      <c r="T63" s="4"/>
      <c r="Y63" s="18">
        <v>8905116</v>
      </c>
      <c r="Z63" s="53">
        <v>6.7120000000000001E-3</v>
      </c>
      <c r="AA63" s="1"/>
    </row>
    <row r="64" spans="2:27">
      <c r="T64" s="4"/>
      <c r="Y64" s="18">
        <v>9107505</v>
      </c>
      <c r="Z64" s="53">
        <v>7.0609999999999996E-3</v>
      </c>
      <c r="AA64" s="1"/>
    </row>
    <row r="65" spans="20:27">
      <c r="T65" s="4"/>
      <c r="Y65" s="18">
        <v>9309894</v>
      </c>
      <c r="Z65" s="53">
        <v>6.0910000000000001E-3</v>
      </c>
      <c r="AA65" s="1"/>
    </row>
    <row r="66" spans="20:27">
      <c r="T66" s="4"/>
      <c r="Y66" s="18">
        <v>9512283</v>
      </c>
      <c r="Z66" s="53">
        <v>7.4799999999999997E-3</v>
      </c>
      <c r="AA66" s="1"/>
    </row>
    <row r="67" spans="20:27">
      <c r="T67" s="4"/>
      <c r="Y67" s="18">
        <v>9714672</v>
      </c>
      <c r="Z67" s="53">
        <v>6.6810000000000003E-3</v>
      </c>
      <c r="AA67" s="1"/>
    </row>
    <row r="68" spans="20:27">
      <c r="T68" s="4"/>
      <c r="Y68" s="18">
        <v>9917061</v>
      </c>
      <c r="Z68" s="53">
        <v>7.5100000000000002E-3</v>
      </c>
      <c r="AA68" s="1"/>
    </row>
    <row r="69" spans="20:27">
      <c r="T69" s="4"/>
      <c r="Y69" s="18">
        <v>10119450</v>
      </c>
      <c r="Z69" s="53">
        <v>6.6559999999999996E-3</v>
      </c>
      <c r="AA69" s="1"/>
    </row>
    <row r="70" spans="20:27">
      <c r="T70" s="4"/>
      <c r="Y70" s="18">
        <v>10321839</v>
      </c>
      <c r="Z70" s="53">
        <v>5.5589999999999997E-3</v>
      </c>
      <c r="AA70" s="1"/>
    </row>
    <row r="71" spans="20:27">
      <c r="T71" s="4"/>
      <c r="Y71" s="18">
        <v>10524228</v>
      </c>
      <c r="Z71" s="53">
        <v>6.0060000000000001E-3</v>
      </c>
      <c r="AA71" s="1"/>
    </row>
    <row r="72" spans="20:27">
      <c r="T72" s="4"/>
      <c r="Y72" s="18">
        <v>10726617</v>
      </c>
      <c r="Z72" s="53">
        <v>6.7869999999999996E-3</v>
      </c>
      <c r="AA72" s="1"/>
    </row>
    <row r="73" spans="20:27">
      <c r="T73" s="4"/>
      <c r="Y73" s="18">
        <v>10929006</v>
      </c>
      <c r="Z73" s="53">
        <v>6.927E-3</v>
      </c>
      <c r="AA73" s="1"/>
    </row>
    <row r="74" spans="20:27">
      <c r="Y74" s="18">
        <v>11131395</v>
      </c>
      <c r="Z74" s="53">
        <v>6.1809999999999999E-3</v>
      </c>
      <c r="AA74" s="1"/>
    </row>
    <row r="75" spans="20:27">
      <c r="Y75" s="18">
        <v>11333784</v>
      </c>
      <c r="Z75" s="53">
        <v>6.5259999999999997E-3</v>
      </c>
      <c r="AA75" s="1"/>
    </row>
    <row r="76" spans="20:27">
      <c r="Y76" s="18">
        <v>11536173</v>
      </c>
      <c r="Z76" s="53">
        <v>8.6169999999999997E-3</v>
      </c>
      <c r="AA76" s="1"/>
    </row>
    <row r="77" spans="20:27">
      <c r="Y77" s="18">
        <v>11738562</v>
      </c>
      <c r="Z77" s="53">
        <v>7.9129999999999999E-3</v>
      </c>
      <c r="AA77" s="1"/>
    </row>
    <row r="78" spans="20:27">
      <c r="Y78" s="18">
        <v>11940951</v>
      </c>
      <c r="Z78" s="53">
        <v>6.7210000000000004E-3</v>
      </c>
      <c r="AA78" s="1"/>
    </row>
    <row r="79" spans="20:27">
      <c r="Y79" s="18">
        <v>12143340</v>
      </c>
      <c r="Z79" s="53">
        <v>6.8440000000000003E-3</v>
      </c>
      <c r="AA79" s="1"/>
    </row>
    <row r="80" spans="20:27">
      <c r="Y80" s="18">
        <v>12345729</v>
      </c>
      <c r="Z80" s="53">
        <v>6.7239999999999999E-3</v>
      </c>
      <c r="AA80" s="1"/>
    </row>
    <row r="81" spans="25:27">
      <c r="Y81" s="18">
        <v>12548118</v>
      </c>
      <c r="Z81" s="53">
        <v>6.6730000000000001E-3</v>
      </c>
      <c r="AA81" s="1"/>
    </row>
    <row r="82" spans="25:27">
      <c r="Y82" s="18">
        <v>12750507</v>
      </c>
      <c r="Z82" s="53">
        <v>6.0270000000000002E-3</v>
      </c>
      <c r="AA82" s="1"/>
    </row>
    <row r="83" spans="25:27">
      <c r="Y83" s="18">
        <v>12952896</v>
      </c>
      <c r="Z83" s="53">
        <v>6.8739999999999999E-3</v>
      </c>
      <c r="AA83" s="1"/>
    </row>
    <row r="84" spans="25:27">
      <c r="Y84" s="18">
        <v>13155285</v>
      </c>
      <c r="Z84" s="53">
        <v>6.8339999999999998E-3</v>
      </c>
      <c r="AA84" s="1"/>
    </row>
    <row r="85" spans="25:27">
      <c r="Y85" s="18">
        <v>13357674</v>
      </c>
      <c r="Z85" s="53">
        <v>6.7590000000000003E-3</v>
      </c>
      <c r="AA85" s="1"/>
    </row>
    <row r="86" spans="25:27">
      <c r="Y86" s="18">
        <v>13560063</v>
      </c>
      <c r="Z86" s="53">
        <v>5.7939999999999997E-3</v>
      </c>
      <c r="AA86" s="1"/>
    </row>
    <row r="87" spans="25:27">
      <c r="Y87" s="18">
        <v>13762452</v>
      </c>
      <c r="Z87" s="53">
        <v>5.94E-3</v>
      </c>
      <c r="AA87" s="1"/>
    </row>
    <row r="88" spans="25:27">
      <c r="Y88" s="18">
        <v>13964841</v>
      </c>
      <c r="Z88" s="53">
        <v>5.6569999999999997E-3</v>
      </c>
      <c r="AA88" s="1"/>
    </row>
    <row r="89" spans="25:27">
      <c r="Y89" s="18">
        <v>14167230</v>
      </c>
      <c r="Z89" s="53">
        <v>5.8500000000000002E-3</v>
      </c>
      <c r="AA89" s="1"/>
    </row>
    <row r="90" spans="25:27">
      <c r="Y90" s="18">
        <v>14369619</v>
      </c>
      <c r="Z90" s="53">
        <v>5.8640000000000003E-3</v>
      </c>
      <c r="AA90" s="1"/>
    </row>
    <row r="91" spans="25:27">
      <c r="Y91" s="18">
        <v>14572008</v>
      </c>
      <c r="Z91" s="53">
        <v>6.1989999999999996E-3</v>
      </c>
      <c r="AA91" s="1"/>
    </row>
    <row r="92" spans="25:27">
      <c r="Y92" s="18">
        <v>14774397</v>
      </c>
      <c r="Z92" s="53">
        <v>5.9449999999999998E-3</v>
      </c>
      <c r="AA92" s="1"/>
    </row>
    <row r="93" spans="25:27">
      <c r="Y93" s="18">
        <v>14976786</v>
      </c>
      <c r="Z93" s="53">
        <v>5.9020000000000001E-3</v>
      </c>
      <c r="AA93" s="1"/>
    </row>
    <row r="94" spans="25:27">
      <c r="Y94" s="18">
        <v>15179175</v>
      </c>
      <c r="Z94" s="53">
        <v>5.4000000000000003E-3</v>
      </c>
      <c r="AA94" s="1"/>
    </row>
    <row r="95" spans="25:27">
      <c r="Y95" s="18">
        <v>15381564</v>
      </c>
      <c r="Z95" s="53">
        <v>5.4180000000000001E-3</v>
      </c>
      <c r="AA95" s="1"/>
    </row>
    <row r="96" spans="25:27">
      <c r="Y96" s="18">
        <v>15583953</v>
      </c>
      <c r="Z96" s="53">
        <v>8.09E-3</v>
      </c>
      <c r="AA96" s="1"/>
    </row>
    <row r="97" spans="25:27">
      <c r="Y97" s="18">
        <v>15786342</v>
      </c>
      <c r="Z97" s="53">
        <v>5.3350000000000003E-3</v>
      </c>
      <c r="AA97" s="1"/>
    </row>
    <row r="98" spans="25:27">
      <c r="Y98" s="18">
        <v>15988731</v>
      </c>
      <c r="Z98" s="53">
        <v>5.9449999999999998E-3</v>
      </c>
      <c r="AA98" s="1"/>
    </row>
    <row r="99" spans="25:27">
      <c r="Y99" s="18">
        <v>16191120</v>
      </c>
      <c r="Z99" s="53">
        <v>5.1679999999999999E-3</v>
      </c>
      <c r="AA99" s="1"/>
    </row>
    <row r="100" spans="25:27">
      <c r="Y100" s="18">
        <v>16393509</v>
      </c>
      <c r="Z100" s="53">
        <v>5.2979999999999998E-3</v>
      </c>
      <c r="AA100" s="1"/>
    </row>
    <row r="101" spans="25:27">
      <c r="Y101" s="18">
        <v>16595898</v>
      </c>
      <c r="Z101" s="53">
        <v>5.5900000000000004E-3</v>
      </c>
      <c r="AA101" s="1"/>
    </row>
    <row r="102" spans="25:27">
      <c r="Y102" s="18">
        <v>16798287</v>
      </c>
      <c r="Z102" s="53">
        <v>5.4660000000000004E-3</v>
      </c>
      <c r="AA102" s="1"/>
    </row>
    <row r="103" spans="25:27">
      <c r="Y103" s="18">
        <v>17000676</v>
      </c>
      <c r="Z103" s="53">
        <v>4.9119999999999997E-3</v>
      </c>
      <c r="AA103" s="1"/>
    </row>
    <row r="104" spans="25:27">
      <c r="Y104" s="18">
        <v>17203065</v>
      </c>
      <c r="Z104" s="53">
        <v>5.2040000000000003E-3</v>
      </c>
      <c r="AA104" s="1"/>
    </row>
    <row r="105" spans="25:27">
      <c r="Y105" s="18">
        <v>17405454</v>
      </c>
      <c r="Z105" s="53">
        <v>5.2090000000000001E-3</v>
      </c>
      <c r="AA105" s="1"/>
    </row>
    <row r="106" spans="25:27">
      <c r="Y106" s="18">
        <v>17607843</v>
      </c>
      <c r="Z106" s="53">
        <v>5.1679999999999999E-3</v>
      </c>
      <c r="AA106" s="1"/>
    </row>
    <row r="107" spans="25:27">
      <c r="Y107" s="18">
        <v>17810232</v>
      </c>
      <c r="Z107" s="53">
        <v>4.7949999999999998E-3</v>
      </c>
      <c r="AA107" s="1"/>
    </row>
    <row r="108" spans="25:27">
      <c r="Y108" s="18">
        <v>18012621</v>
      </c>
      <c r="Z108" s="53">
        <v>5.5110000000000003E-3</v>
      </c>
      <c r="AA108" s="1"/>
    </row>
    <row r="109" spans="25:27">
      <c r="Y109" s="18">
        <v>18215010</v>
      </c>
      <c r="Z109" s="53">
        <v>4.921E-3</v>
      </c>
      <c r="AA109" s="1"/>
    </row>
    <row r="110" spans="25:27">
      <c r="Y110" s="18">
        <v>18417399</v>
      </c>
      <c r="Z110" s="53">
        <v>5.4869999999999997E-3</v>
      </c>
      <c r="AA110" s="1"/>
    </row>
    <row r="111" spans="25:27">
      <c r="Y111" s="18">
        <v>18619788</v>
      </c>
      <c r="Z111" s="53">
        <v>4.908E-3</v>
      </c>
      <c r="AA111" s="1"/>
    </row>
    <row r="112" spans="25:27">
      <c r="Y112" s="18">
        <v>18822177</v>
      </c>
      <c r="Z112" s="53">
        <v>5.2269999999999999E-3</v>
      </c>
      <c r="AA112" s="1"/>
    </row>
    <row r="113" spans="25:27">
      <c r="Y113" s="18">
        <v>19024566</v>
      </c>
      <c r="Z113" s="53">
        <v>4.5409999999999999E-3</v>
      </c>
      <c r="AA113" s="1"/>
    </row>
    <row r="114" spans="25:27">
      <c r="Y114" s="18">
        <v>19226955</v>
      </c>
      <c r="Z114" s="53">
        <v>4.5880000000000001E-3</v>
      </c>
      <c r="AA114" s="1"/>
    </row>
    <row r="115" spans="25:27">
      <c r="Y115" s="18">
        <v>19429344</v>
      </c>
      <c r="Z115" s="53">
        <v>4.3270000000000001E-3</v>
      </c>
      <c r="AA115" s="1"/>
    </row>
    <row r="116" spans="25:27">
      <c r="Y116" s="18">
        <v>19631733</v>
      </c>
      <c r="Z116" s="53">
        <v>4.529E-3</v>
      </c>
      <c r="AA116" s="1"/>
    </row>
    <row r="117" spans="25:27">
      <c r="Y117" s="18">
        <v>19834122</v>
      </c>
      <c r="Z117" s="53">
        <v>4.3620000000000004E-3</v>
      </c>
      <c r="AA117" s="1"/>
    </row>
    <row r="118" spans="25:27">
      <c r="Y118" s="18">
        <v>20036511</v>
      </c>
      <c r="Z118" s="53">
        <v>4.3229999999999996E-3</v>
      </c>
      <c r="AA118" s="1"/>
    </row>
    <row r="119" spans="25:27">
      <c r="Y119" s="18">
        <v>20238900</v>
      </c>
      <c r="Z119" s="53">
        <v>6.1700000000000001E-3</v>
      </c>
      <c r="AA119" s="1"/>
    </row>
    <row r="120" spans="25:27">
      <c r="Y120" s="18">
        <v>20441289</v>
      </c>
      <c r="Z120" s="53">
        <v>4.3559999999999996E-3</v>
      </c>
      <c r="AA120" s="1"/>
    </row>
    <row r="121" spans="25:27">
      <c r="Y121" s="18">
        <v>20643678</v>
      </c>
      <c r="Z121" s="53">
        <v>5.3579999999999999E-3</v>
      </c>
      <c r="AA121" s="1"/>
    </row>
    <row r="122" spans="25:27">
      <c r="Y122" s="18">
        <v>20846067</v>
      </c>
      <c r="Z122" s="53">
        <v>4.1219999999999998E-3</v>
      </c>
      <c r="AA122" s="1"/>
    </row>
    <row r="123" spans="25:27">
      <c r="Y123" s="18">
        <v>21048456</v>
      </c>
      <c r="Z123" s="53">
        <v>4.4450000000000002E-3</v>
      </c>
      <c r="AA123" s="1"/>
    </row>
    <row r="124" spans="25:27">
      <c r="Y124" s="18">
        <v>21250845</v>
      </c>
      <c r="Z124" s="53">
        <v>4.3759999999999997E-3</v>
      </c>
      <c r="AA124" s="1"/>
    </row>
    <row r="125" spans="25:27">
      <c r="Y125" s="18">
        <v>21453234</v>
      </c>
      <c r="Z125" s="53">
        <v>4.6309999999999997E-3</v>
      </c>
      <c r="AA125" s="1"/>
    </row>
    <row r="126" spans="25:27">
      <c r="Y126" s="18">
        <v>21655623</v>
      </c>
      <c r="Z126" s="53">
        <v>4.0829999999999998E-3</v>
      </c>
      <c r="AA126" s="1"/>
    </row>
    <row r="127" spans="25:27">
      <c r="Y127" s="18">
        <v>21858012</v>
      </c>
      <c r="Z127" s="53">
        <v>4.1110000000000001E-3</v>
      </c>
      <c r="AA127" s="1"/>
    </row>
    <row r="128" spans="25:27">
      <c r="Y128" s="18">
        <v>22060401</v>
      </c>
      <c r="Z128" s="53">
        <v>4.3160000000000004E-3</v>
      </c>
      <c r="AA128" s="1"/>
    </row>
    <row r="129" spans="25:27">
      <c r="Y129" s="18">
        <v>22262790</v>
      </c>
      <c r="Z129" s="53">
        <v>4.3930000000000002E-3</v>
      </c>
      <c r="AA129" s="1"/>
    </row>
    <row r="130" spans="25:27">
      <c r="Y130" s="18">
        <v>22465179</v>
      </c>
      <c r="Z130" s="53">
        <v>3.8549999999999999E-3</v>
      </c>
      <c r="AA130" s="1"/>
    </row>
    <row r="131" spans="25:27">
      <c r="Y131" s="18">
        <v>22667568</v>
      </c>
      <c r="Z131" s="53">
        <v>4.1920000000000004E-3</v>
      </c>
      <c r="AA131" s="1"/>
    </row>
    <row r="132" spans="25:27">
      <c r="Y132" s="18">
        <v>22869957</v>
      </c>
      <c r="Z132" s="53">
        <v>3.5170000000000002E-3</v>
      </c>
      <c r="AA132" s="1"/>
    </row>
    <row r="133" spans="25:27">
      <c r="Y133" s="18">
        <v>23072346</v>
      </c>
      <c r="Z133" s="53">
        <v>4.2909999999999997E-3</v>
      </c>
      <c r="AA133" s="1"/>
    </row>
    <row r="134" spans="25:27">
      <c r="Y134" s="18">
        <v>23274735</v>
      </c>
      <c r="Z134" s="53">
        <v>3.885E-3</v>
      </c>
      <c r="AA134" s="1"/>
    </row>
    <row r="135" spans="25:27">
      <c r="Y135" s="18">
        <v>23477124</v>
      </c>
      <c r="Z135" s="53">
        <v>4.313E-3</v>
      </c>
      <c r="AA135" s="1"/>
    </row>
    <row r="136" spans="25:27">
      <c r="Y136" s="18">
        <v>23679513</v>
      </c>
      <c r="Z136" s="53">
        <v>3.6350000000000002E-3</v>
      </c>
      <c r="AA136" s="1"/>
    </row>
    <row r="137" spans="25:27">
      <c r="Y137" s="18">
        <v>23881902</v>
      </c>
      <c r="Z137" s="53">
        <v>3.8969999999999999E-3</v>
      </c>
      <c r="AA137" s="1"/>
    </row>
    <row r="138" spans="25:27">
      <c r="Y138" s="18">
        <v>24084291</v>
      </c>
      <c r="Z138" s="53">
        <v>3.4480000000000001E-3</v>
      </c>
      <c r="AA138" s="1"/>
    </row>
    <row r="139" spans="25:27">
      <c r="Y139" s="18">
        <v>24286680</v>
      </c>
      <c r="Z139" s="53">
        <v>3.6080000000000001E-3</v>
      </c>
      <c r="AA139" s="1"/>
    </row>
    <row r="140" spans="25:27">
      <c r="Y140" s="18">
        <v>24489069</v>
      </c>
      <c r="Z140" s="53">
        <v>3.444E-3</v>
      </c>
      <c r="AA140" s="1"/>
    </row>
    <row r="141" spans="25:27">
      <c r="Y141" s="18">
        <v>24691458</v>
      </c>
      <c r="Z141" s="53">
        <v>3.5140000000000002E-3</v>
      </c>
      <c r="AA141" s="1"/>
    </row>
    <row r="142" spans="25:27">
      <c r="Y142" s="18">
        <v>24893847</v>
      </c>
      <c r="Z142" s="53">
        <v>3.2799999999999999E-3</v>
      </c>
      <c r="AA142" s="1"/>
    </row>
    <row r="143" spans="25:27">
      <c r="Y143" s="18">
        <v>25096236</v>
      </c>
      <c r="Z143" s="53">
        <v>3.5760000000000002E-3</v>
      </c>
      <c r="AA143" s="1"/>
    </row>
    <row r="144" spans="25:27">
      <c r="Y144" s="18">
        <v>25298625</v>
      </c>
      <c r="Z144" s="53">
        <v>3.8440000000000002E-3</v>
      </c>
      <c r="AA144" s="1"/>
    </row>
    <row r="145" spans="25:27">
      <c r="Y145" s="18">
        <v>25501014</v>
      </c>
      <c r="Z145" s="53">
        <v>3.398E-3</v>
      </c>
      <c r="AA145" s="1"/>
    </row>
    <row r="146" spans="25:27">
      <c r="Y146" s="18">
        <v>25703403</v>
      </c>
      <c r="Z146" s="53">
        <v>3.49E-3</v>
      </c>
      <c r="AA146" s="1"/>
    </row>
    <row r="147" spans="25:27">
      <c r="Y147" s="18">
        <v>25905792</v>
      </c>
      <c r="Z147" s="53">
        <v>3.2950000000000002E-3</v>
      </c>
      <c r="AA147" s="1"/>
    </row>
    <row r="148" spans="25:27">
      <c r="Y148" s="18">
        <v>26108181</v>
      </c>
      <c r="Z148" s="53">
        <v>3.3809999999999999E-3</v>
      </c>
      <c r="AA148" s="1"/>
    </row>
    <row r="149" spans="25:27">
      <c r="Y149" s="18">
        <v>26310570</v>
      </c>
      <c r="Z149" s="53">
        <v>3.287E-3</v>
      </c>
      <c r="AA149" s="1"/>
    </row>
    <row r="150" spans="25:27">
      <c r="Y150" s="18">
        <v>26512959</v>
      </c>
      <c r="Z150" s="53">
        <v>3.2369999999999999E-3</v>
      </c>
      <c r="AA150" s="1"/>
    </row>
    <row r="151" spans="25:27">
      <c r="Y151" s="18">
        <v>26715348</v>
      </c>
      <c r="Z151" s="53">
        <v>3.3930000000000002E-3</v>
      </c>
      <c r="AA151" s="1"/>
    </row>
    <row r="152" spans="25:27">
      <c r="Y152" s="18">
        <v>26917737</v>
      </c>
      <c r="Z152" s="53">
        <v>3.3660000000000001E-3</v>
      </c>
      <c r="AA152" s="1"/>
    </row>
    <row r="153" spans="25:27">
      <c r="Y153" s="18">
        <v>27120126</v>
      </c>
      <c r="Z153" s="53">
        <v>3.228E-3</v>
      </c>
      <c r="AA153" s="1"/>
    </row>
    <row r="154" spans="25:27">
      <c r="Y154" s="18">
        <v>27322515</v>
      </c>
      <c r="Z154" s="53">
        <v>3.1410000000000001E-3</v>
      </c>
      <c r="AA154" s="1"/>
    </row>
    <row r="155" spans="25:27">
      <c r="Y155" s="18">
        <v>27524904</v>
      </c>
      <c r="Z155" s="53">
        <v>2.898E-3</v>
      </c>
      <c r="AA155" s="1"/>
    </row>
    <row r="156" spans="25:27">
      <c r="Y156" s="18">
        <v>27727293</v>
      </c>
      <c r="Z156" s="53">
        <v>3.003E-3</v>
      </c>
      <c r="AA156" s="1"/>
    </row>
    <row r="157" spans="25:27">
      <c r="Y157" s="18">
        <v>27929682</v>
      </c>
      <c r="Z157" s="53">
        <v>2.9030000000000002E-3</v>
      </c>
      <c r="AA157" s="1"/>
    </row>
    <row r="158" spans="25:27">
      <c r="Y158" s="18">
        <v>28132071</v>
      </c>
      <c r="Z158" s="53">
        <v>3.0739999999999999E-3</v>
      </c>
      <c r="AA158" s="1"/>
    </row>
    <row r="159" spans="25:27">
      <c r="Y159" s="18">
        <v>28334460</v>
      </c>
      <c r="Z159" s="53">
        <v>2.8519999999999999E-3</v>
      </c>
      <c r="AA159" s="1"/>
    </row>
    <row r="160" spans="25:27">
      <c r="Y160" s="18">
        <v>28536849</v>
      </c>
      <c r="Z160" s="53">
        <v>3.006E-3</v>
      </c>
      <c r="AA160" s="1"/>
    </row>
    <row r="161" spans="25:27">
      <c r="Y161" s="18">
        <v>28739238</v>
      </c>
      <c r="Z161" s="53">
        <v>2.7950000000000002E-3</v>
      </c>
      <c r="AA161" s="1"/>
    </row>
    <row r="162" spans="25:27">
      <c r="Y162" s="18">
        <v>28941627</v>
      </c>
      <c r="Z162" s="53">
        <v>2.8500000000000001E-3</v>
      </c>
      <c r="AA162" s="1"/>
    </row>
    <row r="163" spans="25:27">
      <c r="Y163" s="18">
        <v>29144016</v>
      </c>
      <c r="Z163" s="53">
        <v>2.6949999999999999E-3</v>
      </c>
      <c r="AA163" s="1"/>
    </row>
    <row r="164" spans="25:27">
      <c r="Y164" s="18">
        <v>29346405</v>
      </c>
      <c r="Z164" s="53">
        <v>2.7000000000000001E-3</v>
      </c>
      <c r="AA164" s="1"/>
    </row>
    <row r="165" spans="25:27">
      <c r="Y165" s="18">
        <v>29548794</v>
      </c>
      <c r="Z165" s="53">
        <v>2.5950000000000001E-3</v>
      </c>
      <c r="AA165" s="1"/>
    </row>
    <row r="166" spans="25:27">
      <c r="Y166" s="18">
        <v>29751183</v>
      </c>
      <c r="Z166" s="53">
        <v>2.663E-3</v>
      </c>
      <c r="AA166" s="1"/>
    </row>
    <row r="167" spans="25:27">
      <c r="Y167" s="18">
        <v>29953572</v>
      </c>
      <c r="Z167" s="53">
        <v>2.578E-3</v>
      </c>
      <c r="AA167" s="1"/>
    </row>
    <row r="168" spans="25:27">
      <c r="Y168" s="18">
        <v>30155961</v>
      </c>
      <c r="Z168" s="53">
        <v>2.627E-3</v>
      </c>
      <c r="AA168" s="1"/>
    </row>
    <row r="169" spans="25:27">
      <c r="Y169" s="18">
        <v>30358350</v>
      </c>
      <c r="Z169" s="53">
        <v>2.526E-3</v>
      </c>
      <c r="AA169" s="1"/>
    </row>
    <row r="170" spans="25:27">
      <c r="Y170" s="18">
        <v>30560739</v>
      </c>
      <c r="Z170" s="53">
        <v>2.4459999999999998E-3</v>
      </c>
      <c r="AA170" s="1"/>
    </row>
    <row r="171" spans="25:27">
      <c r="Y171" s="18">
        <v>30763128</v>
      </c>
      <c r="Z171" s="53">
        <v>2.3900000000000002E-3</v>
      </c>
      <c r="AA171" s="1"/>
    </row>
    <row r="172" spans="25:27">
      <c r="Y172" s="18">
        <v>30965517</v>
      </c>
      <c r="Z172" s="53">
        <v>2.4139999999999999E-3</v>
      </c>
      <c r="AA172" s="1"/>
    </row>
    <row r="173" spans="25:27">
      <c r="Y173" s="18">
        <v>31167906</v>
      </c>
      <c r="Z173" s="53">
        <v>2.4650000000000002E-3</v>
      </c>
      <c r="AA173" s="1"/>
    </row>
    <row r="174" spans="25:27">
      <c r="Y174" s="18">
        <v>31370295</v>
      </c>
      <c r="Z174" s="53">
        <v>2.33E-3</v>
      </c>
      <c r="AA174" s="1"/>
    </row>
    <row r="175" spans="25:27">
      <c r="Y175" s="18">
        <v>31572684</v>
      </c>
      <c r="Z175" s="53">
        <v>2.3270000000000001E-3</v>
      </c>
      <c r="AA175" s="1"/>
    </row>
    <row r="176" spans="25:27">
      <c r="Y176" s="18">
        <v>31775073</v>
      </c>
      <c r="Z176" s="53">
        <v>2.3869999999999998E-3</v>
      </c>
      <c r="AA176" s="1"/>
    </row>
    <row r="177" spans="25:27">
      <c r="Y177" s="18">
        <v>31977462</v>
      </c>
      <c r="Z177" s="53">
        <v>2.3249999999999998E-3</v>
      </c>
      <c r="AA177" s="1"/>
    </row>
    <row r="178" spans="25:27">
      <c r="Y178" s="18">
        <v>32179851</v>
      </c>
      <c r="Z178" s="53">
        <v>2.2659999999999998E-3</v>
      </c>
      <c r="AA178" s="1"/>
    </row>
    <row r="179" spans="25:27">
      <c r="Y179" s="18">
        <v>32382240</v>
      </c>
      <c r="Z179" s="53">
        <v>2.2179999999999999E-3</v>
      </c>
      <c r="AA179" s="1"/>
    </row>
    <row r="180" spans="25:27">
      <c r="Y180" s="18">
        <v>32584629</v>
      </c>
      <c r="Z180" s="53">
        <v>2.163E-3</v>
      </c>
      <c r="AA180" s="1"/>
    </row>
    <row r="181" spans="25:27">
      <c r="Y181" s="18">
        <v>32787018</v>
      </c>
      <c r="Z181" s="53">
        <v>2.1519999999999998E-3</v>
      </c>
      <c r="AA181" s="1"/>
    </row>
    <row r="182" spans="25:27">
      <c r="Y182" s="18">
        <v>32989407</v>
      </c>
      <c r="Z182" s="53">
        <v>2.1029999999999998E-3</v>
      </c>
      <c r="AA182" s="1"/>
    </row>
    <row r="183" spans="25:27">
      <c r="Y183" s="18">
        <v>33191796</v>
      </c>
      <c r="Z183" s="53">
        <v>2.1159999999999998E-3</v>
      </c>
      <c r="AA183" s="1"/>
    </row>
    <row r="184" spans="25:27">
      <c r="Y184" s="18">
        <v>33394185</v>
      </c>
      <c r="Z184" s="53">
        <v>2.068E-3</v>
      </c>
      <c r="AA184" s="1"/>
    </row>
    <row r="185" spans="25:27">
      <c r="Y185" s="18">
        <v>33596574</v>
      </c>
      <c r="Z185" s="53">
        <v>2.0790000000000001E-3</v>
      </c>
      <c r="AA185" s="1"/>
    </row>
    <row r="186" spans="25:27">
      <c r="Y186" s="18">
        <v>33798963</v>
      </c>
      <c r="Z186" s="53">
        <v>1.9819999999999998E-3</v>
      </c>
      <c r="AA186" s="1"/>
    </row>
    <row r="187" spans="25:27">
      <c r="Y187" s="18">
        <v>34001352</v>
      </c>
      <c r="Z187" s="53">
        <v>1.983E-3</v>
      </c>
      <c r="AA187" s="1"/>
    </row>
    <row r="188" spans="25:27">
      <c r="Y188" s="18">
        <v>34203741</v>
      </c>
      <c r="Z188" s="53">
        <v>1.9139999999999999E-3</v>
      </c>
      <c r="AA188" s="1"/>
    </row>
    <row r="189" spans="25:27">
      <c r="Y189" s="18">
        <v>34406130</v>
      </c>
      <c r="Z189" s="53">
        <v>1.9170000000000001E-3</v>
      </c>
      <c r="AA189" s="1"/>
    </row>
    <row r="190" spans="25:27">
      <c r="Y190" s="18">
        <v>34608519</v>
      </c>
      <c r="Z190" s="53">
        <v>1.8680000000000001E-3</v>
      </c>
      <c r="AA190" s="1"/>
    </row>
    <row r="191" spans="25:27">
      <c r="Y191" s="18">
        <v>34810908</v>
      </c>
      <c r="Z191" s="53">
        <v>1.869E-3</v>
      </c>
      <c r="AA191" s="1"/>
    </row>
    <row r="192" spans="25:27">
      <c r="Y192" s="18">
        <v>35013297</v>
      </c>
      <c r="Z192" s="53">
        <v>1.8209999999999999E-3</v>
      </c>
      <c r="AA192" s="1"/>
    </row>
    <row r="193" spans="25:27">
      <c r="Y193" s="18">
        <v>35215686</v>
      </c>
      <c r="Z193" s="53">
        <v>1.8109999999999999E-3</v>
      </c>
      <c r="AA193" s="1"/>
    </row>
    <row r="194" spans="25:27">
      <c r="Y194" s="18">
        <v>35418075</v>
      </c>
      <c r="Z194" s="53">
        <v>1.75E-3</v>
      </c>
      <c r="AA194" s="1"/>
    </row>
    <row r="195" spans="25:27">
      <c r="Y195" s="18">
        <v>35620464</v>
      </c>
      <c r="Z195" s="53">
        <v>1.7279999999999999E-3</v>
      </c>
      <c r="AA195" s="1"/>
    </row>
    <row r="196" spans="25:27">
      <c r="Y196" s="18">
        <v>35822853</v>
      </c>
      <c r="Z196" s="53">
        <v>1.8109999999999999E-3</v>
      </c>
      <c r="AA196" s="1"/>
    </row>
    <row r="197" spans="25:27">
      <c r="Y197" s="18">
        <v>36025242</v>
      </c>
      <c r="Z197" s="53">
        <v>1.681E-3</v>
      </c>
      <c r="AA197" s="1"/>
    </row>
    <row r="198" spans="25:27">
      <c r="Y198" s="18">
        <v>36227631</v>
      </c>
      <c r="Z198" s="53">
        <v>1.7049999999999999E-3</v>
      </c>
      <c r="AA198" s="1"/>
    </row>
    <row r="199" spans="25:27">
      <c r="Y199" s="18">
        <v>36430020</v>
      </c>
      <c r="Z199" s="53">
        <v>1.624E-3</v>
      </c>
      <c r="AA199" s="1"/>
    </row>
    <row r="200" spans="25:27">
      <c r="Y200" s="18">
        <v>36632409</v>
      </c>
      <c r="Z200" s="53">
        <v>1.619E-3</v>
      </c>
      <c r="AA200" s="1"/>
    </row>
    <row r="201" spans="25:27">
      <c r="Y201" s="18">
        <v>36834798</v>
      </c>
      <c r="Z201" s="53">
        <v>1.614E-3</v>
      </c>
      <c r="AA201" s="1"/>
    </row>
    <row r="202" spans="25:27">
      <c r="Y202" s="18">
        <v>37037187</v>
      </c>
      <c r="Z202" s="53">
        <v>1.586E-3</v>
      </c>
      <c r="AA202" s="1"/>
    </row>
    <row r="203" spans="25:27">
      <c r="Y203" s="18">
        <v>37239576</v>
      </c>
      <c r="Z203" s="53">
        <v>1.5299999999999999E-3</v>
      </c>
      <c r="AA203" s="1"/>
    </row>
    <row r="204" spans="25:27">
      <c r="Y204" s="18">
        <v>37441965</v>
      </c>
      <c r="Z204" s="53">
        <v>1.5169999999999999E-3</v>
      </c>
      <c r="AA204" s="1"/>
    </row>
    <row r="205" spans="25:27">
      <c r="Y205" s="18">
        <v>37644354</v>
      </c>
      <c r="Z205" s="53">
        <v>1.511E-3</v>
      </c>
      <c r="AA205" s="1"/>
    </row>
    <row r="206" spans="25:27">
      <c r="Y206" s="18">
        <v>37846743</v>
      </c>
      <c r="Z206" s="53">
        <v>1.49E-3</v>
      </c>
      <c r="AA206" s="1"/>
    </row>
    <row r="207" spans="25:27">
      <c r="Y207" s="18">
        <v>38049132</v>
      </c>
      <c r="Z207" s="53">
        <v>1.441E-3</v>
      </c>
      <c r="AA207" s="1"/>
    </row>
    <row r="208" spans="25:27">
      <c r="Y208" s="18">
        <v>38251521</v>
      </c>
      <c r="Z208" s="53">
        <v>1.459E-3</v>
      </c>
      <c r="AA208" s="1"/>
    </row>
    <row r="209" spans="25:27">
      <c r="Y209" s="18">
        <v>38453910</v>
      </c>
      <c r="Z209" s="53">
        <v>1.4009999999999999E-3</v>
      </c>
      <c r="AA209" s="1"/>
    </row>
    <row r="210" spans="25:27">
      <c r="Y210" s="18">
        <v>38656299</v>
      </c>
      <c r="Z210" s="53">
        <v>1.426E-3</v>
      </c>
      <c r="AA210" s="1"/>
    </row>
    <row r="211" spans="25:27">
      <c r="Y211" s="18">
        <v>38858688</v>
      </c>
      <c r="Z211" s="53">
        <v>1.3699999999999999E-3</v>
      </c>
      <c r="AA211" s="1"/>
    </row>
    <row r="212" spans="25:27">
      <c r="Y212" s="18">
        <v>39061077</v>
      </c>
      <c r="Z212" s="53">
        <v>1.3780000000000001E-3</v>
      </c>
      <c r="AA212" s="1"/>
    </row>
    <row r="213" spans="25:27">
      <c r="Y213" s="18">
        <v>39263466</v>
      </c>
      <c r="Z213" s="53">
        <v>1.3129999999999999E-3</v>
      </c>
      <c r="AA213" s="1"/>
    </row>
    <row r="214" spans="25:27">
      <c r="Y214" s="18">
        <v>39465855</v>
      </c>
      <c r="Z214" s="53">
        <v>1.31E-3</v>
      </c>
      <c r="AA214" s="1"/>
    </row>
    <row r="215" spans="25:27">
      <c r="Y215" s="18">
        <v>39668244</v>
      </c>
      <c r="Z215" s="53">
        <v>1.2669999999999999E-3</v>
      </c>
      <c r="AA215" s="1"/>
    </row>
    <row r="216" spans="25:27">
      <c r="Y216" s="18">
        <v>39870633</v>
      </c>
      <c r="Z216" s="53">
        <v>1.266E-3</v>
      </c>
      <c r="AA216" s="1"/>
    </row>
    <row r="217" spans="25:27">
      <c r="Y217" s="18">
        <v>40073022</v>
      </c>
      <c r="Z217" s="53">
        <v>1.2359999999999999E-3</v>
      </c>
      <c r="AA217" s="1"/>
    </row>
    <row r="218" spans="25:27">
      <c r="Y218" s="18">
        <v>40275411</v>
      </c>
      <c r="Z218" s="53">
        <v>1.222E-3</v>
      </c>
      <c r="AA218" s="1"/>
    </row>
    <row r="219" spans="25:27">
      <c r="Y219" s="18">
        <v>40477800</v>
      </c>
      <c r="Z219" s="53">
        <v>1.232E-3</v>
      </c>
      <c r="AA219" s="1"/>
    </row>
    <row r="220" spans="25:27">
      <c r="Y220" s="18">
        <v>40680189</v>
      </c>
      <c r="Z220" s="53">
        <v>1.189E-3</v>
      </c>
      <c r="AA220" s="1"/>
    </row>
    <row r="221" spans="25:27">
      <c r="Y221" s="18">
        <v>40882578</v>
      </c>
      <c r="Z221" s="53">
        <v>1.206E-3</v>
      </c>
      <c r="AA221" s="1"/>
    </row>
    <row r="222" spans="25:27">
      <c r="Y222" s="18">
        <v>41084967</v>
      </c>
      <c r="Z222" s="53">
        <v>1.145E-3</v>
      </c>
      <c r="AA222" s="1"/>
    </row>
    <row r="223" spans="25:27">
      <c r="Y223" s="18">
        <v>41287356</v>
      </c>
      <c r="Z223" s="53">
        <v>1.1410000000000001E-3</v>
      </c>
      <c r="AA223" s="1"/>
    </row>
    <row r="224" spans="25:27">
      <c r="Y224" s="18">
        <v>41489745</v>
      </c>
      <c r="Z224" s="53">
        <v>1.1180000000000001E-3</v>
      </c>
      <c r="AA224" s="1"/>
    </row>
    <row r="225" spans="25:27">
      <c r="Y225" s="18">
        <v>41692134</v>
      </c>
      <c r="Z225" s="53">
        <v>1.1119999999999999E-3</v>
      </c>
      <c r="AA225" s="1"/>
    </row>
    <row r="226" spans="25:27">
      <c r="Y226" s="18">
        <v>41894523</v>
      </c>
      <c r="Z226" s="53">
        <v>1.0809999999999999E-3</v>
      </c>
      <c r="AA226" s="1"/>
    </row>
    <row r="227" spans="25:27">
      <c r="Y227" s="18">
        <v>42096912</v>
      </c>
      <c r="Z227" s="53">
        <v>1.062E-3</v>
      </c>
      <c r="AA227" s="1"/>
    </row>
    <row r="228" spans="25:27">
      <c r="Y228" s="18">
        <v>42299301</v>
      </c>
      <c r="Z228" s="53">
        <v>1.0579999999999999E-3</v>
      </c>
      <c r="AA228" s="1"/>
    </row>
    <row r="229" spans="25:27">
      <c r="Y229" s="18">
        <v>42501690</v>
      </c>
      <c r="Z229" s="53">
        <v>1.044E-3</v>
      </c>
      <c r="AA229" s="1"/>
    </row>
    <row r="230" spans="25:27">
      <c r="Y230" s="18">
        <v>42704079</v>
      </c>
      <c r="Z230" s="53">
        <v>1.0139999999999999E-3</v>
      </c>
      <c r="AA230" s="1"/>
    </row>
    <row r="231" spans="25:27">
      <c r="Y231" s="18">
        <v>42906468</v>
      </c>
      <c r="Z231" s="53">
        <v>1.005E-3</v>
      </c>
      <c r="AA231" s="1"/>
    </row>
    <row r="232" spans="25:27">
      <c r="Y232" s="18">
        <v>43108857</v>
      </c>
      <c r="Z232" s="53">
        <v>9.6400000000000001E-4</v>
      </c>
      <c r="AA232" s="1"/>
    </row>
    <row r="233" spans="25:27">
      <c r="Y233" s="18">
        <v>43311246</v>
      </c>
      <c r="Z233" s="53">
        <v>9.7900000000000005E-4</v>
      </c>
      <c r="AA233" s="1"/>
    </row>
    <row r="234" spans="25:27">
      <c r="Y234" s="18">
        <v>43513635</v>
      </c>
      <c r="Z234" s="53">
        <v>9.5E-4</v>
      </c>
      <c r="AA234" s="1"/>
    </row>
    <row r="235" spans="25:27">
      <c r="Y235" s="18">
        <v>43716024</v>
      </c>
      <c r="Z235" s="53">
        <v>9.5600000000000004E-4</v>
      </c>
      <c r="AA235" s="1"/>
    </row>
    <row r="236" spans="25:27">
      <c r="Y236" s="18">
        <v>43918413</v>
      </c>
      <c r="Z236" s="53">
        <v>9.1500000000000001E-4</v>
      </c>
      <c r="AA236" s="1"/>
    </row>
    <row r="237" spans="25:27">
      <c r="Y237" s="18">
        <v>44120802</v>
      </c>
      <c r="Z237" s="53">
        <v>9.19E-4</v>
      </c>
      <c r="AA237" s="1"/>
    </row>
    <row r="238" spans="25:27">
      <c r="Y238" s="18">
        <v>44323191</v>
      </c>
      <c r="Z238" s="53">
        <v>8.83E-4</v>
      </c>
      <c r="AA238" s="1"/>
    </row>
    <row r="239" spans="25:27">
      <c r="Y239" s="18">
        <v>44525580</v>
      </c>
      <c r="Z239" s="53">
        <v>8.8000000000000003E-4</v>
      </c>
      <c r="AA239" s="1"/>
    </row>
    <row r="240" spans="25:27">
      <c r="Y240" s="18">
        <v>44727969</v>
      </c>
      <c r="Z240" s="53">
        <v>8.5599999999999999E-4</v>
      </c>
      <c r="AA240" s="1"/>
    </row>
    <row r="241" spans="25:27">
      <c r="Y241" s="18">
        <v>44930358</v>
      </c>
      <c r="Z241" s="53">
        <v>8.4900000000000004E-4</v>
      </c>
      <c r="AA241" s="1"/>
    </row>
    <row r="242" spans="25:27">
      <c r="Y242" s="18">
        <v>45132747</v>
      </c>
      <c r="Z242" s="53">
        <v>8.25E-4</v>
      </c>
      <c r="AA242" s="1"/>
    </row>
    <row r="243" spans="25:27">
      <c r="Y243" s="18">
        <v>45335136</v>
      </c>
      <c r="Z243" s="53">
        <v>8.2600000000000002E-4</v>
      </c>
      <c r="AA243" s="1"/>
    </row>
    <row r="244" spans="25:27">
      <c r="Y244" s="18">
        <v>45537525</v>
      </c>
      <c r="Z244" s="53">
        <v>8.1599999999999999E-4</v>
      </c>
      <c r="AA244" s="1"/>
    </row>
    <row r="245" spans="25:27">
      <c r="Y245" s="18">
        <v>45739914</v>
      </c>
      <c r="Z245" s="53">
        <v>7.9699999999999997E-4</v>
      </c>
      <c r="AA245" s="1"/>
    </row>
    <row r="246" spans="25:27">
      <c r="Y246" s="18">
        <v>45942303</v>
      </c>
      <c r="Z246" s="53">
        <v>7.8399999999999997E-4</v>
      </c>
      <c r="AA246" s="1"/>
    </row>
    <row r="247" spans="25:27">
      <c r="Y247" s="18">
        <v>46144692</v>
      </c>
      <c r="Z247" s="53">
        <v>7.6599999999999997E-4</v>
      </c>
      <c r="AA247" s="1"/>
    </row>
    <row r="248" spans="25:27">
      <c r="Y248" s="18">
        <v>46347081</v>
      </c>
      <c r="Z248" s="53">
        <v>7.5500000000000003E-4</v>
      </c>
      <c r="AA248" s="1"/>
    </row>
    <row r="249" spans="25:27">
      <c r="Y249" s="18">
        <v>46549470</v>
      </c>
      <c r="Z249" s="53">
        <v>7.45E-4</v>
      </c>
      <c r="AA249" s="1"/>
    </row>
    <row r="250" spans="25:27">
      <c r="Y250" s="18">
        <v>46751859</v>
      </c>
      <c r="Z250" s="53">
        <v>7.3399999999999995E-4</v>
      </c>
      <c r="AA250" s="1"/>
    </row>
    <row r="251" spans="25:27">
      <c r="Y251" s="18">
        <v>46954248</v>
      </c>
      <c r="Z251" s="53">
        <v>7.2400000000000003E-4</v>
      </c>
      <c r="AA251" s="1"/>
    </row>
    <row r="252" spans="25:27">
      <c r="Y252" s="18">
        <v>47156637</v>
      </c>
      <c r="Z252" s="53">
        <v>7.1199999999999996E-4</v>
      </c>
      <c r="AA252" s="1"/>
    </row>
    <row r="253" spans="25:27">
      <c r="Y253" s="18">
        <v>47359026</v>
      </c>
      <c r="Z253" s="53">
        <v>7.0299999999999996E-4</v>
      </c>
      <c r="AA253" s="1"/>
    </row>
    <row r="254" spans="25:27">
      <c r="Y254" s="18">
        <v>47561415</v>
      </c>
      <c r="Z254" s="53">
        <v>6.8800000000000003E-4</v>
      </c>
      <c r="AA254" s="1"/>
    </row>
    <row r="255" spans="25:27">
      <c r="Y255" s="18">
        <v>47763804</v>
      </c>
      <c r="Z255" s="53">
        <v>6.7100000000000005E-4</v>
      </c>
      <c r="AA255" s="1"/>
    </row>
    <row r="256" spans="25:27">
      <c r="Y256" s="18">
        <v>47966193</v>
      </c>
      <c r="Z256" s="53">
        <v>6.6200000000000005E-4</v>
      </c>
      <c r="AA256" s="1"/>
    </row>
    <row r="257" spans="25:27">
      <c r="Y257" s="18">
        <v>48168582</v>
      </c>
      <c r="Z257" s="53">
        <v>6.4800000000000003E-4</v>
      </c>
      <c r="AA257" s="1"/>
    </row>
    <row r="258" spans="25:27">
      <c r="Y258" s="18">
        <v>48370971</v>
      </c>
      <c r="Z258" s="53">
        <v>6.4499999999999996E-4</v>
      </c>
      <c r="AA258" s="1"/>
    </row>
    <row r="259" spans="25:27">
      <c r="Y259" s="18">
        <v>48573360</v>
      </c>
      <c r="Z259" s="53">
        <v>6.2799999999999998E-4</v>
      </c>
      <c r="AA259" s="1"/>
    </row>
    <row r="260" spans="25:27">
      <c r="Y260" s="18">
        <v>48775749</v>
      </c>
      <c r="Z260" s="53">
        <v>6.2500000000000001E-4</v>
      </c>
      <c r="AA260" s="1"/>
    </row>
    <row r="261" spans="25:27">
      <c r="Y261" s="18">
        <v>48978138</v>
      </c>
      <c r="Z261" s="53">
        <v>6.0800000000000003E-4</v>
      </c>
      <c r="AA261" s="1"/>
    </row>
    <row r="262" spans="25:27">
      <c r="Y262" s="18">
        <v>49180527</v>
      </c>
      <c r="Z262" s="53">
        <v>6.0300000000000002E-4</v>
      </c>
      <c r="AA262" s="1"/>
    </row>
    <row r="263" spans="25:27">
      <c r="Y263" s="18">
        <v>49382916</v>
      </c>
      <c r="Z263" s="53">
        <v>5.8600000000000004E-4</v>
      </c>
      <c r="AA263" s="1"/>
    </row>
    <row r="264" spans="25:27">
      <c r="Y264" s="18">
        <v>49585305</v>
      </c>
      <c r="Z264" s="53">
        <v>5.7899999999999998E-4</v>
      </c>
      <c r="AA264" s="1"/>
    </row>
    <row r="265" spans="25:27">
      <c r="Y265" s="18">
        <v>49787694</v>
      </c>
      <c r="Z265" s="53">
        <v>5.6499999999999996E-4</v>
      </c>
      <c r="AA265" s="1"/>
    </row>
    <row r="266" spans="25:27">
      <c r="Y266" s="18">
        <v>49990083</v>
      </c>
      <c r="Z266" s="53">
        <v>5.5999999999999995E-4</v>
      </c>
      <c r="AA266" s="1"/>
    </row>
    <row r="267" spans="25:27">
      <c r="Y267" s="18">
        <v>50192472</v>
      </c>
      <c r="Z267" s="53">
        <v>5.4799999999999998E-4</v>
      </c>
      <c r="AA267" s="1"/>
    </row>
    <row r="268" spans="25:27">
      <c r="Y268" s="18">
        <v>50394861</v>
      </c>
      <c r="Z268" s="53">
        <v>5.4299999999999997E-4</v>
      </c>
      <c r="AA268" s="1"/>
    </row>
    <row r="269" spans="25:27">
      <c r="Y269" s="18">
        <v>50597250</v>
      </c>
      <c r="Z269" s="53">
        <v>5.31E-4</v>
      </c>
      <c r="AA269" s="1"/>
    </row>
    <row r="270" spans="25:27">
      <c r="Y270" s="18">
        <v>50799639</v>
      </c>
      <c r="Z270" s="53">
        <v>5.2099999999999998E-4</v>
      </c>
      <c r="AA270" s="1"/>
    </row>
    <row r="271" spans="25:27">
      <c r="Y271" s="18">
        <v>51002028</v>
      </c>
      <c r="Z271" s="53">
        <v>5.1000000000000004E-4</v>
      </c>
      <c r="AA271" s="1"/>
    </row>
    <row r="272" spans="25:27">
      <c r="Y272" s="18">
        <v>51204417</v>
      </c>
      <c r="Z272" s="53">
        <v>5.0299999999999997E-4</v>
      </c>
      <c r="AA272" s="1"/>
    </row>
    <row r="273" spans="25:27">
      <c r="Y273" s="18">
        <v>51406806</v>
      </c>
      <c r="Z273" s="53">
        <v>4.9799999999999996E-4</v>
      </c>
      <c r="AA273" s="1"/>
    </row>
    <row r="274" spans="25:27">
      <c r="Y274" s="18">
        <v>51609195</v>
      </c>
      <c r="Z274" s="53">
        <v>4.86E-4</v>
      </c>
      <c r="AA274" s="1"/>
    </row>
    <row r="275" spans="25:27">
      <c r="Y275" s="18">
        <v>51811584</v>
      </c>
      <c r="Z275" s="53">
        <v>4.7899999999999999E-4</v>
      </c>
      <c r="AA275" s="1"/>
    </row>
    <row r="276" spans="25:27">
      <c r="Y276" s="18">
        <v>52013973</v>
      </c>
      <c r="Z276" s="53">
        <v>4.73E-4</v>
      </c>
      <c r="AA276" s="1"/>
    </row>
    <row r="277" spans="25:27">
      <c r="Y277" s="18">
        <v>52216362</v>
      </c>
      <c r="Z277" s="53">
        <v>4.64E-4</v>
      </c>
      <c r="AA277" s="1"/>
    </row>
    <row r="278" spans="25:27">
      <c r="Y278" s="18">
        <v>52418751</v>
      </c>
      <c r="Z278" s="53">
        <v>4.5600000000000003E-4</v>
      </c>
      <c r="AA278" s="1"/>
    </row>
    <row r="279" spans="25:27">
      <c r="Y279" s="18">
        <v>52621140</v>
      </c>
      <c r="Z279" s="53">
        <v>4.4700000000000002E-4</v>
      </c>
      <c r="AA279" s="1"/>
    </row>
    <row r="280" spans="25:27">
      <c r="Y280" s="18">
        <v>52823529</v>
      </c>
      <c r="Z280" s="53">
        <v>4.3800000000000002E-4</v>
      </c>
      <c r="AA280" s="1"/>
    </row>
    <row r="281" spans="25:27">
      <c r="Y281" s="18">
        <v>53025918</v>
      </c>
      <c r="Z281" s="53">
        <v>4.3100000000000001E-4</v>
      </c>
      <c r="AA281" s="1"/>
    </row>
    <row r="282" spans="25:27">
      <c r="Y282" s="18">
        <v>53228307</v>
      </c>
      <c r="Z282" s="53">
        <v>4.2400000000000001E-4</v>
      </c>
      <c r="AA282" s="1"/>
    </row>
    <row r="283" spans="25:27">
      <c r="Y283" s="18">
        <v>53430696</v>
      </c>
      <c r="Z283" s="53">
        <v>4.1800000000000002E-4</v>
      </c>
      <c r="AA283" s="1"/>
    </row>
    <row r="284" spans="25:27">
      <c r="Y284" s="18">
        <v>53633085</v>
      </c>
      <c r="Z284" s="53">
        <v>4.0900000000000002E-4</v>
      </c>
      <c r="AA284" s="1"/>
    </row>
    <row r="285" spans="25:27">
      <c r="Y285" s="18">
        <v>53835474</v>
      </c>
      <c r="Z285" s="53">
        <v>4.0499999999999998E-4</v>
      </c>
      <c r="AA285" s="1"/>
    </row>
    <row r="286" spans="25:27">
      <c r="Y286" s="18">
        <v>54037863</v>
      </c>
      <c r="Z286" s="53">
        <v>3.9500000000000001E-4</v>
      </c>
      <c r="AA286" s="1"/>
    </row>
    <row r="287" spans="25:27">
      <c r="Y287" s="18">
        <v>54240252</v>
      </c>
      <c r="Z287" s="53">
        <v>3.8999999999999999E-4</v>
      </c>
      <c r="AA287" s="1"/>
    </row>
    <row r="288" spans="25:27">
      <c r="Y288" s="18">
        <v>54442641</v>
      </c>
      <c r="Z288" s="53">
        <v>3.8099999999999999E-4</v>
      </c>
      <c r="AA288" s="1"/>
    </row>
    <row r="289" spans="25:27">
      <c r="Y289" s="18">
        <v>54645030</v>
      </c>
      <c r="Z289" s="53">
        <v>3.7599999999999998E-4</v>
      </c>
      <c r="AA289" s="1"/>
    </row>
    <row r="290" spans="25:27">
      <c r="Y290" s="18">
        <v>54847419</v>
      </c>
      <c r="Z290" s="53">
        <v>3.6699999999999998E-4</v>
      </c>
      <c r="AA290" s="1"/>
    </row>
    <row r="291" spans="25:27">
      <c r="Y291" s="18">
        <v>55049808</v>
      </c>
      <c r="Z291" s="53">
        <v>3.6299999999999999E-4</v>
      </c>
      <c r="AA291" s="1"/>
    </row>
    <row r="292" spans="25:27">
      <c r="Y292" s="18">
        <v>55252197</v>
      </c>
      <c r="Z292" s="53">
        <v>3.5500000000000001E-4</v>
      </c>
      <c r="AA292" s="1"/>
    </row>
    <row r="293" spans="25:27">
      <c r="Y293" s="18">
        <v>55454586</v>
      </c>
      <c r="Z293" s="53">
        <v>3.5E-4</v>
      </c>
      <c r="AA293" s="1"/>
    </row>
    <row r="294" spans="25:27">
      <c r="Y294" s="18">
        <v>55656975</v>
      </c>
      <c r="Z294" s="53">
        <v>3.4200000000000002E-4</v>
      </c>
      <c r="AA294" s="1"/>
    </row>
    <row r="295" spans="25:27">
      <c r="Y295" s="18">
        <v>55859364</v>
      </c>
      <c r="Z295" s="53">
        <v>3.3700000000000001E-4</v>
      </c>
      <c r="AA295" s="1"/>
    </row>
    <row r="296" spans="25:27">
      <c r="Y296" s="18">
        <v>56061753</v>
      </c>
      <c r="Z296" s="53">
        <v>3.3300000000000002E-4</v>
      </c>
      <c r="AA296" s="1"/>
    </row>
    <row r="297" spans="25:27">
      <c r="Y297" s="18">
        <v>56264142</v>
      </c>
      <c r="Z297" s="53">
        <v>3.2499999999999999E-4</v>
      </c>
      <c r="AA297" s="1"/>
    </row>
    <row r="298" spans="25:27">
      <c r="Y298" s="18">
        <v>56466531</v>
      </c>
      <c r="Z298" s="53">
        <v>3.21E-4</v>
      </c>
      <c r="AA298" s="1"/>
    </row>
    <row r="299" spans="25:27">
      <c r="Y299" s="18">
        <v>56668920</v>
      </c>
      <c r="Z299" s="53">
        <v>3.1300000000000002E-4</v>
      </c>
      <c r="AA299" s="1"/>
    </row>
    <row r="300" spans="25:27">
      <c r="Y300" s="18">
        <v>56871309</v>
      </c>
      <c r="Z300" s="53">
        <v>3.0800000000000001E-4</v>
      </c>
      <c r="AA300" s="1"/>
    </row>
    <row r="301" spans="25:27">
      <c r="Y301" s="18">
        <v>57073698</v>
      </c>
      <c r="Z301" s="53">
        <v>3.0299999999999999E-4</v>
      </c>
      <c r="AA301" s="1"/>
    </row>
    <row r="302" spans="25:27">
      <c r="Y302" s="18">
        <v>57276087</v>
      </c>
      <c r="Z302" s="53">
        <v>2.9799999999999998E-4</v>
      </c>
      <c r="AA302" s="1"/>
    </row>
    <row r="303" spans="25:27">
      <c r="Y303" s="18">
        <v>57478476</v>
      </c>
      <c r="Z303" s="53">
        <v>2.92E-4</v>
      </c>
      <c r="AA303" s="1"/>
    </row>
    <row r="304" spans="25:27">
      <c r="Y304" s="18">
        <v>57680865</v>
      </c>
      <c r="Z304" s="53">
        <v>2.8600000000000001E-4</v>
      </c>
      <c r="AA304" s="1"/>
    </row>
    <row r="305" spans="25:27">
      <c r="Y305" s="18">
        <v>57883254</v>
      </c>
      <c r="Z305" s="53">
        <v>2.8200000000000002E-4</v>
      </c>
      <c r="AA305" s="1"/>
    </row>
    <row r="306" spans="25:27">
      <c r="Y306" s="18">
        <v>58085643</v>
      </c>
      <c r="Z306" s="53">
        <v>2.7700000000000001E-4</v>
      </c>
      <c r="AA306" s="1"/>
    </row>
    <row r="307" spans="25:27">
      <c r="Y307" s="18">
        <v>58288032</v>
      </c>
      <c r="Z307" s="53">
        <v>2.72E-4</v>
      </c>
      <c r="AA307" s="1"/>
    </row>
    <row r="308" spans="25:27">
      <c r="Y308" s="18">
        <v>58490421</v>
      </c>
      <c r="Z308" s="53">
        <v>2.6800000000000001E-4</v>
      </c>
      <c r="AA308" s="1"/>
    </row>
    <row r="309" spans="25:27">
      <c r="Y309" s="18">
        <v>58692810</v>
      </c>
      <c r="Z309" s="53">
        <v>2.6200000000000003E-4</v>
      </c>
      <c r="AA309" s="1"/>
    </row>
    <row r="310" spans="25:27">
      <c r="Y310" s="18">
        <v>58895199</v>
      </c>
      <c r="Z310" s="53">
        <v>2.5900000000000001E-4</v>
      </c>
      <c r="AA310" s="1"/>
    </row>
    <row r="311" spans="25:27">
      <c r="Y311" s="18">
        <v>59097588</v>
      </c>
      <c r="Z311" s="53">
        <v>2.5300000000000002E-4</v>
      </c>
      <c r="AA311" s="1"/>
    </row>
    <row r="312" spans="25:27">
      <c r="Y312" s="18">
        <v>59299977</v>
      </c>
      <c r="Z312" s="53">
        <v>2.5000000000000001E-4</v>
      </c>
      <c r="AA312" s="1"/>
    </row>
    <row r="313" spans="25:27">
      <c r="Y313" s="18">
        <v>59502366</v>
      </c>
      <c r="Z313" s="53">
        <v>2.43E-4</v>
      </c>
      <c r="AA313" s="1"/>
    </row>
    <row r="314" spans="25:27">
      <c r="Y314" s="18">
        <v>59704755</v>
      </c>
      <c r="Z314" s="53">
        <v>2.4000000000000001E-4</v>
      </c>
      <c r="AA314" s="1"/>
    </row>
    <row r="315" spans="25:27">
      <c r="Y315" s="18">
        <v>59907144</v>
      </c>
      <c r="Z315" s="53">
        <v>2.3499999999999999E-4</v>
      </c>
      <c r="AA315" s="1"/>
    </row>
    <row r="316" spans="25:27">
      <c r="Y316" s="18">
        <v>60109533</v>
      </c>
      <c r="Z316" s="53">
        <v>2.31E-4</v>
      </c>
      <c r="AA316" s="1"/>
    </row>
    <row r="317" spans="25:27">
      <c r="Y317" s="18">
        <v>60311922</v>
      </c>
      <c r="Z317" s="53">
        <v>2.2599999999999999E-4</v>
      </c>
      <c r="AA317" s="1"/>
    </row>
    <row r="318" spans="25:27">
      <c r="Y318" s="18">
        <v>60514311</v>
      </c>
      <c r="Z318" s="53">
        <v>2.23E-4</v>
      </c>
      <c r="AA318" s="1"/>
    </row>
    <row r="319" spans="25:27">
      <c r="Y319" s="18">
        <v>60716700</v>
      </c>
      <c r="Z319" s="53">
        <v>2.1900000000000001E-4</v>
      </c>
      <c r="AA319" s="1"/>
    </row>
    <row r="320" spans="25:27">
      <c r="Y320" s="18">
        <v>60919089</v>
      </c>
      <c r="Z320" s="53">
        <v>2.1499999999999999E-4</v>
      </c>
      <c r="AA320" s="1"/>
    </row>
    <row r="321" spans="25:27">
      <c r="Y321" s="18">
        <v>61121478</v>
      </c>
      <c r="Z321" s="53">
        <v>2.12E-4</v>
      </c>
      <c r="AA321" s="1"/>
    </row>
    <row r="322" spans="25:27">
      <c r="Y322" s="18">
        <v>61323867</v>
      </c>
      <c r="Z322" s="53">
        <v>2.0699999999999999E-4</v>
      </c>
      <c r="AA322" s="1"/>
    </row>
    <row r="323" spans="25:27">
      <c r="Y323" s="18">
        <v>61526256</v>
      </c>
      <c r="Z323" s="53">
        <v>2.03E-4</v>
      </c>
      <c r="AA323" s="1"/>
    </row>
    <row r="324" spans="25:27">
      <c r="Y324" s="18">
        <v>61728645</v>
      </c>
      <c r="Z324" s="53">
        <v>1.9900000000000001E-4</v>
      </c>
      <c r="AA324" s="1"/>
    </row>
    <row r="325" spans="25:27">
      <c r="Y325" s="18">
        <v>61931034</v>
      </c>
      <c r="Z325" s="53">
        <v>1.9599999999999999E-4</v>
      </c>
      <c r="AA325" s="1"/>
    </row>
    <row r="326" spans="25:27">
      <c r="Y326" s="18">
        <v>62133423</v>
      </c>
      <c r="Z326" s="53">
        <v>1.92E-4</v>
      </c>
      <c r="AA326" s="1"/>
    </row>
    <row r="327" spans="25:27">
      <c r="Y327" s="18">
        <v>62335812</v>
      </c>
      <c r="Z327" s="53">
        <v>1.8900000000000001E-4</v>
      </c>
      <c r="AA327" s="1"/>
    </row>
    <row r="328" spans="25:27">
      <c r="Y328" s="18">
        <v>62538201</v>
      </c>
      <c r="Z328" s="53">
        <v>1.8599999999999999E-4</v>
      </c>
      <c r="AA328" s="1"/>
    </row>
    <row r="329" spans="25:27">
      <c r="Y329" s="18">
        <v>62740590</v>
      </c>
      <c r="Z329" s="53">
        <v>1.8200000000000001E-4</v>
      </c>
      <c r="AA329" s="1"/>
    </row>
    <row r="330" spans="25:27">
      <c r="Y330" s="18">
        <v>62942979</v>
      </c>
      <c r="Z330" s="53">
        <v>1.7899999999999999E-4</v>
      </c>
      <c r="AA330" s="1"/>
    </row>
    <row r="331" spans="25:27">
      <c r="Y331" s="18">
        <v>63145368</v>
      </c>
      <c r="Z331" s="53">
        <v>1.76E-4</v>
      </c>
      <c r="AA331" s="1"/>
    </row>
    <row r="332" spans="25:27">
      <c r="Y332" s="18">
        <v>63347757</v>
      </c>
      <c r="Z332" s="53">
        <v>1.7200000000000001E-4</v>
      </c>
      <c r="AA332" s="1"/>
    </row>
    <row r="333" spans="25:27">
      <c r="Y333" s="18">
        <v>63550146</v>
      </c>
      <c r="Z333" s="53">
        <v>1.6899999999999999E-4</v>
      </c>
      <c r="AA333" s="1"/>
    </row>
    <row r="334" spans="25:27">
      <c r="Y334" s="18">
        <v>63752535</v>
      </c>
      <c r="Z334" s="53">
        <v>1.66E-4</v>
      </c>
      <c r="AA334" s="1"/>
    </row>
    <row r="335" spans="25:27">
      <c r="Y335" s="18">
        <v>63954924</v>
      </c>
      <c r="Z335" s="53">
        <v>1.64E-4</v>
      </c>
      <c r="AA335" s="1"/>
    </row>
    <row r="336" spans="25:27">
      <c r="Y336" s="18">
        <v>64157313</v>
      </c>
      <c r="Z336" s="53">
        <v>1.6000000000000001E-4</v>
      </c>
      <c r="AA336" s="1"/>
    </row>
    <row r="337" spans="25:27">
      <c r="Y337" s="18">
        <v>64359702</v>
      </c>
      <c r="Z337" s="53">
        <v>1.5699999999999999E-4</v>
      </c>
      <c r="AA337" s="1"/>
    </row>
    <row r="338" spans="25:27">
      <c r="Y338" s="18">
        <v>64562091</v>
      </c>
      <c r="Z338" s="53">
        <v>1.54E-4</v>
      </c>
      <c r="AA338" s="1"/>
    </row>
    <row r="339" spans="25:27">
      <c r="Y339" s="18">
        <v>64764480</v>
      </c>
      <c r="Z339" s="53">
        <v>1.5100000000000001E-4</v>
      </c>
      <c r="AA339" s="1"/>
    </row>
    <row r="340" spans="25:27">
      <c r="Y340" s="18">
        <v>64966869</v>
      </c>
      <c r="Z340" s="53">
        <v>1.4799999999999999E-4</v>
      </c>
      <c r="AA340" s="1"/>
    </row>
    <row r="341" spans="25:27">
      <c r="Y341" s="18">
        <v>65169258</v>
      </c>
      <c r="Z341" s="53">
        <v>1.46E-4</v>
      </c>
      <c r="AA341" s="1"/>
    </row>
    <row r="342" spans="25:27">
      <c r="Y342" s="18">
        <v>65371647</v>
      </c>
      <c r="Z342" s="53">
        <v>1.4300000000000001E-4</v>
      </c>
      <c r="AA342" s="1"/>
    </row>
    <row r="343" spans="25:27">
      <c r="Y343" s="18">
        <v>65574036</v>
      </c>
      <c r="Z343" s="53">
        <v>1.4100000000000001E-4</v>
      </c>
      <c r="AA343" s="1"/>
    </row>
    <row r="344" spans="25:27">
      <c r="Y344" s="18">
        <v>65776425</v>
      </c>
      <c r="Z344" s="53">
        <v>1.3799999999999999E-4</v>
      </c>
      <c r="AA344" s="1"/>
    </row>
    <row r="345" spans="25:27">
      <c r="Y345" s="18">
        <v>65978814</v>
      </c>
      <c r="Z345" s="53">
        <v>1.35E-4</v>
      </c>
      <c r="AA345" s="1"/>
    </row>
    <row r="346" spans="25:27">
      <c r="Y346" s="18">
        <v>66181203</v>
      </c>
      <c r="Z346" s="53">
        <v>1.3300000000000001E-4</v>
      </c>
      <c r="AA346" s="1"/>
    </row>
    <row r="347" spans="25:27">
      <c r="Y347" s="18">
        <v>66383592</v>
      </c>
      <c r="Z347" s="53">
        <v>1.2999999999999999E-4</v>
      </c>
      <c r="AA347" s="1"/>
    </row>
    <row r="348" spans="25:27">
      <c r="Y348" s="18">
        <v>66585981</v>
      </c>
      <c r="Z348" s="53">
        <v>1.2799999999999999E-4</v>
      </c>
      <c r="AA348" s="1"/>
    </row>
    <row r="349" spans="25:27">
      <c r="Y349" s="18">
        <v>66788370</v>
      </c>
      <c r="Z349" s="53">
        <v>1.26E-4</v>
      </c>
      <c r="AA349" s="1"/>
    </row>
    <row r="350" spans="25:27">
      <c r="Y350" s="18">
        <v>66990759</v>
      </c>
      <c r="Z350" s="53">
        <v>1.2300000000000001E-4</v>
      </c>
      <c r="AA350" s="1"/>
    </row>
    <row r="351" spans="25:27">
      <c r="Y351" s="18">
        <v>67193148</v>
      </c>
      <c r="Z351" s="53">
        <v>1.21E-4</v>
      </c>
      <c r="AA351" s="1"/>
    </row>
    <row r="352" spans="25:27">
      <c r="Y352" s="18">
        <v>67395537</v>
      </c>
      <c r="Z352" s="53">
        <v>1.1900000000000001E-4</v>
      </c>
      <c r="AA352" s="1"/>
    </row>
    <row r="353" spans="25:27">
      <c r="Y353" s="18">
        <v>67597926</v>
      </c>
      <c r="Z353" s="53">
        <v>1.17E-4</v>
      </c>
      <c r="AA353" s="1"/>
    </row>
    <row r="354" spans="25:27">
      <c r="Y354" s="18">
        <v>67800315</v>
      </c>
      <c r="Z354" s="53">
        <v>1.1400000000000001E-4</v>
      </c>
      <c r="AA354" s="1"/>
    </row>
    <row r="355" spans="25:27">
      <c r="Y355" s="18">
        <v>68002704</v>
      </c>
      <c r="Z355" s="53">
        <v>1.12E-4</v>
      </c>
      <c r="AA355" s="1"/>
    </row>
    <row r="356" spans="25:27">
      <c r="Y356" s="18">
        <v>68205093</v>
      </c>
      <c r="Z356" s="53">
        <v>1.1E-4</v>
      </c>
      <c r="AA356" s="1"/>
    </row>
    <row r="357" spans="25:27">
      <c r="Y357" s="18">
        <v>68407482</v>
      </c>
      <c r="Z357" s="53">
        <v>1.08E-4</v>
      </c>
      <c r="AA357" s="1"/>
    </row>
    <row r="358" spans="25:27">
      <c r="Y358" s="18">
        <v>68609871</v>
      </c>
      <c r="Z358" s="53">
        <v>1.06E-4</v>
      </c>
      <c r="AA358" s="1"/>
    </row>
    <row r="359" spans="25:27">
      <c r="Y359" s="18">
        <v>68812260</v>
      </c>
      <c r="Z359" s="53">
        <v>1.0399999999999999E-4</v>
      </c>
      <c r="AA359" s="1"/>
    </row>
    <row r="360" spans="25:27">
      <c r="Y360" s="18">
        <v>69014649</v>
      </c>
      <c r="Z360" s="53">
        <v>1.02E-4</v>
      </c>
      <c r="AA360" s="1"/>
    </row>
    <row r="361" spans="25:27">
      <c r="Y361" s="18">
        <v>69217038</v>
      </c>
      <c r="Z361" s="53">
        <v>1E-4</v>
      </c>
      <c r="AA361" s="1"/>
    </row>
    <row r="362" spans="25:27">
      <c r="Y362" s="18">
        <v>69419427</v>
      </c>
      <c r="Z362" s="53">
        <v>9.7999999999999997E-5</v>
      </c>
      <c r="AA362" s="1"/>
    </row>
    <row r="363" spans="25:27">
      <c r="Y363" s="18">
        <v>69621816</v>
      </c>
      <c r="Z363" s="53">
        <v>9.6000000000000002E-5</v>
      </c>
      <c r="AA363" s="1"/>
    </row>
    <row r="364" spans="25:27">
      <c r="Y364" s="18">
        <v>69824205</v>
      </c>
      <c r="Z364" s="53">
        <v>9.5000000000000005E-5</v>
      </c>
      <c r="AA364" s="1"/>
    </row>
    <row r="365" spans="25:27">
      <c r="Y365" s="18">
        <v>70026594</v>
      </c>
      <c r="Z365" s="53">
        <v>9.2999999999999997E-5</v>
      </c>
      <c r="AA365" s="1"/>
    </row>
    <row r="366" spans="25:27">
      <c r="Y366" s="18">
        <v>70228983</v>
      </c>
      <c r="Z366" s="53">
        <v>9.1000000000000003E-5</v>
      </c>
      <c r="AA366" s="1"/>
    </row>
    <row r="367" spans="25:27">
      <c r="Y367" s="18">
        <v>70431372</v>
      </c>
      <c r="Z367" s="53">
        <v>8.8999999999999995E-5</v>
      </c>
      <c r="AA367" s="1"/>
    </row>
    <row r="368" spans="25:27">
      <c r="Y368" s="18">
        <v>70633761</v>
      </c>
      <c r="Z368" s="53">
        <v>8.7999999999999998E-5</v>
      </c>
      <c r="AA368" s="1"/>
    </row>
    <row r="369" spans="25:27">
      <c r="Y369" s="18">
        <v>70836150</v>
      </c>
      <c r="Z369" s="53">
        <v>8.6000000000000003E-5</v>
      </c>
      <c r="AA369" s="1"/>
    </row>
    <row r="370" spans="25:27">
      <c r="Y370" s="18">
        <v>71038539</v>
      </c>
      <c r="Z370" s="53">
        <v>8.3999999999999995E-5</v>
      </c>
      <c r="AA370" s="1"/>
    </row>
    <row r="371" spans="25:27">
      <c r="Y371" s="18">
        <v>71240928</v>
      </c>
      <c r="Z371" s="53">
        <v>8.2999999999999998E-5</v>
      </c>
      <c r="AA371" s="1"/>
    </row>
    <row r="372" spans="25:27">
      <c r="Y372" s="18">
        <v>71443317</v>
      </c>
      <c r="Z372" s="53">
        <v>8.1000000000000004E-5</v>
      </c>
      <c r="AA372" s="1"/>
    </row>
    <row r="373" spans="25:27">
      <c r="Y373" s="18">
        <v>71645706</v>
      </c>
      <c r="Z373" s="53">
        <v>8.0000000000000007E-5</v>
      </c>
      <c r="AA373" s="1"/>
    </row>
    <row r="374" spans="25:27">
      <c r="Y374" s="18">
        <v>71848095</v>
      </c>
      <c r="Z374" s="53">
        <v>7.7999999999999999E-5</v>
      </c>
      <c r="AA374" s="1"/>
    </row>
    <row r="375" spans="25:27">
      <c r="Y375" s="18">
        <v>72050484</v>
      </c>
      <c r="Z375" s="53">
        <v>7.7000000000000001E-5</v>
      </c>
      <c r="AA375" s="1"/>
    </row>
    <row r="376" spans="25:27">
      <c r="Y376" s="18">
        <v>72252873</v>
      </c>
      <c r="Z376" s="53">
        <v>7.4999999999999993E-5</v>
      </c>
      <c r="AA376" s="1"/>
    </row>
    <row r="377" spans="25:27">
      <c r="Y377" s="18">
        <v>72455262</v>
      </c>
      <c r="Z377" s="53">
        <v>7.3999999999999996E-5</v>
      </c>
      <c r="AA377" s="1"/>
    </row>
    <row r="378" spans="25:27">
      <c r="Y378" s="18">
        <v>72657651</v>
      </c>
      <c r="Z378" s="53">
        <v>7.2000000000000002E-5</v>
      </c>
      <c r="AA378" s="1"/>
    </row>
    <row r="379" spans="25:27">
      <c r="Y379" s="18">
        <v>72860040</v>
      </c>
      <c r="Z379" s="53">
        <v>7.1000000000000005E-5</v>
      </c>
      <c r="AA379" s="1"/>
    </row>
    <row r="380" spans="25:27">
      <c r="Y380" s="18">
        <v>73062429</v>
      </c>
      <c r="Z380" s="53">
        <v>6.9999999999999994E-5</v>
      </c>
      <c r="AA380" s="1"/>
    </row>
    <row r="381" spans="25:27">
      <c r="Y381" s="18">
        <v>73264818</v>
      </c>
      <c r="Z381" s="53">
        <v>6.7999999999999999E-5</v>
      </c>
      <c r="AA381" s="1"/>
    </row>
    <row r="382" spans="25:27">
      <c r="Y382" s="18">
        <v>73467207</v>
      </c>
      <c r="Z382" s="53">
        <v>6.7000000000000002E-5</v>
      </c>
    </row>
    <row r="383" spans="25:27">
      <c r="Y383" s="18">
        <v>73669596</v>
      </c>
      <c r="Z383" s="53">
        <v>6.6000000000000005E-5</v>
      </c>
    </row>
    <row r="384" spans="25:27">
      <c r="Y384" s="18">
        <v>73871985</v>
      </c>
      <c r="Z384" s="53">
        <v>6.3999999999999997E-5</v>
      </c>
    </row>
    <row r="385" spans="25:26">
      <c r="Y385" s="18">
        <v>74074374</v>
      </c>
      <c r="Z385" s="53">
        <v>6.3E-5</v>
      </c>
    </row>
    <row r="386" spans="25:26">
      <c r="Y386" s="18">
        <v>74276763</v>
      </c>
      <c r="Z386" s="53">
        <v>6.2000000000000003E-5</v>
      </c>
    </row>
    <row r="387" spans="25:26">
      <c r="Y387" s="18">
        <v>74479152</v>
      </c>
      <c r="Z387" s="53">
        <v>6.0999999999999999E-5</v>
      </c>
    </row>
    <row r="388" spans="25:26">
      <c r="Y388" s="18">
        <v>74681541</v>
      </c>
      <c r="Z388" s="53">
        <v>6.0000000000000002E-5</v>
      </c>
    </row>
    <row r="389" spans="25:26">
      <c r="Y389" s="18">
        <v>74883930</v>
      </c>
      <c r="Z389" s="53">
        <v>5.8999999999999998E-5</v>
      </c>
    </row>
    <row r="390" spans="25:26">
      <c r="Y390" s="18">
        <v>75086319</v>
      </c>
      <c r="Z390" s="53">
        <v>5.7000000000000003E-5</v>
      </c>
    </row>
    <row r="391" spans="25:26">
      <c r="Y391" s="18">
        <v>75288708</v>
      </c>
      <c r="Z391" s="53">
        <v>5.5999999999999999E-5</v>
      </c>
    </row>
    <row r="392" spans="25:26">
      <c r="Y392" s="18">
        <v>75491097</v>
      </c>
      <c r="Z392" s="53">
        <v>5.5000000000000002E-5</v>
      </c>
    </row>
    <row r="393" spans="25:26">
      <c r="Y393" s="18">
        <v>75693486</v>
      </c>
      <c r="Z393" s="53">
        <v>5.3999999999999998E-5</v>
      </c>
    </row>
    <row r="394" spans="25:26">
      <c r="Y394" s="18">
        <v>75895875</v>
      </c>
      <c r="Z394" s="53">
        <v>5.3000000000000001E-5</v>
      </c>
    </row>
    <row r="395" spans="25:26">
      <c r="Y395" s="18">
        <v>76098264</v>
      </c>
      <c r="Z395" s="53">
        <v>5.1999999999999997E-5</v>
      </c>
    </row>
    <row r="396" spans="25:26">
      <c r="Y396" s="18">
        <v>76300653</v>
      </c>
      <c r="Z396" s="53">
        <v>5.1E-5</v>
      </c>
    </row>
    <row r="397" spans="25:26">
      <c r="Y397" s="18">
        <v>76503042</v>
      </c>
      <c r="Z397" s="53">
        <v>5.0000000000000002E-5</v>
      </c>
    </row>
    <row r="398" spans="25:26">
      <c r="Y398" s="18">
        <v>76705431</v>
      </c>
      <c r="Z398" s="53">
        <v>4.8999999999999998E-5</v>
      </c>
    </row>
    <row r="399" spans="25:26">
      <c r="Y399" s="18">
        <v>76907820</v>
      </c>
      <c r="Z399" s="53">
        <v>4.8000000000000001E-5</v>
      </c>
    </row>
    <row r="400" spans="25:26">
      <c r="Y400" s="18">
        <v>77110209</v>
      </c>
      <c r="Z400" s="53">
        <v>4.6999999999999997E-5</v>
      </c>
    </row>
    <row r="401" spans="25:26">
      <c r="Y401" s="18">
        <v>77312598</v>
      </c>
      <c r="Z401" s="53">
        <v>4.6E-5</v>
      </c>
    </row>
    <row r="402" spans="25:26">
      <c r="Y402" s="18">
        <v>77514987</v>
      </c>
      <c r="Z402" s="53">
        <v>4.5000000000000003E-5</v>
      </c>
    </row>
    <row r="403" spans="25:26">
      <c r="Y403" s="18">
        <v>77717376</v>
      </c>
      <c r="Z403" s="53">
        <v>4.5000000000000003E-5</v>
      </c>
    </row>
    <row r="404" spans="25:26">
      <c r="Y404" s="18">
        <v>77919765</v>
      </c>
      <c r="Z404" s="53">
        <v>4.3999999999999999E-5</v>
      </c>
    </row>
    <row r="405" spans="25:26">
      <c r="Y405" s="18">
        <v>78122154</v>
      </c>
      <c r="Z405" s="53">
        <v>4.3000000000000002E-5</v>
      </c>
    </row>
    <row r="406" spans="25:26">
      <c r="Y406" s="18">
        <v>78324543</v>
      </c>
      <c r="Z406" s="53">
        <v>4.1999999999999998E-5</v>
      </c>
    </row>
    <row r="407" spans="25:26">
      <c r="Y407" s="18">
        <v>78526932</v>
      </c>
      <c r="Z407" s="53">
        <v>4.1E-5</v>
      </c>
    </row>
    <row r="408" spans="25:26">
      <c r="Y408" s="18">
        <v>78729321</v>
      </c>
      <c r="Z408" s="53">
        <v>4.0000000000000003E-5</v>
      </c>
    </row>
    <row r="409" spans="25:26">
      <c r="Y409" s="18">
        <v>78931710</v>
      </c>
      <c r="Z409" s="53">
        <v>4.0000000000000003E-5</v>
      </c>
    </row>
    <row r="410" spans="25:26">
      <c r="Y410" s="18">
        <v>79134099</v>
      </c>
      <c r="Z410" s="53">
        <v>3.8999999999999999E-5</v>
      </c>
    </row>
    <row r="411" spans="25:26">
      <c r="Y411" s="18">
        <v>79336488</v>
      </c>
      <c r="Z411" s="53">
        <v>3.8000000000000002E-5</v>
      </c>
    </row>
    <row r="412" spans="25:26">
      <c r="Y412" s="18">
        <v>79538877</v>
      </c>
      <c r="Z412" s="53">
        <v>3.6999999999999998E-5</v>
      </c>
    </row>
    <row r="413" spans="25:26">
      <c r="Y413" s="18">
        <v>79741266</v>
      </c>
      <c r="Z413" s="53">
        <v>3.6999999999999998E-5</v>
      </c>
    </row>
    <row r="414" spans="25:26">
      <c r="Y414" s="18">
        <v>79943655</v>
      </c>
      <c r="Z414" s="53">
        <v>3.6000000000000001E-5</v>
      </c>
    </row>
    <row r="415" spans="25:26">
      <c r="Y415" s="18">
        <v>80146044</v>
      </c>
      <c r="Z415" s="53">
        <v>3.4999999999999997E-5</v>
      </c>
    </row>
    <row r="416" spans="25:26">
      <c r="Y416" s="18">
        <v>80348433</v>
      </c>
      <c r="Z416" s="53">
        <v>3.4999999999999997E-5</v>
      </c>
    </row>
    <row r="417" spans="25:26">
      <c r="Y417" s="18">
        <v>80550822</v>
      </c>
      <c r="Z417" s="53">
        <v>3.4E-5</v>
      </c>
    </row>
    <row r="418" spans="25:26">
      <c r="Y418" s="18">
        <v>80753211</v>
      </c>
      <c r="Z418" s="53">
        <v>3.3000000000000003E-5</v>
      </c>
    </row>
    <row r="419" spans="25:26">
      <c r="Y419" s="18">
        <v>80955600</v>
      </c>
      <c r="Z419" s="53">
        <v>3.3000000000000003E-5</v>
      </c>
    </row>
    <row r="420" spans="25:26">
      <c r="Y420" s="18">
        <v>81157989</v>
      </c>
      <c r="Z420" s="53">
        <v>3.1999999999999999E-5</v>
      </c>
    </row>
    <row r="421" spans="25:26">
      <c r="Y421" s="18">
        <v>81360378</v>
      </c>
      <c r="Z421" s="53">
        <v>3.1000000000000001E-5</v>
      </c>
    </row>
    <row r="422" spans="25:26">
      <c r="Y422" s="18">
        <v>81562767</v>
      </c>
      <c r="Z422" s="53">
        <v>3.1000000000000001E-5</v>
      </c>
    </row>
    <row r="423" spans="25:26">
      <c r="Y423" s="18">
        <v>81765156</v>
      </c>
      <c r="Z423" s="53">
        <v>3.0000000000000001E-5</v>
      </c>
    </row>
    <row r="424" spans="25:26">
      <c r="Y424" s="18">
        <v>81967545</v>
      </c>
      <c r="Z424" s="53">
        <v>2.9E-5</v>
      </c>
    </row>
    <row r="425" spans="25:26">
      <c r="Y425" s="18">
        <v>82169934</v>
      </c>
      <c r="Z425" s="53">
        <v>2.9E-5</v>
      </c>
    </row>
    <row r="426" spans="25:26">
      <c r="Y426" s="18">
        <v>82372323</v>
      </c>
      <c r="Z426" s="53">
        <v>2.8E-5</v>
      </c>
    </row>
    <row r="427" spans="25:26">
      <c r="Y427" s="18">
        <v>82574712</v>
      </c>
      <c r="Z427" s="53">
        <v>2.8E-5</v>
      </c>
    </row>
    <row r="428" spans="25:26">
      <c r="Y428" s="18">
        <v>82777101</v>
      </c>
      <c r="Z428" s="53">
        <v>2.6999999999999999E-5</v>
      </c>
    </row>
    <row r="429" spans="25:26">
      <c r="Y429" s="18">
        <v>82979490</v>
      </c>
      <c r="Z429" s="53">
        <v>2.6999999999999999E-5</v>
      </c>
    </row>
    <row r="430" spans="25:26">
      <c r="Y430" s="18">
        <v>83181879</v>
      </c>
      <c r="Z430" s="53">
        <v>2.5999999999999998E-5</v>
      </c>
    </row>
    <row r="431" spans="25:26">
      <c r="Y431" s="18">
        <v>83384268</v>
      </c>
      <c r="Z431" s="53">
        <v>2.5999999999999998E-5</v>
      </c>
    </row>
    <row r="432" spans="25:26">
      <c r="Y432" s="18">
        <v>83586657</v>
      </c>
      <c r="Z432" s="53">
        <v>2.5000000000000001E-5</v>
      </c>
    </row>
    <row r="433" spans="25:26">
      <c r="Y433" s="18">
        <v>83789046</v>
      </c>
      <c r="Z433" s="53">
        <v>2.5000000000000001E-5</v>
      </c>
    </row>
    <row r="434" spans="25:26">
      <c r="Y434" s="18">
        <v>83991435</v>
      </c>
      <c r="Z434" s="53">
        <v>2.4000000000000001E-5</v>
      </c>
    </row>
    <row r="435" spans="25:26">
      <c r="Y435" s="18">
        <v>84193824</v>
      </c>
      <c r="Z435" s="53">
        <v>2.4000000000000001E-5</v>
      </c>
    </row>
    <row r="436" spans="25:26">
      <c r="Y436" s="18">
        <v>84396213</v>
      </c>
      <c r="Z436" s="53">
        <v>2.3E-5</v>
      </c>
    </row>
    <row r="437" spans="25:26">
      <c r="Y437" s="18">
        <v>84598602</v>
      </c>
      <c r="Z437" s="53">
        <v>2.3E-5</v>
      </c>
    </row>
    <row r="438" spans="25:26">
      <c r="Y438" s="18">
        <v>84800991</v>
      </c>
      <c r="Z438" s="53">
        <v>2.1999999999999999E-5</v>
      </c>
    </row>
    <row r="439" spans="25:26">
      <c r="Y439" s="18">
        <v>85003380</v>
      </c>
      <c r="Z439" s="53">
        <v>2.1999999999999999E-5</v>
      </c>
    </row>
    <row r="440" spans="25:26">
      <c r="Y440" s="18">
        <v>85205769</v>
      </c>
      <c r="Z440" s="53">
        <v>2.0999999999999999E-5</v>
      </c>
    </row>
    <row r="441" spans="25:26">
      <c r="Y441" s="18">
        <v>85408158</v>
      </c>
      <c r="Z441" s="53">
        <v>2.0999999999999999E-5</v>
      </c>
    </row>
    <row r="442" spans="25:26">
      <c r="Y442" s="18">
        <v>85610547</v>
      </c>
      <c r="Z442" s="53">
        <v>2.0999999999999999E-5</v>
      </c>
    </row>
    <row r="443" spans="25:26">
      <c r="Y443" s="18">
        <v>85812936</v>
      </c>
      <c r="Z443" s="53">
        <v>2.0000000000000002E-5</v>
      </c>
    </row>
    <row r="444" spans="25:26">
      <c r="Y444" s="18">
        <v>86015325</v>
      </c>
      <c r="Z444" s="53">
        <v>2.0000000000000002E-5</v>
      </c>
    </row>
    <row r="445" spans="25:26">
      <c r="Y445" s="18">
        <v>86217714</v>
      </c>
      <c r="Z445" s="53">
        <v>1.9000000000000001E-5</v>
      </c>
    </row>
    <row r="446" spans="25:26">
      <c r="Y446" s="18">
        <v>86420103</v>
      </c>
      <c r="Z446" s="53">
        <v>1.9000000000000001E-5</v>
      </c>
    </row>
    <row r="447" spans="25:26">
      <c r="Y447" s="18">
        <v>86622492</v>
      </c>
      <c r="Z447" s="53">
        <v>1.9000000000000001E-5</v>
      </c>
    </row>
    <row r="448" spans="25:26">
      <c r="Y448" s="18">
        <v>86824881</v>
      </c>
      <c r="Z448" s="53">
        <v>1.8E-5</v>
      </c>
    </row>
    <row r="449" spans="25:26">
      <c r="Y449" s="18">
        <v>87027270</v>
      </c>
      <c r="Z449" s="53">
        <v>1.8E-5</v>
      </c>
    </row>
    <row r="450" spans="25:26">
      <c r="Y450" s="18">
        <v>87229659</v>
      </c>
      <c r="Z450" s="53">
        <v>1.8E-5</v>
      </c>
    </row>
    <row r="451" spans="25:26">
      <c r="Y451" s="18">
        <v>87432048</v>
      </c>
      <c r="Z451" s="53">
        <v>1.7E-5</v>
      </c>
    </row>
    <row r="452" spans="25:26">
      <c r="Y452" s="18">
        <v>87634437</v>
      </c>
      <c r="Z452" s="53">
        <v>1.7E-5</v>
      </c>
    </row>
    <row r="453" spans="25:26">
      <c r="Y453" s="18">
        <v>87836826</v>
      </c>
      <c r="Z453" s="53">
        <v>1.7E-5</v>
      </c>
    </row>
    <row r="454" spans="25:26">
      <c r="Y454" s="18">
        <v>88039215</v>
      </c>
      <c r="Z454" s="53">
        <v>1.5999999999999999E-5</v>
      </c>
    </row>
    <row r="455" spans="25:26">
      <c r="Y455" s="18">
        <v>88241604</v>
      </c>
      <c r="Z455" s="53">
        <v>1.5999999999999999E-5</v>
      </c>
    </row>
    <row r="456" spans="25:26">
      <c r="Y456" s="18">
        <v>88443993</v>
      </c>
      <c r="Z456" s="53">
        <v>1.5999999999999999E-5</v>
      </c>
    </row>
    <row r="457" spans="25:26">
      <c r="Y457" s="18">
        <v>88646382</v>
      </c>
      <c r="Z457" s="53">
        <v>1.5E-5</v>
      </c>
    </row>
    <row r="458" spans="25:26">
      <c r="Y458" s="18">
        <v>88848771</v>
      </c>
      <c r="Z458" s="53">
        <v>1.5E-5</v>
      </c>
    </row>
    <row r="459" spans="25:26">
      <c r="Y459" s="18">
        <v>89051160</v>
      </c>
      <c r="Z459" s="53">
        <v>1.5E-5</v>
      </c>
    </row>
    <row r="460" spans="25:26">
      <c r="Y460" s="18">
        <v>89253549</v>
      </c>
      <c r="Z460" s="53">
        <v>1.4E-5</v>
      </c>
    </row>
    <row r="461" spans="25:26">
      <c r="Y461" s="18">
        <v>89455938</v>
      </c>
      <c r="Z461" s="53">
        <v>1.4E-5</v>
      </c>
    </row>
    <row r="462" spans="25:26">
      <c r="Y462" s="18">
        <v>89658327</v>
      </c>
      <c r="Z462" s="53">
        <v>1.4E-5</v>
      </c>
    </row>
    <row r="463" spans="25:26">
      <c r="Y463" s="18">
        <v>89860716</v>
      </c>
      <c r="Z463" s="53">
        <v>1.4E-5</v>
      </c>
    </row>
    <row r="464" spans="25:26">
      <c r="Y464" s="18">
        <v>90063105</v>
      </c>
      <c r="Z464" s="53">
        <v>1.2999999999999999E-5</v>
      </c>
    </row>
    <row r="465" spans="25:26">
      <c r="Y465" s="18">
        <v>90265494</v>
      </c>
      <c r="Z465" s="53">
        <v>1.2999999999999999E-5</v>
      </c>
    </row>
    <row r="466" spans="25:26">
      <c r="Y466" s="18">
        <v>90467883</v>
      </c>
      <c r="Z466" s="53">
        <v>1.2999999999999999E-5</v>
      </c>
    </row>
    <row r="467" spans="25:26">
      <c r="Y467" s="18">
        <v>90670272</v>
      </c>
      <c r="Z467" s="53">
        <v>1.2E-5</v>
      </c>
    </row>
    <row r="468" spans="25:26">
      <c r="Y468" s="18">
        <v>90872661</v>
      </c>
      <c r="Z468" s="53">
        <v>1.2E-5</v>
      </c>
    </row>
    <row r="469" spans="25:26">
      <c r="Y469" s="18">
        <v>91075050</v>
      </c>
      <c r="Z469" s="53">
        <v>1.2E-5</v>
      </c>
    </row>
    <row r="470" spans="25:26">
      <c r="Y470" s="18">
        <v>91277439</v>
      </c>
      <c r="Z470" s="53">
        <v>1.2E-5</v>
      </c>
    </row>
    <row r="471" spans="25:26">
      <c r="Y471" s="18">
        <v>91479828</v>
      </c>
      <c r="Z471" s="53">
        <v>1.1E-5</v>
      </c>
    </row>
    <row r="472" spans="25:26">
      <c r="Y472" s="18">
        <v>91682217</v>
      </c>
      <c r="Z472" s="53">
        <v>1.1E-5</v>
      </c>
    </row>
    <row r="473" spans="25:26">
      <c r="Y473" s="18">
        <v>91884606</v>
      </c>
      <c r="Z473" s="53">
        <v>1.1E-5</v>
      </c>
    </row>
    <row r="474" spans="25:26">
      <c r="Y474" s="18">
        <v>92086995</v>
      </c>
      <c r="Z474" s="53">
        <v>1.1E-5</v>
      </c>
    </row>
    <row r="475" spans="25:26">
      <c r="Y475" s="21">
        <v>92289384</v>
      </c>
      <c r="Z475" s="82">
        <v>1.1E-5</v>
      </c>
    </row>
    <row r="476" spans="25:26">
      <c r="Y476" s="4"/>
      <c r="Z476" s="1"/>
    </row>
    <row r="477" spans="25:26">
      <c r="Y477" s="4"/>
      <c r="Z477" s="1"/>
    </row>
    <row r="478" spans="25:26">
      <c r="Y478" s="4"/>
      <c r="Z478" s="1"/>
    </row>
    <row r="479" spans="25:26">
      <c r="Y479" s="4"/>
      <c r="Z479" s="1"/>
    </row>
    <row r="480" spans="25:26">
      <c r="Y480" s="4"/>
      <c r="Z480" s="1"/>
    </row>
    <row r="481" spans="25:26">
      <c r="Y481" s="4"/>
      <c r="Z481" s="1"/>
    </row>
    <row r="482" spans="25:26">
      <c r="Y482" s="4"/>
      <c r="Z482" s="1"/>
    </row>
    <row r="483" spans="25:26">
      <c r="Y483" s="4"/>
      <c r="Z483" s="1"/>
    </row>
    <row r="484" spans="25:26">
      <c r="Y484" s="4"/>
      <c r="Z484" s="1"/>
    </row>
    <row r="485" spans="25:26">
      <c r="Y485" s="4"/>
      <c r="Z485" s="1"/>
    </row>
    <row r="486" spans="25:26">
      <c r="Y486" s="4"/>
      <c r="Z486" s="1"/>
    </row>
    <row r="487" spans="25:26">
      <c r="Y487" s="4"/>
      <c r="Z487" s="1"/>
    </row>
    <row r="488" spans="25:26">
      <c r="Y488" s="4"/>
      <c r="Z488" s="1"/>
    </row>
  </sheetData>
  <phoneticPr fontId="4" type="noConversion"/>
  <pageMargins left="0.75" right="0.75" top="1" bottom="1" header="0.5" footer="0.5"/>
  <pageSetup paperSize="9" orientation="portrait" verticalDpi="1200" r:id="rId1"/>
  <headerFooter alignWithMargins="0">
    <oddHeader>&amp;A</oddHeader>
    <oddFooter>Page &amp;P</oddFooter>
  </headerFooter>
  <drawing r:id="rId2"/>
  <legacyDrawing r:id="rId3"/>
</worksheet>
</file>

<file path=xl/worksheets/sheet7.xml><?xml version="1.0" encoding="utf-8"?>
<worksheet xmlns="http://schemas.openxmlformats.org/spreadsheetml/2006/main" xmlns:r="http://schemas.openxmlformats.org/officeDocument/2006/relationships">
  <dimension ref="B6:T372"/>
  <sheetViews>
    <sheetView showGridLines="0" workbookViewId="0">
      <selection activeCell="L6" sqref="L6"/>
    </sheetView>
  </sheetViews>
  <sheetFormatPr defaultRowHeight="12.75"/>
  <cols>
    <col min="1" max="1" width="3.28515625" customWidth="1"/>
    <col min="2" max="2" width="8.7109375" customWidth="1"/>
    <col min="3" max="3" width="11.7109375" customWidth="1"/>
    <col min="4" max="4" width="9.7109375" customWidth="1"/>
    <col min="5" max="6" width="11.7109375" customWidth="1"/>
    <col min="7" max="10" width="9.7109375" customWidth="1"/>
    <col min="11" max="11" width="3.140625" customWidth="1"/>
    <col min="12" max="12" width="7.7109375" customWidth="1"/>
    <col min="14" max="14" width="11" customWidth="1"/>
    <col min="15" max="15" width="3.28515625" customWidth="1"/>
    <col min="16" max="16" width="9.28515625" customWidth="1"/>
    <col min="17" max="17" width="10.140625" customWidth="1"/>
    <col min="18" max="18" width="3.28515625" customWidth="1"/>
    <col min="19" max="19" width="10.140625" customWidth="1"/>
    <col min="20" max="20" width="10" customWidth="1"/>
    <col min="21" max="21" width="3.28515625" customWidth="1"/>
  </cols>
  <sheetData>
    <row r="6" spans="2:20">
      <c r="C6" s="3"/>
      <c r="D6" s="3"/>
      <c r="E6" s="3"/>
    </row>
    <row r="7" spans="2:20" ht="20.25">
      <c r="B7" s="34" t="s">
        <v>2</v>
      </c>
      <c r="C7" s="3"/>
      <c r="D7" s="3"/>
      <c r="E7" s="3"/>
      <c r="L7" s="35" t="s">
        <v>20</v>
      </c>
      <c r="M7" s="35"/>
      <c r="N7" s="4"/>
    </row>
    <row r="8" spans="2:20">
      <c r="B8" s="12"/>
      <c r="C8" s="13"/>
      <c r="D8" s="14"/>
      <c r="E8" s="26"/>
      <c r="F8" s="26" t="s">
        <v>10</v>
      </c>
      <c r="G8" s="33" t="s">
        <v>21</v>
      </c>
      <c r="H8" s="33"/>
      <c r="I8" s="33"/>
      <c r="J8" s="27"/>
      <c r="L8" s="26"/>
      <c r="M8" s="26"/>
      <c r="N8" s="26"/>
      <c r="O8" s="5"/>
      <c r="P8" s="26"/>
      <c r="Q8" s="26" t="s">
        <v>4</v>
      </c>
      <c r="S8" s="26" t="s">
        <v>4</v>
      </c>
      <c r="T8" s="26"/>
    </row>
    <row r="9" spans="2:20">
      <c r="B9" s="28"/>
      <c r="C9" s="28"/>
      <c r="D9" s="29"/>
      <c r="E9" s="30" t="s">
        <v>5</v>
      </c>
      <c r="F9" s="30" t="s">
        <v>6</v>
      </c>
      <c r="G9" s="31"/>
      <c r="H9" s="31"/>
      <c r="I9" s="31"/>
      <c r="J9" s="31"/>
      <c r="L9" s="30"/>
      <c r="M9" s="30" t="s">
        <v>23</v>
      </c>
      <c r="N9" s="30" t="s">
        <v>24</v>
      </c>
      <c r="O9" s="6"/>
      <c r="P9" s="30"/>
      <c r="Q9" s="30" t="s">
        <v>25</v>
      </c>
      <c r="S9" s="30" t="s">
        <v>25</v>
      </c>
      <c r="T9" s="30"/>
    </row>
    <row r="10" spans="2:20">
      <c r="B10" s="15" t="s">
        <v>7</v>
      </c>
      <c r="C10" s="16" t="s">
        <v>8</v>
      </c>
      <c r="D10" s="15" t="s">
        <v>9</v>
      </c>
      <c r="E10" s="16" t="s">
        <v>10</v>
      </c>
      <c r="F10" s="16" t="s">
        <v>11</v>
      </c>
      <c r="G10" s="32" t="s">
        <v>95</v>
      </c>
      <c r="H10" s="32" t="s">
        <v>96</v>
      </c>
      <c r="I10" s="32" t="s">
        <v>97</v>
      </c>
      <c r="J10" s="32" t="s">
        <v>33</v>
      </c>
      <c r="L10" s="15" t="s">
        <v>7</v>
      </c>
      <c r="M10" s="16" t="s">
        <v>25</v>
      </c>
      <c r="N10" s="16" t="s">
        <v>27</v>
      </c>
      <c r="O10" s="6"/>
      <c r="P10" s="16" t="s">
        <v>28</v>
      </c>
      <c r="Q10" s="16" t="s">
        <v>29</v>
      </c>
      <c r="S10" s="16" t="s">
        <v>29</v>
      </c>
      <c r="T10" s="16" t="s">
        <v>30</v>
      </c>
    </row>
    <row r="11" spans="2:20">
      <c r="B11" s="17">
        <v>1</v>
      </c>
      <c r="C11" s="18">
        <v>358475</v>
      </c>
      <c r="D11" s="19" t="s">
        <v>12</v>
      </c>
      <c r="E11" s="24">
        <f t="shared" ref="E11:E35" si="0">VLOOKUP($D11,DefaultRates,2,FALSE)</f>
        <v>0.3</v>
      </c>
      <c r="F11" s="24">
        <f>VLOOKUP($D11,DefaultRates,3,FALSE)</f>
        <v>0.15</v>
      </c>
      <c r="G11" s="37">
        <v>1</v>
      </c>
      <c r="H11" s="37">
        <v>0</v>
      </c>
      <c r="I11" s="37">
        <v>0</v>
      </c>
      <c r="J11" s="37">
        <f>SUM(G11:I11)</f>
        <v>1</v>
      </c>
      <c r="L11" s="17">
        <v>1</v>
      </c>
      <c r="M11" s="49">
        <v>107542.5</v>
      </c>
      <c r="N11" s="49">
        <v>168936</v>
      </c>
      <c r="O11" s="1"/>
      <c r="P11" s="41" t="s">
        <v>5</v>
      </c>
      <c r="Q11" s="18">
        <v>14221863</v>
      </c>
      <c r="S11" s="18">
        <v>0</v>
      </c>
      <c r="T11" s="36">
        <v>6.2217000000000001E-2</v>
      </c>
    </row>
    <row r="12" spans="2:20">
      <c r="B12" s="17">
        <v>2</v>
      </c>
      <c r="C12" s="18">
        <v>1089819</v>
      </c>
      <c r="D12" s="19" t="s">
        <v>12</v>
      </c>
      <c r="E12" s="24">
        <f t="shared" si="0"/>
        <v>0.3</v>
      </c>
      <c r="F12" s="24">
        <f t="shared" ref="F12:F27" si="1">VLOOKUP($D12,DefaultRates,3,FALSE)</f>
        <v>0.15</v>
      </c>
      <c r="G12" s="37">
        <v>0</v>
      </c>
      <c r="H12" s="37">
        <v>1</v>
      </c>
      <c r="I12" s="37">
        <v>0</v>
      </c>
      <c r="J12" s="37">
        <f t="shared" ref="J12:J27" si="2">SUM(G12:I12)</f>
        <v>1</v>
      </c>
      <c r="L12" s="17">
        <v>2</v>
      </c>
      <c r="M12" s="49">
        <v>326945.7</v>
      </c>
      <c r="N12" s="49">
        <v>511728</v>
      </c>
      <c r="O12" s="1"/>
      <c r="P12" s="45">
        <v>50</v>
      </c>
      <c r="Q12" s="18">
        <v>11638427</v>
      </c>
      <c r="S12" s="18">
        <v>202389</v>
      </c>
      <c r="T12" s="36">
        <v>0</v>
      </c>
    </row>
    <row r="13" spans="2:20">
      <c r="B13" s="17">
        <v>3</v>
      </c>
      <c r="C13" s="18">
        <v>1799710</v>
      </c>
      <c r="D13" s="19" t="s">
        <v>15</v>
      </c>
      <c r="E13" s="24">
        <f t="shared" si="0"/>
        <v>0.1</v>
      </c>
      <c r="F13" s="24">
        <f t="shared" si="1"/>
        <v>0.05</v>
      </c>
      <c r="G13" s="37">
        <v>0</v>
      </c>
      <c r="H13" s="37">
        <v>1</v>
      </c>
      <c r="I13" s="37">
        <v>0</v>
      </c>
      <c r="J13" s="37">
        <f t="shared" si="2"/>
        <v>1</v>
      </c>
      <c r="L13" s="17">
        <v>3</v>
      </c>
      <c r="M13" s="49">
        <v>179971</v>
      </c>
      <c r="N13" s="49">
        <v>302643</v>
      </c>
      <c r="O13" s="1"/>
      <c r="P13" s="45">
        <v>75</v>
      </c>
      <c r="Q13" s="18">
        <v>20130908</v>
      </c>
      <c r="S13" s="18">
        <v>404778</v>
      </c>
      <c r="T13" s="36">
        <v>1.2567E-2</v>
      </c>
    </row>
    <row r="14" spans="2:20">
      <c r="B14" s="17">
        <v>4</v>
      </c>
      <c r="C14" s="18">
        <v>1933116</v>
      </c>
      <c r="D14" s="19" t="s">
        <v>17</v>
      </c>
      <c r="E14" s="24">
        <f t="shared" si="0"/>
        <v>0.15</v>
      </c>
      <c r="F14" s="24">
        <f t="shared" si="1"/>
        <v>7.4999999999999997E-2</v>
      </c>
      <c r="G14" s="37">
        <v>1</v>
      </c>
      <c r="H14" s="37">
        <v>0</v>
      </c>
      <c r="I14" s="37">
        <v>0</v>
      </c>
      <c r="J14" s="37">
        <f t="shared" si="2"/>
        <v>1</v>
      </c>
      <c r="L14" s="17">
        <v>4</v>
      </c>
      <c r="M14" s="49">
        <v>289967.40000000002</v>
      </c>
      <c r="N14" s="49">
        <v>578033</v>
      </c>
      <c r="O14" s="1"/>
      <c r="P14" s="45">
        <v>95</v>
      </c>
      <c r="Q14" s="18">
        <v>36057338</v>
      </c>
      <c r="S14" s="18">
        <v>607167</v>
      </c>
      <c r="T14" s="36">
        <v>0</v>
      </c>
    </row>
    <row r="15" spans="2:20">
      <c r="B15" s="17">
        <v>5</v>
      </c>
      <c r="C15" s="18">
        <v>2317327</v>
      </c>
      <c r="D15" s="19" t="s">
        <v>17</v>
      </c>
      <c r="E15" s="24">
        <f t="shared" si="0"/>
        <v>0.15</v>
      </c>
      <c r="F15" s="24">
        <f t="shared" si="1"/>
        <v>7.4999999999999997E-2</v>
      </c>
      <c r="G15" s="37">
        <v>0</v>
      </c>
      <c r="H15" s="37">
        <v>0</v>
      </c>
      <c r="I15" s="37">
        <v>1</v>
      </c>
      <c r="J15" s="37">
        <f t="shared" si="2"/>
        <v>1</v>
      </c>
      <c r="L15" s="17">
        <v>5</v>
      </c>
      <c r="M15" s="49">
        <v>347599.05</v>
      </c>
      <c r="N15" s="49">
        <v>737015</v>
      </c>
      <c r="O15" s="1"/>
      <c r="P15" s="45">
        <v>97.5</v>
      </c>
      <c r="Q15" s="18">
        <v>42221594</v>
      </c>
      <c r="S15" s="18">
        <v>809556</v>
      </c>
      <c r="T15" s="36">
        <v>1.586E-3</v>
      </c>
    </row>
    <row r="16" spans="2:20">
      <c r="B16" s="17">
        <v>6</v>
      </c>
      <c r="C16" s="18">
        <v>2410929</v>
      </c>
      <c r="D16" s="19" t="s">
        <v>17</v>
      </c>
      <c r="E16" s="24">
        <f t="shared" si="0"/>
        <v>0.15</v>
      </c>
      <c r="F16" s="24">
        <f t="shared" si="1"/>
        <v>7.4999999999999997E-2</v>
      </c>
      <c r="G16" s="37">
        <v>0</v>
      </c>
      <c r="H16" s="37">
        <v>0</v>
      </c>
      <c r="I16" s="37">
        <v>1</v>
      </c>
      <c r="J16" s="37">
        <f t="shared" si="2"/>
        <v>1</v>
      </c>
      <c r="L16" s="17">
        <v>6</v>
      </c>
      <c r="M16" s="49">
        <v>361639.35</v>
      </c>
      <c r="N16" s="49">
        <v>751055</v>
      </c>
      <c r="O16" s="1"/>
      <c r="P16" s="51">
        <v>99</v>
      </c>
      <c r="Q16" s="52">
        <v>49931502</v>
      </c>
      <c r="S16" s="18">
        <v>1011945</v>
      </c>
      <c r="T16" s="36">
        <v>0</v>
      </c>
    </row>
    <row r="17" spans="2:20">
      <c r="B17" s="17">
        <v>7</v>
      </c>
      <c r="C17" s="18">
        <v>2652184</v>
      </c>
      <c r="D17" s="19" t="s">
        <v>12</v>
      </c>
      <c r="E17" s="24">
        <f t="shared" si="0"/>
        <v>0.3</v>
      </c>
      <c r="F17" s="24">
        <f t="shared" si="1"/>
        <v>0.15</v>
      </c>
      <c r="G17" s="37">
        <v>1</v>
      </c>
      <c r="H17" s="37">
        <v>0</v>
      </c>
      <c r="I17" s="37">
        <v>0</v>
      </c>
      <c r="J17" s="37">
        <f t="shared" si="2"/>
        <v>1</v>
      </c>
      <c r="L17" s="17">
        <v>7</v>
      </c>
      <c r="M17" s="49">
        <v>795655.2</v>
      </c>
      <c r="N17" s="49">
        <v>1790652</v>
      </c>
      <c r="O17" s="1"/>
      <c r="P17" s="45">
        <v>99.5</v>
      </c>
      <c r="Q17" s="18">
        <v>55540041</v>
      </c>
      <c r="S17" s="18">
        <v>1214334</v>
      </c>
      <c r="T17" s="36">
        <v>1.4056000000000001E-2</v>
      </c>
    </row>
    <row r="18" spans="2:20">
      <c r="B18" s="17">
        <v>8</v>
      </c>
      <c r="C18" s="18">
        <v>2957685</v>
      </c>
      <c r="D18" s="19" t="s">
        <v>17</v>
      </c>
      <c r="E18" s="24">
        <f t="shared" si="0"/>
        <v>0.15</v>
      </c>
      <c r="F18" s="24">
        <f t="shared" si="1"/>
        <v>7.4999999999999997E-2</v>
      </c>
      <c r="G18" s="37">
        <v>0</v>
      </c>
      <c r="H18" s="37">
        <v>1</v>
      </c>
      <c r="I18" s="37">
        <v>0</v>
      </c>
      <c r="J18" s="37">
        <f t="shared" si="2"/>
        <v>1</v>
      </c>
      <c r="L18" s="17">
        <v>8</v>
      </c>
      <c r="M18" s="49">
        <v>443652.75</v>
      </c>
      <c r="N18" s="49">
        <v>901736</v>
      </c>
      <c r="O18" s="1"/>
      <c r="P18" s="45">
        <v>99.75</v>
      </c>
      <c r="Q18" s="18">
        <v>60993272</v>
      </c>
      <c r="S18" s="18">
        <v>1416723</v>
      </c>
      <c r="T18" s="36">
        <v>0</v>
      </c>
    </row>
    <row r="19" spans="2:20">
      <c r="B19" s="17">
        <v>9</v>
      </c>
      <c r="C19" s="18">
        <v>3137989</v>
      </c>
      <c r="D19" s="19" t="s">
        <v>18</v>
      </c>
      <c r="E19" s="24">
        <f t="shared" si="0"/>
        <v>0.05</v>
      </c>
      <c r="F19" s="24">
        <f t="shared" si="1"/>
        <v>2.5000000000000001E-2</v>
      </c>
      <c r="G19" s="37">
        <v>0</v>
      </c>
      <c r="H19" s="37">
        <v>0</v>
      </c>
      <c r="I19" s="37">
        <v>1</v>
      </c>
      <c r="J19" s="37">
        <f t="shared" si="2"/>
        <v>1</v>
      </c>
      <c r="L19" s="17">
        <v>9</v>
      </c>
      <c r="M19" s="49">
        <v>156899.45000000001</v>
      </c>
      <c r="N19" s="49">
        <v>365862</v>
      </c>
      <c r="O19" s="1"/>
      <c r="P19" s="46">
        <v>99.9</v>
      </c>
      <c r="Q19" s="21">
        <v>68017542</v>
      </c>
      <c r="S19" s="18">
        <v>1619112</v>
      </c>
      <c r="T19" s="36">
        <v>2.8210000000000002E-3</v>
      </c>
    </row>
    <row r="20" spans="2:20">
      <c r="B20" s="17">
        <v>10</v>
      </c>
      <c r="C20" s="18">
        <v>3204044</v>
      </c>
      <c r="D20" s="19" t="s">
        <v>18</v>
      </c>
      <c r="E20" s="24">
        <f t="shared" si="0"/>
        <v>0.05</v>
      </c>
      <c r="F20" s="24">
        <f t="shared" si="1"/>
        <v>2.5000000000000001E-2</v>
      </c>
      <c r="G20" s="37">
        <v>0</v>
      </c>
      <c r="H20" s="37">
        <v>0</v>
      </c>
      <c r="I20" s="37">
        <v>1</v>
      </c>
      <c r="J20" s="37">
        <f t="shared" si="2"/>
        <v>1</v>
      </c>
      <c r="L20" s="17">
        <v>10</v>
      </c>
      <c r="M20" s="49">
        <v>160202.20000000001</v>
      </c>
      <c r="N20" s="49">
        <v>369164</v>
      </c>
      <c r="O20" s="1"/>
      <c r="S20" s="18">
        <v>1821501</v>
      </c>
      <c r="T20" s="36">
        <v>5.0990000000000002E-3</v>
      </c>
    </row>
    <row r="21" spans="2:20">
      <c r="B21" s="17">
        <v>11</v>
      </c>
      <c r="C21" s="18">
        <v>4727724</v>
      </c>
      <c r="D21" s="19" t="s">
        <v>13</v>
      </c>
      <c r="E21" s="24">
        <f t="shared" si="0"/>
        <v>1.4999999999999999E-2</v>
      </c>
      <c r="F21" s="24">
        <f t="shared" si="1"/>
        <v>7.4999999999999997E-3</v>
      </c>
      <c r="G21" s="37">
        <v>1</v>
      </c>
      <c r="H21" s="37">
        <v>0</v>
      </c>
      <c r="I21" s="37">
        <v>0</v>
      </c>
      <c r="J21" s="37">
        <f t="shared" si="2"/>
        <v>1</v>
      </c>
      <c r="L21" s="17">
        <v>11</v>
      </c>
      <c r="M21" s="49">
        <v>70915.86</v>
      </c>
      <c r="N21" s="49">
        <v>196576</v>
      </c>
      <c r="O21" s="1"/>
      <c r="S21" s="18">
        <v>2023890</v>
      </c>
      <c r="T21" s="36">
        <v>7.1320000000000003E-3</v>
      </c>
    </row>
    <row r="22" spans="2:20">
      <c r="B22" s="17">
        <v>12</v>
      </c>
      <c r="C22" s="18">
        <v>4830517</v>
      </c>
      <c r="D22" s="19" t="s">
        <v>18</v>
      </c>
      <c r="E22" s="24">
        <f t="shared" si="0"/>
        <v>0.05</v>
      </c>
      <c r="F22" s="24">
        <f t="shared" si="1"/>
        <v>2.5000000000000001E-2</v>
      </c>
      <c r="G22" s="37">
        <v>0</v>
      </c>
      <c r="H22" s="37">
        <v>0</v>
      </c>
      <c r="I22" s="37">
        <v>1</v>
      </c>
      <c r="J22" s="37">
        <f t="shared" si="2"/>
        <v>1</v>
      </c>
      <c r="L22" s="17">
        <v>12</v>
      </c>
      <c r="M22" s="49">
        <v>241525.85</v>
      </c>
      <c r="N22" s="49">
        <v>662634</v>
      </c>
      <c r="O22" s="1"/>
      <c r="S22" s="18">
        <v>2226279</v>
      </c>
      <c r="T22" s="36">
        <v>1.0300000000000001E-3</v>
      </c>
    </row>
    <row r="23" spans="2:20">
      <c r="B23" s="17">
        <v>13</v>
      </c>
      <c r="C23" s="18">
        <v>4912097</v>
      </c>
      <c r="D23" s="19" t="s">
        <v>18</v>
      </c>
      <c r="E23" s="24">
        <f t="shared" si="0"/>
        <v>0.05</v>
      </c>
      <c r="F23" s="24">
        <f t="shared" si="1"/>
        <v>2.5000000000000001E-2</v>
      </c>
      <c r="G23" s="37">
        <v>0</v>
      </c>
      <c r="H23" s="37">
        <v>0</v>
      </c>
      <c r="I23" s="37">
        <v>1</v>
      </c>
      <c r="J23" s="37">
        <f t="shared" si="2"/>
        <v>1</v>
      </c>
      <c r="L23" s="17">
        <v>13</v>
      </c>
      <c r="M23" s="49">
        <v>245604.85</v>
      </c>
      <c r="N23" s="49">
        <v>698278</v>
      </c>
      <c r="O23" s="1"/>
      <c r="S23" s="18">
        <v>2428668</v>
      </c>
      <c r="T23" s="36">
        <v>1.8075000000000001E-2</v>
      </c>
    </row>
    <row r="24" spans="2:20">
      <c r="B24" s="17">
        <v>14</v>
      </c>
      <c r="C24" s="18">
        <v>4928989</v>
      </c>
      <c r="D24" s="19" t="s">
        <v>12</v>
      </c>
      <c r="E24" s="24">
        <f t="shared" si="0"/>
        <v>0.3</v>
      </c>
      <c r="F24" s="24">
        <f t="shared" si="1"/>
        <v>0.15</v>
      </c>
      <c r="G24" s="37">
        <v>0</v>
      </c>
      <c r="H24" s="37">
        <v>1</v>
      </c>
      <c r="I24" s="37">
        <v>0</v>
      </c>
      <c r="J24" s="37">
        <f t="shared" si="2"/>
        <v>1</v>
      </c>
      <c r="L24" s="17">
        <v>14</v>
      </c>
      <c r="M24" s="49">
        <v>1478696.7</v>
      </c>
      <c r="N24" s="49">
        <v>3846771</v>
      </c>
      <c r="O24" s="1"/>
      <c r="S24" s="18">
        <v>2631057</v>
      </c>
      <c r="T24" s="36">
        <v>1.2999999999999999E-4</v>
      </c>
    </row>
    <row r="25" spans="2:20">
      <c r="B25" s="17">
        <v>15</v>
      </c>
      <c r="C25" s="18">
        <v>5042312</v>
      </c>
      <c r="D25" s="19" t="s">
        <v>15</v>
      </c>
      <c r="E25" s="24">
        <f t="shared" si="0"/>
        <v>0.1</v>
      </c>
      <c r="F25" s="24">
        <f t="shared" si="1"/>
        <v>0.05</v>
      </c>
      <c r="G25" s="37">
        <v>0</v>
      </c>
      <c r="H25" s="37">
        <v>0</v>
      </c>
      <c r="I25" s="37">
        <v>1</v>
      </c>
      <c r="J25" s="37">
        <f t="shared" si="2"/>
        <v>1</v>
      </c>
      <c r="L25" s="17">
        <v>15</v>
      </c>
      <c r="M25" s="49">
        <v>504231.2</v>
      </c>
      <c r="N25" s="49">
        <v>1409577</v>
      </c>
      <c r="O25" s="1"/>
      <c r="S25" s="18">
        <v>2833446</v>
      </c>
      <c r="T25" s="36">
        <v>1.6843E-2</v>
      </c>
    </row>
    <row r="26" spans="2:20">
      <c r="B26" s="17">
        <v>16</v>
      </c>
      <c r="C26" s="18">
        <v>5320364</v>
      </c>
      <c r="D26" s="19" t="s">
        <v>19</v>
      </c>
      <c r="E26" s="24">
        <f t="shared" si="0"/>
        <v>7.4999999999999997E-2</v>
      </c>
      <c r="F26" s="24">
        <f t="shared" si="1"/>
        <v>3.7499999999999999E-2</v>
      </c>
      <c r="G26" s="37">
        <v>0</v>
      </c>
      <c r="H26" s="37">
        <v>0</v>
      </c>
      <c r="I26" s="37">
        <v>1</v>
      </c>
      <c r="J26" s="37">
        <f t="shared" si="2"/>
        <v>1</v>
      </c>
      <c r="L26" s="17">
        <v>16</v>
      </c>
      <c r="M26" s="49">
        <v>399027.3</v>
      </c>
      <c r="N26" s="49">
        <v>1177778</v>
      </c>
      <c r="O26" s="1"/>
      <c r="S26" s="18">
        <v>3035835</v>
      </c>
      <c r="T26" s="36">
        <v>8.9789999999999991E-3</v>
      </c>
    </row>
    <row r="27" spans="2:20">
      <c r="B27" s="17">
        <v>17</v>
      </c>
      <c r="C27" s="18">
        <v>5435457</v>
      </c>
      <c r="D27" s="19" t="s">
        <v>18</v>
      </c>
      <c r="E27" s="24">
        <f t="shared" si="0"/>
        <v>0.05</v>
      </c>
      <c r="F27" s="24">
        <f t="shared" si="1"/>
        <v>2.5000000000000001E-2</v>
      </c>
      <c r="G27" s="37">
        <v>1</v>
      </c>
      <c r="H27" s="37">
        <v>0</v>
      </c>
      <c r="I27" s="37">
        <v>0</v>
      </c>
      <c r="J27" s="37">
        <f t="shared" si="2"/>
        <v>1</v>
      </c>
      <c r="L27" s="17">
        <v>17</v>
      </c>
      <c r="M27" s="49">
        <v>271772.84999999998</v>
      </c>
      <c r="N27" s="49">
        <v>788418</v>
      </c>
      <c r="O27" s="1"/>
      <c r="S27" s="18">
        <v>3238224</v>
      </c>
      <c r="T27" s="36">
        <v>1.0139E-2</v>
      </c>
    </row>
    <row r="28" spans="2:20">
      <c r="B28" s="17">
        <v>18</v>
      </c>
      <c r="C28" s="18">
        <v>5517586</v>
      </c>
      <c r="D28" s="19" t="s">
        <v>16</v>
      </c>
      <c r="E28" s="24">
        <f t="shared" si="0"/>
        <v>0.03</v>
      </c>
      <c r="F28" s="24">
        <f t="shared" ref="F28:F35" si="3">VLOOKUP($D28,DefaultRates,3,FALSE)</f>
        <v>1.4999999999999999E-2</v>
      </c>
      <c r="G28" s="37">
        <v>1</v>
      </c>
      <c r="H28" s="37">
        <v>0</v>
      </c>
      <c r="I28" s="37">
        <v>0</v>
      </c>
      <c r="J28" s="37">
        <f t="shared" ref="J28:J35" si="4">SUM(G28:I28)</f>
        <v>1</v>
      </c>
      <c r="L28" s="17">
        <v>18</v>
      </c>
      <c r="M28" s="49">
        <v>165527.57999999999</v>
      </c>
      <c r="N28" s="49">
        <v>496416</v>
      </c>
      <c r="O28" s="1"/>
      <c r="S28" s="18">
        <v>3440613</v>
      </c>
      <c r="T28" s="36">
        <v>1.812E-3</v>
      </c>
    </row>
    <row r="29" spans="2:20">
      <c r="B29" s="17">
        <v>19</v>
      </c>
      <c r="C29" s="18">
        <v>5764596</v>
      </c>
      <c r="D29" s="19" t="s">
        <v>19</v>
      </c>
      <c r="E29" s="24">
        <f t="shared" si="0"/>
        <v>7.4999999999999997E-2</v>
      </c>
      <c r="F29" s="24">
        <f t="shared" si="3"/>
        <v>3.7499999999999999E-2</v>
      </c>
      <c r="G29" s="37">
        <v>1</v>
      </c>
      <c r="H29" s="37">
        <v>0</v>
      </c>
      <c r="I29" s="37">
        <v>0</v>
      </c>
      <c r="J29" s="37">
        <f t="shared" si="4"/>
        <v>1</v>
      </c>
      <c r="L29" s="17">
        <v>19</v>
      </c>
      <c r="M29" s="49">
        <v>432344.7</v>
      </c>
      <c r="N29" s="49">
        <v>1313502</v>
      </c>
      <c r="O29" s="1"/>
      <c r="S29" s="18">
        <v>3643002</v>
      </c>
      <c r="T29" s="36">
        <v>5.6010000000000001E-3</v>
      </c>
    </row>
    <row r="30" spans="2:20">
      <c r="B30" s="17">
        <v>20</v>
      </c>
      <c r="C30" s="18">
        <v>5847845</v>
      </c>
      <c r="D30" s="19" t="s">
        <v>16</v>
      </c>
      <c r="E30" s="24">
        <f t="shared" si="0"/>
        <v>0.03</v>
      </c>
      <c r="F30" s="24">
        <f t="shared" si="3"/>
        <v>1.4999999999999999E-2</v>
      </c>
      <c r="G30" s="37">
        <v>1</v>
      </c>
      <c r="H30" s="37">
        <v>0</v>
      </c>
      <c r="I30" s="37">
        <v>0</v>
      </c>
      <c r="J30" s="37">
        <f t="shared" si="4"/>
        <v>1</v>
      </c>
      <c r="L30" s="17">
        <v>20</v>
      </c>
      <c r="M30" s="49">
        <v>175435.35</v>
      </c>
      <c r="N30" s="49">
        <v>527898</v>
      </c>
      <c r="O30" s="1"/>
      <c r="S30" s="18">
        <v>3845391</v>
      </c>
      <c r="T30" s="36">
        <v>7.8399999999999997E-4</v>
      </c>
    </row>
    <row r="31" spans="2:20">
      <c r="B31" s="17">
        <v>21</v>
      </c>
      <c r="C31" s="18">
        <v>6466533</v>
      </c>
      <c r="D31" s="19" t="s">
        <v>12</v>
      </c>
      <c r="E31" s="24">
        <f t="shared" si="0"/>
        <v>0.3</v>
      </c>
      <c r="F31" s="24">
        <f t="shared" si="3"/>
        <v>0.15</v>
      </c>
      <c r="G31" s="37">
        <v>1</v>
      </c>
      <c r="H31" s="37">
        <v>0</v>
      </c>
      <c r="I31" s="37">
        <v>0</v>
      </c>
      <c r="J31" s="37">
        <f t="shared" si="4"/>
        <v>1</v>
      </c>
      <c r="L31" s="17">
        <v>21</v>
      </c>
      <c r="M31" s="49">
        <v>1939959.9</v>
      </c>
      <c r="N31" s="49">
        <v>6152202</v>
      </c>
      <c r="O31" s="1"/>
      <c r="S31" s="18">
        <v>4047780</v>
      </c>
      <c r="T31" s="36">
        <v>4.4180000000000001E-3</v>
      </c>
    </row>
    <row r="32" spans="2:20">
      <c r="B32" s="17">
        <v>22</v>
      </c>
      <c r="C32" s="18">
        <v>6480322</v>
      </c>
      <c r="D32" s="19" t="s">
        <v>12</v>
      </c>
      <c r="E32" s="24">
        <f t="shared" si="0"/>
        <v>0.3</v>
      </c>
      <c r="F32" s="24">
        <f t="shared" si="3"/>
        <v>0.15</v>
      </c>
      <c r="G32" s="37">
        <v>0</v>
      </c>
      <c r="H32" s="37">
        <v>0</v>
      </c>
      <c r="I32" s="37">
        <v>1</v>
      </c>
      <c r="J32" s="37">
        <f t="shared" si="4"/>
        <v>1</v>
      </c>
      <c r="L32" s="17">
        <v>22</v>
      </c>
      <c r="M32" s="49">
        <v>1944096.6</v>
      </c>
      <c r="N32" s="49">
        <v>6417499</v>
      </c>
      <c r="O32" s="1"/>
      <c r="S32" s="18">
        <v>4250169</v>
      </c>
      <c r="T32" s="36">
        <v>3.6870000000000002E-3</v>
      </c>
    </row>
    <row r="33" spans="2:20">
      <c r="B33" s="17">
        <v>23</v>
      </c>
      <c r="C33" s="18">
        <v>7727651</v>
      </c>
      <c r="D33" s="19" t="s">
        <v>14</v>
      </c>
      <c r="E33" s="24">
        <f t="shared" si="0"/>
        <v>1.6E-2</v>
      </c>
      <c r="F33" s="24">
        <f t="shared" si="3"/>
        <v>8.0000000000000002E-3</v>
      </c>
      <c r="G33" s="37">
        <v>0</v>
      </c>
      <c r="H33" s="37">
        <v>1</v>
      </c>
      <c r="I33" s="37">
        <v>0</v>
      </c>
      <c r="J33" s="37">
        <f t="shared" si="4"/>
        <v>1</v>
      </c>
      <c r="L33" s="17">
        <v>23</v>
      </c>
      <c r="M33" s="49">
        <v>123642.416</v>
      </c>
      <c r="N33" s="49">
        <v>418641</v>
      </c>
      <c r="O33" s="1"/>
      <c r="S33" s="18">
        <v>4452558</v>
      </c>
      <c r="T33" s="36">
        <v>3.8649999999999999E-3</v>
      </c>
    </row>
    <row r="34" spans="2:20">
      <c r="B34" s="17">
        <v>24</v>
      </c>
      <c r="C34" s="18">
        <v>15410906</v>
      </c>
      <c r="D34" s="19" t="s">
        <v>15</v>
      </c>
      <c r="E34" s="24">
        <f t="shared" si="0"/>
        <v>0.1</v>
      </c>
      <c r="F34" s="24">
        <f t="shared" si="3"/>
        <v>0.05</v>
      </c>
      <c r="G34" s="37">
        <v>0</v>
      </c>
      <c r="H34" s="37">
        <v>0</v>
      </c>
      <c r="I34" s="37">
        <v>1</v>
      </c>
      <c r="J34" s="37">
        <f t="shared" si="4"/>
        <v>1</v>
      </c>
      <c r="L34" s="17">
        <v>24</v>
      </c>
      <c r="M34" s="49">
        <v>1541090.6</v>
      </c>
      <c r="N34" s="49">
        <v>8820070</v>
      </c>
      <c r="O34" s="1"/>
      <c r="S34" s="18">
        <v>4654947</v>
      </c>
      <c r="T34" s="36">
        <v>1.8240000000000001E-3</v>
      </c>
    </row>
    <row r="35" spans="2:20">
      <c r="B35" s="20">
        <v>25</v>
      </c>
      <c r="C35" s="21">
        <v>20238895</v>
      </c>
      <c r="D35" s="22" t="s">
        <v>19</v>
      </c>
      <c r="E35" s="25">
        <f t="shared" si="0"/>
        <v>7.4999999999999997E-2</v>
      </c>
      <c r="F35" s="25">
        <f t="shared" si="3"/>
        <v>3.7499999999999999E-2</v>
      </c>
      <c r="G35" s="38">
        <v>1</v>
      </c>
      <c r="H35" s="38">
        <v>0</v>
      </c>
      <c r="I35" s="38">
        <v>0</v>
      </c>
      <c r="J35" s="38">
        <f t="shared" si="4"/>
        <v>1</v>
      </c>
      <c r="L35" s="20">
        <v>25</v>
      </c>
      <c r="M35" s="50">
        <v>1517917.125</v>
      </c>
      <c r="N35" s="50">
        <v>10528419</v>
      </c>
      <c r="O35" s="1"/>
      <c r="S35" s="18">
        <v>4857336</v>
      </c>
      <c r="T35" s="36">
        <v>9.1760000000000001E-3</v>
      </c>
    </row>
    <row r="36" spans="2:20">
      <c r="B36" s="9"/>
      <c r="C36" s="7"/>
      <c r="D36" s="10"/>
      <c r="E36" s="10"/>
      <c r="F36" s="7"/>
      <c r="G36" s="7"/>
      <c r="H36" s="7"/>
      <c r="I36" s="7"/>
      <c r="J36" s="7"/>
      <c r="L36" s="7"/>
      <c r="M36" s="7"/>
      <c r="N36" s="7"/>
      <c r="O36" s="7"/>
      <c r="S36" s="18">
        <v>5059725</v>
      </c>
      <c r="T36" s="36">
        <v>2.4124E-2</v>
      </c>
    </row>
    <row r="37" spans="2:20">
      <c r="B37" s="2"/>
      <c r="D37" s="1"/>
      <c r="E37" s="1"/>
      <c r="S37" s="18">
        <v>5262114</v>
      </c>
      <c r="T37" s="36">
        <v>6.1339999999999997E-3</v>
      </c>
    </row>
    <row r="38" spans="2:20">
      <c r="B38" s="2"/>
      <c r="D38" s="1"/>
      <c r="E38" s="1"/>
      <c r="S38" s="18">
        <v>5464503</v>
      </c>
      <c r="T38" s="36">
        <v>1.3317000000000001E-2</v>
      </c>
    </row>
    <row r="39" spans="2:20">
      <c r="B39" s="2"/>
      <c r="D39" s="1"/>
      <c r="E39" s="1"/>
      <c r="S39" s="18">
        <v>5666892</v>
      </c>
      <c r="T39" s="36">
        <v>6.4310000000000001E-3</v>
      </c>
    </row>
    <row r="40" spans="2:20">
      <c r="B40" s="2"/>
      <c r="D40" s="1"/>
      <c r="E40" s="1"/>
      <c r="S40" s="18">
        <v>5869281</v>
      </c>
      <c r="T40" s="36">
        <v>9.2929999999999992E-3</v>
      </c>
    </row>
    <row r="41" spans="2:20">
      <c r="S41" s="18">
        <v>6071670</v>
      </c>
      <c r="T41" s="36">
        <v>5.0759999999999998E-3</v>
      </c>
    </row>
    <row r="42" spans="2:20">
      <c r="S42" s="18">
        <v>6274059</v>
      </c>
      <c r="T42" s="36">
        <v>8.9599999999999992E-3</v>
      </c>
    </row>
    <row r="43" spans="2:20">
      <c r="S43" s="18">
        <v>6476448</v>
      </c>
      <c r="T43" s="36">
        <v>1.6482E-2</v>
      </c>
    </row>
    <row r="44" spans="2:20">
      <c r="S44" s="18">
        <v>6678837</v>
      </c>
      <c r="T44" s="36">
        <v>1.8602E-2</v>
      </c>
    </row>
    <row r="45" spans="2:20">
      <c r="S45" s="18">
        <v>6881226</v>
      </c>
      <c r="T45" s="36">
        <v>8.1119999999999994E-3</v>
      </c>
    </row>
    <row r="46" spans="2:20">
      <c r="S46" s="18">
        <v>7083615</v>
      </c>
      <c r="T46" s="36">
        <v>8.0649999999999993E-3</v>
      </c>
    </row>
    <row r="47" spans="2:20">
      <c r="S47" s="18">
        <v>7286004</v>
      </c>
      <c r="T47" s="36">
        <v>4.5019999999999999E-3</v>
      </c>
    </row>
    <row r="48" spans="2:20">
      <c r="S48" s="18">
        <v>7488393</v>
      </c>
      <c r="T48" s="36">
        <v>9.6450000000000008E-3</v>
      </c>
    </row>
    <row r="49" spans="7:20">
      <c r="S49" s="18">
        <v>7690782</v>
      </c>
      <c r="T49" s="36">
        <v>6.6140000000000001E-3</v>
      </c>
    </row>
    <row r="50" spans="7:20">
      <c r="S50" s="18">
        <v>7893171</v>
      </c>
      <c r="T50" s="36">
        <v>1.4445E-2</v>
      </c>
    </row>
    <row r="51" spans="7:20">
      <c r="S51" s="18">
        <v>8095560</v>
      </c>
      <c r="T51" s="36">
        <v>7.3509999999999999E-3</v>
      </c>
    </row>
    <row r="52" spans="7:20">
      <c r="S52" s="18">
        <v>8297949</v>
      </c>
      <c r="T52" s="36">
        <v>1.0160000000000001E-2</v>
      </c>
    </row>
    <row r="53" spans="7:20">
      <c r="S53" s="18">
        <v>8500338</v>
      </c>
      <c r="T53" s="36">
        <v>7.0359999999999997E-3</v>
      </c>
    </row>
    <row r="54" spans="7:20">
      <c r="S54" s="18">
        <v>8702727</v>
      </c>
      <c r="T54" s="36">
        <v>8.2129999999999998E-3</v>
      </c>
    </row>
    <row r="55" spans="7:20">
      <c r="S55" s="18">
        <v>8905116</v>
      </c>
      <c r="T55" s="36">
        <v>7.2890000000000003E-3</v>
      </c>
    </row>
    <row r="56" spans="7:20">
      <c r="S56" s="18">
        <v>9107505</v>
      </c>
      <c r="T56" s="36">
        <v>9.5999999999999992E-3</v>
      </c>
    </row>
    <row r="57" spans="7:20">
      <c r="S57" s="18">
        <v>9309894</v>
      </c>
      <c r="T57" s="36">
        <v>7.9039999999999996E-3</v>
      </c>
    </row>
    <row r="58" spans="7:20">
      <c r="S58" s="18">
        <v>9512283</v>
      </c>
      <c r="T58" s="36">
        <v>9.2890000000000004E-3</v>
      </c>
    </row>
    <row r="59" spans="7:20">
      <c r="S59" s="18">
        <v>9714672</v>
      </c>
      <c r="T59" s="36">
        <v>7.3870000000000003E-3</v>
      </c>
    </row>
    <row r="60" spans="7:20">
      <c r="S60" s="18">
        <v>9917061</v>
      </c>
      <c r="T60" s="36">
        <v>8.4080000000000005E-3</v>
      </c>
    </row>
    <row r="61" spans="7:20">
      <c r="S61" s="18">
        <v>10119450</v>
      </c>
      <c r="T61" s="36">
        <v>8.6949999999999996E-3</v>
      </c>
    </row>
    <row r="62" spans="7:20">
      <c r="S62" s="18">
        <v>10321839</v>
      </c>
      <c r="T62" s="36">
        <v>6.4479999999999997E-3</v>
      </c>
    </row>
    <row r="63" spans="7:20">
      <c r="G63" s="1"/>
      <c r="H63" s="1"/>
      <c r="I63" s="1"/>
      <c r="S63" s="18">
        <v>10524228</v>
      </c>
      <c r="T63" s="36">
        <v>7.3499999999999998E-3</v>
      </c>
    </row>
    <row r="64" spans="7:20">
      <c r="S64" s="18">
        <v>10726617</v>
      </c>
      <c r="T64" s="36">
        <v>6.6930000000000002E-3</v>
      </c>
    </row>
    <row r="65" spans="19:20">
      <c r="S65" s="18">
        <v>10929006</v>
      </c>
      <c r="T65" s="36">
        <v>7.2700000000000004E-3</v>
      </c>
    </row>
    <row r="66" spans="19:20">
      <c r="S66" s="18">
        <v>11131395</v>
      </c>
      <c r="T66" s="36">
        <v>5.679E-3</v>
      </c>
    </row>
    <row r="67" spans="19:20">
      <c r="S67" s="18">
        <v>11333784</v>
      </c>
      <c r="T67" s="36">
        <v>7.2430000000000003E-3</v>
      </c>
    </row>
    <row r="68" spans="19:20">
      <c r="S68" s="18">
        <v>11536173</v>
      </c>
      <c r="T68" s="36">
        <v>1.0862E-2</v>
      </c>
    </row>
    <row r="69" spans="19:20">
      <c r="S69" s="18">
        <v>11738562</v>
      </c>
      <c r="T69" s="36">
        <v>1.0843E-2</v>
      </c>
    </row>
    <row r="70" spans="19:20">
      <c r="S70" s="18">
        <v>11940951</v>
      </c>
      <c r="T70" s="36">
        <v>7.8279999999999999E-3</v>
      </c>
    </row>
    <row r="71" spans="19:20">
      <c r="S71" s="18">
        <v>12143340</v>
      </c>
      <c r="T71" s="36">
        <v>8.0719999999999993E-3</v>
      </c>
    </row>
    <row r="72" spans="19:20">
      <c r="S72" s="18">
        <v>12345729</v>
      </c>
      <c r="T72" s="36">
        <v>6.9210000000000001E-3</v>
      </c>
    </row>
    <row r="73" spans="19:20">
      <c r="S73" s="18">
        <v>12548118</v>
      </c>
      <c r="T73" s="36">
        <v>6.9930000000000001E-3</v>
      </c>
    </row>
    <row r="74" spans="19:20">
      <c r="S74" s="18">
        <v>12750507</v>
      </c>
      <c r="T74" s="36">
        <v>6.0610000000000004E-3</v>
      </c>
    </row>
    <row r="75" spans="19:20">
      <c r="S75" s="18">
        <v>12952896</v>
      </c>
      <c r="T75" s="36">
        <v>9.1000000000000004E-3</v>
      </c>
    </row>
    <row r="76" spans="19:20">
      <c r="S76" s="18">
        <v>13155285</v>
      </c>
      <c r="T76" s="36">
        <v>8.0829999999999999E-3</v>
      </c>
    </row>
    <row r="77" spans="19:20">
      <c r="S77" s="18">
        <v>13357674</v>
      </c>
      <c r="T77" s="36">
        <v>8.6009999999999993E-3</v>
      </c>
    </row>
    <row r="78" spans="19:20">
      <c r="S78" s="18">
        <v>13560063</v>
      </c>
      <c r="T78" s="36">
        <v>5.9350000000000002E-3</v>
      </c>
    </row>
    <row r="79" spans="19:20">
      <c r="S79" s="18">
        <v>13762452</v>
      </c>
      <c r="T79" s="36">
        <v>5.9810000000000002E-3</v>
      </c>
    </row>
    <row r="80" spans="19:20">
      <c r="S80" s="18">
        <v>13964841</v>
      </c>
      <c r="T80" s="36">
        <v>5.5669999999999999E-3</v>
      </c>
    </row>
    <row r="81" spans="19:20">
      <c r="S81" s="18">
        <v>14167230</v>
      </c>
      <c r="T81" s="36">
        <v>6.6670000000000002E-3</v>
      </c>
    </row>
    <row r="82" spans="19:20">
      <c r="S82" s="18">
        <v>14369619</v>
      </c>
      <c r="T82" s="36">
        <v>6.5170000000000002E-3</v>
      </c>
    </row>
    <row r="83" spans="19:20">
      <c r="S83" s="18">
        <v>14572008</v>
      </c>
      <c r="T83" s="36">
        <v>7.0850000000000002E-3</v>
      </c>
    </row>
    <row r="84" spans="19:20">
      <c r="S84" s="18">
        <v>14774397</v>
      </c>
      <c r="T84" s="36">
        <v>5.9969999999999997E-3</v>
      </c>
    </row>
    <row r="85" spans="19:20">
      <c r="S85" s="18">
        <v>14976786</v>
      </c>
      <c r="T85" s="36">
        <v>6.1539999999999997E-3</v>
      </c>
    </row>
    <row r="86" spans="19:20">
      <c r="S86" s="18">
        <v>15179175</v>
      </c>
      <c r="T86" s="36">
        <v>5.5849999999999997E-3</v>
      </c>
    </row>
    <row r="87" spans="19:20">
      <c r="S87" s="18">
        <v>15381564</v>
      </c>
      <c r="T87" s="36">
        <v>5.45E-3</v>
      </c>
    </row>
    <row r="88" spans="19:20">
      <c r="S88" s="18">
        <v>15583953</v>
      </c>
      <c r="T88" s="36">
        <v>1.0166E-2</v>
      </c>
    </row>
    <row r="89" spans="19:20">
      <c r="S89" s="18">
        <v>15786342</v>
      </c>
      <c r="T89" s="36">
        <v>5.672E-3</v>
      </c>
    </row>
    <row r="90" spans="19:20">
      <c r="S90" s="18">
        <v>15988731</v>
      </c>
      <c r="T90" s="36">
        <v>6.1710000000000003E-3</v>
      </c>
    </row>
    <row r="91" spans="19:20">
      <c r="S91" s="18">
        <v>16191120</v>
      </c>
      <c r="T91" s="36">
        <v>4.9760000000000004E-3</v>
      </c>
    </row>
    <row r="92" spans="19:20">
      <c r="S92" s="18">
        <v>16393509</v>
      </c>
      <c r="T92" s="36">
        <v>5.0610000000000004E-3</v>
      </c>
    </row>
    <row r="93" spans="19:20">
      <c r="S93" s="18">
        <v>16595898</v>
      </c>
      <c r="T93" s="36">
        <v>5.4320000000000002E-3</v>
      </c>
    </row>
    <row r="94" spans="19:20">
      <c r="S94" s="18">
        <v>16798287</v>
      </c>
      <c r="T94" s="36">
        <v>6.1469999999999997E-3</v>
      </c>
    </row>
    <row r="95" spans="19:20">
      <c r="S95" s="18">
        <v>17000676</v>
      </c>
      <c r="T95" s="36">
        <v>4.7140000000000003E-3</v>
      </c>
    </row>
    <row r="96" spans="19:20">
      <c r="S96" s="18">
        <v>17203065</v>
      </c>
      <c r="T96" s="36">
        <v>4.9449999999999997E-3</v>
      </c>
    </row>
    <row r="97" spans="19:20">
      <c r="S97" s="18">
        <v>17405454</v>
      </c>
      <c r="T97" s="36">
        <v>4.934E-3</v>
      </c>
    </row>
    <row r="98" spans="19:20">
      <c r="S98" s="18">
        <v>17607843</v>
      </c>
      <c r="T98" s="36">
        <v>4.849E-3</v>
      </c>
    </row>
    <row r="99" spans="19:20">
      <c r="S99" s="18">
        <v>17810232</v>
      </c>
      <c r="T99" s="36">
        <v>4.2199999999999998E-3</v>
      </c>
    </row>
    <row r="100" spans="19:20">
      <c r="S100" s="18">
        <v>18012621</v>
      </c>
      <c r="T100" s="36">
        <v>6.535E-3</v>
      </c>
    </row>
    <row r="101" spans="19:20">
      <c r="S101" s="18">
        <v>18215010</v>
      </c>
      <c r="T101" s="36">
        <v>4.9059999999999998E-3</v>
      </c>
    </row>
    <row r="102" spans="19:20">
      <c r="S102" s="18">
        <v>18417399</v>
      </c>
      <c r="T102" s="36">
        <v>6.1599999999999997E-3</v>
      </c>
    </row>
    <row r="103" spans="19:20">
      <c r="S103" s="18">
        <v>18619788</v>
      </c>
      <c r="T103" s="36">
        <v>4.7460000000000002E-3</v>
      </c>
    </row>
    <row r="104" spans="19:20">
      <c r="S104" s="18">
        <v>18822177</v>
      </c>
      <c r="T104" s="36">
        <v>4.9500000000000004E-3</v>
      </c>
    </row>
    <row r="105" spans="19:20">
      <c r="S105" s="18">
        <v>19024566</v>
      </c>
      <c r="T105" s="36">
        <v>3.8349999999999999E-3</v>
      </c>
    </row>
    <row r="106" spans="19:20">
      <c r="S106" s="18">
        <v>19226955</v>
      </c>
      <c r="T106" s="36">
        <v>4.2360000000000002E-3</v>
      </c>
    </row>
    <row r="107" spans="19:20">
      <c r="S107" s="18">
        <v>19429344</v>
      </c>
      <c r="T107" s="36">
        <v>3.82E-3</v>
      </c>
    </row>
    <row r="108" spans="19:20">
      <c r="S108" s="18">
        <v>19631733</v>
      </c>
      <c r="T108" s="36">
        <v>4.3420000000000004E-3</v>
      </c>
    </row>
    <row r="109" spans="19:20">
      <c r="S109" s="18">
        <v>19834122</v>
      </c>
      <c r="T109" s="36">
        <v>4.0419999999999996E-3</v>
      </c>
    </row>
    <row r="110" spans="19:20">
      <c r="S110" s="18">
        <v>20036511</v>
      </c>
      <c r="T110" s="36">
        <v>3.9750000000000002E-3</v>
      </c>
    </row>
    <row r="111" spans="19:20">
      <c r="S111" s="18">
        <v>20238900</v>
      </c>
      <c r="T111" s="36">
        <v>6.8690000000000001E-3</v>
      </c>
    </row>
    <row r="112" spans="19:20">
      <c r="S112" s="18">
        <v>20441289</v>
      </c>
      <c r="T112" s="36">
        <v>3.9709999999999997E-3</v>
      </c>
    </row>
    <row r="113" spans="19:20">
      <c r="S113" s="18">
        <v>20643678</v>
      </c>
      <c r="T113" s="36">
        <v>5.9969999999999997E-3</v>
      </c>
    </row>
    <row r="114" spans="19:20">
      <c r="S114" s="18">
        <v>20846067</v>
      </c>
      <c r="T114" s="36">
        <v>3.82E-3</v>
      </c>
    </row>
    <row r="115" spans="19:20">
      <c r="S115" s="18">
        <v>21048456</v>
      </c>
      <c r="T115" s="36">
        <v>4.3699999999999998E-3</v>
      </c>
    </row>
    <row r="116" spans="19:20">
      <c r="S116" s="18">
        <v>21250845</v>
      </c>
      <c r="T116" s="36">
        <v>3.6280000000000001E-3</v>
      </c>
    </row>
    <row r="117" spans="19:20">
      <c r="S117" s="18">
        <v>21453234</v>
      </c>
      <c r="T117" s="36">
        <v>4.3969999999999999E-3</v>
      </c>
    </row>
    <row r="118" spans="19:20">
      <c r="S118" s="18">
        <v>21655623</v>
      </c>
      <c r="T118" s="36">
        <v>3.2980000000000002E-3</v>
      </c>
    </row>
    <row r="119" spans="19:20">
      <c r="S119" s="18">
        <v>21858012</v>
      </c>
      <c r="T119" s="36">
        <v>3.5860000000000002E-3</v>
      </c>
    </row>
    <row r="120" spans="19:20">
      <c r="S120" s="18">
        <v>22060401</v>
      </c>
      <c r="T120" s="36">
        <v>4.1980000000000003E-3</v>
      </c>
    </row>
    <row r="121" spans="19:20">
      <c r="S121" s="18">
        <v>22262790</v>
      </c>
      <c r="T121" s="36">
        <v>4.8329999999999996E-3</v>
      </c>
    </row>
    <row r="122" spans="19:20">
      <c r="S122" s="18">
        <v>22465179</v>
      </c>
      <c r="T122" s="36">
        <v>3.2520000000000001E-3</v>
      </c>
    </row>
    <row r="123" spans="19:20">
      <c r="S123" s="18">
        <v>22667568</v>
      </c>
      <c r="T123" s="36">
        <v>4.1269999999999996E-3</v>
      </c>
    </row>
    <row r="124" spans="19:20">
      <c r="S124" s="18">
        <v>22869957</v>
      </c>
      <c r="T124" s="36">
        <v>2.7209999999999999E-3</v>
      </c>
    </row>
    <row r="125" spans="19:20">
      <c r="S125" s="18">
        <v>23072346</v>
      </c>
      <c r="T125" s="36">
        <v>4.4640000000000001E-3</v>
      </c>
    </row>
    <row r="126" spans="19:20">
      <c r="S126" s="18">
        <v>23274735</v>
      </c>
      <c r="T126" s="36">
        <v>3.3809999999999999E-3</v>
      </c>
    </row>
    <row r="127" spans="19:20">
      <c r="S127" s="18">
        <v>23477124</v>
      </c>
      <c r="T127" s="36">
        <v>4.2469999999999999E-3</v>
      </c>
    </row>
    <row r="128" spans="19:20">
      <c r="S128" s="18">
        <v>23679513</v>
      </c>
      <c r="T128" s="36">
        <v>2.879E-3</v>
      </c>
    </row>
    <row r="129" spans="19:20">
      <c r="S129" s="18">
        <v>23881902</v>
      </c>
      <c r="T129" s="36">
        <v>3.3630000000000001E-3</v>
      </c>
    </row>
    <row r="130" spans="19:20">
      <c r="S130" s="18">
        <v>24084291</v>
      </c>
      <c r="T130" s="36">
        <v>2.6259999999999999E-3</v>
      </c>
    </row>
    <row r="131" spans="19:20">
      <c r="S131" s="18">
        <v>24286680</v>
      </c>
      <c r="T131" s="36">
        <v>2.9780000000000002E-3</v>
      </c>
    </row>
    <row r="132" spans="19:20">
      <c r="S132" s="18">
        <v>24489069</v>
      </c>
      <c r="T132" s="36">
        <v>2.764E-3</v>
      </c>
    </row>
    <row r="133" spans="19:20">
      <c r="S133" s="18">
        <v>24691458</v>
      </c>
      <c r="T133" s="36">
        <v>3.1770000000000001E-3</v>
      </c>
    </row>
    <row r="134" spans="19:20">
      <c r="S134" s="18">
        <v>24893847</v>
      </c>
      <c r="T134" s="36">
        <v>2.6700000000000001E-3</v>
      </c>
    </row>
    <row r="135" spans="19:20">
      <c r="S135" s="18">
        <v>25096236</v>
      </c>
      <c r="T135" s="36">
        <v>3.2629999999999998E-3</v>
      </c>
    </row>
    <row r="136" spans="19:20">
      <c r="S136" s="18">
        <v>25298625</v>
      </c>
      <c r="T136" s="36">
        <v>3.7269999999999998E-3</v>
      </c>
    </row>
    <row r="137" spans="19:20">
      <c r="S137" s="18">
        <v>25501014</v>
      </c>
      <c r="T137" s="36">
        <v>2.8939999999999999E-3</v>
      </c>
    </row>
    <row r="138" spans="19:20">
      <c r="S138" s="18">
        <v>25703403</v>
      </c>
      <c r="T138" s="36">
        <v>3.1879999999999999E-3</v>
      </c>
    </row>
    <row r="139" spans="19:20">
      <c r="S139" s="18">
        <v>25905792</v>
      </c>
      <c r="T139" s="36">
        <v>2.6710000000000002E-3</v>
      </c>
    </row>
    <row r="140" spans="19:20">
      <c r="S140" s="18">
        <v>26108181</v>
      </c>
      <c r="T140" s="36">
        <v>2.8509999999999998E-3</v>
      </c>
    </row>
    <row r="141" spans="19:20">
      <c r="S141" s="18">
        <v>26310570</v>
      </c>
      <c r="T141" s="36">
        <v>2.4889999999999999E-3</v>
      </c>
    </row>
    <row r="142" spans="19:20">
      <c r="S142" s="18">
        <v>26512959</v>
      </c>
      <c r="T142" s="36">
        <v>2.647E-3</v>
      </c>
    </row>
    <row r="143" spans="19:20">
      <c r="S143" s="18">
        <v>26715348</v>
      </c>
      <c r="T143" s="36">
        <v>3.0990000000000002E-3</v>
      </c>
    </row>
    <row r="144" spans="19:20">
      <c r="S144" s="18">
        <v>26917737</v>
      </c>
      <c r="T144" s="36">
        <v>3.0279999999999999E-3</v>
      </c>
    </row>
    <row r="145" spans="19:20">
      <c r="S145" s="18">
        <v>27120126</v>
      </c>
      <c r="T145" s="36">
        <v>2.8760000000000001E-3</v>
      </c>
    </row>
    <row r="146" spans="19:20">
      <c r="S146" s="18">
        <v>27322515</v>
      </c>
      <c r="T146" s="36">
        <v>2.875E-3</v>
      </c>
    </row>
    <row r="147" spans="19:20">
      <c r="S147" s="18">
        <v>27524904</v>
      </c>
      <c r="T147" s="36">
        <v>2.274E-3</v>
      </c>
    </row>
    <row r="148" spans="19:20">
      <c r="S148" s="18">
        <v>27727293</v>
      </c>
      <c r="T148" s="36">
        <v>2.5500000000000002E-3</v>
      </c>
    </row>
    <row r="149" spans="19:20">
      <c r="S149" s="18">
        <v>27929682</v>
      </c>
      <c r="T149" s="36">
        <v>2.2699999999999999E-3</v>
      </c>
    </row>
    <row r="150" spans="19:20">
      <c r="S150" s="18">
        <v>28132071</v>
      </c>
      <c r="T150" s="36">
        <v>2.7209999999999999E-3</v>
      </c>
    </row>
    <row r="151" spans="19:20">
      <c r="S151" s="18">
        <v>28334460</v>
      </c>
      <c r="T151" s="36">
        <v>2.117E-3</v>
      </c>
    </row>
    <row r="152" spans="19:20">
      <c r="S152" s="18">
        <v>28536849</v>
      </c>
      <c r="T152" s="36">
        <v>2.5850000000000001E-3</v>
      </c>
    </row>
    <row r="153" spans="19:20">
      <c r="S153" s="18">
        <v>28739238</v>
      </c>
      <c r="T153" s="36">
        <v>2.2799999999999999E-3</v>
      </c>
    </row>
    <row r="154" spans="19:20">
      <c r="S154" s="18">
        <v>28941627</v>
      </c>
      <c r="T154" s="36">
        <v>2.4169999999999999E-3</v>
      </c>
    </row>
    <row r="155" spans="19:20">
      <c r="S155" s="18">
        <v>29144016</v>
      </c>
      <c r="T155" s="36">
        <v>2.0279999999999999E-3</v>
      </c>
    </row>
    <row r="156" spans="19:20">
      <c r="S156" s="18">
        <v>29346405</v>
      </c>
      <c r="T156" s="36">
        <v>2.0960000000000002E-3</v>
      </c>
    </row>
    <row r="157" spans="19:20">
      <c r="S157" s="18">
        <v>29548794</v>
      </c>
      <c r="T157" s="36">
        <v>2.0279999999999999E-3</v>
      </c>
    </row>
    <row r="158" spans="19:20">
      <c r="S158" s="18">
        <v>29751183</v>
      </c>
      <c r="T158" s="36">
        <v>2.1940000000000002E-3</v>
      </c>
    </row>
    <row r="159" spans="19:20">
      <c r="S159" s="18">
        <v>29953572</v>
      </c>
      <c r="T159" s="36">
        <v>1.977E-3</v>
      </c>
    </row>
    <row r="160" spans="19:20">
      <c r="S160" s="18">
        <v>30155961</v>
      </c>
      <c r="T160" s="36">
        <v>2.0929999999999998E-3</v>
      </c>
    </row>
    <row r="161" spans="19:20">
      <c r="S161" s="18">
        <v>30358350</v>
      </c>
      <c r="T161" s="36">
        <v>1.9189999999999999E-3</v>
      </c>
    </row>
    <row r="162" spans="19:20">
      <c r="S162" s="18">
        <v>30560739</v>
      </c>
      <c r="T162" s="36">
        <v>1.8129999999999999E-3</v>
      </c>
    </row>
    <row r="163" spans="19:20">
      <c r="S163" s="18">
        <v>30763128</v>
      </c>
      <c r="T163" s="36">
        <v>1.763E-3</v>
      </c>
    </row>
    <row r="164" spans="19:20">
      <c r="S164" s="18">
        <v>30965517</v>
      </c>
      <c r="T164" s="36">
        <v>1.7420000000000001E-3</v>
      </c>
    </row>
    <row r="165" spans="19:20">
      <c r="S165" s="18">
        <v>31167906</v>
      </c>
      <c r="T165" s="36">
        <v>1.9659999999999999E-3</v>
      </c>
    </row>
    <row r="166" spans="19:20">
      <c r="S166" s="18">
        <v>31370295</v>
      </c>
      <c r="T166" s="36">
        <v>1.6620000000000001E-3</v>
      </c>
    </row>
    <row r="167" spans="19:20">
      <c r="S167" s="18">
        <v>31572684</v>
      </c>
      <c r="T167" s="36">
        <v>1.725E-3</v>
      </c>
    </row>
    <row r="168" spans="19:20">
      <c r="S168" s="18">
        <v>31775073</v>
      </c>
      <c r="T168" s="36">
        <v>1.8929999999999999E-3</v>
      </c>
    </row>
    <row r="169" spans="19:20">
      <c r="S169" s="18">
        <v>31977462</v>
      </c>
      <c r="T169" s="36">
        <v>1.8029999999999999E-3</v>
      </c>
    </row>
    <row r="170" spans="19:20">
      <c r="S170" s="18">
        <v>32179851</v>
      </c>
      <c r="T170" s="36">
        <v>1.7160000000000001E-3</v>
      </c>
    </row>
    <row r="171" spans="19:20">
      <c r="S171" s="18">
        <v>32382240</v>
      </c>
      <c r="T171" s="36">
        <v>1.7049999999999999E-3</v>
      </c>
    </row>
    <row r="172" spans="19:20">
      <c r="S172" s="18">
        <v>32584629</v>
      </c>
      <c r="T172" s="36">
        <v>1.5529999999999999E-3</v>
      </c>
    </row>
    <row r="173" spans="19:20">
      <c r="S173" s="18">
        <v>32787018</v>
      </c>
      <c r="T173" s="36">
        <v>1.516E-3</v>
      </c>
    </row>
    <row r="174" spans="19:20">
      <c r="S174" s="18">
        <v>32989407</v>
      </c>
      <c r="T174" s="36">
        <v>1.438E-3</v>
      </c>
    </row>
    <row r="175" spans="19:20">
      <c r="S175" s="18">
        <v>33191796</v>
      </c>
      <c r="T175" s="36">
        <v>1.609E-3</v>
      </c>
    </row>
    <row r="176" spans="19:20">
      <c r="S176" s="18">
        <v>33394185</v>
      </c>
      <c r="T176" s="36">
        <v>1.4710000000000001E-3</v>
      </c>
    </row>
    <row r="177" spans="19:20">
      <c r="S177" s="18">
        <v>33596574</v>
      </c>
      <c r="T177" s="36">
        <v>1.635E-3</v>
      </c>
    </row>
    <row r="178" spans="19:20">
      <c r="S178" s="18">
        <v>33798963</v>
      </c>
      <c r="T178" s="36">
        <v>1.3990000000000001E-3</v>
      </c>
    </row>
    <row r="179" spans="19:20">
      <c r="S179" s="18">
        <v>34001352</v>
      </c>
      <c r="T179" s="36">
        <v>1.446E-3</v>
      </c>
    </row>
    <row r="180" spans="19:20">
      <c r="S180" s="18">
        <v>34203741</v>
      </c>
      <c r="T180" s="36">
        <v>1.2769999999999999E-3</v>
      </c>
    </row>
    <row r="181" spans="19:20">
      <c r="S181" s="18">
        <v>34406130</v>
      </c>
      <c r="T181" s="36">
        <v>1.3439999999999999E-3</v>
      </c>
    </row>
    <row r="182" spans="19:20">
      <c r="S182" s="18">
        <v>34608519</v>
      </c>
      <c r="T182" s="36">
        <v>1.281E-3</v>
      </c>
    </row>
    <row r="183" spans="19:20">
      <c r="S183" s="18">
        <v>34810908</v>
      </c>
      <c r="T183" s="36">
        <v>1.2999999999999999E-3</v>
      </c>
    </row>
    <row r="184" spans="19:20">
      <c r="S184" s="18">
        <v>35013297</v>
      </c>
      <c r="T184" s="36">
        <v>1.1999999999999999E-3</v>
      </c>
    </row>
    <row r="185" spans="19:20">
      <c r="S185" s="18">
        <v>35215686</v>
      </c>
      <c r="T185" s="36">
        <v>1.243E-3</v>
      </c>
    </row>
    <row r="186" spans="19:20">
      <c r="S186" s="18">
        <v>35418075</v>
      </c>
      <c r="T186" s="36">
        <v>1.1659999999999999E-3</v>
      </c>
    </row>
    <row r="187" spans="19:20">
      <c r="S187" s="18">
        <v>35620464</v>
      </c>
      <c r="T187" s="36">
        <v>1.1429999999999999E-3</v>
      </c>
    </row>
    <row r="188" spans="19:20">
      <c r="S188" s="18">
        <v>35822853</v>
      </c>
      <c r="T188" s="36">
        <v>1.3240000000000001E-3</v>
      </c>
    </row>
    <row r="189" spans="19:20">
      <c r="S189" s="18">
        <v>36025242</v>
      </c>
      <c r="T189" s="36">
        <v>1.1100000000000001E-3</v>
      </c>
    </row>
    <row r="190" spans="19:20">
      <c r="S190" s="18">
        <v>36227631</v>
      </c>
      <c r="T190" s="36">
        <v>1.1919999999999999E-3</v>
      </c>
    </row>
    <row r="191" spans="19:20">
      <c r="S191" s="18">
        <v>36430020</v>
      </c>
      <c r="T191" s="36">
        <v>1.0449999999999999E-3</v>
      </c>
    </row>
    <row r="192" spans="19:20">
      <c r="S192" s="18">
        <v>36632409</v>
      </c>
      <c r="T192" s="36">
        <v>1.0449999999999999E-3</v>
      </c>
    </row>
    <row r="193" spans="19:20">
      <c r="S193" s="18">
        <v>36834798</v>
      </c>
      <c r="T193" s="36">
        <v>1.0269999999999999E-3</v>
      </c>
    </row>
    <row r="194" spans="19:20">
      <c r="S194" s="18">
        <v>37037187</v>
      </c>
      <c r="T194" s="36">
        <v>1.0269999999999999E-3</v>
      </c>
    </row>
    <row r="195" spans="19:20">
      <c r="S195" s="18">
        <v>37239576</v>
      </c>
      <c r="T195" s="36">
        <v>9.3700000000000001E-4</v>
      </c>
    </row>
    <row r="196" spans="19:20">
      <c r="S196" s="18">
        <v>37441965</v>
      </c>
      <c r="T196" s="36">
        <v>9.3499999999999996E-4</v>
      </c>
    </row>
    <row r="197" spans="19:20">
      <c r="S197" s="18">
        <v>37644354</v>
      </c>
      <c r="T197" s="36">
        <v>9.5500000000000001E-4</v>
      </c>
    </row>
    <row r="198" spans="19:20">
      <c r="S198" s="18">
        <v>37846743</v>
      </c>
      <c r="T198" s="36">
        <v>9.6900000000000003E-4</v>
      </c>
    </row>
    <row r="199" spans="19:20">
      <c r="S199" s="18">
        <v>38049132</v>
      </c>
      <c r="T199" s="36">
        <v>8.5499999999999997E-4</v>
      </c>
    </row>
    <row r="200" spans="19:20">
      <c r="S200" s="18">
        <v>38251521</v>
      </c>
      <c r="T200" s="36">
        <v>9.7300000000000002E-4</v>
      </c>
    </row>
    <row r="201" spans="19:20">
      <c r="S201" s="18">
        <v>38453910</v>
      </c>
      <c r="T201" s="36">
        <v>8.4599999999999996E-4</v>
      </c>
    </row>
    <row r="202" spans="19:20">
      <c r="S202" s="18">
        <v>38656299</v>
      </c>
      <c r="T202" s="36">
        <v>9.5799999999999998E-4</v>
      </c>
    </row>
    <row r="203" spans="19:20">
      <c r="S203" s="18">
        <v>38858688</v>
      </c>
      <c r="T203" s="36">
        <v>8.3199999999999995E-4</v>
      </c>
    </row>
    <row r="204" spans="19:20">
      <c r="S204" s="18">
        <v>39061077</v>
      </c>
      <c r="T204" s="36">
        <v>8.7900000000000001E-4</v>
      </c>
    </row>
    <row r="205" spans="19:20">
      <c r="S205" s="18">
        <v>39263466</v>
      </c>
      <c r="T205" s="36">
        <v>7.4200000000000004E-4</v>
      </c>
    </row>
    <row r="206" spans="19:20">
      <c r="S206" s="18">
        <v>39465855</v>
      </c>
      <c r="T206" s="36">
        <v>7.6999999999999996E-4</v>
      </c>
    </row>
    <row r="207" spans="19:20">
      <c r="S207" s="18">
        <v>39668244</v>
      </c>
      <c r="T207" s="36">
        <v>7.1599999999999995E-4</v>
      </c>
    </row>
    <row r="208" spans="19:20">
      <c r="S208" s="18">
        <v>39870633</v>
      </c>
      <c r="T208" s="36">
        <v>7.3999999999999999E-4</v>
      </c>
    </row>
    <row r="209" spans="19:20">
      <c r="S209" s="18">
        <v>40073022</v>
      </c>
      <c r="T209" s="36">
        <v>7.0500000000000001E-4</v>
      </c>
    </row>
    <row r="210" spans="19:20">
      <c r="S210" s="18">
        <v>40275411</v>
      </c>
      <c r="T210" s="36">
        <v>7.2499999999999995E-4</v>
      </c>
    </row>
    <row r="211" spans="19:20">
      <c r="S211" s="18">
        <v>40477800</v>
      </c>
      <c r="T211" s="36">
        <v>7.7800000000000005E-4</v>
      </c>
    </row>
    <row r="212" spans="19:20">
      <c r="S212" s="18">
        <v>40680189</v>
      </c>
      <c r="T212" s="36">
        <v>6.8999999999999997E-4</v>
      </c>
    </row>
    <row r="213" spans="19:20">
      <c r="S213" s="18">
        <v>40882578</v>
      </c>
      <c r="T213" s="36">
        <v>7.54E-4</v>
      </c>
    </row>
    <row r="214" spans="19:20">
      <c r="S214" s="18">
        <v>41084967</v>
      </c>
      <c r="T214" s="36">
        <v>6.5799999999999995E-4</v>
      </c>
    </row>
    <row r="215" spans="19:20">
      <c r="S215" s="18">
        <v>41287356</v>
      </c>
      <c r="T215" s="36">
        <v>6.6799999999999997E-4</v>
      </c>
    </row>
    <row r="216" spans="19:20">
      <c r="S216" s="18">
        <v>41489745</v>
      </c>
      <c r="T216" s="36">
        <v>6.1600000000000001E-4</v>
      </c>
    </row>
    <row r="217" spans="19:20">
      <c r="S217" s="18">
        <v>41692134</v>
      </c>
      <c r="T217" s="36">
        <v>6.3199999999999997E-4</v>
      </c>
    </row>
    <row r="218" spans="19:20">
      <c r="S218" s="18">
        <v>41894523</v>
      </c>
      <c r="T218" s="36">
        <v>5.7600000000000001E-4</v>
      </c>
    </row>
    <row r="219" spans="19:20">
      <c r="S219" s="18">
        <v>42096912</v>
      </c>
      <c r="T219" s="36">
        <v>5.71E-4</v>
      </c>
    </row>
    <row r="220" spans="19:20">
      <c r="S220" s="18">
        <v>42299301</v>
      </c>
      <c r="T220" s="36">
        <v>6.0400000000000004E-4</v>
      </c>
    </row>
    <row r="221" spans="19:20">
      <c r="S221" s="18">
        <v>42501690</v>
      </c>
      <c r="T221" s="36">
        <v>6.1200000000000002E-4</v>
      </c>
    </row>
    <row r="222" spans="19:20">
      <c r="S222" s="18">
        <v>42704079</v>
      </c>
      <c r="T222" s="36">
        <v>5.53E-4</v>
      </c>
    </row>
    <row r="223" spans="19:20">
      <c r="S223" s="18">
        <v>42906468</v>
      </c>
      <c r="T223" s="36">
        <v>5.7799999999999995E-4</v>
      </c>
    </row>
    <row r="224" spans="19:20">
      <c r="S224" s="18">
        <v>43108857</v>
      </c>
      <c r="T224" s="36">
        <v>4.8799999999999999E-4</v>
      </c>
    </row>
    <row r="225" spans="19:20">
      <c r="S225" s="18">
        <v>43311246</v>
      </c>
      <c r="T225" s="36">
        <v>5.6300000000000002E-4</v>
      </c>
    </row>
    <row r="226" spans="19:20">
      <c r="S226" s="18">
        <v>43513635</v>
      </c>
      <c r="T226" s="36">
        <v>4.95E-4</v>
      </c>
    </row>
    <row r="227" spans="19:20">
      <c r="S227" s="18">
        <v>43716024</v>
      </c>
      <c r="T227" s="36">
        <v>5.4000000000000001E-4</v>
      </c>
    </row>
    <row r="228" spans="19:20">
      <c r="S228" s="18">
        <v>43918413</v>
      </c>
      <c r="T228" s="36">
        <v>4.5399999999999998E-4</v>
      </c>
    </row>
    <row r="229" spans="19:20">
      <c r="S229" s="18">
        <v>44120802</v>
      </c>
      <c r="T229" s="36">
        <v>4.9100000000000001E-4</v>
      </c>
    </row>
    <row r="230" spans="19:20">
      <c r="S230" s="18">
        <v>44323191</v>
      </c>
      <c r="T230" s="36">
        <v>4.4000000000000002E-4</v>
      </c>
    </row>
    <row r="231" spans="19:20">
      <c r="S231" s="18">
        <v>44525580</v>
      </c>
      <c r="T231" s="36">
        <v>4.5800000000000002E-4</v>
      </c>
    </row>
    <row r="232" spans="19:20">
      <c r="S232" s="18">
        <v>44727969</v>
      </c>
      <c r="T232" s="36">
        <v>4.2099999999999999E-4</v>
      </c>
    </row>
    <row r="233" spans="19:20">
      <c r="S233" s="18">
        <v>44930358</v>
      </c>
      <c r="T233" s="36">
        <v>4.3399999999999998E-4</v>
      </c>
    </row>
    <row r="234" spans="19:20">
      <c r="S234" s="18">
        <v>45132747</v>
      </c>
      <c r="T234" s="36">
        <v>4.0700000000000003E-4</v>
      </c>
    </row>
    <row r="235" spans="19:20">
      <c r="S235" s="18">
        <v>45335136</v>
      </c>
      <c r="T235" s="36">
        <v>4.35E-4</v>
      </c>
    </row>
    <row r="236" spans="19:20">
      <c r="S236" s="18">
        <v>45537525</v>
      </c>
      <c r="T236" s="36">
        <v>4.2900000000000002E-4</v>
      </c>
    </row>
    <row r="237" spans="19:20">
      <c r="S237" s="18">
        <v>45739914</v>
      </c>
      <c r="T237" s="36">
        <v>4.0400000000000001E-4</v>
      </c>
    </row>
    <row r="238" spans="19:20">
      <c r="S238" s="18">
        <v>45942303</v>
      </c>
      <c r="T238" s="36">
        <v>3.9300000000000001E-4</v>
      </c>
    </row>
    <row r="239" spans="19:20">
      <c r="S239" s="18">
        <v>46144692</v>
      </c>
      <c r="T239" s="36">
        <v>3.7300000000000001E-4</v>
      </c>
    </row>
    <row r="240" spans="19:20">
      <c r="S240" s="18">
        <v>46347081</v>
      </c>
      <c r="T240" s="36">
        <v>3.6699999999999998E-4</v>
      </c>
    </row>
    <row r="241" spans="19:20">
      <c r="S241" s="18">
        <v>46549470</v>
      </c>
      <c r="T241" s="36">
        <v>3.5100000000000002E-4</v>
      </c>
    </row>
    <row r="242" spans="19:20">
      <c r="S242" s="18">
        <v>46751859</v>
      </c>
      <c r="T242" s="36">
        <v>3.57E-4</v>
      </c>
    </row>
    <row r="243" spans="19:20">
      <c r="S243" s="18">
        <v>46954248</v>
      </c>
      <c r="T243" s="36">
        <v>3.6600000000000001E-4</v>
      </c>
    </row>
    <row r="244" spans="19:20">
      <c r="S244" s="18">
        <v>47156637</v>
      </c>
      <c r="T244" s="36">
        <v>3.48E-4</v>
      </c>
    </row>
    <row r="245" spans="19:20">
      <c r="S245" s="18">
        <v>47359026</v>
      </c>
      <c r="T245" s="36">
        <v>3.5100000000000002E-4</v>
      </c>
    </row>
    <row r="246" spans="19:20">
      <c r="S246" s="18">
        <v>47561415</v>
      </c>
      <c r="T246" s="36">
        <v>3.39E-4</v>
      </c>
    </row>
    <row r="247" spans="19:20">
      <c r="S247" s="18">
        <v>47763804</v>
      </c>
      <c r="T247" s="36">
        <v>3.1399999999999999E-4</v>
      </c>
    </row>
    <row r="248" spans="19:20">
      <c r="S248" s="18">
        <v>47966193</v>
      </c>
      <c r="T248" s="36">
        <v>3.1599999999999998E-4</v>
      </c>
    </row>
    <row r="249" spans="19:20">
      <c r="S249" s="18">
        <v>48168582</v>
      </c>
      <c r="T249" s="36">
        <v>2.9799999999999998E-4</v>
      </c>
    </row>
    <row r="250" spans="19:20">
      <c r="S250" s="18">
        <v>48370971</v>
      </c>
      <c r="T250" s="36">
        <v>3.0699999999999998E-4</v>
      </c>
    </row>
    <row r="251" spans="19:20">
      <c r="S251" s="18">
        <v>48573360</v>
      </c>
      <c r="T251" s="36">
        <v>2.7599999999999999E-4</v>
      </c>
    </row>
    <row r="252" spans="19:20">
      <c r="S252" s="18">
        <v>48775749</v>
      </c>
      <c r="T252" s="36">
        <v>2.9700000000000001E-4</v>
      </c>
    </row>
    <row r="253" spans="19:20">
      <c r="S253" s="18">
        <v>48978138</v>
      </c>
      <c r="T253" s="36">
        <v>2.7700000000000001E-4</v>
      </c>
    </row>
    <row r="254" spans="19:20">
      <c r="S254" s="18">
        <v>49180527</v>
      </c>
      <c r="T254" s="36">
        <v>2.8600000000000001E-4</v>
      </c>
    </row>
    <row r="255" spans="19:20">
      <c r="S255" s="18">
        <v>49382916</v>
      </c>
      <c r="T255" s="36">
        <v>2.5999999999999998E-4</v>
      </c>
    </row>
    <row r="256" spans="19:20">
      <c r="S256" s="18">
        <v>49585305</v>
      </c>
      <c r="T256" s="36">
        <v>2.5999999999999998E-4</v>
      </c>
    </row>
    <row r="257" spans="19:20">
      <c r="S257" s="18">
        <v>49787694</v>
      </c>
      <c r="T257" s="36">
        <v>2.4800000000000001E-4</v>
      </c>
    </row>
    <row r="258" spans="19:20">
      <c r="S258" s="18">
        <v>49990083</v>
      </c>
      <c r="T258" s="36">
        <v>2.52E-4</v>
      </c>
    </row>
    <row r="259" spans="19:20">
      <c r="S259" s="18">
        <v>50192472</v>
      </c>
      <c r="T259" s="36">
        <v>2.3900000000000001E-4</v>
      </c>
    </row>
    <row r="260" spans="19:20">
      <c r="S260" s="18">
        <v>50394861</v>
      </c>
      <c r="T260" s="36">
        <v>2.4000000000000001E-4</v>
      </c>
    </row>
    <row r="261" spans="19:20">
      <c r="S261" s="18">
        <v>50597250</v>
      </c>
      <c r="T261" s="36">
        <v>2.2499999999999999E-4</v>
      </c>
    </row>
    <row r="262" spans="19:20">
      <c r="S262" s="18">
        <v>50799639</v>
      </c>
      <c r="T262" s="36">
        <v>2.22E-4</v>
      </c>
    </row>
    <row r="263" spans="19:20">
      <c r="S263" s="18">
        <v>51002028</v>
      </c>
      <c r="T263" s="36">
        <v>2.13E-4</v>
      </c>
    </row>
    <row r="264" spans="19:20">
      <c r="S264" s="18">
        <v>51204417</v>
      </c>
      <c r="T264" s="36">
        <v>2.1100000000000001E-4</v>
      </c>
    </row>
    <row r="265" spans="19:20">
      <c r="S265" s="18">
        <v>51406806</v>
      </c>
      <c r="T265" s="36">
        <v>2.14E-4</v>
      </c>
    </row>
    <row r="266" spans="19:20">
      <c r="S266" s="18">
        <v>51609195</v>
      </c>
      <c r="T266" s="36">
        <v>1.9900000000000001E-4</v>
      </c>
    </row>
    <row r="267" spans="19:20">
      <c r="S267" s="18">
        <v>51811584</v>
      </c>
      <c r="T267" s="36">
        <v>2.02E-4</v>
      </c>
    </row>
    <row r="268" spans="19:20">
      <c r="S268" s="18">
        <v>52013973</v>
      </c>
      <c r="T268" s="36">
        <v>2.03E-4</v>
      </c>
    </row>
    <row r="269" spans="19:20">
      <c r="S269" s="18">
        <v>52216362</v>
      </c>
      <c r="T269" s="36">
        <v>1.94E-4</v>
      </c>
    </row>
    <row r="270" spans="19:20">
      <c r="S270" s="18">
        <v>52418751</v>
      </c>
      <c r="T270" s="36">
        <v>1.9000000000000001E-4</v>
      </c>
    </row>
    <row r="271" spans="19:20">
      <c r="S271" s="18">
        <v>52621140</v>
      </c>
      <c r="T271" s="36">
        <v>1.84E-4</v>
      </c>
    </row>
    <row r="272" spans="19:20">
      <c r="S272" s="18">
        <v>52823529</v>
      </c>
      <c r="T272" s="36">
        <v>1.76E-4</v>
      </c>
    </row>
    <row r="273" spans="19:20">
      <c r="S273" s="18">
        <v>53025918</v>
      </c>
      <c r="T273" s="36">
        <v>1.7000000000000001E-4</v>
      </c>
    </row>
    <row r="274" spans="19:20">
      <c r="S274" s="18">
        <v>53228307</v>
      </c>
      <c r="T274" s="36">
        <v>1.66E-4</v>
      </c>
    </row>
    <row r="275" spans="19:20">
      <c r="S275" s="18">
        <v>53430696</v>
      </c>
      <c r="T275" s="36">
        <v>1.7200000000000001E-4</v>
      </c>
    </row>
    <row r="276" spans="19:20">
      <c r="S276" s="18">
        <v>53633085</v>
      </c>
      <c r="T276" s="36">
        <v>1.5899999999999999E-4</v>
      </c>
    </row>
    <row r="277" spans="19:20">
      <c r="S277" s="18">
        <v>53835474</v>
      </c>
      <c r="T277" s="36">
        <v>1.66E-4</v>
      </c>
    </row>
    <row r="278" spans="19:20">
      <c r="S278" s="18">
        <v>54037863</v>
      </c>
      <c r="T278" s="36">
        <v>1.5300000000000001E-4</v>
      </c>
    </row>
    <row r="279" spans="19:20">
      <c r="S279" s="18">
        <v>54240252</v>
      </c>
      <c r="T279" s="36">
        <v>1.55E-4</v>
      </c>
    </row>
    <row r="280" spans="19:20">
      <c r="S280" s="18">
        <v>54442641</v>
      </c>
      <c r="T280" s="36">
        <v>1.4300000000000001E-4</v>
      </c>
    </row>
    <row r="281" spans="19:20">
      <c r="S281" s="18">
        <v>54645030</v>
      </c>
      <c r="T281" s="36">
        <v>1.46E-4</v>
      </c>
    </row>
    <row r="282" spans="19:20">
      <c r="S282" s="18">
        <v>54847419</v>
      </c>
      <c r="T282" s="36">
        <v>1.3799999999999999E-4</v>
      </c>
    </row>
    <row r="283" spans="19:20">
      <c r="S283" s="18">
        <v>55049808</v>
      </c>
      <c r="T283" s="36">
        <v>1.36E-4</v>
      </c>
    </row>
    <row r="284" spans="19:20">
      <c r="S284" s="18">
        <v>55252197</v>
      </c>
      <c r="T284" s="36">
        <v>1.2999999999999999E-4</v>
      </c>
    </row>
    <row r="285" spans="19:20">
      <c r="S285" s="18">
        <v>55454586</v>
      </c>
      <c r="T285" s="36">
        <v>1.2999999999999999E-4</v>
      </c>
    </row>
    <row r="286" spans="19:20">
      <c r="S286" s="18">
        <v>55656975</v>
      </c>
      <c r="T286" s="36">
        <v>1.25E-4</v>
      </c>
    </row>
    <row r="287" spans="19:20">
      <c r="S287" s="18">
        <v>55859364</v>
      </c>
      <c r="T287" s="36">
        <v>1.2400000000000001E-4</v>
      </c>
    </row>
    <row r="288" spans="19:20">
      <c r="S288" s="18">
        <v>56061753</v>
      </c>
      <c r="T288" s="36">
        <v>1.25E-4</v>
      </c>
    </row>
    <row r="289" spans="19:20">
      <c r="S289" s="18">
        <v>56264142</v>
      </c>
      <c r="T289" s="36">
        <v>1.18E-4</v>
      </c>
    </row>
    <row r="290" spans="19:20">
      <c r="S290" s="18">
        <v>56466531</v>
      </c>
      <c r="T290" s="36">
        <v>1.18E-4</v>
      </c>
    </row>
    <row r="291" spans="19:20">
      <c r="S291" s="18">
        <v>56668920</v>
      </c>
      <c r="T291" s="36">
        <v>1.11E-4</v>
      </c>
    </row>
    <row r="292" spans="19:20">
      <c r="S292" s="18">
        <v>56871309</v>
      </c>
      <c r="T292" s="36">
        <v>1.0900000000000001E-4</v>
      </c>
    </row>
    <row r="293" spans="19:20">
      <c r="S293" s="18">
        <v>57073698</v>
      </c>
      <c r="T293" s="36">
        <v>1.06E-4</v>
      </c>
    </row>
    <row r="294" spans="19:20">
      <c r="S294" s="18">
        <v>57276087</v>
      </c>
      <c r="T294" s="36">
        <v>1.03E-4</v>
      </c>
    </row>
    <row r="295" spans="19:20">
      <c r="S295" s="18">
        <v>57478476</v>
      </c>
      <c r="T295" s="36">
        <v>9.8999999999999994E-5</v>
      </c>
    </row>
    <row r="296" spans="19:20">
      <c r="S296" s="18">
        <v>57680865</v>
      </c>
      <c r="T296" s="36">
        <v>9.7E-5</v>
      </c>
    </row>
    <row r="297" spans="19:20">
      <c r="S297" s="18">
        <v>57883254</v>
      </c>
      <c r="T297" s="36">
        <v>9.7E-5</v>
      </c>
    </row>
    <row r="298" spans="19:20">
      <c r="S298" s="18">
        <v>58085643</v>
      </c>
      <c r="T298" s="36">
        <v>9.5000000000000005E-5</v>
      </c>
    </row>
    <row r="299" spans="19:20">
      <c r="S299" s="18">
        <v>58288032</v>
      </c>
      <c r="T299" s="36">
        <v>9.0000000000000006E-5</v>
      </c>
    </row>
    <row r="300" spans="19:20">
      <c r="S300" s="18">
        <v>58490421</v>
      </c>
      <c r="T300" s="36">
        <v>9.2999999999999997E-5</v>
      </c>
    </row>
    <row r="301" spans="19:20">
      <c r="S301" s="18">
        <v>58692810</v>
      </c>
      <c r="T301" s="36">
        <v>8.6000000000000003E-5</v>
      </c>
    </row>
    <row r="302" spans="19:20">
      <c r="S302" s="18">
        <v>58895199</v>
      </c>
      <c r="T302" s="36">
        <v>9.0000000000000006E-5</v>
      </c>
    </row>
    <row r="303" spans="19:20">
      <c r="S303" s="18">
        <v>59097588</v>
      </c>
      <c r="T303" s="36">
        <v>8.2999999999999998E-5</v>
      </c>
    </row>
    <row r="304" spans="19:20">
      <c r="S304" s="18">
        <v>59299977</v>
      </c>
      <c r="T304" s="36">
        <v>8.3999999999999995E-5</v>
      </c>
    </row>
    <row r="305" spans="19:20">
      <c r="S305" s="18">
        <v>59502366</v>
      </c>
      <c r="T305" s="36">
        <v>7.6000000000000004E-5</v>
      </c>
    </row>
    <row r="306" spans="19:20">
      <c r="S306" s="18">
        <v>59704755</v>
      </c>
      <c r="T306" s="36">
        <v>7.7000000000000001E-5</v>
      </c>
    </row>
    <row r="307" spans="19:20">
      <c r="S307" s="18">
        <v>59907144</v>
      </c>
      <c r="T307" s="36">
        <v>7.2999999999999999E-5</v>
      </c>
    </row>
    <row r="308" spans="19:20">
      <c r="S308" s="18">
        <v>60109533</v>
      </c>
      <c r="T308" s="36">
        <v>7.2999999999999999E-5</v>
      </c>
    </row>
    <row r="309" spans="19:20">
      <c r="S309" s="18">
        <v>60311922</v>
      </c>
      <c r="T309" s="36">
        <v>6.9999999999999994E-5</v>
      </c>
    </row>
    <row r="310" spans="19:20">
      <c r="S310" s="18">
        <v>60514311</v>
      </c>
      <c r="T310" s="36">
        <v>6.9999999999999994E-5</v>
      </c>
    </row>
    <row r="311" spans="19:20">
      <c r="S311" s="18">
        <v>60716700</v>
      </c>
      <c r="T311" s="36">
        <v>6.9999999999999994E-5</v>
      </c>
    </row>
    <row r="312" spans="19:20">
      <c r="S312" s="18">
        <v>60919089</v>
      </c>
      <c r="T312" s="36">
        <v>6.7000000000000002E-5</v>
      </c>
    </row>
    <row r="313" spans="19:20">
      <c r="S313" s="18">
        <v>61121478</v>
      </c>
      <c r="T313" s="36">
        <v>6.7000000000000002E-5</v>
      </c>
    </row>
    <row r="314" spans="19:20">
      <c r="S314" s="18">
        <v>61323867</v>
      </c>
      <c r="T314" s="36">
        <v>6.3999999999999997E-5</v>
      </c>
    </row>
    <row r="315" spans="19:20">
      <c r="S315" s="18">
        <v>61526256</v>
      </c>
      <c r="T315" s="36">
        <v>6.2000000000000003E-5</v>
      </c>
    </row>
    <row r="316" spans="19:20">
      <c r="S316" s="18">
        <v>61728645</v>
      </c>
      <c r="T316" s="36">
        <v>5.8999999999999998E-5</v>
      </c>
    </row>
    <row r="317" spans="19:20">
      <c r="S317" s="18">
        <v>61931034</v>
      </c>
      <c r="T317" s="36">
        <v>5.8E-5</v>
      </c>
    </row>
    <row r="318" spans="19:20">
      <c r="S318" s="18">
        <v>62133423</v>
      </c>
      <c r="T318" s="36">
        <v>5.5999999999999999E-5</v>
      </c>
    </row>
    <row r="319" spans="19:20">
      <c r="S319" s="18">
        <v>62335812</v>
      </c>
      <c r="T319" s="36">
        <v>5.5000000000000002E-5</v>
      </c>
    </row>
    <row r="320" spans="19:20">
      <c r="S320" s="18">
        <v>62538201</v>
      </c>
      <c r="T320" s="36">
        <v>5.5000000000000002E-5</v>
      </c>
    </row>
    <row r="321" spans="19:20">
      <c r="S321" s="18">
        <v>62740590</v>
      </c>
      <c r="T321" s="36">
        <v>5.3999999999999998E-5</v>
      </c>
    </row>
    <row r="322" spans="19:20">
      <c r="S322" s="18">
        <v>62942979</v>
      </c>
      <c r="T322" s="36">
        <v>5.1999999999999997E-5</v>
      </c>
    </row>
    <row r="323" spans="19:20">
      <c r="S323" s="18">
        <v>63145368</v>
      </c>
      <c r="T323" s="36">
        <v>5.1E-5</v>
      </c>
    </row>
    <row r="324" spans="19:20">
      <c r="S324" s="18">
        <v>63347757</v>
      </c>
      <c r="T324" s="36">
        <v>4.8000000000000001E-5</v>
      </c>
    </row>
    <row r="325" spans="19:20">
      <c r="S325" s="18">
        <v>63550146</v>
      </c>
      <c r="T325" s="36">
        <v>4.8999999999999998E-5</v>
      </c>
    </row>
    <row r="326" spans="19:20">
      <c r="S326" s="18">
        <v>63752535</v>
      </c>
      <c r="T326" s="36">
        <v>4.6E-5</v>
      </c>
    </row>
    <row r="327" spans="19:20">
      <c r="S327" s="18">
        <v>63954924</v>
      </c>
      <c r="T327" s="36">
        <v>4.6999999999999997E-5</v>
      </c>
    </row>
    <row r="328" spans="19:20">
      <c r="S328" s="18">
        <v>64157313</v>
      </c>
      <c r="T328" s="36">
        <v>4.3000000000000002E-5</v>
      </c>
    </row>
    <row r="329" spans="19:20">
      <c r="S329" s="18">
        <v>64359702</v>
      </c>
      <c r="T329" s="36">
        <v>4.3999999999999999E-5</v>
      </c>
    </row>
    <row r="330" spans="19:20">
      <c r="S330" s="18">
        <v>64562091</v>
      </c>
      <c r="T330" s="36">
        <v>4.1E-5</v>
      </c>
    </row>
    <row r="331" spans="19:20">
      <c r="S331" s="18">
        <v>64764480</v>
      </c>
      <c r="T331" s="36">
        <v>4.1E-5</v>
      </c>
    </row>
    <row r="332" spans="19:20">
      <c r="S332" s="18">
        <v>64966869</v>
      </c>
      <c r="T332" s="36">
        <v>3.8999999999999999E-5</v>
      </c>
    </row>
    <row r="333" spans="19:20">
      <c r="S333" s="18">
        <v>65169258</v>
      </c>
      <c r="T333" s="36">
        <v>3.8999999999999999E-5</v>
      </c>
    </row>
    <row r="334" spans="19:20">
      <c r="S334" s="18">
        <v>65371647</v>
      </c>
      <c r="T334" s="36">
        <v>3.6999999999999998E-5</v>
      </c>
    </row>
    <row r="335" spans="19:20">
      <c r="S335" s="18">
        <v>65574036</v>
      </c>
      <c r="T335" s="36">
        <v>3.8000000000000002E-5</v>
      </c>
    </row>
    <row r="336" spans="19:20">
      <c r="S336" s="18">
        <v>65776425</v>
      </c>
      <c r="T336" s="36">
        <v>3.6999999999999998E-5</v>
      </c>
    </row>
    <row r="337" spans="19:20">
      <c r="S337" s="18">
        <v>65978814</v>
      </c>
      <c r="T337" s="36">
        <v>3.4999999999999997E-5</v>
      </c>
    </row>
    <row r="338" spans="19:20">
      <c r="S338" s="18">
        <v>66181203</v>
      </c>
      <c r="T338" s="36">
        <v>3.4E-5</v>
      </c>
    </row>
    <row r="339" spans="19:20">
      <c r="S339" s="18">
        <v>66383592</v>
      </c>
      <c r="T339" s="36">
        <v>3.3000000000000003E-5</v>
      </c>
    </row>
    <row r="340" spans="19:20">
      <c r="S340" s="18">
        <v>66585981</v>
      </c>
      <c r="T340" s="36">
        <v>3.1999999999999999E-5</v>
      </c>
    </row>
    <row r="341" spans="19:20">
      <c r="S341" s="18">
        <v>66788370</v>
      </c>
      <c r="T341" s="36">
        <v>3.1000000000000001E-5</v>
      </c>
    </row>
    <row r="342" spans="19:20">
      <c r="S342" s="18">
        <v>66990759</v>
      </c>
      <c r="T342" s="36">
        <v>3.1000000000000001E-5</v>
      </c>
    </row>
    <row r="343" spans="19:20">
      <c r="S343" s="18">
        <v>67193148</v>
      </c>
      <c r="T343" s="36">
        <v>3.1000000000000001E-5</v>
      </c>
    </row>
    <row r="344" spans="19:20">
      <c r="S344" s="18">
        <v>67395537</v>
      </c>
      <c r="T344" s="36">
        <v>2.9E-5</v>
      </c>
    </row>
    <row r="345" spans="19:20">
      <c r="S345" s="18">
        <v>67597926</v>
      </c>
      <c r="T345" s="36">
        <v>2.9E-5</v>
      </c>
    </row>
    <row r="346" spans="19:20">
      <c r="S346" s="18">
        <v>67800315</v>
      </c>
      <c r="T346" s="36">
        <v>2.8E-5</v>
      </c>
    </row>
    <row r="347" spans="19:20">
      <c r="S347" s="18">
        <v>68002704</v>
      </c>
      <c r="T347" s="36">
        <v>2.6999999999999999E-5</v>
      </c>
    </row>
    <row r="348" spans="19:20">
      <c r="S348" s="18">
        <v>68205093</v>
      </c>
      <c r="T348" s="36">
        <v>2.5999999999999998E-5</v>
      </c>
    </row>
    <row r="349" spans="19:20">
      <c r="S349" s="18">
        <v>68407482</v>
      </c>
      <c r="T349" s="36">
        <v>2.5999999999999998E-5</v>
      </c>
    </row>
    <row r="350" spans="19:20">
      <c r="S350" s="18">
        <v>68609871</v>
      </c>
      <c r="T350" s="36">
        <v>2.5000000000000001E-5</v>
      </c>
    </row>
    <row r="351" spans="19:20">
      <c r="S351" s="18">
        <v>68812260</v>
      </c>
      <c r="T351" s="36">
        <v>2.4000000000000001E-5</v>
      </c>
    </row>
    <row r="352" spans="19:20">
      <c r="S352" s="18">
        <v>69014649</v>
      </c>
      <c r="T352" s="36">
        <v>2.4000000000000001E-5</v>
      </c>
    </row>
    <row r="353" spans="19:20">
      <c r="S353" s="18">
        <v>69217038</v>
      </c>
      <c r="T353" s="36">
        <v>2.3E-5</v>
      </c>
    </row>
    <row r="354" spans="19:20">
      <c r="S354" s="18">
        <v>69419427</v>
      </c>
      <c r="T354" s="36">
        <v>2.3E-5</v>
      </c>
    </row>
    <row r="355" spans="19:20">
      <c r="S355" s="18">
        <v>69621816</v>
      </c>
      <c r="T355" s="36">
        <v>2.1999999999999999E-5</v>
      </c>
    </row>
    <row r="356" spans="19:20">
      <c r="S356" s="18">
        <v>69824205</v>
      </c>
      <c r="T356" s="36">
        <v>2.1999999999999999E-5</v>
      </c>
    </row>
    <row r="357" spans="19:20">
      <c r="S357" s="18">
        <v>70026594</v>
      </c>
      <c r="T357" s="36">
        <v>2.0999999999999999E-5</v>
      </c>
    </row>
    <row r="358" spans="19:20">
      <c r="S358" s="18">
        <v>70228983</v>
      </c>
      <c r="T358" s="36">
        <v>2.0999999999999999E-5</v>
      </c>
    </row>
    <row r="359" spans="19:20">
      <c r="S359" s="18">
        <v>70431372</v>
      </c>
      <c r="T359" s="36">
        <v>2.0000000000000002E-5</v>
      </c>
    </row>
    <row r="360" spans="19:20">
      <c r="S360" s="18">
        <v>70633761</v>
      </c>
      <c r="T360" s="36">
        <v>1.9000000000000001E-5</v>
      </c>
    </row>
    <row r="361" spans="19:20">
      <c r="S361" s="18">
        <v>70836150</v>
      </c>
      <c r="T361" s="36">
        <v>1.9000000000000001E-5</v>
      </c>
    </row>
    <row r="362" spans="19:20">
      <c r="S362" s="18">
        <v>71038539</v>
      </c>
      <c r="T362" s="36">
        <v>1.8E-5</v>
      </c>
    </row>
    <row r="363" spans="19:20">
      <c r="S363" s="18">
        <v>71240928</v>
      </c>
      <c r="T363" s="36">
        <v>1.8E-5</v>
      </c>
    </row>
    <row r="364" spans="19:20">
      <c r="S364" s="18">
        <v>71443317</v>
      </c>
      <c r="T364" s="36">
        <v>1.7E-5</v>
      </c>
    </row>
    <row r="365" spans="19:20">
      <c r="S365" s="18">
        <v>71645706</v>
      </c>
      <c r="T365" s="36">
        <v>1.7E-5</v>
      </c>
    </row>
    <row r="366" spans="19:20">
      <c r="S366" s="18">
        <v>71848095</v>
      </c>
      <c r="T366" s="36">
        <v>1.5999999999999999E-5</v>
      </c>
    </row>
    <row r="367" spans="19:20">
      <c r="S367" s="18">
        <v>72050484</v>
      </c>
      <c r="T367" s="36">
        <v>1.5999999999999999E-5</v>
      </c>
    </row>
    <row r="368" spans="19:20">
      <c r="S368" s="18">
        <v>72252873</v>
      </c>
      <c r="T368" s="36">
        <v>1.5999999999999999E-5</v>
      </c>
    </row>
    <row r="369" spans="19:20">
      <c r="S369" s="18">
        <v>72455262</v>
      </c>
      <c r="T369" s="36">
        <v>1.5E-5</v>
      </c>
    </row>
    <row r="370" spans="19:20">
      <c r="S370" s="18">
        <v>72657651</v>
      </c>
      <c r="T370" s="36">
        <v>1.5E-5</v>
      </c>
    </row>
    <row r="371" spans="19:20">
      <c r="S371" s="18">
        <v>72860040</v>
      </c>
      <c r="T371" s="36">
        <v>1.4E-5</v>
      </c>
    </row>
    <row r="372" spans="19:20">
      <c r="S372" s="21">
        <v>73062429</v>
      </c>
      <c r="T372" s="94">
        <v>1.4E-5</v>
      </c>
    </row>
  </sheetData>
  <phoneticPr fontId="4" type="noConversion"/>
  <pageMargins left="0.75" right="0.75" top="1" bottom="1" header="0.5" footer="0.5"/>
  <pageSetup paperSize="9" orientation="portrait" verticalDpi="1200" r:id="rId1"/>
  <headerFooter alignWithMargins="0">
    <oddHeader>&amp;A</oddHeader>
    <oddFooter>Page &amp;P</oddFooter>
  </headerFooter>
  <drawing r:id="rId2"/>
  <legacyDrawing r:id="rId3"/>
</worksheet>
</file>

<file path=xl/worksheets/sheet8.xml><?xml version="1.0" encoding="utf-8"?>
<worksheet xmlns="http://schemas.openxmlformats.org/spreadsheetml/2006/main" xmlns:r="http://schemas.openxmlformats.org/officeDocument/2006/relationships">
  <dimension ref="B4:U346"/>
  <sheetViews>
    <sheetView showGridLines="0" workbookViewId="0">
      <selection activeCell="L5" sqref="L5"/>
    </sheetView>
  </sheetViews>
  <sheetFormatPr defaultRowHeight="12.75"/>
  <cols>
    <col min="1" max="1" width="3.28515625" customWidth="1"/>
    <col min="2" max="2" width="8.7109375" customWidth="1"/>
    <col min="3" max="3" width="11.7109375" customWidth="1"/>
    <col min="4" max="4" width="9.7109375" customWidth="1"/>
    <col min="5" max="6" width="11.7109375" customWidth="1"/>
    <col min="7" max="11" width="9.7109375" customWidth="1"/>
    <col min="12" max="12" width="3.28515625" customWidth="1"/>
    <col min="13" max="13" width="7.28515625" customWidth="1"/>
    <col min="15" max="15" width="11" customWidth="1"/>
    <col min="16" max="16" width="3.28515625" customWidth="1"/>
    <col min="17" max="17" width="9.28515625" customWidth="1"/>
    <col min="18" max="18" width="10.140625" customWidth="1"/>
    <col min="19" max="19" width="3.28515625" customWidth="1"/>
    <col min="20" max="20" width="10.140625" customWidth="1"/>
    <col min="21" max="21" width="10" customWidth="1"/>
    <col min="36" max="36" width="9" customWidth="1"/>
    <col min="37" max="37" width="8.85546875" customWidth="1"/>
    <col min="39" max="39" width="8.85546875" customWidth="1"/>
    <col min="41" max="41" width="9.42578125" customWidth="1"/>
    <col min="42" max="42" width="9.28515625" customWidth="1"/>
    <col min="43" max="43" width="9.42578125" customWidth="1"/>
    <col min="44" max="44" width="8.85546875" customWidth="1"/>
    <col min="46" max="46" width="8.42578125" customWidth="1"/>
    <col min="47" max="56" width="7.28515625" customWidth="1"/>
    <col min="58" max="58" width="7.28515625" customWidth="1"/>
    <col min="59" max="59" width="10" customWidth="1"/>
    <col min="60" max="60" width="8" customWidth="1"/>
  </cols>
  <sheetData>
    <row r="4" spans="2:21">
      <c r="P4" s="42"/>
    </row>
    <row r="5" spans="2:21">
      <c r="P5" s="43"/>
    </row>
    <row r="6" spans="2:21">
      <c r="O6" s="4"/>
    </row>
    <row r="7" spans="2:21" ht="20.25">
      <c r="B7" s="34" t="s">
        <v>2</v>
      </c>
      <c r="C7" s="3"/>
      <c r="D7" s="3"/>
      <c r="E7" s="3"/>
      <c r="M7" s="35" t="s">
        <v>20</v>
      </c>
      <c r="N7" s="35"/>
    </row>
    <row r="8" spans="2:21">
      <c r="B8" s="12"/>
      <c r="C8" s="13"/>
      <c r="D8" s="14"/>
      <c r="E8" s="26"/>
      <c r="F8" s="26" t="s">
        <v>10</v>
      </c>
      <c r="G8" s="33" t="s">
        <v>21</v>
      </c>
      <c r="H8" s="33"/>
      <c r="I8" s="33"/>
      <c r="J8" s="33"/>
      <c r="K8" s="27"/>
      <c r="M8" s="26"/>
      <c r="N8" s="26"/>
      <c r="O8" s="26"/>
      <c r="P8" s="5"/>
      <c r="Q8" s="26"/>
      <c r="R8" s="26" t="s">
        <v>4</v>
      </c>
      <c r="T8" s="26" t="s">
        <v>4</v>
      </c>
      <c r="U8" s="26"/>
    </row>
    <row r="9" spans="2:21">
      <c r="B9" s="28"/>
      <c r="C9" s="28"/>
      <c r="D9" s="29"/>
      <c r="E9" s="30" t="s">
        <v>5</v>
      </c>
      <c r="F9" s="30" t="s">
        <v>6</v>
      </c>
      <c r="G9" s="31"/>
      <c r="H9" s="31"/>
      <c r="I9" s="31"/>
      <c r="J9" s="31"/>
      <c r="K9" s="31"/>
      <c r="M9" s="30"/>
      <c r="N9" s="30" t="s">
        <v>23</v>
      </c>
      <c r="O9" s="30" t="s">
        <v>24</v>
      </c>
      <c r="P9" s="6"/>
      <c r="Q9" s="30"/>
      <c r="R9" s="30" t="s">
        <v>25</v>
      </c>
      <c r="T9" s="30" t="s">
        <v>25</v>
      </c>
      <c r="U9" s="30"/>
    </row>
    <row r="10" spans="2:21">
      <c r="B10" s="15" t="s">
        <v>7</v>
      </c>
      <c r="C10" s="16" t="s">
        <v>8</v>
      </c>
      <c r="D10" s="15" t="s">
        <v>9</v>
      </c>
      <c r="E10" s="16" t="s">
        <v>10</v>
      </c>
      <c r="F10" s="16" t="s">
        <v>11</v>
      </c>
      <c r="G10" s="32" t="s">
        <v>98</v>
      </c>
      <c r="H10" s="32" t="s">
        <v>95</v>
      </c>
      <c r="I10" s="32" t="s">
        <v>96</v>
      </c>
      <c r="J10" s="32" t="s">
        <v>97</v>
      </c>
      <c r="K10" s="32" t="s">
        <v>33</v>
      </c>
      <c r="M10" s="15" t="s">
        <v>7</v>
      </c>
      <c r="N10" s="16" t="s">
        <v>25</v>
      </c>
      <c r="O10" s="16" t="s">
        <v>27</v>
      </c>
      <c r="P10" s="6"/>
      <c r="Q10" s="16" t="s">
        <v>28</v>
      </c>
      <c r="R10" s="16" t="s">
        <v>29</v>
      </c>
      <c r="T10" s="16" t="s">
        <v>29</v>
      </c>
      <c r="U10" s="16" t="s">
        <v>30</v>
      </c>
    </row>
    <row r="11" spans="2:21">
      <c r="B11" s="17">
        <v>1</v>
      </c>
      <c r="C11" s="18">
        <v>358475</v>
      </c>
      <c r="D11" s="19" t="s">
        <v>12</v>
      </c>
      <c r="E11" s="24">
        <f t="shared" ref="E11:E35" si="0">VLOOKUP($D11,DefaultRates,2,FALSE)</f>
        <v>0.3</v>
      </c>
      <c r="F11" s="24">
        <f t="shared" ref="F11:F35" si="1">VLOOKUP($D11,DefaultRates,3,FALSE)</f>
        <v>0.15</v>
      </c>
      <c r="G11" s="37">
        <v>0.5</v>
      </c>
      <c r="H11" s="37">
        <v>0.3</v>
      </c>
      <c r="I11" s="37">
        <v>0.1</v>
      </c>
      <c r="J11" s="37">
        <v>0.1</v>
      </c>
      <c r="K11" s="37">
        <f t="shared" ref="K11:K35" si="2">SUM(G11:J11)</f>
        <v>1</v>
      </c>
      <c r="M11" s="17">
        <v>1</v>
      </c>
      <c r="N11" s="49">
        <v>107542.5</v>
      </c>
      <c r="O11" s="49">
        <v>132135</v>
      </c>
      <c r="P11" s="44"/>
      <c r="Q11" s="47" t="s">
        <v>5</v>
      </c>
      <c r="R11" s="18">
        <v>14221863</v>
      </c>
      <c r="T11" s="18">
        <v>0</v>
      </c>
      <c r="U11" s="36">
        <v>4.9859000000000001E-2</v>
      </c>
    </row>
    <row r="12" spans="2:21">
      <c r="B12" s="17">
        <v>2</v>
      </c>
      <c r="C12" s="18">
        <v>1089819</v>
      </c>
      <c r="D12" s="19" t="s">
        <v>12</v>
      </c>
      <c r="E12" s="24">
        <f t="shared" si="0"/>
        <v>0.3</v>
      </c>
      <c r="F12" s="24">
        <f t="shared" si="1"/>
        <v>0.15</v>
      </c>
      <c r="G12" s="37">
        <v>0.25</v>
      </c>
      <c r="H12" s="37">
        <v>0.25</v>
      </c>
      <c r="I12" s="37">
        <v>0.25</v>
      </c>
      <c r="J12" s="37">
        <v>0.25</v>
      </c>
      <c r="K12" s="37">
        <f t="shared" si="2"/>
        <v>1</v>
      </c>
      <c r="M12" s="17">
        <v>2</v>
      </c>
      <c r="N12" s="49">
        <v>326945.7</v>
      </c>
      <c r="O12" s="49">
        <v>502289</v>
      </c>
      <c r="P12" s="44"/>
      <c r="Q12" s="45">
        <v>50</v>
      </c>
      <c r="R12" s="18">
        <v>11879523</v>
      </c>
      <c r="T12" s="18">
        <v>202389</v>
      </c>
      <c r="U12" s="36">
        <v>0</v>
      </c>
    </row>
    <row r="13" spans="2:21">
      <c r="B13" s="17">
        <v>3</v>
      </c>
      <c r="C13" s="18">
        <v>1799710</v>
      </c>
      <c r="D13" s="19" t="s">
        <v>15</v>
      </c>
      <c r="E13" s="24">
        <f t="shared" si="0"/>
        <v>0.1</v>
      </c>
      <c r="F13" s="24">
        <f t="shared" si="1"/>
        <v>0.05</v>
      </c>
      <c r="G13" s="37">
        <v>0.25</v>
      </c>
      <c r="H13" s="37">
        <v>0.25</v>
      </c>
      <c r="I13" s="37">
        <v>0.2</v>
      </c>
      <c r="J13" s="37">
        <v>0.3</v>
      </c>
      <c r="K13" s="37">
        <f t="shared" si="2"/>
        <v>1</v>
      </c>
      <c r="M13" s="17">
        <v>3</v>
      </c>
      <c r="N13" s="49">
        <v>179971</v>
      </c>
      <c r="O13" s="49">
        <v>300141</v>
      </c>
      <c r="P13" s="44"/>
      <c r="Q13" s="45">
        <v>75</v>
      </c>
      <c r="R13" s="18">
        <v>20017506</v>
      </c>
      <c r="T13" s="18">
        <v>404778</v>
      </c>
      <c r="U13" s="36">
        <v>1.2399E-2</v>
      </c>
    </row>
    <row r="14" spans="2:21">
      <c r="B14" s="17">
        <v>4</v>
      </c>
      <c r="C14" s="18">
        <v>1933116</v>
      </c>
      <c r="D14" s="19" t="s">
        <v>17</v>
      </c>
      <c r="E14" s="24">
        <f t="shared" si="0"/>
        <v>0.15</v>
      </c>
      <c r="F14" s="24">
        <f t="shared" si="1"/>
        <v>7.4999999999999997E-2</v>
      </c>
      <c r="G14" s="37">
        <v>0.75</v>
      </c>
      <c r="H14" s="37">
        <v>0.05</v>
      </c>
      <c r="I14" s="37">
        <v>0.1</v>
      </c>
      <c r="J14" s="37">
        <v>0.1</v>
      </c>
      <c r="K14" s="37">
        <f t="shared" si="2"/>
        <v>1</v>
      </c>
      <c r="M14" s="17">
        <v>4</v>
      </c>
      <c r="N14" s="49">
        <v>289967.40000000002</v>
      </c>
      <c r="O14" s="49">
        <v>478303</v>
      </c>
      <c r="P14" s="44"/>
      <c r="Q14" s="45">
        <v>95</v>
      </c>
      <c r="R14" s="18">
        <v>34771678</v>
      </c>
      <c r="T14" s="18">
        <v>607167</v>
      </c>
      <c r="U14" s="36">
        <v>0</v>
      </c>
    </row>
    <row r="15" spans="2:21">
      <c r="B15" s="17">
        <v>5</v>
      </c>
      <c r="C15" s="18">
        <v>2317327</v>
      </c>
      <c r="D15" s="19" t="s">
        <v>17</v>
      </c>
      <c r="E15" s="24">
        <f t="shared" si="0"/>
        <v>0.15</v>
      </c>
      <c r="F15" s="24">
        <f t="shared" si="1"/>
        <v>7.4999999999999997E-2</v>
      </c>
      <c r="G15" s="37">
        <v>0.5</v>
      </c>
      <c r="H15" s="37">
        <v>0.1</v>
      </c>
      <c r="I15" s="37">
        <v>0.1</v>
      </c>
      <c r="J15" s="37">
        <v>0.3</v>
      </c>
      <c r="K15" s="37">
        <f t="shared" si="2"/>
        <v>1</v>
      </c>
      <c r="M15" s="17">
        <v>5</v>
      </c>
      <c r="N15" s="49">
        <v>347599.05</v>
      </c>
      <c r="O15" s="49">
        <v>636952</v>
      </c>
      <c r="P15" s="44"/>
      <c r="Q15" s="45">
        <v>97.5</v>
      </c>
      <c r="R15" s="18">
        <v>40396985</v>
      </c>
      <c r="T15" s="18">
        <v>809556</v>
      </c>
      <c r="U15" s="36">
        <v>1.5790000000000001E-3</v>
      </c>
    </row>
    <row r="16" spans="2:21">
      <c r="B16" s="17">
        <v>6</v>
      </c>
      <c r="C16" s="18">
        <v>2410929</v>
      </c>
      <c r="D16" s="19" t="s">
        <v>17</v>
      </c>
      <c r="E16" s="24">
        <f t="shared" si="0"/>
        <v>0.15</v>
      </c>
      <c r="F16" s="24">
        <f t="shared" si="1"/>
        <v>7.4999999999999997E-2</v>
      </c>
      <c r="G16" s="37">
        <v>0.5</v>
      </c>
      <c r="H16" s="37">
        <v>0.2</v>
      </c>
      <c r="I16" s="37">
        <v>0.1</v>
      </c>
      <c r="J16" s="37">
        <v>0.2</v>
      </c>
      <c r="K16" s="37">
        <f t="shared" si="2"/>
        <v>1</v>
      </c>
      <c r="M16" s="17">
        <v>6</v>
      </c>
      <c r="N16" s="49">
        <v>361639.35</v>
      </c>
      <c r="O16" s="49">
        <v>647720</v>
      </c>
      <c r="P16" s="44"/>
      <c r="Q16" s="51">
        <v>99</v>
      </c>
      <c r="R16" s="52">
        <v>47368235</v>
      </c>
      <c r="T16" s="18">
        <v>1011945</v>
      </c>
      <c r="U16" s="36">
        <v>0</v>
      </c>
    </row>
    <row r="17" spans="2:21">
      <c r="B17" s="17">
        <v>7</v>
      </c>
      <c r="C17" s="18">
        <v>2652184</v>
      </c>
      <c r="D17" s="19" t="s">
        <v>12</v>
      </c>
      <c r="E17" s="24">
        <f t="shared" si="0"/>
        <v>0.3</v>
      </c>
      <c r="F17" s="24">
        <f t="shared" si="1"/>
        <v>0.15</v>
      </c>
      <c r="G17" s="37">
        <v>0.25</v>
      </c>
      <c r="H17" s="37">
        <v>0.1</v>
      </c>
      <c r="I17" s="37">
        <v>0.1</v>
      </c>
      <c r="J17" s="37">
        <v>0.55000000000000004</v>
      </c>
      <c r="K17" s="37">
        <f t="shared" si="2"/>
        <v>1</v>
      </c>
      <c r="M17" s="17">
        <v>7</v>
      </c>
      <c r="N17" s="49">
        <v>795655.2</v>
      </c>
      <c r="O17" s="49">
        <v>1622446</v>
      </c>
      <c r="P17" s="44"/>
      <c r="Q17" s="45">
        <v>99.5</v>
      </c>
      <c r="R17" s="18">
        <v>52374307</v>
      </c>
      <c r="T17" s="18">
        <v>1214334</v>
      </c>
      <c r="U17" s="36">
        <v>1.2238000000000001E-2</v>
      </c>
    </row>
    <row r="18" spans="2:21">
      <c r="B18" s="17">
        <v>8</v>
      </c>
      <c r="C18" s="18">
        <v>2957685</v>
      </c>
      <c r="D18" s="19" t="s">
        <v>17</v>
      </c>
      <c r="E18" s="24">
        <f t="shared" si="0"/>
        <v>0.15</v>
      </c>
      <c r="F18" s="24">
        <f t="shared" si="1"/>
        <v>7.4999999999999997E-2</v>
      </c>
      <c r="G18" s="37">
        <v>0.25</v>
      </c>
      <c r="H18" s="37">
        <v>0.25</v>
      </c>
      <c r="I18" s="37">
        <v>0.2</v>
      </c>
      <c r="J18" s="37">
        <v>0.3</v>
      </c>
      <c r="K18" s="37">
        <f t="shared" si="2"/>
        <v>1</v>
      </c>
      <c r="M18" s="17">
        <v>8</v>
      </c>
      <c r="N18" s="49">
        <v>443652.75</v>
      </c>
      <c r="O18" s="49">
        <v>900853</v>
      </c>
      <c r="P18" s="44"/>
      <c r="Q18" s="45">
        <v>99.75</v>
      </c>
      <c r="R18" s="18">
        <v>57208805</v>
      </c>
      <c r="T18" s="18">
        <v>1416723</v>
      </c>
      <c r="U18" s="36">
        <v>0</v>
      </c>
    </row>
    <row r="19" spans="2:21">
      <c r="B19" s="17">
        <v>9</v>
      </c>
      <c r="C19" s="18">
        <v>3137989</v>
      </c>
      <c r="D19" s="19" t="s">
        <v>18</v>
      </c>
      <c r="E19" s="24">
        <f t="shared" si="0"/>
        <v>0.05</v>
      </c>
      <c r="F19" s="24">
        <f t="shared" si="1"/>
        <v>2.5000000000000001E-2</v>
      </c>
      <c r="G19" s="37">
        <v>0.25</v>
      </c>
      <c r="H19" s="37">
        <v>0.25</v>
      </c>
      <c r="I19" s="37">
        <v>0.25</v>
      </c>
      <c r="J19" s="37">
        <v>0.25</v>
      </c>
      <c r="K19" s="37">
        <f t="shared" si="2"/>
        <v>1</v>
      </c>
      <c r="M19" s="17">
        <v>9</v>
      </c>
      <c r="N19" s="49">
        <v>156899.45000000001</v>
      </c>
      <c r="O19" s="49">
        <v>327733</v>
      </c>
      <c r="P19" s="44"/>
      <c r="Q19" s="46">
        <v>99.9</v>
      </c>
      <c r="R19" s="21">
        <v>63422062</v>
      </c>
      <c r="T19" s="18">
        <v>1619112</v>
      </c>
      <c r="U19" s="36">
        <v>3.1029999999999999E-3</v>
      </c>
    </row>
    <row r="20" spans="2:21">
      <c r="B20" s="17">
        <v>10</v>
      </c>
      <c r="C20" s="18">
        <v>3204044</v>
      </c>
      <c r="D20" s="19" t="s">
        <v>18</v>
      </c>
      <c r="E20" s="24">
        <f t="shared" si="0"/>
        <v>0.05</v>
      </c>
      <c r="F20" s="24">
        <f t="shared" si="1"/>
        <v>2.5000000000000001E-2</v>
      </c>
      <c r="G20" s="37">
        <v>0.75</v>
      </c>
      <c r="H20" s="37">
        <v>0.1</v>
      </c>
      <c r="I20" s="37">
        <v>0.05</v>
      </c>
      <c r="J20" s="37">
        <v>0.1</v>
      </c>
      <c r="K20" s="37">
        <f t="shared" si="2"/>
        <v>1</v>
      </c>
      <c r="M20" s="17">
        <v>10</v>
      </c>
      <c r="N20" s="49">
        <v>160202.20000000001</v>
      </c>
      <c r="O20" s="49">
        <v>316679</v>
      </c>
      <c r="P20" s="44"/>
      <c r="R20" s="4"/>
      <c r="T20" s="18">
        <v>1821501</v>
      </c>
      <c r="U20" s="36">
        <v>4.4219999999999997E-3</v>
      </c>
    </row>
    <row r="21" spans="2:21">
      <c r="B21" s="17">
        <v>11</v>
      </c>
      <c r="C21" s="18">
        <v>4727724</v>
      </c>
      <c r="D21" s="19" t="s">
        <v>13</v>
      </c>
      <c r="E21" s="24">
        <f t="shared" si="0"/>
        <v>1.4999999999999999E-2</v>
      </c>
      <c r="F21" s="24">
        <f t="shared" si="1"/>
        <v>7.4999999999999997E-3</v>
      </c>
      <c r="G21" s="37">
        <v>0.5</v>
      </c>
      <c r="H21" s="37">
        <v>0.1</v>
      </c>
      <c r="I21" s="37">
        <v>0.1</v>
      </c>
      <c r="J21" s="37">
        <v>0.3</v>
      </c>
      <c r="K21" s="37">
        <f t="shared" si="2"/>
        <v>1</v>
      </c>
      <c r="M21" s="17">
        <v>11</v>
      </c>
      <c r="N21" s="49">
        <v>70915.86</v>
      </c>
      <c r="O21" s="49">
        <v>178954</v>
      </c>
      <c r="P21" s="44"/>
      <c r="R21" s="4"/>
      <c r="T21" s="18">
        <v>2023890</v>
      </c>
      <c r="U21" s="36">
        <v>7.3109999999999998E-3</v>
      </c>
    </row>
    <row r="22" spans="2:21">
      <c r="B22" s="17">
        <v>12</v>
      </c>
      <c r="C22" s="18">
        <v>4830517</v>
      </c>
      <c r="D22" s="19" t="s">
        <v>18</v>
      </c>
      <c r="E22" s="24">
        <f t="shared" si="0"/>
        <v>0.05</v>
      </c>
      <c r="F22" s="24">
        <f t="shared" si="1"/>
        <v>2.5000000000000001E-2</v>
      </c>
      <c r="G22" s="37">
        <v>0.5</v>
      </c>
      <c r="H22" s="37">
        <v>0.2</v>
      </c>
      <c r="I22" s="37">
        <v>0.1</v>
      </c>
      <c r="J22" s="37">
        <v>0.2</v>
      </c>
      <c r="K22" s="37">
        <f t="shared" si="2"/>
        <v>1</v>
      </c>
      <c r="M22" s="17">
        <v>12</v>
      </c>
      <c r="N22" s="49">
        <v>241525.85</v>
      </c>
      <c r="O22" s="49">
        <v>599473</v>
      </c>
      <c r="P22" s="44"/>
      <c r="R22" s="4"/>
      <c r="T22" s="18">
        <v>2226279</v>
      </c>
      <c r="U22" s="36">
        <v>1.1310000000000001E-3</v>
      </c>
    </row>
    <row r="23" spans="2:21">
      <c r="B23" s="17">
        <v>13</v>
      </c>
      <c r="C23" s="18">
        <v>4912097</v>
      </c>
      <c r="D23" s="19" t="s">
        <v>18</v>
      </c>
      <c r="E23" s="24">
        <f t="shared" si="0"/>
        <v>0.05</v>
      </c>
      <c r="F23" s="24">
        <f t="shared" si="1"/>
        <v>2.5000000000000001E-2</v>
      </c>
      <c r="G23" s="37">
        <v>0.25</v>
      </c>
      <c r="H23" s="37">
        <v>0.25</v>
      </c>
      <c r="I23" s="37">
        <v>0.25</v>
      </c>
      <c r="J23" s="37">
        <v>0.25</v>
      </c>
      <c r="K23" s="37">
        <f t="shared" si="2"/>
        <v>1</v>
      </c>
      <c r="M23" s="17">
        <v>13</v>
      </c>
      <c r="N23" s="49">
        <v>245604.85</v>
      </c>
      <c r="O23" s="49">
        <v>643179</v>
      </c>
      <c r="P23" s="44"/>
      <c r="R23" s="4"/>
      <c r="T23" s="18">
        <v>2428668</v>
      </c>
      <c r="U23" s="36">
        <v>1.6815E-2</v>
      </c>
    </row>
    <row r="24" spans="2:21">
      <c r="B24" s="17">
        <v>14</v>
      </c>
      <c r="C24" s="18">
        <v>4928989</v>
      </c>
      <c r="D24" s="19" t="s">
        <v>12</v>
      </c>
      <c r="E24" s="24">
        <f t="shared" si="0"/>
        <v>0.3</v>
      </c>
      <c r="F24" s="24">
        <f t="shared" si="1"/>
        <v>0.15</v>
      </c>
      <c r="G24" s="37">
        <v>0.25</v>
      </c>
      <c r="H24" s="37">
        <v>0.1</v>
      </c>
      <c r="I24" s="37">
        <v>0.1</v>
      </c>
      <c r="J24" s="37">
        <v>0.55000000000000004</v>
      </c>
      <c r="K24" s="37">
        <f t="shared" si="2"/>
        <v>1</v>
      </c>
      <c r="M24" s="17">
        <v>14</v>
      </c>
      <c r="N24" s="49">
        <v>1478696.7</v>
      </c>
      <c r="O24" s="49">
        <v>3913177</v>
      </c>
      <c r="P24" s="44"/>
      <c r="R24" s="4"/>
      <c r="T24" s="18">
        <v>2631057</v>
      </c>
      <c r="U24" s="36">
        <v>1.4799999999999999E-4</v>
      </c>
    </row>
    <row r="25" spans="2:21">
      <c r="B25" s="17">
        <v>15</v>
      </c>
      <c r="C25" s="18">
        <v>5042312</v>
      </c>
      <c r="D25" s="19" t="s">
        <v>15</v>
      </c>
      <c r="E25" s="24">
        <f t="shared" si="0"/>
        <v>0.1</v>
      </c>
      <c r="F25" s="24">
        <f t="shared" si="1"/>
        <v>0.05</v>
      </c>
      <c r="G25" s="37">
        <v>0.25</v>
      </c>
      <c r="H25" s="37">
        <v>0.25</v>
      </c>
      <c r="I25" s="37">
        <v>0.3</v>
      </c>
      <c r="J25" s="37">
        <v>0.2</v>
      </c>
      <c r="K25" s="37">
        <f t="shared" si="2"/>
        <v>1</v>
      </c>
      <c r="M25" s="17">
        <v>15</v>
      </c>
      <c r="N25" s="49">
        <v>504231.2</v>
      </c>
      <c r="O25" s="49">
        <v>1296202</v>
      </c>
      <c r="P25" s="44"/>
      <c r="T25" s="18">
        <v>2833446</v>
      </c>
      <c r="U25" s="36">
        <v>1.6396999999999998E-2</v>
      </c>
    </row>
    <row r="26" spans="2:21">
      <c r="B26" s="17">
        <v>16</v>
      </c>
      <c r="C26" s="18">
        <v>5320364</v>
      </c>
      <c r="D26" s="19" t="s">
        <v>19</v>
      </c>
      <c r="E26" s="24">
        <f t="shared" si="0"/>
        <v>7.4999999999999997E-2</v>
      </c>
      <c r="F26" s="24">
        <f t="shared" si="1"/>
        <v>3.7499999999999999E-2</v>
      </c>
      <c r="G26" s="37">
        <v>0.75</v>
      </c>
      <c r="H26" s="37">
        <v>0.1</v>
      </c>
      <c r="I26" s="37">
        <v>0.05</v>
      </c>
      <c r="J26" s="37">
        <v>0.1</v>
      </c>
      <c r="K26" s="37">
        <f t="shared" si="2"/>
        <v>1</v>
      </c>
      <c r="M26" s="17">
        <v>16</v>
      </c>
      <c r="N26" s="49">
        <v>399027.3</v>
      </c>
      <c r="O26" s="49">
        <v>1053788</v>
      </c>
      <c r="P26" s="44"/>
      <c r="T26" s="18">
        <v>3035835</v>
      </c>
      <c r="U26" s="36">
        <v>7.6730000000000001E-3</v>
      </c>
    </row>
    <row r="27" spans="2:21">
      <c r="B27" s="17">
        <v>17</v>
      </c>
      <c r="C27" s="18">
        <v>5435457</v>
      </c>
      <c r="D27" s="19" t="s">
        <v>18</v>
      </c>
      <c r="E27" s="24">
        <f t="shared" si="0"/>
        <v>0.05</v>
      </c>
      <c r="F27" s="24">
        <f t="shared" si="1"/>
        <v>2.5000000000000001E-2</v>
      </c>
      <c r="G27" s="37">
        <v>0.5</v>
      </c>
      <c r="H27" s="37">
        <v>0.2</v>
      </c>
      <c r="I27" s="37">
        <v>0.1</v>
      </c>
      <c r="J27" s="37">
        <v>0.2</v>
      </c>
      <c r="K27" s="37">
        <f t="shared" si="2"/>
        <v>1</v>
      </c>
      <c r="M27" s="17">
        <v>17</v>
      </c>
      <c r="N27" s="49">
        <v>271772.84999999998</v>
      </c>
      <c r="O27" s="49">
        <v>721496</v>
      </c>
      <c r="P27" s="44"/>
      <c r="T27" s="18">
        <v>3238224</v>
      </c>
      <c r="U27" s="36">
        <v>9.9100000000000004E-3</v>
      </c>
    </row>
    <row r="28" spans="2:21">
      <c r="B28" s="17">
        <v>18</v>
      </c>
      <c r="C28" s="18">
        <v>5517586</v>
      </c>
      <c r="D28" s="19" t="s">
        <v>16</v>
      </c>
      <c r="E28" s="24">
        <f t="shared" si="0"/>
        <v>0.03</v>
      </c>
      <c r="F28" s="24">
        <f t="shared" si="1"/>
        <v>1.4999999999999999E-2</v>
      </c>
      <c r="G28" s="37">
        <v>0.5</v>
      </c>
      <c r="H28" s="37">
        <v>0.1</v>
      </c>
      <c r="I28" s="37">
        <v>0.1</v>
      </c>
      <c r="J28" s="37">
        <v>0.3</v>
      </c>
      <c r="K28" s="37">
        <f t="shared" si="2"/>
        <v>1</v>
      </c>
      <c r="M28" s="17">
        <v>18</v>
      </c>
      <c r="N28" s="49">
        <v>165527.57999999999</v>
      </c>
      <c r="O28" s="49">
        <v>456637</v>
      </c>
      <c r="P28" s="44"/>
      <c r="T28" s="18">
        <v>3440613</v>
      </c>
      <c r="U28" s="36">
        <v>1.967E-3</v>
      </c>
    </row>
    <row r="29" spans="2:21">
      <c r="B29" s="17">
        <v>19</v>
      </c>
      <c r="C29" s="18">
        <v>5764596</v>
      </c>
      <c r="D29" s="19" t="s">
        <v>19</v>
      </c>
      <c r="E29" s="24">
        <f t="shared" si="0"/>
        <v>7.4999999999999997E-2</v>
      </c>
      <c r="F29" s="24">
        <f t="shared" si="1"/>
        <v>3.7499999999999999E-2</v>
      </c>
      <c r="G29" s="37">
        <v>0.25</v>
      </c>
      <c r="H29" s="37">
        <v>0.25</v>
      </c>
      <c r="I29" s="37">
        <v>0.2</v>
      </c>
      <c r="J29" s="37">
        <v>0.3</v>
      </c>
      <c r="K29" s="37">
        <f t="shared" si="2"/>
        <v>1</v>
      </c>
      <c r="M29" s="17">
        <v>19</v>
      </c>
      <c r="N29" s="49">
        <v>432344.7</v>
      </c>
      <c r="O29" s="49">
        <v>1227919</v>
      </c>
      <c r="P29" s="44"/>
      <c r="T29" s="18">
        <v>3643002</v>
      </c>
      <c r="U29" s="36">
        <v>5.7559999999999998E-3</v>
      </c>
    </row>
    <row r="30" spans="2:21">
      <c r="B30" s="17">
        <v>20</v>
      </c>
      <c r="C30" s="18">
        <v>5847845</v>
      </c>
      <c r="D30" s="19" t="s">
        <v>16</v>
      </c>
      <c r="E30" s="24">
        <f t="shared" si="0"/>
        <v>0.03</v>
      </c>
      <c r="F30" s="24">
        <f t="shared" si="1"/>
        <v>1.4999999999999999E-2</v>
      </c>
      <c r="G30" s="37">
        <v>0.25</v>
      </c>
      <c r="H30" s="37">
        <v>0.1</v>
      </c>
      <c r="I30" s="37">
        <v>0.1</v>
      </c>
      <c r="J30" s="37">
        <v>0.55000000000000004</v>
      </c>
      <c r="K30" s="37">
        <f t="shared" si="2"/>
        <v>1</v>
      </c>
      <c r="M30" s="17">
        <v>20</v>
      </c>
      <c r="N30" s="49">
        <v>175435.35</v>
      </c>
      <c r="O30" s="49">
        <v>498248</v>
      </c>
      <c r="P30" s="44"/>
      <c r="T30" s="18">
        <v>3845391</v>
      </c>
      <c r="U30" s="36">
        <v>8.7900000000000001E-4</v>
      </c>
    </row>
    <row r="31" spans="2:21">
      <c r="B31" s="17">
        <v>21</v>
      </c>
      <c r="C31" s="18">
        <v>6466533</v>
      </c>
      <c r="D31" s="19" t="s">
        <v>12</v>
      </c>
      <c r="E31" s="24">
        <f t="shared" si="0"/>
        <v>0.3</v>
      </c>
      <c r="F31" s="24">
        <f t="shared" si="1"/>
        <v>0.15</v>
      </c>
      <c r="G31" s="37">
        <v>0.25</v>
      </c>
      <c r="H31" s="37">
        <v>0.25</v>
      </c>
      <c r="I31" s="37">
        <v>0.2</v>
      </c>
      <c r="J31" s="37">
        <v>0.3</v>
      </c>
      <c r="K31" s="37">
        <f t="shared" si="2"/>
        <v>1</v>
      </c>
      <c r="M31" s="17">
        <v>21</v>
      </c>
      <c r="N31" s="49">
        <v>1939959.9</v>
      </c>
      <c r="O31" s="49">
        <v>5785915</v>
      </c>
      <c r="P31" s="44"/>
      <c r="T31" s="18">
        <v>4047780</v>
      </c>
      <c r="U31" s="36">
        <v>4.8180000000000002E-3</v>
      </c>
    </row>
    <row r="32" spans="2:21">
      <c r="B32" s="17">
        <v>22</v>
      </c>
      <c r="C32" s="18">
        <v>6480322</v>
      </c>
      <c r="D32" s="19" t="s">
        <v>12</v>
      </c>
      <c r="E32" s="24">
        <f t="shared" si="0"/>
        <v>0.3</v>
      </c>
      <c r="F32" s="24">
        <f t="shared" si="1"/>
        <v>0.15</v>
      </c>
      <c r="G32" s="37">
        <v>0.75</v>
      </c>
      <c r="H32" s="37">
        <v>0.1</v>
      </c>
      <c r="I32" s="37">
        <v>0.05</v>
      </c>
      <c r="J32" s="37">
        <v>0.1</v>
      </c>
      <c r="K32" s="37">
        <f t="shared" si="2"/>
        <v>1</v>
      </c>
      <c r="M32" s="17">
        <v>22</v>
      </c>
      <c r="N32" s="49">
        <v>1944096.6</v>
      </c>
      <c r="O32" s="49">
        <v>5834960</v>
      </c>
      <c r="P32" s="44"/>
      <c r="T32" s="18">
        <v>4250169</v>
      </c>
      <c r="U32" s="36">
        <v>3.2200000000000002E-3</v>
      </c>
    </row>
    <row r="33" spans="2:21">
      <c r="B33" s="17">
        <v>23</v>
      </c>
      <c r="C33" s="18">
        <v>7727651</v>
      </c>
      <c r="D33" s="19" t="s">
        <v>14</v>
      </c>
      <c r="E33" s="24">
        <f t="shared" si="0"/>
        <v>1.6E-2</v>
      </c>
      <c r="F33" s="24">
        <f t="shared" si="1"/>
        <v>8.0000000000000002E-3</v>
      </c>
      <c r="G33" s="37">
        <v>0.25</v>
      </c>
      <c r="H33" s="37">
        <v>0.25</v>
      </c>
      <c r="I33" s="37">
        <v>0.2</v>
      </c>
      <c r="J33" s="37">
        <v>0.3</v>
      </c>
      <c r="K33" s="37">
        <f t="shared" si="2"/>
        <v>1</v>
      </c>
      <c r="M33" s="17">
        <v>23</v>
      </c>
      <c r="N33" s="49">
        <v>123642.416</v>
      </c>
      <c r="O33" s="49">
        <v>424355</v>
      </c>
      <c r="P33" s="44"/>
      <c r="T33" s="18">
        <v>4452558</v>
      </c>
      <c r="U33" s="36">
        <v>4.3299999999999996E-3</v>
      </c>
    </row>
    <row r="34" spans="2:21">
      <c r="B34" s="17">
        <v>24</v>
      </c>
      <c r="C34" s="18">
        <v>15410906</v>
      </c>
      <c r="D34" s="19" t="s">
        <v>15</v>
      </c>
      <c r="E34" s="24">
        <f t="shared" si="0"/>
        <v>0.1</v>
      </c>
      <c r="F34" s="24">
        <f t="shared" si="1"/>
        <v>0.05</v>
      </c>
      <c r="G34" s="37">
        <v>0.5</v>
      </c>
      <c r="H34" s="37">
        <v>0.2</v>
      </c>
      <c r="I34" s="37">
        <v>0.1</v>
      </c>
      <c r="J34" s="37">
        <v>0.2</v>
      </c>
      <c r="K34" s="37">
        <f t="shared" si="2"/>
        <v>1</v>
      </c>
      <c r="M34" s="17">
        <v>24</v>
      </c>
      <c r="N34" s="49">
        <v>1541090.6</v>
      </c>
      <c r="O34" s="49">
        <v>8577162</v>
      </c>
      <c r="P34" s="44"/>
      <c r="T34" s="18">
        <v>4654947</v>
      </c>
      <c r="U34" s="36">
        <v>1.9650000000000002E-3</v>
      </c>
    </row>
    <row r="35" spans="2:21">
      <c r="B35" s="20">
        <v>25</v>
      </c>
      <c r="C35" s="21">
        <v>20238895</v>
      </c>
      <c r="D35" s="22" t="s">
        <v>19</v>
      </c>
      <c r="E35" s="25">
        <f t="shared" si="0"/>
        <v>7.4999999999999997E-2</v>
      </c>
      <c r="F35" s="25">
        <f t="shared" si="1"/>
        <v>3.7499999999999999E-2</v>
      </c>
      <c r="G35" s="38">
        <v>0.75</v>
      </c>
      <c r="H35" s="38">
        <v>0.1</v>
      </c>
      <c r="I35" s="38">
        <v>0.1</v>
      </c>
      <c r="J35" s="38">
        <v>0.05</v>
      </c>
      <c r="K35" s="38">
        <f t="shared" si="2"/>
        <v>1</v>
      </c>
      <c r="M35" s="20">
        <v>25</v>
      </c>
      <c r="N35" s="50">
        <v>1517917.125</v>
      </c>
      <c r="O35" s="50">
        <v>10291517</v>
      </c>
      <c r="P35" s="44"/>
      <c r="T35" s="18">
        <v>4857336</v>
      </c>
      <c r="U35" s="36">
        <v>8.6660000000000001E-3</v>
      </c>
    </row>
    <row r="36" spans="2:21">
      <c r="P36" s="7"/>
      <c r="T36" s="18">
        <v>5059725</v>
      </c>
      <c r="U36" s="36">
        <v>2.1434000000000002E-2</v>
      </c>
    </row>
    <row r="37" spans="2:21">
      <c r="B37" s="2"/>
      <c r="D37" s="1"/>
      <c r="E37" s="1"/>
      <c r="T37" s="18">
        <v>5262114</v>
      </c>
      <c r="U37" s="36">
        <v>6.7289999999999997E-3</v>
      </c>
    </row>
    <row r="38" spans="2:21">
      <c r="B38" s="2"/>
      <c r="D38" s="1"/>
      <c r="E38" s="1"/>
      <c r="T38" s="18">
        <v>5464503</v>
      </c>
      <c r="U38" s="36">
        <v>1.3615E-2</v>
      </c>
    </row>
    <row r="39" spans="2:21">
      <c r="B39" s="2"/>
      <c r="D39" s="1"/>
      <c r="E39" s="1"/>
      <c r="G39" s="1"/>
      <c r="H39" s="1"/>
      <c r="I39" s="1"/>
      <c r="J39" s="1"/>
      <c r="T39" s="18">
        <v>5666892</v>
      </c>
      <c r="U39" s="36">
        <v>6.3879999999999996E-3</v>
      </c>
    </row>
    <row r="40" spans="2:21">
      <c r="B40" s="2"/>
      <c r="D40" s="1"/>
      <c r="E40" s="1"/>
      <c r="G40" s="1"/>
      <c r="H40" s="1"/>
      <c r="I40" s="1"/>
      <c r="J40" s="1"/>
      <c r="T40" s="18">
        <v>5869281</v>
      </c>
      <c r="U40" s="36">
        <v>9.4490000000000008E-3</v>
      </c>
    </row>
    <row r="41" spans="2:21">
      <c r="G41" s="1"/>
      <c r="H41" s="1"/>
      <c r="I41" s="1"/>
      <c r="J41" s="1"/>
      <c r="T41" s="18">
        <v>6071670</v>
      </c>
      <c r="U41" s="36">
        <v>5.0140000000000002E-3</v>
      </c>
    </row>
    <row r="42" spans="2:21">
      <c r="G42" s="1"/>
      <c r="H42" s="1"/>
      <c r="I42" s="1"/>
      <c r="J42" s="1"/>
      <c r="T42" s="18">
        <v>6274059</v>
      </c>
      <c r="U42" s="36">
        <v>8.1449999999999995E-3</v>
      </c>
    </row>
    <row r="43" spans="2:21">
      <c r="G43" s="1"/>
      <c r="H43" s="1"/>
      <c r="I43" s="1"/>
      <c r="J43" s="1"/>
      <c r="T43" s="18">
        <v>6476448</v>
      </c>
      <c r="U43" s="36">
        <v>1.6036000000000002E-2</v>
      </c>
    </row>
    <row r="44" spans="2:21">
      <c r="G44" s="1"/>
      <c r="H44" s="1"/>
      <c r="I44" s="1"/>
      <c r="J44" s="1"/>
      <c r="T44" s="18">
        <v>6678837</v>
      </c>
      <c r="U44" s="36">
        <v>1.8484E-2</v>
      </c>
    </row>
    <row r="45" spans="2:21">
      <c r="G45" s="1"/>
      <c r="H45" s="1"/>
      <c r="I45" s="1"/>
      <c r="J45" s="1"/>
      <c r="T45" s="18">
        <v>6881226</v>
      </c>
      <c r="U45" s="36">
        <v>7.8639999999999995E-3</v>
      </c>
    </row>
    <row r="46" spans="2:21">
      <c r="G46" s="1"/>
      <c r="H46" s="1"/>
      <c r="I46" s="1"/>
      <c r="J46" s="1"/>
      <c r="T46" s="18">
        <v>7083615</v>
      </c>
      <c r="U46" s="36">
        <v>9.306E-3</v>
      </c>
    </row>
    <row r="47" spans="2:21">
      <c r="G47" s="1"/>
      <c r="H47" s="1"/>
      <c r="I47" s="1"/>
      <c r="J47" s="1"/>
      <c r="T47" s="18">
        <v>7286004</v>
      </c>
      <c r="U47" s="36">
        <v>4.4580000000000002E-3</v>
      </c>
    </row>
    <row r="48" spans="2:21">
      <c r="G48" s="1"/>
      <c r="H48" s="1"/>
      <c r="I48" s="1"/>
      <c r="J48" s="1"/>
      <c r="T48" s="18">
        <v>7488393</v>
      </c>
      <c r="U48" s="36">
        <v>9.6710000000000008E-3</v>
      </c>
    </row>
    <row r="49" spans="7:21">
      <c r="G49" s="1"/>
      <c r="H49" s="1"/>
      <c r="I49" s="1"/>
      <c r="J49" s="1"/>
      <c r="T49" s="18">
        <v>7690782</v>
      </c>
      <c r="U49" s="36">
        <v>7.045E-3</v>
      </c>
    </row>
    <row r="50" spans="7:21">
      <c r="G50" s="1"/>
      <c r="H50" s="1"/>
      <c r="I50" s="1"/>
      <c r="J50" s="1"/>
      <c r="T50" s="18">
        <v>7893171</v>
      </c>
      <c r="U50" s="36">
        <v>1.5266999999999999E-2</v>
      </c>
    </row>
    <row r="51" spans="7:21">
      <c r="G51" s="1"/>
      <c r="H51" s="1"/>
      <c r="I51" s="1"/>
      <c r="J51" s="1"/>
      <c r="T51" s="18">
        <v>8095560</v>
      </c>
      <c r="U51" s="36">
        <v>6.862E-3</v>
      </c>
    </row>
    <row r="52" spans="7:21">
      <c r="G52" s="1"/>
      <c r="H52" s="1"/>
      <c r="I52" s="1"/>
      <c r="J52" s="1"/>
      <c r="T52" s="18">
        <v>8297949</v>
      </c>
      <c r="U52" s="36">
        <v>1.1157E-2</v>
      </c>
    </row>
    <row r="53" spans="7:21">
      <c r="G53" s="1"/>
      <c r="H53" s="1"/>
      <c r="I53" s="1"/>
      <c r="J53" s="1"/>
      <c r="T53" s="18">
        <v>8500338</v>
      </c>
      <c r="U53" s="36">
        <v>7.1900000000000002E-3</v>
      </c>
    </row>
    <row r="54" spans="7:21">
      <c r="G54" s="1"/>
      <c r="H54" s="1"/>
      <c r="I54" s="1"/>
      <c r="J54" s="1"/>
      <c r="T54" s="18">
        <v>8702727</v>
      </c>
      <c r="U54" s="36">
        <v>8.7729999999999995E-3</v>
      </c>
    </row>
    <row r="55" spans="7:21">
      <c r="G55" s="1"/>
      <c r="H55" s="1"/>
      <c r="I55" s="1"/>
      <c r="J55" s="1"/>
      <c r="T55" s="18">
        <v>8905116</v>
      </c>
      <c r="U55" s="36">
        <v>7.9559999999999995E-3</v>
      </c>
    </row>
    <row r="56" spans="7:21">
      <c r="G56" s="1"/>
      <c r="H56" s="1"/>
      <c r="I56" s="1"/>
      <c r="J56" s="1"/>
      <c r="T56" s="18">
        <v>9107505</v>
      </c>
      <c r="U56" s="36">
        <v>9.6559999999999997E-3</v>
      </c>
    </row>
    <row r="57" spans="7:21">
      <c r="G57" s="1"/>
      <c r="H57" s="1"/>
      <c r="I57" s="1"/>
      <c r="J57" s="1"/>
      <c r="T57" s="18">
        <v>9309894</v>
      </c>
      <c r="U57" s="36">
        <v>7.4970000000000002E-3</v>
      </c>
    </row>
    <row r="58" spans="7:21">
      <c r="G58" s="1"/>
      <c r="H58" s="1"/>
      <c r="I58" s="1"/>
      <c r="J58" s="1"/>
      <c r="T58" s="18">
        <v>9512283</v>
      </c>
      <c r="U58" s="36">
        <v>1.0512000000000001E-2</v>
      </c>
    </row>
    <row r="59" spans="7:21">
      <c r="G59" s="1"/>
      <c r="H59" s="1"/>
      <c r="I59" s="1"/>
      <c r="J59" s="1"/>
      <c r="T59" s="18">
        <v>9714672</v>
      </c>
      <c r="U59" s="36">
        <v>7.5319999999999996E-3</v>
      </c>
    </row>
    <row r="60" spans="7:21">
      <c r="G60" s="1"/>
      <c r="H60" s="1"/>
      <c r="I60" s="1"/>
      <c r="J60" s="1"/>
      <c r="T60" s="18">
        <v>9917061</v>
      </c>
      <c r="U60" s="36">
        <v>8.7399999999999995E-3</v>
      </c>
    </row>
    <row r="61" spans="7:21">
      <c r="G61" s="1"/>
      <c r="H61" s="1"/>
      <c r="I61" s="1"/>
      <c r="J61" s="1"/>
      <c r="T61" s="18">
        <v>10119450</v>
      </c>
      <c r="U61" s="36">
        <v>8.6669999999999994E-3</v>
      </c>
    </row>
    <row r="62" spans="7:21">
      <c r="G62" s="1"/>
      <c r="H62" s="1"/>
      <c r="I62" s="1"/>
      <c r="J62" s="1"/>
      <c r="T62" s="18">
        <v>10321839</v>
      </c>
      <c r="U62" s="36">
        <v>7.0939999999999996E-3</v>
      </c>
    </row>
    <row r="63" spans="7:21">
      <c r="G63" s="1"/>
      <c r="H63" s="1"/>
      <c r="I63" s="1"/>
      <c r="J63" s="1"/>
      <c r="T63" s="18">
        <v>10524228</v>
      </c>
      <c r="U63" s="36">
        <v>7.6699999999999997E-3</v>
      </c>
    </row>
    <row r="64" spans="7:21">
      <c r="G64" s="1"/>
      <c r="H64" s="1"/>
      <c r="I64" s="1"/>
      <c r="J64" s="1"/>
      <c r="T64" s="18">
        <v>10726617</v>
      </c>
      <c r="U64" s="36">
        <v>7.5110000000000003E-3</v>
      </c>
    </row>
    <row r="65" spans="7:21">
      <c r="G65" s="1"/>
      <c r="H65" s="1"/>
      <c r="I65" s="1"/>
      <c r="J65" s="1"/>
      <c r="T65" s="18">
        <v>10929006</v>
      </c>
      <c r="U65" s="36">
        <v>7.8230000000000001E-3</v>
      </c>
    </row>
    <row r="66" spans="7:21">
      <c r="G66" s="1"/>
      <c r="H66" s="1"/>
      <c r="I66" s="1"/>
      <c r="J66" s="1"/>
      <c r="T66" s="18">
        <v>11131395</v>
      </c>
      <c r="U66" s="36">
        <v>6.0540000000000004E-3</v>
      </c>
    </row>
    <row r="67" spans="7:21">
      <c r="G67" s="1"/>
      <c r="H67" s="1"/>
      <c r="I67" s="1"/>
      <c r="J67" s="1"/>
      <c r="T67" s="18">
        <v>11333784</v>
      </c>
      <c r="U67" s="36">
        <v>7.3619999999999996E-3</v>
      </c>
    </row>
    <row r="68" spans="7:21">
      <c r="G68" s="1"/>
      <c r="H68" s="1"/>
      <c r="I68" s="1"/>
      <c r="J68" s="1"/>
      <c r="T68" s="18">
        <v>11536173</v>
      </c>
      <c r="U68" s="36">
        <v>1.1409000000000001E-2</v>
      </c>
    </row>
    <row r="69" spans="7:21">
      <c r="G69" s="1"/>
      <c r="H69" s="1"/>
      <c r="I69" s="1"/>
      <c r="J69" s="1"/>
      <c r="T69" s="18">
        <v>11738562</v>
      </c>
      <c r="U69" s="36">
        <v>1.1094E-2</v>
      </c>
    </row>
    <row r="70" spans="7:21">
      <c r="G70" s="1"/>
      <c r="H70" s="1"/>
      <c r="I70" s="1"/>
      <c r="J70" s="1"/>
      <c r="T70" s="18">
        <v>11940951</v>
      </c>
      <c r="U70" s="36">
        <v>8.5389999999999997E-3</v>
      </c>
    </row>
    <row r="71" spans="7:21">
      <c r="G71" s="1"/>
      <c r="H71" s="1"/>
      <c r="I71" s="1"/>
      <c r="J71" s="1"/>
      <c r="T71" s="18">
        <v>12143340</v>
      </c>
      <c r="U71" s="36">
        <v>8.5950000000000002E-3</v>
      </c>
    </row>
    <row r="72" spans="7:21">
      <c r="G72" s="1"/>
      <c r="H72" s="1"/>
      <c r="I72" s="1"/>
      <c r="J72" s="1"/>
      <c r="T72" s="18">
        <v>12345729</v>
      </c>
      <c r="U72" s="36">
        <v>7.0800000000000004E-3</v>
      </c>
    </row>
    <row r="73" spans="7:21">
      <c r="G73" s="1"/>
      <c r="H73" s="1"/>
      <c r="I73" s="1"/>
      <c r="J73" s="1"/>
      <c r="T73" s="18">
        <v>12548118</v>
      </c>
      <c r="U73" s="36">
        <v>7.548E-3</v>
      </c>
    </row>
    <row r="74" spans="7:21">
      <c r="G74" s="1"/>
      <c r="H74" s="1"/>
      <c r="I74" s="1"/>
      <c r="J74" s="1"/>
      <c r="T74" s="18">
        <v>12750507</v>
      </c>
      <c r="U74" s="36">
        <v>6.4219999999999998E-3</v>
      </c>
    </row>
    <row r="75" spans="7:21">
      <c r="T75" s="18">
        <v>12952896</v>
      </c>
      <c r="U75" s="36">
        <v>9.3939999999999996E-3</v>
      </c>
    </row>
    <row r="76" spans="7:21">
      <c r="T76" s="18">
        <v>13155285</v>
      </c>
      <c r="U76" s="36">
        <v>8.8500000000000002E-3</v>
      </c>
    </row>
    <row r="77" spans="7:21">
      <c r="T77" s="18">
        <v>13357674</v>
      </c>
      <c r="U77" s="36">
        <v>9.0299999999999998E-3</v>
      </c>
    </row>
    <row r="78" spans="7:21">
      <c r="T78" s="18">
        <v>13560063</v>
      </c>
      <c r="U78" s="36">
        <v>6.4460000000000003E-3</v>
      </c>
    </row>
    <row r="79" spans="7:21">
      <c r="T79" s="18">
        <v>13762452</v>
      </c>
      <c r="U79" s="36">
        <v>6.6909999999999999E-3</v>
      </c>
    </row>
    <row r="80" spans="7:21">
      <c r="T80" s="18">
        <v>13964841</v>
      </c>
      <c r="U80" s="36">
        <v>6.0309999999999999E-3</v>
      </c>
    </row>
    <row r="81" spans="20:21">
      <c r="T81" s="18">
        <v>14167230</v>
      </c>
      <c r="U81" s="36">
        <v>6.8100000000000001E-3</v>
      </c>
    </row>
    <row r="82" spans="20:21">
      <c r="T82" s="18">
        <v>14369619</v>
      </c>
      <c r="U82" s="36">
        <v>7.1269999999999997E-3</v>
      </c>
    </row>
    <row r="83" spans="20:21">
      <c r="T83" s="18">
        <v>14572008</v>
      </c>
      <c r="U83" s="36">
        <v>7.6930000000000002E-3</v>
      </c>
    </row>
    <row r="84" spans="20:21">
      <c r="T84" s="18">
        <v>14774397</v>
      </c>
      <c r="U84" s="36">
        <v>6.2849999999999998E-3</v>
      </c>
    </row>
    <row r="85" spans="20:21">
      <c r="T85" s="18">
        <v>14976786</v>
      </c>
      <c r="U85" s="36">
        <v>6.607E-3</v>
      </c>
    </row>
    <row r="86" spans="20:21">
      <c r="T86" s="18">
        <v>15179175</v>
      </c>
      <c r="U86" s="36">
        <v>5.7689999999999998E-3</v>
      </c>
    </row>
    <row r="87" spans="20:21">
      <c r="T87" s="18">
        <v>15381564</v>
      </c>
      <c r="U87" s="36">
        <v>5.8669999999999998E-3</v>
      </c>
    </row>
    <row r="88" spans="20:21">
      <c r="T88" s="18">
        <v>15583953</v>
      </c>
      <c r="U88" s="36">
        <v>1.0296E-2</v>
      </c>
    </row>
    <row r="89" spans="20:21">
      <c r="T89" s="18">
        <v>15786342</v>
      </c>
      <c r="U89" s="36">
        <v>5.7790000000000003E-3</v>
      </c>
    </row>
    <row r="90" spans="20:21">
      <c r="T90" s="18">
        <v>15988731</v>
      </c>
      <c r="U90" s="36">
        <v>6.79E-3</v>
      </c>
    </row>
    <row r="91" spans="20:21">
      <c r="T91" s="18">
        <v>16191120</v>
      </c>
      <c r="U91" s="36">
        <v>5.4180000000000001E-3</v>
      </c>
    </row>
    <row r="92" spans="20:21">
      <c r="T92" s="18">
        <v>16393509</v>
      </c>
      <c r="U92" s="36">
        <v>5.3860000000000002E-3</v>
      </c>
    </row>
    <row r="93" spans="20:21">
      <c r="T93" s="18">
        <v>16595898</v>
      </c>
      <c r="U93" s="36">
        <v>5.7470000000000004E-3</v>
      </c>
    </row>
    <row r="94" spans="20:21">
      <c r="T94" s="18">
        <v>16798287</v>
      </c>
      <c r="U94" s="36">
        <v>6.5139999999999998E-3</v>
      </c>
    </row>
    <row r="95" spans="20:21">
      <c r="T95" s="18">
        <v>17000676</v>
      </c>
      <c r="U95" s="36">
        <v>5.0359999999999997E-3</v>
      </c>
    </row>
    <row r="96" spans="20:21">
      <c r="T96" s="18">
        <v>17203065</v>
      </c>
      <c r="U96" s="36">
        <v>5.3070000000000001E-3</v>
      </c>
    </row>
    <row r="97" spans="20:21">
      <c r="T97" s="18">
        <v>17405454</v>
      </c>
      <c r="U97" s="36">
        <v>5.3220000000000003E-3</v>
      </c>
    </row>
    <row r="98" spans="20:21">
      <c r="T98" s="18">
        <v>17607843</v>
      </c>
      <c r="U98" s="36">
        <v>5.2769999999999996E-3</v>
      </c>
    </row>
    <row r="99" spans="20:21">
      <c r="T99" s="18">
        <v>17810232</v>
      </c>
      <c r="U99" s="36">
        <v>4.398E-3</v>
      </c>
    </row>
    <row r="100" spans="20:21">
      <c r="T100" s="18">
        <v>18012621</v>
      </c>
      <c r="U100" s="36">
        <v>6.6660000000000001E-3</v>
      </c>
    </row>
    <row r="101" spans="20:21">
      <c r="T101" s="18">
        <v>18215010</v>
      </c>
      <c r="U101" s="36">
        <v>5.2329999999999998E-3</v>
      </c>
    </row>
    <row r="102" spans="20:21">
      <c r="T102" s="18">
        <v>18417399</v>
      </c>
      <c r="U102" s="36">
        <v>6.5189999999999996E-3</v>
      </c>
    </row>
    <row r="103" spans="20:21">
      <c r="T103" s="18">
        <v>18619788</v>
      </c>
      <c r="U103" s="36">
        <v>5.0509999999999999E-3</v>
      </c>
    </row>
    <row r="104" spans="20:21">
      <c r="T104" s="18">
        <v>18822177</v>
      </c>
      <c r="U104" s="36">
        <v>5.1630000000000001E-3</v>
      </c>
    </row>
    <row r="105" spans="20:21">
      <c r="T105" s="18">
        <v>19024566</v>
      </c>
      <c r="U105" s="36">
        <v>4.0759999999999998E-3</v>
      </c>
    </row>
    <row r="106" spans="20:21">
      <c r="T106" s="18">
        <v>19226955</v>
      </c>
      <c r="U106" s="36">
        <v>4.4209999999999996E-3</v>
      </c>
    </row>
    <row r="107" spans="20:21">
      <c r="T107" s="18">
        <v>19429344</v>
      </c>
      <c r="U107" s="36">
        <v>4.0660000000000002E-3</v>
      </c>
    </row>
    <row r="108" spans="20:21">
      <c r="T108" s="18">
        <v>19631733</v>
      </c>
      <c r="U108" s="36">
        <v>4.6820000000000004E-3</v>
      </c>
    </row>
    <row r="109" spans="20:21">
      <c r="T109" s="18">
        <v>19834122</v>
      </c>
      <c r="U109" s="36">
        <v>4.2579999999999996E-3</v>
      </c>
    </row>
    <row r="110" spans="20:21">
      <c r="T110" s="18">
        <v>20036511</v>
      </c>
      <c r="U110" s="36">
        <v>4.1520000000000003E-3</v>
      </c>
    </row>
    <row r="111" spans="20:21">
      <c r="T111" s="18">
        <v>20238900</v>
      </c>
      <c r="U111" s="36">
        <v>7.1399999999999996E-3</v>
      </c>
    </row>
    <row r="112" spans="20:21">
      <c r="T112" s="18">
        <v>20441289</v>
      </c>
      <c r="U112" s="36">
        <v>4.1089999999999998E-3</v>
      </c>
    </row>
    <row r="113" spans="20:21">
      <c r="T113" s="18">
        <v>20643678</v>
      </c>
      <c r="U113" s="36">
        <v>6.0920000000000002E-3</v>
      </c>
    </row>
    <row r="114" spans="20:21">
      <c r="T114" s="18">
        <v>20846067</v>
      </c>
      <c r="U114" s="36">
        <v>3.9150000000000001E-3</v>
      </c>
    </row>
    <row r="115" spans="20:21">
      <c r="T115" s="18">
        <v>21048456</v>
      </c>
      <c r="U115" s="36">
        <v>4.6600000000000001E-3</v>
      </c>
    </row>
    <row r="116" spans="20:21">
      <c r="T116" s="18">
        <v>21250845</v>
      </c>
      <c r="U116" s="36">
        <v>3.7360000000000002E-3</v>
      </c>
    </row>
    <row r="117" spans="20:21">
      <c r="T117" s="18">
        <v>21453234</v>
      </c>
      <c r="U117" s="36">
        <v>4.725E-3</v>
      </c>
    </row>
    <row r="118" spans="20:21">
      <c r="T118" s="18">
        <v>21655623</v>
      </c>
      <c r="U118" s="36">
        <v>3.3570000000000002E-3</v>
      </c>
    </row>
    <row r="119" spans="20:21">
      <c r="T119" s="18">
        <v>21858012</v>
      </c>
      <c r="U119" s="36">
        <v>3.7139999999999999E-3</v>
      </c>
    </row>
    <row r="120" spans="20:21">
      <c r="T120" s="18">
        <v>22060401</v>
      </c>
      <c r="U120" s="36">
        <v>4.4879999999999998E-3</v>
      </c>
    </row>
    <row r="121" spans="20:21">
      <c r="T121" s="18">
        <v>22262790</v>
      </c>
      <c r="U121" s="36">
        <v>4.8479999999999999E-3</v>
      </c>
    </row>
    <row r="122" spans="20:21">
      <c r="T122" s="18">
        <v>22465179</v>
      </c>
      <c r="U122" s="36">
        <v>3.3839999999999999E-3</v>
      </c>
    </row>
    <row r="123" spans="20:21">
      <c r="T123" s="18">
        <v>22667568</v>
      </c>
      <c r="U123" s="36">
        <v>4.5339999999999998E-3</v>
      </c>
    </row>
    <row r="124" spans="20:21">
      <c r="T124" s="18">
        <v>22869957</v>
      </c>
      <c r="U124" s="36">
        <v>2.7590000000000002E-3</v>
      </c>
    </row>
    <row r="125" spans="20:21">
      <c r="T125" s="18">
        <v>23072346</v>
      </c>
      <c r="U125" s="36">
        <v>4.4990000000000004E-3</v>
      </c>
    </row>
    <row r="126" spans="20:21">
      <c r="T126" s="18">
        <v>23274735</v>
      </c>
      <c r="U126" s="36">
        <v>3.578E-3</v>
      </c>
    </row>
    <row r="127" spans="20:21">
      <c r="T127" s="18">
        <v>23477124</v>
      </c>
      <c r="U127" s="36">
        <v>4.4200000000000003E-3</v>
      </c>
    </row>
    <row r="128" spans="20:21">
      <c r="T128" s="18">
        <v>23679513</v>
      </c>
      <c r="U128" s="36">
        <v>2.918E-3</v>
      </c>
    </row>
    <row r="129" spans="20:21">
      <c r="T129" s="18">
        <v>23881902</v>
      </c>
      <c r="U129" s="36">
        <v>3.5750000000000001E-3</v>
      </c>
    </row>
    <row r="130" spans="20:21">
      <c r="T130" s="18">
        <v>24084291</v>
      </c>
      <c r="U130" s="36">
        <v>2.7160000000000001E-3</v>
      </c>
    </row>
    <row r="131" spans="20:21">
      <c r="T131" s="18">
        <v>24286680</v>
      </c>
      <c r="U131" s="36">
        <v>3.0720000000000001E-3</v>
      </c>
    </row>
    <row r="132" spans="20:21">
      <c r="T132" s="18">
        <v>24489069</v>
      </c>
      <c r="U132" s="36">
        <v>2.8800000000000002E-3</v>
      </c>
    </row>
    <row r="133" spans="20:21">
      <c r="T133" s="18">
        <v>24691458</v>
      </c>
      <c r="U133" s="36">
        <v>3.1710000000000002E-3</v>
      </c>
    </row>
    <row r="134" spans="20:21">
      <c r="T134" s="18">
        <v>24893847</v>
      </c>
      <c r="U134" s="36">
        <v>2.7290000000000001E-3</v>
      </c>
    </row>
    <row r="135" spans="20:21">
      <c r="T135" s="18">
        <v>25096236</v>
      </c>
      <c r="U135" s="36">
        <v>3.3990000000000001E-3</v>
      </c>
    </row>
    <row r="136" spans="20:21">
      <c r="T136" s="18">
        <v>25298625</v>
      </c>
      <c r="U136" s="36">
        <v>3.9300000000000003E-3</v>
      </c>
    </row>
    <row r="137" spans="20:21">
      <c r="T137" s="18">
        <v>25501014</v>
      </c>
      <c r="U137" s="36">
        <v>2.9069999999999999E-3</v>
      </c>
    </row>
    <row r="138" spans="20:21">
      <c r="T138" s="18">
        <v>25703403</v>
      </c>
      <c r="U138" s="36">
        <v>3.333E-3</v>
      </c>
    </row>
    <row r="139" spans="20:21">
      <c r="T139" s="18">
        <v>25905792</v>
      </c>
      <c r="U139" s="36">
        <v>2.6450000000000002E-3</v>
      </c>
    </row>
    <row r="140" spans="20:21">
      <c r="T140" s="18">
        <v>26108181</v>
      </c>
      <c r="U140" s="36">
        <v>2.9169999999999999E-3</v>
      </c>
    </row>
    <row r="141" spans="20:21">
      <c r="T141" s="18">
        <v>26310570</v>
      </c>
      <c r="U141" s="36">
        <v>2.5430000000000001E-3</v>
      </c>
    </row>
    <row r="142" spans="20:21">
      <c r="T142" s="18">
        <v>26512959</v>
      </c>
      <c r="U142" s="36">
        <v>2.725E-3</v>
      </c>
    </row>
    <row r="143" spans="20:21">
      <c r="T143" s="18">
        <v>26715348</v>
      </c>
      <c r="U143" s="36">
        <v>3.0620000000000001E-3</v>
      </c>
    </row>
    <row r="144" spans="20:21">
      <c r="T144" s="18">
        <v>26917737</v>
      </c>
      <c r="U144" s="36">
        <v>3.2889999999999998E-3</v>
      </c>
    </row>
    <row r="145" spans="20:21">
      <c r="T145" s="18">
        <v>27120126</v>
      </c>
      <c r="U145" s="36">
        <v>2.8679999999999999E-3</v>
      </c>
    </row>
    <row r="146" spans="20:21">
      <c r="T146" s="18">
        <v>27322515</v>
      </c>
      <c r="U146" s="36">
        <v>2.9069999999999999E-3</v>
      </c>
    </row>
    <row r="147" spans="20:21">
      <c r="T147" s="18">
        <v>27524904</v>
      </c>
      <c r="U147" s="36">
        <v>2.297E-3</v>
      </c>
    </row>
    <row r="148" spans="20:21">
      <c r="T148" s="18">
        <v>27727293</v>
      </c>
      <c r="U148" s="36">
        <v>2.64E-3</v>
      </c>
    </row>
    <row r="149" spans="20:21">
      <c r="T149" s="18">
        <v>27929682</v>
      </c>
      <c r="U149" s="36">
        <v>2.2550000000000001E-3</v>
      </c>
    </row>
    <row r="150" spans="20:21">
      <c r="T150" s="18">
        <v>28132071</v>
      </c>
      <c r="U150" s="36">
        <v>2.8709999999999999E-3</v>
      </c>
    </row>
    <row r="151" spans="20:21">
      <c r="T151" s="18">
        <v>28334460</v>
      </c>
      <c r="U151" s="36">
        <v>2.1069999999999999E-3</v>
      </c>
    </row>
    <row r="152" spans="20:21">
      <c r="T152" s="18">
        <v>28536849</v>
      </c>
      <c r="U152" s="36">
        <v>2.673E-3</v>
      </c>
    </row>
    <row r="153" spans="20:21">
      <c r="T153" s="18">
        <v>28739238</v>
      </c>
      <c r="U153" s="36">
        <v>2.2850000000000001E-3</v>
      </c>
    </row>
    <row r="154" spans="20:21">
      <c r="T154" s="18">
        <v>28941627</v>
      </c>
      <c r="U154" s="36">
        <v>2.3990000000000001E-3</v>
      </c>
    </row>
    <row r="155" spans="20:21">
      <c r="T155" s="18">
        <v>29144016</v>
      </c>
      <c r="U155" s="36">
        <v>2.055E-3</v>
      </c>
    </row>
    <row r="156" spans="20:21">
      <c r="T156" s="18">
        <v>29346405</v>
      </c>
      <c r="U156" s="36">
        <v>2.166E-3</v>
      </c>
    </row>
    <row r="157" spans="20:21">
      <c r="T157" s="18">
        <v>29548794</v>
      </c>
      <c r="U157" s="36">
        <v>1.9269999999999999E-3</v>
      </c>
    </row>
    <row r="158" spans="20:21">
      <c r="T158" s="18">
        <v>29751183</v>
      </c>
      <c r="U158" s="36">
        <v>2.2130000000000001E-3</v>
      </c>
    </row>
    <row r="159" spans="20:21">
      <c r="T159" s="18">
        <v>29953572</v>
      </c>
      <c r="U159" s="36">
        <v>1.9959999999999999E-3</v>
      </c>
    </row>
    <row r="160" spans="20:21">
      <c r="T160" s="18">
        <v>30155961</v>
      </c>
      <c r="U160" s="36">
        <v>2.104E-3</v>
      </c>
    </row>
    <row r="161" spans="20:21">
      <c r="T161" s="18">
        <v>30358350</v>
      </c>
      <c r="U161" s="36">
        <v>1.936E-3</v>
      </c>
    </row>
    <row r="162" spans="20:21">
      <c r="T162" s="18">
        <v>30560739</v>
      </c>
      <c r="U162" s="36">
        <v>1.8220000000000001E-3</v>
      </c>
    </row>
    <row r="163" spans="20:21">
      <c r="T163" s="18">
        <v>30763128</v>
      </c>
      <c r="U163" s="36">
        <v>1.7520000000000001E-3</v>
      </c>
    </row>
    <row r="164" spans="20:21">
      <c r="T164" s="18">
        <v>30965517</v>
      </c>
      <c r="U164" s="36">
        <v>1.7329999999999999E-3</v>
      </c>
    </row>
    <row r="165" spans="20:21">
      <c r="T165" s="18">
        <v>31167906</v>
      </c>
      <c r="U165" s="36">
        <v>1.9449999999999999E-3</v>
      </c>
    </row>
    <row r="166" spans="20:21">
      <c r="T166" s="18">
        <v>31370295</v>
      </c>
      <c r="U166" s="36">
        <v>1.5920000000000001E-3</v>
      </c>
    </row>
    <row r="167" spans="20:21">
      <c r="T167" s="18">
        <v>31572684</v>
      </c>
      <c r="U167" s="36">
        <v>1.704E-3</v>
      </c>
    </row>
    <row r="168" spans="20:21">
      <c r="T168" s="18">
        <v>31775073</v>
      </c>
      <c r="U168" s="36">
        <v>1.8979999999999999E-3</v>
      </c>
    </row>
    <row r="169" spans="20:21">
      <c r="T169" s="18">
        <v>31977462</v>
      </c>
      <c r="U169" s="36">
        <v>1.8370000000000001E-3</v>
      </c>
    </row>
    <row r="170" spans="20:21">
      <c r="T170" s="18">
        <v>32179851</v>
      </c>
      <c r="U170" s="36">
        <v>1.673E-3</v>
      </c>
    </row>
    <row r="171" spans="20:21">
      <c r="T171" s="18">
        <v>32382240</v>
      </c>
      <c r="U171" s="36">
        <v>1.6770000000000001E-3</v>
      </c>
    </row>
    <row r="172" spans="20:21">
      <c r="T172" s="18">
        <v>32584629</v>
      </c>
      <c r="U172" s="36">
        <v>1.4679999999999999E-3</v>
      </c>
    </row>
    <row r="173" spans="20:21">
      <c r="T173" s="18">
        <v>32787018</v>
      </c>
      <c r="U173" s="36">
        <v>1.5E-3</v>
      </c>
    </row>
    <row r="174" spans="20:21">
      <c r="T174" s="18">
        <v>32989407</v>
      </c>
      <c r="U174" s="36">
        <v>1.3960000000000001E-3</v>
      </c>
    </row>
    <row r="175" spans="20:21">
      <c r="T175" s="18">
        <v>33191796</v>
      </c>
      <c r="U175" s="36">
        <v>1.5790000000000001E-3</v>
      </c>
    </row>
    <row r="176" spans="20:21">
      <c r="T176" s="18">
        <v>33394185</v>
      </c>
      <c r="U176" s="36">
        <v>1.462E-3</v>
      </c>
    </row>
    <row r="177" spans="20:21">
      <c r="T177" s="18">
        <v>33596574</v>
      </c>
      <c r="U177" s="36">
        <v>1.6080000000000001E-3</v>
      </c>
    </row>
    <row r="178" spans="20:21">
      <c r="T178" s="18">
        <v>33798963</v>
      </c>
      <c r="U178" s="36">
        <v>1.34E-3</v>
      </c>
    </row>
    <row r="179" spans="20:21">
      <c r="T179" s="18">
        <v>34001352</v>
      </c>
      <c r="U179" s="36">
        <v>1.3979999999999999E-3</v>
      </c>
    </row>
    <row r="180" spans="20:21">
      <c r="T180" s="18">
        <v>34203741</v>
      </c>
      <c r="U180" s="36">
        <v>1.2340000000000001E-3</v>
      </c>
    </row>
    <row r="181" spans="20:21">
      <c r="T181" s="18">
        <v>34406130</v>
      </c>
      <c r="U181" s="36">
        <v>1.279E-3</v>
      </c>
    </row>
    <row r="182" spans="20:21">
      <c r="T182" s="18">
        <v>34608519</v>
      </c>
      <c r="U182" s="36">
        <v>1.222E-3</v>
      </c>
    </row>
    <row r="183" spans="20:21">
      <c r="T183" s="18">
        <v>34810908</v>
      </c>
      <c r="U183" s="36">
        <v>1.2689999999999999E-3</v>
      </c>
    </row>
    <row r="184" spans="20:21">
      <c r="T184" s="18">
        <v>35013297</v>
      </c>
      <c r="U184" s="36">
        <v>1.142E-3</v>
      </c>
    </row>
    <row r="185" spans="20:21">
      <c r="T185" s="18">
        <v>35215686</v>
      </c>
      <c r="U185" s="36">
        <v>1.1950000000000001E-3</v>
      </c>
    </row>
    <row r="186" spans="20:21">
      <c r="T186" s="18">
        <v>35418075</v>
      </c>
      <c r="U186" s="36">
        <v>1.0889999999999999E-3</v>
      </c>
    </row>
    <row r="187" spans="20:21">
      <c r="T187" s="18">
        <v>35620464</v>
      </c>
      <c r="U187" s="36">
        <v>1.0709999999999999E-3</v>
      </c>
    </row>
    <row r="188" spans="20:21">
      <c r="T188" s="18">
        <v>35822853</v>
      </c>
      <c r="U188" s="36">
        <v>1.333E-3</v>
      </c>
    </row>
    <row r="189" spans="20:21">
      <c r="T189" s="18">
        <v>36025242</v>
      </c>
      <c r="U189" s="36">
        <v>1.0200000000000001E-3</v>
      </c>
    </row>
    <row r="190" spans="20:21">
      <c r="T190" s="18">
        <v>36227631</v>
      </c>
      <c r="U190" s="36">
        <v>1.1329999999999999E-3</v>
      </c>
    </row>
    <row r="191" spans="20:21">
      <c r="T191" s="18">
        <v>36430020</v>
      </c>
      <c r="U191" s="36">
        <v>9.6900000000000003E-4</v>
      </c>
    </row>
    <row r="192" spans="20:21">
      <c r="T192" s="18">
        <v>36632409</v>
      </c>
      <c r="U192" s="36">
        <v>9.8700000000000003E-4</v>
      </c>
    </row>
    <row r="193" spans="20:21">
      <c r="T193" s="18">
        <v>36834798</v>
      </c>
      <c r="U193" s="36">
        <v>9.6000000000000002E-4</v>
      </c>
    </row>
    <row r="194" spans="20:21">
      <c r="T194" s="18">
        <v>37037187</v>
      </c>
      <c r="U194" s="36">
        <v>1.003E-3</v>
      </c>
    </row>
    <row r="195" spans="20:21">
      <c r="T195" s="18">
        <v>37239576</v>
      </c>
      <c r="U195" s="36">
        <v>8.5999999999999998E-4</v>
      </c>
    </row>
    <row r="196" spans="20:21">
      <c r="T196" s="18">
        <v>37441965</v>
      </c>
      <c r="U196" s="36">
        <v>8.7100000000000003E-4</v>
      </c>
    </row>
    <row r="197" spans="20:21">
      <c r="T197" s="18">
        <v>37644354</v>
      </c>
      <c r="U197" s="36">
        <v>8.9599999999999999E-4</v>
      </c>
    </row>
    <row r="198" spans="20:21">
      <c r="T198" s="18">
        <v>37846743</v>
      </c>
      <c r="U198" s="36">
        <v>8.8999999999999995E-4</v>
      </c>
    </row>
    <row r="199" spans="20:21">
      <c r="T199" s="18">
        <v>38049132</v>
      </c>
      <c r="U199" s="36">
        <v>7.6999999999999996E-4</v>
      </c>
    </row>
    <row r="200" spans="20:21">
      <c r="T200" s="18">
        <v>38251521</v>
      </c>
      <c r="U200" s="36">
        <v>9.2400000000000002E-4</v>
      </c>
    </row>
    <row r="201" spans="20:21">
      <c r="T201" s="18">
        <v>38453910</v>
      </c>
      <c r="U201" s="36">
        <v>7.7899999999999996E-4</v>
      </c>
    </row>
    <row r="202" spans="20:21">
      <c r="T202" s="18">
        <v>38656299</v>
      </c>
      <c r="U202" s="36">
        <v>8.9800000000000004E-4</v>
      </c>
    </row>
    <row r="203" spans="20:21">
      <c r="T203" s="18">
        <v>38858688</v>
      </c>
      <c r="U203" s="36">
        <v>7.6800000000000002E-4</v>
      </c>
    </row>
    <row r="204" spans="20:21">
      <c r="T204" s="18">
        <v>39061077</v>
      </c>
      <c r="U204" s="36">
        <v>8.0000000000000004E-4</v>
      </c>
    </row>
    <row r="205" spans="20:21">
      <c r="T205" s="18">
        <v>39263466</v>
      </c>
      <c r="U205" s="36">
        <v>6.6399999999999999E-4</v>
      </c>
    </row>
    <row r="206" spans="20:21">
      <c r="T206" s="18">
        <v>39465855</v>
      </c>
      <c r="U206" s="36">
        <v>7.0200000000000004E-4</v>
      </c>
    </row>
    <row r="207" spans="20:21">
      <c r="T207" s="18">
        <v>39668244</v>
      </c>
      <c r="U207" s="36">
        <v>6.4099999999999997E-4</v>
      </c>
    </row>
    <row r="208" spans="20:21">
      <c r="T208" s="18">
        <v>39870633</v>
      </c>
      <c r="U208" s="36">
        <v>6.8000000000000005E-4</v>
      </c>
    </row>
    <row r="209" spans="20:21">
      <c r="T209" s="18">
        <v>40073022</v>
      </c>
      <c r="U209" s="36">
        <v>6.4099999999999997E-4</v>
      </c>
    </row>
    <row r="210" spans="20:21">
      <c r="T210" s="18">
        <v>40275411</v>
      </c>
      <c r="U210" s="36">
        <v>6.4199999999999999E-4</v>
      </c>
    </row>
    <row r="211" spans="20:21">
      <c r="T211" s="18">
        <v>40477800</v>
      </c>
      <c r="U211" s="36">
        <v>7.0699999999999995E-4</v>
      </c>
    </row>
    <row r="212" spans="20:21">
      <c r="T212" s="18">
        <v>40680189</v>
      </c>
      <c r="U212" s="36">
        <v>6.1799999999999995E-4</v>
      </c>
    </row>
    <row r="213" spans="20:21">
      <c r="T213" s="18">
        <v>40882578</v>
      </c>
      <c r="U213" s="36">
        <v>7.0100000000000002E-4</v>
      </c>
    </row>
    <row r="214" spans="20:21">
      <c r="T214" s="18">
        <v>41084967</v>
      </c>
      <c r="U214" s="36">
        <v>5.6999999999999998E-4</v>
      </c>
    </row>
    <row r="215" spans="20:21">
      <c r="T215" s="18">
        <v>41287356</v>
      </c>
      <c r="U215" s="36">
        <v>6.11E-4</v>
      </c>
    </row>
    <row r="216" spans="20:21">
      <c r="T216" s="18">
        <v>41489745</v>
      </c>
      <c r="U216" s="36">
        <v>5.3499999999999999E-4</v>
      </c>
    </row>
    <row r="217" spans="20:21">
      <c r="T217" s="18">
        <v>41692134</v>
      </c>
      <c r="U217" s="36">
        <v>5.7399999999999997E-4</v>
      </c>
    </row>
    <row r="218" spans="20:21">
      <c r="T218" s="18">
        <v>41894523</v>
      </c>
      <c r="U218" s="36">
        <v>4.9899999999999999E-4</v>
      </c>
    </row>
    <row r="219" spans="20:21">
      <c r="T219" s="18">
        <v>42096912</v>
      </c>
      <c r="U219" s="36">
        <v>5.0799999999999999E-4</v>
      </c>
    </row>
    <row r="220" spans="20:21">
      <c r="T220" s="18">
        <v>42299301</v>
      </c>
      <c r="U220" s="36">
        <v>5.4299999999999997E-4</v>
      </c>
    </row>
    <row r="221" spans="20:21">
      <c r="T221" s="18">
        <v>42501690</v>
      </c>
      <c r="U221" s="36">
        <v>5.5699999999999999E-4</v>
      </c>
    </row>
    <row r="222" spans="20:21">
      <c r="T222" s="18">
        <v>42704079</v>
      </c>
      <c r="U222" s="36">
        <v>4.8000000000000001E-4</v>
      </c>
    </row>
    <row r="223" spans="20:21">
      <c r="T223" s="18">
        <v>42906468</v>
      </c>
      <c r="U223" s="36">
        <v>5.1500000000000005E-4</v>
      </c>
    </row>
    <row r="224" spans="20:21">
      <c r="T224" s="18">
        <v>43108857</v>
      </c>
      <c r="U224" s="36">
        <v>4.1399999999999998E-4</v>
      </c>
    </row>
    <row r="225" spans="20:21">
      <c r="T225" s="18">
        <v>43311246</v>
      </c>
      <c r="U225" s="36">
        <v>4.9200000000000003E-4</v>
      </c>
    </row>
    <row r="226" spans="20:21">
      <c r="T226" s="18">
        <v>43513635</v>
      </c>
      <c r="U226" s="36">
        <v>4.3300000000000001E-4</v>
      </c>
    </row>
    <row r="227" spans="20:21">
      <c r="T227" s="18">
        <v>43716024</v>
      </c>
      <c r="U227" s="36">
        <v>4.86E-4</v>
      </c>
    </row>
    <row r="228" spans="20:21">
      <c r="T228" s="18">
        <v>43918413</v>
      </c>
      <c r="U228" s="36">
        <v>3.86E-4</v>
      </c>
    </row>
    <row r="229" spans="20:21">
      <c r="T229" s="18">
        <v>44120802</v>
      </c>
      <c r="U229" s="36">
        <v>4.3300000000000001E-4</v>
      </c>
    </row>
    <row r="230" spans="20:21">
      <c r="T230" s="18">
        <v>44323191</v>
      </c>
      <c r="U230" s="36">
        <v>3.7399999999999998E-4</v>
      </c>
    </row>
    <row r="231" spans="20:21">
      <c r="T231" s="18">
        <v>44525580</v>
      </c>
      <c r="U231" s="36">
        <v>3.86E-4</v>
      </c>
    </row>
    <row r="232" spans="20:21">
      <c r="T232" s="18">
        <v>44727969</v>
      </c>
      <c r="U232" s="36">
        <v>3.59E-4</v>
      </c>
    </row>
    <row r="233" spans="20:21">
      <c r="T233" s="18">
        <v>44930358</v>
      </c>
      <c r="U233" s="36">
        <v>3.7399999999999998E-4</v>
      </c>
    </row>
    <row r="234" spans="20:21">
      <c r="T234" s="18">
        <v>45132747</v>
      </c>
      <c r="U234" s="36">
        <v>3.4099999999999999E-4</v>
      </c>
    </row>
    <row r="235" spans="20:21">
      <c r="T235" s="18">
        <v>45335136</v>
      </c>
      <c r="U235" s="36">
        <v>3.7300000000000001E-4</v>
      </c>
    </row>
    <row r="236" spans="20:21">
      <c r="T236" s="18">
        <v>45537525</v>
      </c>
      <c r="U236" s="36">
        <v>3.7500000000000001E-4</v>
      </c>
    </row>
    <row r="237" spans="20:21">
      <c r="T237" s="18">
        <v>45739914</v>
      </c>
      <c r="U237" s="36">
        <v>3.3700000000000001E-4</v>
      </c>
    </row>
    <row r="238" spans="20:21">
      <c r="T238" s="18">
        <v>45942303</v>
      </c>
      <c r="U238" s="36">
        <v>3.39E-4</v>
      </c>
    </row>
    <row r="239" spans="20:21">
      <c r="T239" s="18">
        <v>46144692</v>
      </c>
      <c r="U239" s="36">
        <v>3.0499999999999999E-4</v>
      </c>
    </row>
    <row r="240" spans="20:21">
      <c r="T240" s="18">
        <v>46347081</v>
      </c>
      <c r="U240" s="36">
        <v>3.0899999999999998E-4</v>
      </c>
    </row>
    <row r="241" spans="20:21">
      <c r="T241" s="18">
        <v>46549470</v>
      </c>
      <c r="U241" s="36">
        <v>2.9100000000000003E-4</v>
      </c>
    </row>
    <row r="242" spans="20:21">
      <c r="T242" s="18">
        <v>46751859</v>
      </c>
      <c r="U242" s="36">
        <v>2.9999999999999997E-4</v>
      </c>
    </row>
    <row r="243" spans="20:21">
      <c r="T243" s="18">
        <v>46954248</v>
      </c>
      <c r="U243" s="36">
        <v>2.9399999999999999E-4</v>
      </c>
    </row>
    <row r="244" spans="20:21">
      <c r="T244" s="18">
        <v>47156637</v>
      </c>
      <c r="U244" s="36">
        <v>3.0200000000000002E-4</v>
      </c>
    </row>
    <row r="245" spans="20:21">
      <c r="T245" s="18">
        <v>47359026</v>
      </c>
      <c r="U245" s="36">
        <v>2.9300000000000002E-4</v>
      </c>
    </row>
    <row r="246" spans="20:21">
      <c r="T246" s="18">
        <v>47561415</v>
      </c>
      <c r="U246" s="36">
        <v>2.8800000000000001E-4</v>
      </c>
    </row>
    <row r="247" spans="20:21">
      <c r="T247" s="18">
        <v>47763804</v>
      </c>
      <c r="U247" s="36">
        <v>2.5500000000000002E-4</v>
      </c>
    </row>
    <row r="248" spans="20:21">
      <c r="T248" s="18">
        <v>47966193</v>
      </c>
      <c r="U248" s="36">
        <v>2.6400000000000002E-4</v>
      </c>
    </row>
    <row r="249" spans="20:21">
      <c r="T249" s="18">
        <v>48168582</v>
      </c>
      <c r="U249" s="36">
        <v>2.3699999999999999E-4</v>
      </c>
    </row>
    <row r="250" spans="20:21">
      <c r="T250" s="18">
        <v>48370971</v>
      </c>
      <c r="U250" s="36">
        <v>2.5799999999999998E-4</v>
      </c>
    </row>
    <row r="251" spans="20:21">
      <c r="T251" s="18">
        <v>48573360</v>
      </c>
      <c r="U251" s="36">
        <v>2.22E-4</v>
      </c>
    </row>
    <row r="252" spans="20:21">
      <c r="T252" s="18">
        <v>48775749</v>
      </c>
      <c r="U252" s="36">
        <v>2.4899999999999998E-4</v>
      </c>
    </row>
    <row r="253" spans="20:21">
      <c r="T253" s="18">
        <v>48978138</v>
      </c>
      <c r="U253" s="36">
        <v>2.2599999999999999E-4</v>
      </c>
    </row>
    <row r="254" spans="20:21">
      <c r="T254" s="18">
        <v>49180527</v>
      </c>
      <c r="U254" s="36">
        <v>2.34E-4</v>
      </c>
    </row>
    <row r="255" spans="20:21">
      <c r="T255" s="18">
        <v>49382916</v>
      </c>
      <c r="U255" s="36">
        <v>2.0599999999999999E-4</v>
      </c>
    </row>
    <row r="256" spans="20:21">
      <c r="T256" s="18">
        <v>49585305</v>
      </c>
      <c r="U256" s="36">
        <v>2.1000000000000001E-4</v>
      </c>
    </row>
    <row r="257" spans="20:21">
      <c r="T257" s="18">
        <v>49787694</v>
      </c>
      <c r="U257" s="36">
        <v>1.92E-4</v>
      </c>
    </row>
    <row r="258" spans="20:21">
      <c r="T258" s="18">
        <v>49990083</v>
      </c>
      <c r="U258" s="36">
        <v>2.02E-4</v>
      </c>
    </row>
    <row r="259" spans="20:21">
      <c r="T259" s="18">
        <v>50192472</v>
      </c>
      <c r="U259" s="36">
        <v>1.9000000000000001E-4</v>
      </c>
    </row>
    <row r="260" spans="20:21">
      <c r="T260" s="18">
        <v>50394861</v>
      </c>
      <c r="U260" s="36">
        <v>1.94E-4</v>
      </c>
    </row>
    <row r="261" spans="20:21">
      <c r="T261" s="18">
        <v>50597250</v>
      </c>
      <c r="U261" s="36">
        <v>1.8000000000000001E-4</v>
      </c>
    </row>
    <row r="262" spans="20:21">
      <c r="T262" s="18">
        <v>50799639</v>
      </c>
      <c r="U262" s="36">
        <v>1.75E-4</v>
      </c>
    </row>
    <row r="263" spans="20:21">
      <c r="T263" s="18">
        <v>51002028</v>
      </c>
      <c r="U263" s="36">
        <v>1.66E-4</v>
      </c>
    </row>
    <row r="264" spans="20:21">
      <c r="T264" s="18">
        <v>51204417</v>
      </c>
      <c r="U264" s="36">
        <v>1.6200000000000001E-4</v>
      </c>
    </row>
    <row r="265" spans="20:21">
      <c r="T265" s="18">
        <v>51406806</v>
      </c>
      <c r="U265" s="36">
        <v>1.73E-4</v>
      </c>
    </row>
    <row r="266" spans="20:21">
      <c r="T266" s="18">
        <v>51609195</v>
      </c>
      <c r="U266" s="36">
        <v>1.5200000000000001E-4</v>
      </c>
    </row>
    <row r="267" spans="20:21">
      <c r="T267" s="18">
        <v>51811584</v>
      </c>
      <c r="U267" s="36">
        <v>1.56E-4</v>
      </c>
    </row>
    <row r="268" spans="20:21">
      <c r="T268" s="18">
        <v>52013973</v>
      </c>
      <c r="U268" s="36">
        <v>1.5699999999999999E-4</v>
      </c>
    </row>
    <row r="269" spans="20:21">
      <c r="T269" s="18">
        <v>52216362</v>
      </c>
      <c r="U269" s="36">
        <v>1.5300000000000001E-4</v>
      </c>
    </row>
    <row r="270" spans="20:21">
      <c r="T270" s="18">
        <v>52418751</v>
      </c>
      <c r="U270" s="36">
        <v>1.45E-4</v>
      </c>
    </row>
    <row r="271" spans="20:21">
      <c r="T271" s="18">
        <v>52621140</v>
      </c>
      <c r="U271" s="36">
        <v>1.4300000000000001E-4</v>
      </c>
    </row>
    <row r="272" spans="20:21">
      <c r="T272" s="18">
        <v>52823529</v>
      </c>
      <c r="U272" s="36">
        <v>1.2999999999999999E-4</v>
      </c>
    </row>
    <row r="273" spans="20:21">
      <c r="T273" s="18">
        <v>53025918</v>
      </c>
      <c r="U273" s="36">
        <v>1.2999999999999999E-4</v>
      </c>
    </row>
    <row r="274" spans="20:21">
      <c r="T274" s="18">
        <v>53228307</v>
      </c>
      <c r="U274" s="36">
        <v>1.25E-4</v>
      </c>
    </row>
    <row r="275" spans="20:21">
      <c r="T275" s="18">
        <v>53430696</v>
      </c>
      <c r="U275" s="36">
        <v>1.2999999999999999E-4</v>
      </c>
    </row>
    <row r="276" spans="20:21">
      <c r="T276" s="18">
        <v>53633085</v>
      </c>
      <c r="U276" s="36">
        <v>1.2E-4</v>
      </c>
    </row>
    <row r="277" spans="20:21">
      <c r="T277" s="18">
        <v>53835474</v>
      </c>
      <c r="U277" s="36">
        <v>1.2899999999999999E-4</v>
      </c>
    </row>
    <row r="278" spans="20:21">
      <c r="T278" s="18">
        <v>54037863</v>
      </c>
      <c r="U278" s="36">
        <v>1.1400000000000001E-4</v>
      </c>
    </row>
    <row r="279" spans="20:21">
      <c r="T279" s="18">
        <v>54240252</v>
      </c>
      <c r="U279" s="36">
        <v>1.18E-4</v>
      </c>
    </row>
    <row r="280" spans="20:21">
      <c r="T280" s="18">
        <v>54442641</v>
      </c>
      <c r="U280" s="36">
        <v>1.06E-4</v>
      </c>
    </row>
    <row r="281" spans="20:21">
      <c r="T281" s="18">
        <v>54645030</v>
      </c>
      <c r="U281" s="36">
        <v>1.07E-4</v>
      </c>
    </row>
    <row r="282" spans="20:21">
      <c r="T282" s="18">
        <v>54847419</v>
      </c>
      <c r="U282" s="36">
        <v>1E-4</v>
      </c>
    </row>
    <row r="283" spans="20:21">
      <c r="T283" s="18">
        <v>55049808</v>
      </c>
      <c r="U283" s="36">
        <v>1.01E-4</v>
      </c>
    </row>
    <row r="284" spans="20:21">
      <c r="T284" s="18">
        <v>55252197</v>
      </c>
      <c r="U284" s="36">
        <v>9.3999999999999994E-5</v>
      </c>
    </row>
    <row r="285" spans="20:21">
      <c r="T285" s="18">
        <v>55454586</v>
      </c>
      <c r="U285" s="36">
        <v>9.6000000000000002E-5</v>
      </c>
    </row>
    <row r="286" spans="20:21">
      <c r="T286" s="18">
        <v>55656975</v>
      </c>
      <c r="U286" s="36">
        <v>9.0000000000000006E-5</v>
      </c>
    </row>
    <row r="287" spans="20:21">
      <c r="T287" s="18">
        <v>55859364</v>
      </c>
      <c r="U287" s="36">
        <v>8.7999999999999998E-5</v>
      </c>
    </row>
    <row r="288" spans="20:21">
      <c r="T288" s="18">
        <v>56061753</v>
      </c>
      <c r="U288" s="36">
        <v>9.3999999999999994E-5</v>
      </c>
    </row>
    <row r="289" spans="20:21">
      <c r="T289" s="18">
        <v>56264142</v>
      </c>
      <c r="U289" s="36">
        <v>8.2999999999999998E-5</v>
      </c>
    </row>
    <row r="290" spans="20:21">
      <c r="T290" s="18">
        <v>56466531</v>
      </c>
      <c r="U290" s="36">
        <v>8.7000000000000001E-5</v>
      </c>
    </row>
    <row r="291" spans="20:21">
      <c r="T291" s="18">
        <v>56668920</v>
      </c>
      <c r="U291" s="36">
        <v>7.7999999999999999E-5</v>
      </c>
    </row>
    <row r="292" spans="20:21">
      <c r="T292" s="18">
        <v>56871309</v>
      </c>
      <c r="U292" s="36">
        <v>7.8999999999999996E-5</v>
      </c>
    </row>
    <row r="293" spans="20:21">
      <c r="T293" s="18">
        <v>57073698</v>
      </c>
      <c r="U293" s="36">
        <v>7.4999999999999993E-5</v>
      </c>
    </row>
    <row r="294" spans="20:21">
      <c r="T294" s="18">
        <v>57276087</v>
      </c>
      <c r="U294" s="36">
        <v>7.6000000000000004E-5</v>
      </c>
    </row>
    <row r="295" spans="20:21">
      <c r="T295" s="18">
        <v>57478476</v>
      </c>
      <c r="U295" s="36">
        <v>6.7999999999999999E-5</v>
      </c>
    </row>
    <row r="296" spans="20:21">
      <c r="T296" s="18">
        <v>57680865</v>
      </c>
      <c r="U296" s="36">
        <v>6.7999999999999999E-5</v>
      </c>
    </row>
    <row r="297" spans="20:21">
      <c r="T297" s="18">
        <v>57883254</v>
      </c>
      <c r="U297" s="36">
        <v>6.7999999999999999E-5</v>
      </c>
    </row>
    <row r="298" spans="20:21">
      <c r="T298" s="18">
        <v>58085643</v>
      </c>
      <c r="U298" s="36">
        <v>6.7999999999999999E-5</v>
      </c>
    </row>
    <row r="299" spans="20:21">
      <c r="T299" s="18">
        <v>58288032</v>
      </c>
      <c r="U299" s="36">
        <v>6.0999999999999999E-5</v>
      </c>
    </row>
    <row r="300" spans="20:21">
      <c r="T300" s="18">
        <v>58490421</v>
      </c>
      <c r="U300" s="36">
        <v>6.6000000000000005E-5</v>
      </c>
    </row>
    <row r="301" spans="20:21">
      <c r="T301" s="18">
        <v>58692810</v>
      </c>
      <c r="U301" s="36">
        <v>5.8E-5</v>
      </c>
    </row>
    <row r="302" spans="20:21">
      <c r="T302" s="18">
        <v>58895199</v>
      </c>
      <c r="U302" s="36">
        <v>6.3E-5</v>
      </c>
    </row>
    <row r="303" spans="20:21">
      <c r="T303" s="18">
        <v>59097588</v>
      </c>
      <c r="U303" s="36">
        <v>5.7000000000000003E-5</v>
      </c>
    </row>
    <row r="304" spans="20:21">
      <c r="T304" s="18">
        <v>59299977</v>
      </c>
      <c r="U304" s="36">
        <v>5.8E-5</v>
      </c>
    </row>
    <row r="305" spans="20:21">
      <c r="T305" s="18">
        <v>59502366</v>
      </c>
      <c r="U305" s="36">
        <v>5.1E-5</v>
      </c>
    </row>
    <row r="306" spans="20:21">
      <c r="T306" s="18">
        <v>59704755</v>
      </c>
      <c r="U306" s="36">
        <v>5.1999999999999997E-5</v>
      </c>
    </row>
    <row r="307" spans="20:21">
      <c r="T307" s="18">
        <v>59907144</v>
      </c>
      <c r="U307" s="36">
        <v>4.8000000000000001E-5</v>
      </c>
    </row>
    <row r="308" spans="20:21">
      <c r="T308" s="18">
        <v>60109533</v>
      </c>
      <c r="U308" s="36">
        <v>4.8999999999999998E-5</v>
      </c>
    </row>
    <row r="309" spans="20:21">
      <c r="T309" s="18">
        <v>60311922</v>
      </c>
      <c r="U309" s="36">
        <v>4.6999999999999997E-5</v>
      </c>
    </row>
    <row r="310" spans="20:21">
      <c r="T310" s="18">
        <v>60514311</v>
      </c>
      <c r="U310" s="36">
        <v>4.6999999999999997E-5</v>
      </c>
    </row>
    <row r="311" spans="20:21">
      <c r="T311" s="18">
        <v>60716700</v>
      </c>
      <c r="U311" s="36">
        <v>4.6E-5</v>
      </c>
    </row>
    <row r="312" spans="20:21">
      <c r="T312" s="18">
        <v>60919089</v>
      </c>
      <c r="U312" s="36">
        <v>4.3999999999999999E-5</v>
      </c>
    </row>
    <row r="313" spans="20:21">
      <c r="T313" s="18">
        <v>61121478</v>
      </c>
      <c r="U313" s="36">
        <v>4.6E-5</v>
      </c>
    </row>
    <row r="314" spans="20:21">
      <c r="T314" s="18">
        <v>61323867</v>
      </c>
      <c r="U314" s="36">
        <v>4.1E-5</v>
      </c>
    </row>
    <row r="315" spans="20:21">
      <c r="T315" s="18">
        <v>61526256</v>
      </c>
      <c r="U315" s="36">
        <v>4.1E-5</v>
      </c>
    </row>
    <row r="316" spans="20:21">
      <c r="T316" s="18">
        <v>61728645</v>
      </c>
      <c r="U316" s="36">
        <v>3.8000000000000002E-5</v>
      </c>
    </row>
    <row r="317" spans="20:21">
      <c r="T317" s="18">
        <v>61931034</v>
      </c>
      <c r="U317" s="36">
        <v>3.8999999999999999E-5</v>
      </c>
    </row>
    <row r="318" spans="20:21">
      <c r="T318" s="18">
        <v>62133423</v>
      </c>
      <c r="U318" s="36">
        <v>3.6000000000000001E-5</v>
      </c>
    </row>
    <row r="319" spans="20:21">
      <c r="T319" s="18">
        <v>62335812</v>
      </c>
      <c r="U319" s="36">
        <v>3.4999999999999997E-5</v>
      </c>
    </row>
    <row r="320" spans="20:21">
      <c r="T320" s="18">
        <v>62538201</v>
      </c>
      <c r="U320" s="36">
        <v>3.6000000000000001E-5</v>
      </c>
    </row>
    <row r="321" spans="20:21">
      <c r="T321" s="18">
        <v>62740590</v>
      </c>
      <c r="U321" s="36">
        <v>3.6000000000000001E-5</v>
      </c>
    </row>
    <row r="322" spans="20:21">
      <c r="T322" s="18">
        <v>62942979</v>
      </c>
      <c r="U322" s="36">
        <v>3.3000000000000003E-5</v>
      </c>
    </row>
    <row r="323" spans="20:21">
      <c r="T323" s="18">
        <v>63145368</v>
      </c>
      <c r="U323" s="36">
        <v>3.3000000000000003E-5</v>
      </c>
    </row>
    <row r="324" spans="20:21">
      <c r="T324" s="18">
        <v>63347757</v>
      </c>
      <c r="U324" s="36">
        <v>2.9E-5</v>
      </c>
    </row>
    <row r="325" spans="20:21">
      <c r="T325" s="18">
        <v>63550146</v>
      </c>
      <c r="U325" s="36">
        <v>3.1000000000000001E-5</v>
      </c>
    </row>
    <row r="326" spans="20:21">
      <c r="T326" s="18">
        <v>63752535</v>
      </c>
      <c r="U326" s="36">
        <v>2.9E-5</v>
      </c>
    </row>
    <row r="327" spans="20:21">
      <c r="T327" s="18">
        <v>63954924</v>
      </c>
      <c r="U327" s="36">
        <v>3.0000000000000001E-5</v>
      </c>
    </row>
    <row r="328" spans="20:21">
      <c r="T328" s="18">
        <v>64157313</v>
      </c>
      <c r="U328" s="36">
        <v>2.5999999999999998E-5</v>
      </c>
    </row>
    <row r="329" spans="20:21">
      <c r="T329" s="18">
        <v>64359702</v>
      </c>
      <c r="U329" s="36">
        <v>2.8E-5</v>
      </c>
    </row>
    <row r="330" spans="20:21">
      <c r="T330" s="18">
        <v>64562091</v>
      </c>
      <c r="U330" s="36">
        <v>2.5000000000000001E-5</v>
      </c>
    </row>
    <row r="331" spans="20:21">
      <c r="T331" s="18">
        <v>64764480</v>
      </c>
      <c r="U331" s="36">
        <v>2.5999999999999998E-5</v>
      </c>
    </row>
    <row r="332" spans="20:21">
      <c r="T332" s="18">
        <v>64966869</v>
      </c>
      <c r="U332" s="36">
        <v>2.4000000000000001E-5</v>
      </c>
    </row>
    <row r="333" spans="20:21">
      <c r="T333" s="18">
        <v>65169258</v>
      </c>
      <c r="U333" s="36">
        <v>2.4000000000000001E-5</v>
      </c>
    </row>
    <row r="334" spans="20:21">
      <c r="T334" s="18">
        <v>65371647</v>
      </c>
      <c r="U334" s="36">
        <v>2.1999999999999999E-5</v>
      </c>
    </row>
    <row r="335" spans="20:21">
      <c r="T335" s="18">
        <v>65574036</v>
      </c>
      <c r="U335" s="36">
        <v>2.3E-5</v>
      </c>
    </row>
    <row r="336" spans="20:21">
      <c r="T336" s="18">
        <v>65776425</v>
      </c>
      <c r="U336" s="36">
        <v>2.1999999999999999E-5</v>
      </c>
    </row>
    <row r="337" spans="20:21">
      <c r="T337" s="18">
        <v>65978814</v>
      </c>
      <c r="U337" s="36">
        <v>2.0999999999999999E-5</v>
      </c>
    </row>
    <row r="338" spans="20:21">
      <c r="T338" s="18">
        <v>66181203</v>
      </c>
      <c r="U338" s="36">
        <v>2.0999999999999999E-5</v>
      </c>
    </row>
    <row r="339" spans="20:21">
      <c r="T339" s="18">
        <v>66383592</v>
      </c>
      <c r="U339" s="36">
        <v>1.9000000000000001E-5</v>
      </c>
    </row>
    <row r="340" spans="20:21">
      <c r="T340" s="18">
        <v>66585981</v>
      </c>
      <c r="U340" s="36">
        <v>1.9000000000000001E-5</v>
      </c>
    </row>
    <row r="341" spans="20:21">
      <c r="T341" s="18">
        <v>66788370</v>
      </c>
      <c r="U341" s="36">
        <v>1.8E-5</v>
      </c>
    </row>
    <row r="342" spans="20:21">
      <c r="T342" s="18">
        <v>66990759</v>
      </c>
      <c r="U342" s="36">
        <v>1.8E-5</v>
      </c>
    </row>
    <row r="343" spans="20:21">
      <c r="T343" s="18">
        <v>67193148</v>
      </c>
      <c r="U343" s="36">
        <v>1.8E-5</v>
      </c>
    </row>
    <row r="344" spans="20:21">
      <c r="T344" s="18">
        <v>67395537</v>
      </c>
      <c r="U344" s="36">
        <v>1.8E-5</v>
      </c>
    </row>
    <row r="345" spans="20:21">
      <c r="T345" s="18">
        <v>67597926</v>
      </c>
      <c r="U345" s="36">
        <v>1.7E-5</v>
      </c>
    </row>
    <row r="346" spans="20:21">
      <c r="T346" s="21">
        <v>67800315</v>
      </c>
      <c r="U346" s="94">
        <v>1.7E-5</v>
      </c>
    </row>
  </sheetData>
  <phoneticPr fontId="4" type="noConversion"/>
  <pageMargins left="0.75" right="0.75" top="1" bottom="1" header="0.5" footer="0.5"/>
  <pageSetup paperSize="9" orientation="portrait" verticalDpi="360" r:id="rId1"/>
  <headerFooter alignWithMargins="0">
    <oddHeader>&amp;A</oddHeader>
    <oddFooter>Page &amp;P</oddFooter>
  </headerFooter>
  <drawing r:id="rId2"/>
  <legacyDrawing r:id="rId3"/>
</worksheet>
</file>

<file path=xl/worksheets/sheet9.xml><?xml version="1.0" encoding="utf-8"?>
<worksheet xmlns="http://schemas.openxmlformats.org/spreadsheetml/2006/main" xmlns:r="http://schemas.openxmlformats.org/officeDocument/2006/relationships">
  <dimension ref="A8:P42"/>
  <sheetViews>
    <sheetView showGridLines="0" workbookViewId="0">
      <selection activeCell="B20" sqref="B20"/>
    </sheetView>
  </sheetViews>
  <sheetFormatPr defaultRowHeight="12.75"/>
  <cols>
    <col min="1" max="1" width="3.28515625" customWidth="1"/>
    <col min="2" max="6" width="13.28515625" customWidth="1"/>
    <col min="7" max="7" width="3.28515625" customWidth="1"/>
    <col min="8" max="10" width="11.85546875" customWidth="1"/>
    <col min="11" max="11" width="3.28515625" customWidth="1"/>
    <col min="12" max="13" width="11.140625" customWidth="1"/>
    <col min="14" max="14" width="3.28515625" customWidth="1"/>
    <col min="15" max="16" width="13" customWidth="1"/>
    <col min="17" max="17" width="3.28515625" customWidth="1"/>
  </cols>
  <sheetData>
    <row r="8" spans="2:16">
      <c r="C8" s="3"/>
      <c r="D8" s="3"/>
    </row>
    <row r="9" spans="2:16">
      <c r="B9" s="8"/>
      <c r="C9" s="3"/>
      <c r="D9" s="3"/>
      <c r="O9" s="39"/>
    </row>
    <row r="10" spans="2:16">
      <c r="B10" s="8"/>
      <c r="C10" s="3"/>
      <c r="D10" s="3"/>
      <c r="O10" s="39"/>
    </row>
    <row r="11" spans="2:16">
      <c r="B11" s="8"/>
      <c r="C11" s="3"/>
      <c r="D11" s="3"/>
      <c r="O11" s="39"/>
    </row>
    <row r="12" spans="2:16">
      <c r="B12" s="8"/>
      <c r="C12" s="3"/>
      <c r="D12" s="3"/>
      <c r="O12" s="39"/>
    </row>
    <row r="13" spans="2:16">
      <c r="B13" s="8"/>
      <c r="C13" s="3"/>
      <c r="D13" s="3"/>
      <c r="G13" s="4"/>
      <c r="I13" s="4"/>
    </row>
    <row r="14" spans="2:16" ht="20.25">
      <c r="B14" s="34" t="s">
        <v>2</v>
      </c>
      <c r="C14" s="3"/>
      <c r="D14" s="3"/>
      <c r="H14" s="35" t="s">
        <v>20</v>
      </c>
    </row>
    <row r="15" spans="2:16">
      <c r="B15" s="12"/>
      <c r="C15" s="13"/>
      <c r="D15" s="26"/>
      <c r="E15" s="26" t="s">
        <v>10</v>
      </c>
      <c r="F15" s="27" t="s">
        <v>21</v>
      </c>
      <c r="H15" s="26"/>
      <c r="I15" s="26"/>
      <c r="J15" s="26"/>
      <c r="L15" s="26"/>
      <c r="M15" s="26" t="s">
        <v>4</v>
      </c>
      <c r="O15" s="26" t="s">
        <v>4</v>
      </c>
      <c r="P15" s="26"/>
    </row>
    <row r="16" spans="2:16">
      <c r="B16" s="28"/>
      <c r="C16" s="28"/>
      <c r="D16" s="30" t="s">
        <v>5</v>
      </c>
      <c r="E16" s="30" t="s">
        <v>6</v>
      </c>
      <c r="F16" s="31" t="s">
        <v>22</v>
      </c>
      <c r="H16" s="30"/>
      <c r="I16" s="30" t="s">
        <v>23</v>
      </c>
      <c r="J16" s="30" t="s">
        <v>24</v>
      </c>
      <c r="L16" s="30"/>
      <c r="M16" s="30" t="s">
        <v>25</v>
      </c>
      <c r="N16" s="8"/>
      <c r="O16" s="30" t="s">
        <v>25</v>
      </c>
      <c r="P16" s="30"/>
    </row>
    <row r="17" spans="1:16">
      <c r="B17" s="15" t="s">
        <v>7</v>
      </c>
      <c r="C17" s="16" t="s">
        <v>8</v>
      </c>
      <c r="D17" s="16" t="s">
        <v>10</v>
      </c>
      <c r="E17" s="16" t="s">
        <v>11</v>
      </c>
      <c r="F17" s="32" t="s">
        <v>26</v>
      </c>
      <c r="H17" s="15" t="s">
        <v>7</v>
      </c>
      <c r="I17" s="16" t="s">
        <v>25</v>
      </c>
      <c r="J17" s="16" t="s">
        <v>27</v>
      </c>
      <c r="L17" s="16" t="s">
        <v>28</v>
      </c>
      <c r="M17" s="16" t="s">
        <v>29</v>
      </c>
      <c r="O17" s="16" t="s">
        <v>29</v>
      </c>
      <c r="P17" s="16" t="s">
        <v>30</v>
      </c>
    </row>
    <row r="18" spans="1:16">
      <c r="A18" s="4"/>
    </row>
    <row r="19" spans="1:16">
      <c r="A19" s="4"/>
    </row>
    <row r="20" spans="1:16">
      <c r="A20" s="4"/>
    </row>
    <row r="21" spans="1:16">
      <c r="A21" s="4"/>
    </row>
    <row r="22" spans="1:16">
      <c r="A22" s="4"/>
    </row>
    <row r="23" spans="1:16">
      <c r="A23" s="4"/>
    </row>
    <row r="24" spans="1:16">
      <c r="A24" s="4"/>
    </row>
    <row r="25" spans="1:16">
      <c r="A25" s="4"/>
    </row>
    <row r="26" spans="1:16">
      <c r="A26" s="4"/>
    </row>
    <row r="27" spans="1:16">
      <c r="A27" s="4"/>
    </row>
    <row r="28" spans="1:16">
      <c r="A28" s="4"/>
    </row>
    <row r="29" spans="1:16">
      <c r="A29" s="4"/>
    </row>
    <row r="30" spans="1:16">
      <c r="A30" s="4"/>
    </row>
    <row r="31" spans="1:16">
      <c r="A31" s="4"/>
    </row>
    <row r="32" spans="1:16">
      <c r="A32" s="4"/>
    </row>
    <row r="33" spans="1:1">
      <c r="A33" s="4"/>
    </row>
    <row r="34" spans="1:1">
      <c r="A34" s="4"/>
    </row>
    <row r="35" spans="1:1">
      <c r="A35" s="4"/>
    </row>
    <row r="36" spans="1:1">
      <c r="A36" s="4"/>
    </row>
    <row r="37" spans="1:1">
      <c r="A37" s="4"/>
    </row>
    <row r="38" spans="1:1">
      <c r="A38" s="4"/>
    </row>
    <row r="39" spans="1:1">
      <c r="A39" s="4"/>
    </row>
    <row r="40" spans="1:1">
      <c r="A40" s="4"/>
    </row>
    <row r="41" spans="1:1">
      <c r="A41" s="4"/>
    </row>
    <row r="42" spans="1:1">
      <c r="A42" s="4"/>
    </row>
  </sheetData>
  <phoneticPr fontId="4" type="noConversion"/>
  <pageMargins left="0.75" right="0.75" top="1" bottom="1" header="0.5" footer="0.5"/>
  <pageSetup paperSize="9" orientation="portrait" verticalDpi="1200" r:id="rId1"/>
  <headerFooter alignWithMargins="0">
    <oddHeader>&amp;A</oddHeader>
    <oddFooter>Page &amp;P</oddFooter>
  </headerFooter>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3</vt:i4>
      </vt:variant>
    </vt:vector>
  </HeadingPairs>
  <TitlesOfParts>
    <vt:vector size="12" baseType="lpstr">
      <vt:lpstr>Additional Files</vt:lpstr>
      <vt:lpstr>Control Page</vt:lpstr>
      <vt:lpstr>Exposures&amp;StaticData</vt:lpstr>
      <vt:lpstr>Example1A</vt:lpstr>
      <vt:lpstr>Example1B</vt:lpstr>
      <vt:lpstr>Example1C</vt:lpstr>
      <vt:lpstr>Example2</vt:lpstr>
      <vt:lpstr>Example3</vt:lpstr>
      <vt:lpstr>Blank Template</vt:lpstr>
      <vt:lpstr>DefaultRates</vt:lpstr>
      <vt:lpstr>MultiYearDefaultRates</vt:lpstr>
      <vt:lpstr>RngRho</vt:lpstr>
    </vt:vector>
  </TitlesOfParts>
  <Company>CSFP</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TWILDE</dc:creator>
  <cp:lastModifiedBy>plamen</cp:lastModifiedBy>
  <cp:lastPrinted>1997-10-07T17:46:13Z</cp:lastPrinted>
  <dcterms:created xsi:type="dcterms:W3CDTF">1997-07-22T11:54:31Z</dcterms:created>
  <dcterms:modified xsi:type="dcterms:W3CDTF">2009-06-08T22:33:08Z</dcterms:modified>
</cp:coreProperties>
</file>