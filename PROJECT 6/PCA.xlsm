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360" yWindow="60" windowWidth="14220" windowHeight="1176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41" i="1"/>
  <c r="C42"/>
  <c r="D42"/>
  <c r="C41"/>
  <c r="C21"/>
  <c r="F11" s="1"/>
  <c r="F12"/>
  <c r="F14"/>
  <c r="F16"/>
  <c r="F18"/>
  <c r="F10"/>
  <c r="B21"/>
  <c r="E11"/>
  <c r="B33" s="1"/>
  <c r="E12"/>
  <c r="E13"/>
  <c r="E14"/>
  <c r="E15"/>
  <c r="E16"/>
  <c r="E17"/>
  <c r="E18"/>
  <c r="E19"/>
  <c r="E10"/>
  <c r="C22"/>
  <c r="B22"/>
  <c r="F19" l="1"/>
  <c r="F17"/>
  <c r="F15"/>
  <c r="F13"/>
  <c r="B31" s="1"/>
  <c r="B34" l="1"/>
</calcChain>
</file>

<file path=xl/sharedStrings.xml><?xml version="1.0" encoding="utf-8"?>
<sst xmlns="http://schemas.openxmlformats.org/spreadsheetml/2006/main" count="107" uniqueCount="91">
  <si>
    <t>the transposed matrix has elements Xji.</t>
  </si>
  <si>
    <r>
      <t xml:space="preserve">Each row of matrix </t>
    </r>
    <r>
      <rPr>
        <b/>
        <sz val="10"/>
        <rFont val="Arial"/>
        <family val="2"/>
      </rPr>
      <t xml:space="preserve">mx </t>
    </r>
    <r>
      <rPr>
        <sz val="10"/>
        <rFont val="Arial"/>
        <family val="2"/>
      </rPr>
      <t>contains [avg(1st column) avg(2nd column) avg(3rd column) ... avg(last column)]</t>
    </r>
  </si>
  <si>
    <t>-------------------------------------------------------------------------------------------------------------------------------------</t>
  </si>
  <si>
    <t>where Xki and Xkj are the elements of the input matrix as shown above,</t>
  </si>
  <si>
    <t xml:space="preserve"> and mi and mj are the averages of ith and jth column, respectively.</t>
  </si>
  <si>
    <t xml:space="preserve">So far, we calculated covariance but we are not done yet with PCA: we need to find the eigenvalues of the </t>
  </si>
  <si>
    <t>covariance matrix Cov.</t>
  </si>
  <si>
    <t xml:space="preserve">If R &gt; Threshold, taking only those m features and discarding other features would be </t>
  </si>
  <si>
    <t>a good representation of the f-dimensional data set.</t>
  </si>
  <si>
    <t>X</t>
  </si>
  <si>
    <t>Y</t>
  </si>
  <si>
    <t>Y-my</t>
  </si>
  <si>
    <t>Cov(X,Y)=</t>
  </si>
  <si>
    <t>avg=</t>
  </si>
  <si>
    <t>stdev=</t>
  </si>
  <si>
    <t>Cov(X,X)=</t>
  </si>
  <si>
    <t>Cov(Y,Y)=</t>
  </si>
  <si>
    <t>Cov(Y,X) = Cov(X,Y)</t>
  </si>
  <si>
    <t xml:space="preserve"> X-mx</t>
  </si>
  <si>
    <t>Cov(X,Y) = (1/n)*[(x1-mx)(y1-my) + (x2-mx)(y2-my) + … + (xn-mx)(yn-my)]</t>
  </si>
  <si>
    <t>x11</t>
  </si>
  <si>
    <t>x12</t>
  </si>
  <si>
    <t>x13</t>
  </si>
  <si>
    <t>x1f</t>
  </si>
  <si>
    <t>x21</t>
  </si>
  <si>
    <t>x22</t>
  </si>
  <si>
    <t>x23</t>
  </si>
  <si>
    <t>…</t>
  </si>
  <si>
    <t>x2f</t>
  </si>
  <si>
    <t>….</t>
  </si>
  <si>
    <t>xn1</t>
  </si>
  <si>
    <t>xn2</t>
  </si>
  <si>
    <t>xn3</t>
  </si>
  <si>
    <t>xnf</t>
  </si>
  <si>
    <t>PRINCIPAL COMPONENT ANALYSIS</t>
  </si>
  <si>
    <t>Notice that Cov(X,X) is the same thing as variance.</t>
  </si>
  <si>
    <t>The formula for covariance is:</t>
  </si>
  <si>
    <r>
      <t>The idea:</t>
    </r>
    <r>
      <rPr>
        <sz val="10"/>
        <rFont val="Arial"/>
        <family val="2"/>
      </rPr>
      <t xml:space="preserve"> find which features strongly correlate to each other; if the correlation is high, then</t>
    </r>
  </si>
  <si>
    <t>(at least) one of those features can be eliminated.</t>
  </si>
  <si>
    <r>
      <t>Cov</t>
    </r>
    <r>
      <rPr>
        <sz val="10"/>
        <rFont val="Arial"/>
        <family val="2"/>
      </rPr>
      <t xml:space="preserve"> = </t>
    </r>
  </si>
  <si>
    <r>
      <t xml:space="preserve">Elements of </t>
    </r>
    <r>
      <rPr>
        <b/>
        <sz val="10"/>
        <rFont val="Arial"/>
        <family val="2"/>
      </rPr>
      <t>Cov</t>
    </r>
    <r>
      <rPr>
        <sz val="10"/>
        <rFont val="Arial"/>
        <family val="2"/>
      </rPr>
      <t xml:space="preserve"> are Cij, where Cij = Cov(Xi, Xj). In our case, X1 = X and X2 = Y.</t>
    </r>
  </si>
  <si>
    <r>
      <t>Example:</t>
    </r>
    <r>
      <rPr>
        <sz val="10"/>
        <rFont val="Arial"/>
        <family val="2"/>
      </rPr>
      <t xml:space="preserve"> calculating covariance between two features X and Y, where mx = avg(X) and my = avg(Y).</t>
    </r>
  </si>
  <si>
    <t xml:space="preserve"> ===&gt;</t>
  </si>
  <si>
    <t>Sample</t>
  </si>
  <si>
    <t>For example, in the example above:</t>
  </si>
  <si>
    <r>
      <t xml:space="preserve">Cov </t>
    </r>
    <r>
      <rPr>
        <sz val="10"/>
        <rFont val="Arial"/>
        <family val="2"/>
      </rPr>
      <t>has elements Cij, i = 1, ….f and j = 1, ..f:</t>
    </r>
  </si>
  <si>
    <t xml:space="preserve">PS - this way may look "upside down", but is stating the problem correctly - we are comparing </t>
  </si>
  <si>
    <t xml:space="preserve">columns (i.e. features). </t>
  </si>
  <si>
    <r>
      <t>X</t>
    </r>
    <r>
      <rPr>
        <sz val="10"/>
        <rFont val="Arial"/>
        <family val="2"/>
      </rPr>
      <t>=</t>
    </r>
  </si>
  <si>
    <r>
      <t>Transpose(X)</t>
    </r>
    <r>
      <rPr>
        <sz val="10"/>
        <rFont val="Arial"/>
        <family val="2"/>
      </rPr>
      <t>=</t>
    </r>
  </si>
  <si>
    <t>The covariance matrix is calculated using  matrix multiplication as:</t>
  </si>
  <si>
    <r>
      <t xml:space="preserve">We can calculate Cij using </t>
    </r>
    <r>
      <rPr>
        <b/>
        <sz val="10"/>
        <rFont val="Arial"/>
        <family val="2"/>
      </rPr>
      <t>column vectors</t>
    </r>
    <r>
      <rPr>
        <sz val="10"/>
        <rFont val="Arial"/>
        <family val="2"/>
      </rPr>
      <t xml:space="preserve">. </t>
    </r>
  </si>
  <si>
    <t>So let's work out the matrix math.</t>
  </si>
  <si>
    <t>If we could come up with covariance formulas that use matrices, that would make our life easier because</t>
  </si>
  <si>
    <t>there is true-and-tested matrix code available.</t>
  </si>
  <si>
    <r>
      <t xml:space="preserve">In general, the input data is a flat file, i.e. a matrix of </t>
    </r>
    <r>
      <rPr>
        <b/>
        <sz val="10"/>
        <rFont val="Arial"/>
        <family val="2"/>
      </rPr>
      <t>n</t>
    </r>
    <r>
      <rPr>
        <sz val="10"/>
        <rFont val="Arial"/>
        <family val="2"/>
      </rPr>
      <t xml:space="preserve"> samples (i.e. rows) and</t>
    </r>
    <r>
      <rPr>
        <b/>
        <sz val="10"/>
        <rFont val="Arial"/>
        <family val="2"/>
      </rPr>
      <t xml:space="preserve"> f </t>
    </r>
    <r>
      <rPr>
        <sz val="10"/>
        <rFont val="Arial"/>
        <family val="2"/>
      </rPr>
      <t>features (i.e. columns):</t>
    </r>
  </si>
  <si>
    <r>
      <t xml:space="preserve">For easy reference, tabulate the result by putting all the covariances into a covariance matrix </t>
    </r>
    <r>
      <rPr>
        <b/>
        <sz val="10"/>
        <rFont val="Arial"/>
        <family val="2"/>
      </rPr>
      <t>Cov</t>
    </r>
    <r>
      <rPr>
        <sz val="10"/>
        <rFont val="Arial"/>
        <family val="2"/>
      </rPr>
      <t>.</t>
    </r>
  </si>
  <si>
    <t>Covariance is a square matrix of dimension f x f (because we are comparing each feature to all other features).</t>
  </si>
  <si>
    <t xml:space="preserve">For example, if we have a vector </t>
  </si>
  <si>
    <t>X1 = Transpose[2.5, 0.5,2.2, 1.9, 3.1, 2.3, 2, 1, 1.5, 1.1]</t>
  </si>
  <si>
    <t>X2 = Transpose[2.4,0.7, 2.9,2.2,3.0,2.7,1.6,1.1,1.6,0.9]</t>
  </si>
  <si>
    <t>V = [1 2] then it's transpose is:</t>
  </si>
  <si>
    <r>
      <t xml:space="preserve">Let us assume that we label column vectors </t>
    </r>
    <r>
      <rPr>
        <b/>
        <sz val="10"/>
        <rFont val="Arial"/>
        <family val="2"/>
      </rPr>
      <t>Xk</t>
    </r>
    <r>
      <rPr>
        <sz val="10"/>
        <rFont val="Arial"/>
        <family val="2"/>
      </rPr>
      <t xml:space="preserve">, where each </t>
    </r>
    <r>
      <rPr>
        <b/>
        <sz val="10"/>
        <rFont val="Arial"/>
        <family val="2"/>
      </rPr>
      <t>Xk</t>
    </r>
    <r>
      <rPr>
        <sz val="10"/>
        <rFont val="Arial"/>
        <family val="2"/>
      </rPr>
      <t xml:space="preserve"> is a vector and represents the k-th feature.</t>
    </r>
  </si>
  <si>
    <t>i.e. just "flipped over" V.</t>
  </si>
  <si>
    <t>Obviously, trasnposing a transpose gives back the original: Transpose(Transpose(X)) = X.</t>
  </si>
  <si>
    <t>Obviously, trasnposing a transpose gives back the original: Transpose(Transpose(V)) = V.</t>
  </si>
  <si>
    <t>Cij can be obtained using scalar multiplication of two vectors as:</t>
  </si>
  <si>
    <t>Cij = SUM[k=1,n] {(Xki-mi) * ((Xkj-mk))}</t>
  </si>
  <si>
    <r>
      <t>Cij = [Transpose(</t>
    </r>
    <r>
      <rPr>
        <b/>
        <sz val="10"/>
        <rFont val="Arial"/>
        <family val="2"/>
      </rPr>
      <t xml:space="preserve">Xi </t>
    </r>
    <r>
      <rPr>
        <sz val="10"/>
        <rFont val="Arial"/>
        <family val="2"/>
      </rPr>
      <t>- mi) * (</t>
    </r>
    <r>
      <rPr>
        <b/>
        <sz val="10"/>
        <rFont val="Arial"/>
        <family val="2"/>
      </rPr>
      <t xml:space="preserve">Xj </t>
    </r>
    <r>
      <rPr>
        <sz val="10"/>
        <rFont val="Arial"/>
        <family val="2"/>
      </rPr>
      <t>- mj)]</t>
    </r>
  </si>
  <si>
    <r>
      <t>Cov</t>
    </r>
    <r>
      <rPr>
        <sz val="10"/>
        <rFont val="Arial"/>
        <family val="2"/>
      </rPr>
      <t xml:space="preserve"> = 1/n* [Transpose(</t>
    </r>
    <r>
      <rPr>
        <b/>
        <sz val="10"/>
        <rFont val="Arial"/>
        <family val="2"/>
      </rPr>
      <t>X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>mx</t>
    </r>
    <r>
      <rPr>
        <sz val="10"/>
        <rFont val="Arial"/>
        <family val="2"/>
      </rPr>
      <t>) * (</t>
    </r>
    <r>
      <rPr>
        <b/>
        <sz val="10"/>
        <rFont val="Arial"/>
        <family val="2"/>
      </rPr>
      <t>X</t>
    </r>
    <r>
      <rPr>
        <sz val="10"/>
        <rFont val="Arial"/>
        <family val="2"/>
      </rPr>
      <t>-</t>
    </r>
    <r>
      <rPr>
        <b/>
        <sz val="10"/>
        <rFont val="Arial"/>
        <family val="2"/>
      </rPr>
      <t>mx</t>
    </r>
    <r>
      <rPr>
        <sz val="10"/>
        <rFont val="Arial"/>
        <family val="2"/>
      </rPr>
      <t>)]</t>
    </r>
  </si>
  <si>
    <r>
      <t xml:space="preserve">A </t>
    </r>
    <r>
      <rPr>
        <b/>
        <sz val="10"/>
        <rFont val="Arial"/>
        <family val="2"/>
      </rPr>
      <t>vector</t>
    </r>
    <r>
      <rPr>
        <sz val="10"/>
        <rFont val="Arial"/>
        <family val="2"/>
      </rPr>
      <t xml:space="preserve"> is a matrix of only 1 column.</t>
    </r>
  </si>
  <si>
    <t>At this point, we could manually program this. However, what if we have many features?</t>
  </si>
  <si>
    <t>------------------------------------------------------------------------------------------------------------------------------------------------------------</t>
  </si>
  <si>
    <r>
      <t>I</t>
    </r>
    <r>
      <rPr>
        <sz val="10"/>
        <rFont val="Arial"/>
        <family val="2"/>
      </rPr>
      <t xml:space="preserve"> is the identity matrix (square matrix with all 1's on the diagonal and 0's otherwise).</t>
    </r>
  </si>
  <si>
    <r>
      <t>Ei</t>
    </r>
    <r>
      <rPr>
        <sz val="10"/>
        <rFont val="Arial"/>
        <family val="2"/>
      </rPr>
      <t xml:space="preserve"> are eigenvectors (each </t>
    </r>
    <r>
      <rPr>
        <b/>
        <sz val="10"/>
        <rFont val="Arial"/>
        <family val="2"/>
      </rPr>
      <t>Ei</t>
    </r>
    <r>
      <rPr>
        <sz val="10"/>
        <rFont val="Arial"/>
        <family val="2"/>
      </rPr>
      <t xml:space="preserve"> has dimension f x 1).</t>
    </r>
  </si>
  <si>
    <r>
      <t>determinant(</t>
    </r>
    <r>
      <rPr>
        <b/>
        <sz val="10"/>
        <rFont val="Arial"/>
        <family val="2"/>
      </rPr>
      <t>Cov</t>
    </r>
    <r>
      <rPr>
        <sz val="10"/>
        <rFont val="Arial"/>
        <family val="2"/>
      </rPr>
      <t xml:space="preserve"> - </t>
    </r>
    <r>
      <rPr>
        <b/>
        <sz val="10"/>
        <rFont val="Arial"/>
        <family val="2"/>
      </rPr>
      <t>L</t>
    </r>
    <r>
      <rPr>
        <sz val="10"/>
        <rFont val="Arial"/>
        <family val="2"/>
      </rPr>
      <t>*</t>
    </r>
    <r>
      <rPr>
        <b/>
        <sz val="10"/>
        <rFont val="Arial"/>
        <family val="2"/>
      </rPr>
      <t>I</t>
    </r>
    <r>
      <rPr>
        <sz val="10"/>
        <rFont val="Arial"/>
        <family val="2"/>
      </rPr>
      <t>) = 0</t>
    </r>
  </si>
  <si>
    <t>and can be considered the most important. The smallest values represent features that can be discarded.</t>
  </si>
  <si>
    <t>To find out how many features to keep, pick m&lt;=f highest eigenvalues and calculate:</t>
  </si>
  <si>
    <t>R = SUM[i=1,m]Li  / SUM[i=1,f]Li</t>
  </si>
  <si>
    <t>Since the covariance can be represented as a matrix, we could use matrix math.</t>
  </si>
  <si>
    <t>We would feed matrices into a software package/library function, which would do the matrix math.</t>
  </si>
  <si>
    <t>Transpose(V) =  1</t>
  </si>
  <si>
    <r>
      <t xml:space="preserve">Vector </t>
    </r>
    <r>
      <rPr>
        <b/>
        <sz val="10"/>
        <rFont val="Arial"/>
        <family val="2"/>
      </rPr>
      <t>mx</t>
    </r>
    <r>
      <rPr>
        <sz val="10"/>
        <rFont val="Arial"/>
        <family val="2"/>
      </rPr>
      <t xml:space="preserve"> is the matrix of size n x f  that contains averages for all columns:</t>
    </r>
  </si>
  <si>
    <t>At this point, we can just let the software calculate the covariance. But let's go one more step and calculate Cij.</t>
  </si>
  <si>
    <t>The eigenvalues are the solutions to the following equation:</t>
  </si>
  <si>
    <r>
      <t xml:space="preserve">Cov </t>
    </r>
    <r>
      <rPr>
        <sz val="10"/>
        <rFont val="Arial"/>
        <family val="2"/>
      </rPr>
      <t xml:space="preserve">* </t>
    </r>
    <r>
      <rPr>
        <b/>
        <sz val="10"/>
        <rFont val="Arial"/>
        <family val="2"/>
      </rPr>
      <t xml:space="preserve">Ei </t>
    </r>
    <r>
      <rPr>
        <sz val="10"/>
        <rFont val="Arial"/>
        <family val="2"/>
      </rPr>
      <t>= Li*</t>
    </r>
    <r>
      <rPr>
        <b/>
        <sz val="10"/>
        <rFont val="Arial"/>
        <family val="2"/>
      </rPr>
      <t>Ei</t>
    </r>
  </si>
  <si>
    <t>We will ask the software to do that for us. Most likely, it will solve the following equation to find Li:</t>
  </si>
  <si>
    <t>Once you find eigenvalues, sort them in decreasing order. Hopefully, the first values are the prominently highest,</t>
  </si>
  <si>
    <r>
      <t>Li</t>
    </r>
    <r>
      <rPr>
        <sz val="10"/>
        <rFont val="Arial"/>
        <family val="2"/>
      </rPr>
      <t xml:space="preserve"> are corresponding eigenvalues (i.e. variances for each column), i = 1, .., f.</t>
    </r>
  </si>
  <si>
    <t>Features with highest variances are the most interesting.</t>
  </si>
  <si>
    <r>
      <t xml:space="preserve">To </t>
    </r>
    <r>
      <rPr>
        <b/>
        <sz val="10"/>
        <rFont val="Arial"/>
        <family val="2"/>
      </rPr>
      <t>transpose a matrix</t>
    </r>
    <r>
      <rPr>
        <sz val="10"/>
        <rFont val="Arial"/>
        <family val="2"/>
      </rPr>
      <t xml:space="preserve"> means to switch rows and columns; i.e. if the original matrix had elements Xij, </t>
    </r>
  </si>
</sst>
</file>

<file path=xl/styles.xml><?xml version="1.0" encoding="utf-8"?>
<styleSheet xmlns="http://schemas.openxmlformats.org/spreadsheetml/2006/main">
  <fonts count="4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/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G136"/>
  <sheetViews>
    <sheetView tabSelected="1" view="pageBreakPreview" topLeftCell="A31" zoomScale="150" zoomScaleNormal="100" zoomScaleSheetLayoutView="150" workbookViewId="0">
      <selection activeCell="D42" sqref="D42"/>
    </sheetView>
  </sheetViews>
  <sheetFormatPr defaultRowHeight="12.75"/>
  <sheetData>
    <row r="1" spans="1:6">
      <c r="B1" s="1"/>
      <c r="C1" s="1"/>
      <c r="D1" s="1" t="s">
        <v>34</v>
      </c>
    </row>
    <row r="2" spans="1:6">
      <c r="A2" s="1"/>
      <c r="B2" s="1"/>
      <c r="C2" s="1"/>
      <c r="D2" s="1"/>
    </row>
    <row r="3" spans="1:6">
      <c r="A3" s="1" t="s">
        <v>37</v>
      </c>
      <c r="B3" s="1"/>
      <c r="C3" s="1"/>
      <c r="D3" s="1"/>
    </row>
    <row r="4" spans="1:6">
      <c r="A4" t="s">
        <v>38</v>
      </c>
    </row>
    <row r="5" spans="1:6">
      <c r="A5" t="s">
        <v>89</v>
      </c>
    </row>
    <row r="7" spans="1:6">
      <c r="A7" s="1" t="s">
        <v>41</v>
      </c>
    </row>
    <row r="8" spans="1:6">
      <c r="A8" s="1"/>
    </row>
    <row r="9" spans="1:6">
      <c r="A9" s="3" t="s">
        <v>43</v>
      </c>
      <c r="B9" s="3" t="s">
        <v>9</v>
      </c>
      <c r="C9" s="3" t="s">
        <v>10</v>
      </c>
      <c r="D9" s="4"/>
      <c r="E9" s="3" t="s">
        <v>18</v>
      </c>
      <c r="F9" s="3" t="s">
        <v>11</v>
      </c>
    </row>
    <row r="10" spans="1:6">
      <c r="A10">
        <v>1</v>
      </c>
      <c r="B10">
        <v>2.5</v>
      </c>
      <c r="C10">
        <v>2.4</v>
      </c>
      <c r="E10">
        <f>B10-$B$21</f>
        <v>0.69</v>
      </c>
      <c r="F10">
        <f>C10-$C$21</f>
        <v>0.49000000000000021</v>
      </c>
    </row>
    <row r="11" spans="1:6">
      <c r="A11">
        <v>2</v>
      </c>
      <c r="B11">
        <v>0.5</v>
      </c>
      <c r="C11">
        <v>0.7</v>
      </c>
      <c r="E11">
        <f t="shared" ref="E11:E19" si="0">B11-$B$21</f>
        <v>-1.31</v>
      </c>
      <c r="F11">
        <f t="shared" ref="F11:F19" si="1">C11-$C$21</f>
        <v>-1.2099999999999997</v>
      </c>
    </row>
    <row r="12" spans="1:6">
      <c r="A12">
        <v>3</v>
      </c>
      <c r="B12">
        <v>2.2000000000000002</v>
      </c>
      <c r="C12">
        <v>2.9</v>
      </c>
      <c r="E12">
        <f t="shared" si="0"/>
        <v>0.39000000000000012</v>
      </c>
      <c r="F12">
        <f t="shared" si="1"/>
        <v>0.99000000000000021</v>
      </c>
    </row>
    <row r="13" spans="1:6">
      <c r="A13">
        <v>4</v>
      </c>
      <c r="B13">
        <v>1.9</v>
      </c>
      <c r="C13">
        <v>2.2000000000000002</v>
      </c>
      <c r="D13" t="s">
        <v>42</v>
      </c>
      <c r="E13">
        <f t="shared" si="0"/>
        <v>8.9999999999999858E-2</v>
      </c>
      <c r="F13">
        <f t="shared" si="1"/>
        <v>0.29000000000000048</v>
      </c>
    </row>
    <row r="14" spans="1:6">
      <c r="A14">
        <v>5</v>
      </c>
      <c r="B14">
        <v>3.1</v>
      </c>
      <c r="C14">
        <v>3</v>
      </c>
      <c r="E14">
        <f t="shared" si="0"/>
        <v>1.29</v>
      </c>
      <c r="F14">
        <f t="shared" si="1"/>
        <v>1.0900000000000003</v>
      </c>
    </row>
    <row r="15" spans="1:6">
      <c r="A15">
        <v>6</v>
      </c>
      <c r="B15">
        <v>2.2999999999999998</v>
      </c>
      <c r="C15">
        <v>2.7</v>
      </c>
      <c r="E15">
        <f t="shared" si="0"/>
        <v>0.48999999999999977</v>
      </c>
      <c r="F15">
        <f t="shared" si="1"/>
        <v>0.79000000000000048</v>
      </c>
    </row>
    <row r="16" spans="1:6">
      <c r="A16">
        <v>7</v>
      </c>
      <c r="B16">
        <v>2</v>
      </c>
      <c r="C16">
        <v>1.6</v>
      </c>
      <c r="E16">
        <f t="shared" si="0"/>
        <v>0.18999999999999995</v>
      </c>
      <c r="F16">
        <f t="shared" si="1"/>
        <v>-0.30999999999999961</v>
      </c>
    </row>
    <row r="17" spans="1:6">
      <c r="A17">
        <v>8</v>
      </c>
      <c r="B17">
        <v>1</v>
      </c>
      <c r="C17">
        <v>1.1000000000000001</v>
      </c>
      <c r="E17">
        <f t="shared" si="0"/>
        <v>-0.81</v>
      </c>
      <c r="F17">
        <f t="shared" si="1"/>
        <v>-0.80999999999999961</v>
      </c>
    </row>
    <row r="18" spans="1:6">
      <c r="A18">
        <v>9</v>
      </c>
      <c r="B18">
        <v>1.5</v>
      </c>
      <c r="C18">
        <v>1.6</v>
      </c>
      <c r="E18">
        <f t="shared" si="0"/>
        <v>-0.31000000000000005</v>
      </c>
      <c r="F18">
        <f t="shared" si="1"/>
        <v>-0.30999999999999961</v>
      </c>
    </row>
    <row r="19" spans="1:6">
      <c r="A19">
        <v>10</v>
      </c>
      <c r="B19">
        <v>1.1000000000000001</v>
      </c>
      <c r="C19">
        <v>0.9</v>
      </c>
      <c r="E19">
        <f t="shared" si="0"/>
        <v>-0.71</v>
      </c>
      <c r="F19">
        <f t="shared" si="1"/>
        <v>-1.0099999999999998</v>
      </c>
    </row>
    <row r="21" spans="1:6">
      <c r="A21" t="s">
        <v>13</v>
      </c>
      <c r="B21">
        <f>AVERAGE(B10:B19)</f>
        <v>1.81</v>
      </c>
      <c r="C21">
        <f>AVERAGE(C10:C19)</f>
        <v>1.9099999999999997</v>
      </c>
    </row>
    <row r="22" spans="1:6">
      <c r="A22" t="s">
        <v>14</v>
      </c>
      <c r="B22">
        <f>STDEV(B10:B19)</f>
        <v>0.78521051671227304</v>
      </c>
      <c r="C22">
        <f>STDEV(C10:C19)</f>
        <v>0.84649604580030791</v>
      </c>
    </row>
    <row r="24" spans="1:6">
      <c r="A24" t="s">
        <v>36</v>
      </c>
    </row>
    <row r="26" spans="1:6">
      <c r="B26" t="s">
        <v>19</v>
      </c>
    </row>
    <row r="28" spans="1:6">
      <c r="A28" t="s">
        <v>35</v>
      </c>
    </row>
    <row r="31" spans="1:6">
      <c r="A31" t="s">
        <v>12</v>
      </c>
      <c r="B31">
        <f>COVAR(E10:E19,F10:F19)</f>
        <v>0.55390000000000006</v>
      </c>
      <c r="D31" t="s">
        <v>17</v>
      </c>
    </row>
    <row r="33" spans="1:4">
      <c r="A33" t="s">
        <v>15</v>
      </c>
      <c r="B33">
        <f>COVAR(E10:E19,E10:E19)</f>
        <v>0.55490000000000017</v>
      </c>
    </row>
    <row r="34" spans="1:4">
      <c r="A34" t="s">
        <v>16</v>
      </c>
      <c r="B34">
        <f>COVAR(F10:F19,F10:F19)</f>
        <v>0.64490000000000003</v>
      </c>
    </row>
    <row r="37" spans="1:4">
      <c r="A37" t="s">
        <v>56</v>
      </c>
    </row>
    <row r="39" spans="1:4">
      <c r="A39" t="s">
        <v>40</v>
      </c>
    </row>
    <row r="41" spans="1:4">
      <c r="B41" s="1" t="s">
        <v>39</v>
      </c>
      <c r="C41">
        <f>B33</f>
        <v>0.55490000000000017</v>
      </c>
      <c r="D41">
        <f>B31</f>
        <v>0.55390000000000006</v>
      </c>
    </row>
    <row r="42" spans="1:4">
      <c r="C42">
        <f>B31</f>
        <v>0.55390000000000006</v>
      </c>
      <c r="D42">
        <f>B34</f>
        <v>0.64490000000000003</v>
      </c>
    </row>
    <row r="43" spans="1:4">
      <c r="B43" s="1"/>
    </row>
    <row r="45" spans="1:4">
      <c r="A45" t="s">
        <v>71</v>
      </c>
    </row>
    <row r="46" spans="1:4">
      <c r="A46" t="s">
        <v>79</v>
      </c>
    </row>
    <row r="47" spans="1:4">
      <c r="A47" t="s">
        <v>53</v>
      </c>
    </row>
    <row r="48" spans="1:4">
      <c r="A48" t="s">
        <v>54</v>
      </c>
    </row>
    <row r="49" spans="1:7">
      <c r="A49" t="s">
        <v>80</v>
      </c>
    </row>
    <row r="50" spans="1:7">
      <c r="A50" t="s">
        <v>52</v>
      </c>
    </row>
    <row r="53" spans="1:7">
      <c r="A53" t="s">
        <v>55</v>
      </c>
    </row>
    <row r="55" spans="1:7">
      <c r="C55" t="s">
        <v>20</v>
      </c>
      <c r="D55" t="s">
        <v>21</v>
      </c>
      <c r="E55" t="s">
        <v>22</v>
      </c>
      <c r="F55" t="s">
        <v>27</v>
      </c>
      <c r="G55" t="s">
        <v>23</v>
      </c>
    </row>
    <row r="56" spans="1:7">
      <c r="C56" t="s">
        <v>24</v>
      </c>
      <c r="D56" t="s">
        <v>25</v>
      </c>
      <c r="E56" t="s">
        <v>26</v>
      </c>
      <c r="G56" t="s">
        <v>28</v>
      </c>
    </row>
    <row r="57" spans="1:7">
      <c r="B57" s="1" t="s">
        <v>48</v>
      </c>
      <c r="C57" t="s">
        <v>29</v>
      </c>
    </row>
    <row r="59" spans="1:7">
      <c r="C59" t="s">
        <v>30</v>
      </c>
      <c r="D59" t="s">
        <v>31</v>
      </c>
      <c r="E59" t="s">
        <v>32</v>
      </c>
      <c r="G59" t="s">
        <v>33</v>
      </c>
    </row>
    <row r="61" spans="1:7">
      <c r="A61" t="s">
        <v>90</v>
      </c>
    </row>
    <row r="62" spans="1:7">
      <c r="A62" t="s">
        <v>0</v>
      </c>
    </row>
    <row r="64" spans="1:7">
      <c r="C64" t="s">
        <v>20</v>
      </c>
      <c r="D64" t="s">
        <v>24</v>
      </c>
      <c r="E64" t="s">
        <v>27</v>
      </c>
      <c r="F64" t="s">
        <v>30</v>
      </c>
    </row>
    <row r="65" spans="1:6">
      <c r="C65" t="s">
        <v>21</v>
      </c>
      <c r="D65" t="s">
        <v>25</v>
      </c>
      <c r="F65" t="s">
        <v>31</v>
      </c>
    </row>
    <row r="66" spans="1:6">
      <c r="A66" s="1" t="s">
        <v>49</v>
      </c>
      <c r="C66" t="s">
        <v>22</v>
      </c>
      <c r="D66" t="s">
        <v>26</v>
      </c>
      <c r="F66" t="s">
        <v>32</v>
      </c>
    </row>
    <row r="67" spans="1:6">
      <c r="C67" t="s">
        <v>27</v>
      </c>
      <c r="D67" t="s">
        <v>27</v>
      </c>
      <c r="F67" t="s">
        <v>27</v>
      </c>
    </row>
    <row r="68" spans="1:6">
      <c r="C68" t="s">
        <v>23</v>
      </c>
      <c r="D68" t="s">
        <v>28</v>
      </c>
      <c r="F68" t="s">
        <v>33</v>
      </c>
    </row>
    <row r="70" spans="1:6">
      <c r="A70" t="s">
        <v>64</v>
      </c>
    </row>
    <row r="73" spans="1:6">
      <c r="A73" t="s">
        <v>50</v>
      </c>
    </row>
    <row r="75" spans="1:6">
      <c r="B75" s="1" t="s">
        <v>69</v>
      </c>
    </row>
    <row r="76" spans="1:6">
      <c r="B76" s="1"/>
    </row>
    <row r="77" spans="1:6">
      <c r="A77" t="s">
        <v>82</v>
      </c>
      <c r="B77" s="1"/>
    </row>
    <row r="78" spans="1:6">
      <c r="B78" s="5" t="s">
        <v>1</v>
      </c>
    </row>
    <row r="79" spans="1:6">
      <c r="B79" s="1"/>
    </row>
    <row r="81" spans="1:4">
      <c r="A81" t="s">
        <v>57</v>
      </c>
    </row>
    <row r="83" spans="1:4">
      <c r="A83" s="1" t="s">
        <v>45</v>
      </c>
    </row>
    <row r="85" spans="1:4">
      <c r="A85" s="6" t="s">
        <v>2</v>
      </c>
    </row>
    <row r="86" spans="1:4">
      <c r="A86" s="5" t="s">
        <v>83</v>
      </c>
    </row>
    <row r="87" spans="1:4">
      <c r="A87" s="1"/>
    </row>
    <row r="88" spans="1:4">
      <c r="A88" t="s">
        <v>51</v>
      </c>
    </row>
    <row r="90" spans="1:4">
      <c r="B90" t="s">
        <v>46</v>
      </c>
    </row>
    <row r="91" spans="1:4">
      <c r="B91" t="s">
        <v>47</v>
      </c>
    </row>
    <row r="93" spans="1:4">
      <c r="A93" t="s">
        <v>70</v>
      </c>
    </row>
    <row r="94" spans="1:4">
      <c r="A94" t="s">
        <v>58</v>
      </c>
      <c r="D94" t="s">
        <v>61</v>
      </c>
    </row>
    <row r="95" spans="1:4">
      <c r="B95" s="2" t="s">
        <v>81</v>
      </c>
      <c r="C95" s="2"/>
      <c r="D95" t="s">
        <v>63</v>
      </c>
    </row>
    <row r="96" spans="1:4">
      <c r="B96">
        <v>2</v>
      </c>
    </row>
    <row r="97" spans="1:2">
      <c r="A97" t="s">
        <v>65</v>
      </c>
    </row>
    <row r="99" spans="1:2">
      <c r="A99" t="s">
        <v>62</v>
      </c>
    </row>
    <row r="100" spans="1:2">
      <c r="B100" t="s">
        <v>44</v>
      </c>
    </row>
    <row r="102" spans="1:2">
      <c r="B102" t="s">
        <v>59</v>
      </c>
    </row>
    <row r="103" spans="1:2">
      <c r="B103" t="s">
        <v>60</v>
      </c>
    </row>
    <row r="105" spans="1:2">
      <c r="A105" t="s">
        <v>66</v>
      </c>
      <c r="B105" s="1"/>
    </row>
    <row r="106" spans="1:2">
      <c r="B106" s="1"/>
    </row>
    <row r="107" spans="1:2">
      <c r="B107" t="s">
        <v>68</v>
      </c>
    </row>
    <row r="108" spans="1:2">
      <c r="B108" s="1"/>
    </row>
    <row r="109" spans="1:2">
      <c r="B109" t="s">
        <v>67</v>
      </c>
    </row>
    <row r="111" spans="1:2">
      <c r="B111" t="s">
        <v>3</v>
      </c>
    </row>
    <row r="112" spans="1:2">
      <c r="B112" t="s">
        <v>4</v>
      </c>
    </row>
    <row r="113" spans="1:5">
      <c r="A113" s="6" t="s">
        <v>72</v>
      </c>
    </row>
    <row r="115" spans="1:5">
      <c r="A115" t="s">
        <v>5</v>
      </c>
    </row>
    <row r="116" spans="1:5">
      <c r="A116" t="s">
        <v>6</v>
      </c>
    </row>
    <row r="117" spans="1:5">
      <c r="A117" t="s">
        <v>84</v>
      </c>
    </row>
    <row r="119" spans="1:5">
      <c r="B119" s="1" t="s">
        <v>85</v>
      </c>
    </row>
    <row r="121" spans="1:5">
      <c r="B121" s="1" t="s">
        <v>74</v>
      </c>
    </row>
    <row r="122" spans="1:5">
      <c r="B122" s="5" t="s">
        <v>88</v>
      </c>
      <c r="E122" s="1"/>
    </row>
    <row r="123" spans="1:5">
      <c r="B123" s="1" t="s">
        <v>73</v>
      </c>
      <c r="E123" s="1"/>
    </row>
    <row r="124" spans="1:5">
      <c r="B124" s="1"/>
      <c r="E124" s="1"/>
    </row>
    <row r="125" spans="1:5">
      <c r="A125" t="s">
        <v>86</v>
      </c>
      <c r="E125" s="1"/>
    </row>
    <row r="126" spans="1:5">
      <c r="E126" s="1"/>
    </row>
    <row r="127" spans="1:5">
      <c r="B127" t="s">
        <v>75</v>
      </c>
    </row>
    <row r="128" spans="1:5">
      <c r="E128" s="1"/>
    </row>
    <row r="129" spans="1:2">
      <c r="A129" t="s">
        <v>87</v>
      </c>
    </row>
    <row r="130" spans="1:2">
      <c r="A130" t="s">
        <v>76</v>
      </c>
    </row>
    <row r="131" spans="1:2">
      <c r="A131" t="s">
        <v>77</v>
      </c>
    </row>
    <row r="133" spans="1:2">
      <c r="B133" t="s">
        <v>78</v>
      </c>
    </row>
    <row r="135" spans="1:2">
      <c r="A135" t="s">
        <v>7</v>
      </c>
    </row>
    <row r="136" spans="1:2">
      <c r="A136" t="s">
        <v>8</v>
      </c>
    </row>
  </sheetData>
  <phoneticPr fontId="1" type="noConversion"/>
  <pageMargins left="0.75" right="0.5" top="1" bottom="1" header="0.5" footer="0.5"/>
  <pageSetup scale="93" orientation="portrait" r:id="rId1"/>
  <headerFooter alignWithMargins="0"/>
  <colBreaks count="1" manualBreakCount="1">
    <brk id="11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2.7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UHM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milica</dc:creator>
  <cp:lastModifiedBy>plamen</cp:lastModifiedBy>
  <cp:lastPrinted>2004-02-05T08:12:09Z</cp:lastPrinted>
  <dcterms:created xsi:type="dcterms:W3CDTF">2004-02-05T04:18:52Z</dcterms:created>
  <dcterms:modified xsi:type="dcterms:W3CDTF">2009-06-19T23:58:49Z</dcterms:modified>
</cp:coreProperties>
</file>